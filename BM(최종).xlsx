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27A94B8F-D6BE-4D19-836D-896E29C6EC3A}" xr6:coauthVersionLast="47" xr6:coauthVersionMax="47" xr10:uidLastSave="{00000000-0000-0000-0000-000000000000}"/>
  <bookViews>
    <workbookView xWindow="0" yWindow="0" windowWidth="37380" windowHeight="20880" activeTab="4" xr2:uid="{392C83F7-62C7-494A-8A61-050AF5CF3C50}"/>
  </bookViews>
  <sheets>
    <sheet name="재화 기준" sheetId="2" r:id="rId1"/>
    <sheet name="상품 구성" sheetId="1" r:id="rId2"/>
    <sheet name="극한 성장(구)" sheetId="7" r:id="rId3"/>
    <sheet name="돌발 상품" sheetId="3" r:id="rId4"/>
    <sheet name="암시장" sheetId="1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8" i="10" l="1"/>
  <c r="G53" i="10"/>
  <c r="G71" i="10"/>
  <c r="G70" i="10"/>
  <c r="G52" i="10"/>
  <c r="G34" i="10"/>
  <c r="G35" i="10" l="1"/>
  <c r="H60" i="10"/>
  <c r="J60" i="10" s="1"/>
  <c r="G60" i="10"/>
  <c r="K60" i="10" s="1"/>
  <c r="L60" i="10" s="1"/>
  <c r="H42" i="10"/>
  <c r="G42" i="10"/>
  <c r="K42" i="10" s="1"/>
  <c r="H24" i="10"/>
  <c r="G24" i="10"/>
  <c r="H7" i="10"/>
  <c r="G7" i="10"/>
  <c r="K24" i="10" l="1"/>
  <c r="J42" i="10"/>
  <c r="K7" i="10"/>
  <c r="J24" i="10"/>
  <c r="J7" i="10"/>
  <c r="H43" i="10" l="1"/>
  <c r="G43" i="10"/>
  <c r="G46" i="10"/>
  <c r="G48" i="10"/>
  <c r="G89" i="10"/>
  <c r="G72" i="10"/>
  <c r="G54" i="10"/>
  <c r="G36" i="10"/>
  <c r="G87" i="10"/>
  <c r="G10" i="10"/>
  <c r="H91" i="10"/>
  <c r="G91" i="10"/>
  <c r="H90" i="10"/>
  <c r="G90" i="10"/>
  <c r="K90" i="10" s="1"/>
  <c r="H89" i="10"/>
  <c r="H88" i="10"/>
  <c r="H87" i="10"/>
  <c r="K87" i="10" s="1"/>
  <c r="H86" i="10"/>
  <c r="G86" i="10"/>
  <c r="K86" i="10" s="1"/>
  <c r="H85" i="10"/>
  <c r="G85" i="10"/>
  <c r="H84" i="10"/>
  <c r="G84" i="10"/>
  <c r="K84" i="10" s="1"/>
  <c r="H83" i="10"/>
  <c r="G83" i="10"/>
  <c r="K83" i="10" s="1"/>
  <c r="H82" i="10"/>
  <c r="G82" i="10"/>
  <c r="H81" i="10"/>
  <c r="G81" i="10"/>
  <c r="H80" i="10"/>
  <c r="G80" i="10"/>
  <c r="H79" i="10"/>
  <c r="G79" i="10"/>
  <c r="H78" i="10"/>
  <c r="G78" i="10"/>
  <c r="F7" i="3"/>
  <c r="G7" i="3"/>
  <c r="I7" i="3"/>
  <c r="F8" i="3"/>
  <c r="G8" i="3"/>
  <c r="I8" i="3" s="1"/>
  <c r="G108" i="3"/>
  <c r="F108" i="3"/>
  <c r="G107" i="3"/>
  <c r="F107" i="3"/>
  <c r="G106" i="3"/>
  <c r="F106" i="3"/>
  <c r="G103" i="3"/>
  <c r="F103" i="3"/>
  <c r="G102" i="3"/>
  <c r="F102" i="3"/>
  <c r="G101" i="3"/>
  <c r="F101" i="3"/>
  <c r="G98" i="3"/>
  <c r="F98" i="3"/>
  <c r="G97" i="3"/>
  <c r="F97" i="3"/>
  <c r="G96" i="3"/>
  <c r="F96" i="3"/>
  <c r="G93" i="3"/>
  <c r="F93" i="3"/>
  <c r="G92" i="3"/>
  <c r="F92" i="3"/>
  <c r="G91" i="3"/>
  <c r="F91" i="3"/>
  <c r="G88" i="3"/>
  <c r="F88" i="3"/>
  <c r="G87" i="3"/>
  <c r="F87" i="3"/>
  <c r="G86" i="3"/>
  <c r="F86" i="3"/>
  <c r="G83" i="3"/>
  <c r="F83" i="3"/>
  <c r="G82" i="3"/>
  <c r="F82" i="3"/>
  <c r="G81" i="3"/>
  <c r="F81" i="3"/>
  <c r="I81" i="3" s="1"/>
  <c r="F119" i="3"/>
  <c r="G119" i="3"/>
  <c r="F120" i="3"/>
  <c r="G120" i="3"/>
  <c r="F121" i="3"/>
  <c r="G121" i="3"/>
  <c r="I121" i="3" s="1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E129" i="3"/>
  <c r="G78" i="3"/>
  <c r="F78" i="3"/>
  <c r="G77" i="3"/>
  <c r="F77" i="3"/>
  <c r="G76" i="3"/>
  <c r="F76" i="3"/>
  <c r="I76" i="3" s="1"/>
  <c r="G73" i="3"/>
  <c r="F73" i="3"/>
  <c r="G72" i="3"/>
  <c r="F72" i="3"/>
  <c r="G71" i="3"/>
  <c r="F71" i="3"/>
  <c r="G68" i="3"/>
  <c r="F68" i="3"/>
  <c r="G67" i="3"/>
  <c r="F67" i="3"/>
  <c r="G66" i="3"/>
  <c r="F66" i="3"/>
  <c r="F62" i="3"/>
  <c r="F63" i="3"/>
  <c r="F61" i="3"/>
  <c r="G63" i="3"/>
  <c r="G62" i="3"/>
  <c r="G61" i="3"/>
  <c r="G58" i="3"/>
  <c r="F58" i="3"/>
  <c r="G57" i="3"/>
  <c r="F57" i="3"/>
  <c r="G56" i="3"/>
  <c r="F56" i="3"/>
  <c r="G53" i="3"/>
  <c r="F53" i="3"/>
  <c r="G52" i="3"/>
  <c r="F52" i="3"/>
  <c r="G51" i="3"/>
  <c r="F51" i="3"/>
  <c r="G48" i="3"/>
  <c r="F48" i="3"/>
  <c r="G47" i="3"/>
  <c r="F47" i="3"/>
  <c r="G46" i="3"/>
  <c r="F46" i="3"/>
  <c r="I46" i="3" s="1"/>
  <c r="G43" i="3"/>
  <c r="F43" i="3"/>
  <c r="G42" i="3"/>
  <c r="F42" i="3"/>
  <c r="G41" i="3"/>
  <c r="F41" i="3"/>
  <c r="G38" i="3"/>
  <c r="F38" i="3"/>
  <c r="G37" i="3"/>
  <c r="F37" i="3"/>
  <c r="G36" i="3"/>
  <c r="F36" i="3"/>
  <c r="G33" i="3"/>
  <c r="F33" i="3"/>
  <c r="G32" i="3"/>
  <c r="F32" i="3"/>
  <c r="G31" i="3"/>
  <c r="F31" i="3"/>
  <c r="G28" i="3"/>
  <c r="F28" i="3"/>
  <c r="G27" i="3"/>
  <c r="F27" i="3"/>
  <c r="G26" i="3"/>
  <c r="F26" i="3"/>
  <c r="G23" i="3"/>
  <c r="F23" i="3"/>
  <c r="G22" i="3"/>
  <c r="F22" i="3"/>
  <c r="G21" i="3"/>
  <c r="F21" i="3"/>
  <c r="G18" i="3"/>
  <c r="F18" i="3"/>
  <c r="G17" i="3"/>
  <c r="F17" i="3"/>
  <c r="G16" i="3"/>
  <c r="F16" i="3"/>
  <c r="G13" i="3"/>
  <c r="F13" i="3"/>
  <c r="G12" i="3"/>
  <c r="F12" i="3"/>
  <c r="G11" i="3"/>
  <c r="F11" i="3"/>
  <c r="G27" i="10"/>
  <c r="J85" i="10" l="1"/>
  <c r="K82" i="10"/>
  <c r="J88" i="10"/>
  <c r="J91" i="10"/>
  <c r="K81" i="10"/>
  <c r="K88" i="10"/>
  <c r="J89" i="10"/>
  <c r="J90" i="10"/>
  <c r="K91" i="10"/>
  <c r="K85" i="10"/>
  <c r="J82" i="10"/>
  <c r="J83" i="10"/>
  <c r="J81" i="10"/>
  <c r="J86" i="10"/>
  <c r="J84" i="10"/>
  <c r="K89" i="10"/>
  <c r="J87" i="10"/>
  <c r="I128" i="3"/>
  <c r="I72" i="3"/>
  <c r="I82" i="3"/>
  <c r="I92" i="3"/>
  <c r="I102" i="3"/>
  <c r="I83" i="3"/>
  <c r="I93" i="3"/>
  <c r="I103" i="3"/>
  <c r="I77" i="3"/>
  <c r="I87" i="3"/>
  <c r="I97" i="3"/>
  <c r="I107" i="3"/>
  <c r="I48" i="3"/>
  <c r="I58" i="3"/>
  <c r="I88" i="3"/>
  <c r="I98" i="3"/>
  <c r="I108" i="3"/>
  <c r="I26" i="3"/>
  <c r="I126" i="3"/>
  <c r="I86" i="3"/>
  <c r="I96" i="3"/>
  <c r="I106" i="3"/>
  <c r="I120" i="3"/>
  <c r="I124" i="3"/>
  <c r="I91" i="3"/>
  <c r="I101" i="3"/>
  <c r="I122" i="3"/>
  <c r="I125" i="3"/>
  <c r="I123" i="3"/>
  <c r="I127" i="3"/>
  <c r="I119" i="3"/>
  <c r="I68" i="3"/>
  <c r="I78" i="3"/>
  <c r="G129" i="3"/>
  <c r="I73" i="3"/>
  <c r="I41" i="3"/>
  <c r="I71" i="3"/>
  <c r="I66" i="3"/>
  <c r="I51" i="3"/>
  <c r="I67" i="3"/>
  <c r="I61" i="3"/>
  <c r="I63" i="3"/>
  <c r="I62" i="3"/>
  <c r="I43" i="3"/>
  <c r="I53" i="3"/>
  <c r="I47" i="3"/>
  <c r="I57" i="3"/>
  <c r="I42" i="3"/>
  <c r="I52" i="3"/>
  <c r="I36" i="3"/>
  <c r="I56" i="3"/>
  <c r="I37" i="3"/>
  <c r="I28" i="3"/>
  <c r="I17" i="3"/>
  <c r="I38" i="3"/>
  <c r="I27" i="3"/>
  <c r="I22" i="3"/>
  <c r="I31" i="3"/>
  <c r="I33" i="3"/>
  <c r="I32" i="3"/>
  <c r="I18" i="3"/>
  <c r="I23" i="3"/>
  <c r="I21" i="3"/>
  <c r="I13" i="3"/>
  <c r="I16" i="3"/>
  <c r="I11" i="3"/>
  <c r="I12" i="3"/>
  <c r="G66" i="10" l="1"/>
  <c r="G65" i="10"/>
  <c r="G64" i="10"/>
  <c r="G47" i="10"/>
  <c r="G74" i="10"/>
  <c r="G73" i="10"/>
  <c r="G69" i="10"/>
  <c r="G67" i="10"/>
  <c r="G56" i="10"/>
  <c r="G55" i="10"/>
  <c r="G51" i="10"/>
  <c r="G49" i="10"/>
  <c r="G33" i="10"/>
  <c r="H72" i="10"/>
  <c r="H74" i="10"/>
  <c r="H73" i="10"/>
  <c r="H71" i="10"/>
  <c r="H70" i="10"/>
  <c r="H69" i="10"/>
  <c r="H67" i="10"/>
  <c r="H66" i="10"/>
  <c r="H65" i="10"/>
  <c r="H64" i="10"/>
  <c r="H54" i="10"/>
  <c r="H56" i="10"/>
  <c r="H55" i="10"/>
  <c r="H53" i="10"/>
  <c r="H52" i="10"/>
  <c r="H51" i="10"/>
  <c r="H49" i="10"/>
  <c r="H48" i="10"/>
  <c r="H47" i="10"/>
  <c r="H46" i="10"/>
  <c r="H36" i="10"/>
  <c r="H35" i="10"/>
  <c r="H34" i="10"/>
  <c r="H33" i="10"/>
  <c r="H31" i="10"/>
  <c r="G31" i="10"/>
  <c r="H27" i="10"/>
  <c r="H25" i="10"/>
  <c r="G25" i="10"/>
  <c r="G14" i="10"/>
  <c r="H14" i="10"/>
  <c r="H10" i="10"/>
  <c r="H8" i="10"/>
  <c r="G8" i="10"/>
  <c r="G2" i="10"/>
  <c r="J2" i="10" s="1"/>
  <c r="K67" i="10" l="1"/>
  <c r="K56" i="10"/>
  <c r="K33" i="10"/>
  <c r="K69" i="10"/>
  <c r="K74" i="10"/>
  <c r="K51" i="10"/>
  <c r="K49" i="10"/>
  <c r="K55" i="10"/>
  <c r="J70" i="10"/>
  <c r="J73" i="10"/>
  <c r="J72" i="10"/>
  <c r="K73" i="10"/>
  <c r="J67" i="10"/>
  <c r="J74" i="10"/>
  <c r="K54" i="10"/>
  <c r="K72" i="10"/>
  <c r="J52" i="10"/>
  <c r="J34" i="10"/>
  <c r="J69" i="10"/>
  <c r="K71" i="10"/>
  <c r="K70" i="10"/>
  <c r="K31" i="10"/>
  <c r="K27" i="10"/>
  <c r="K36" i="10"/>
  <c r="J71" i="10"/>
  <c r="J35" i="10"/>
  <c r="J31" i="10"/>
  <c r="J49" i="10"/>
  <c r="J56" i="10"/>
  <c r="K53" i="10"/>
  <c r="J55" i="10"/>
  <c r="J36" i="10"/>
  <c r="J54" i="10"/>
  <c r="J27" i="10"/>
  <c r="K14" i="10"/>
  <c r="J33" i="10"/>
  <c r="J51" i="10"/>
  <c r="K34" i="10"/>
  <c r="K52" i="10"/>
  <c r="J53" i="10"/>
  <c r="K35" i="10"/>
  <c r="K2" i="10"/>
  <c r="L42" i="10" s="1"/>
  <c r="J14" i="10"/>
  <c r="K10" i="10"/>
  <c r="J10" i="10"/>
  <c r="G74" i="7"/>
  <c r="G75" i="7"/>
  <c r="K75" i="7" s="1"/>
  <c r="L75" i="7" s="1"/>
  <c r="G76" i="7"/>
  <c r="G77" i="7"/>
  <c r="G78" i="7"/>
  <c r="G79" i="7"/>
  <c r="J79" i="7" s="1"/>
  <c r="G80" i="7"/>
  <c r="K80" i="7" s="1"/>
  <c r="L80" i="7" s="1"/>
  <c r="G81" i="7"/>
  <c r="K81" i="7" s="1"/>
  <c r="L81" i="7" s="1"/>
  <c r="G82" i="7"/>
  <c r="K82" i="7" s="1"/>
  <c r="L82" i="7" s="1"/>
  <c r="G73" i="7"/>
  <c r="K73" i="7" s="1"/>
  <c r="L73" i="7" s="1"/>
  <c r="H82" i="7"/>
  <c r="H81" i="7"/>
  <c r="H80" i="7"/>
  <c r="H79" i="7"/>
  <c r="K79" i="7"/>
  <c r="L79" i="7" s="1"/>
  <c r="H78" i="7"/>
  <c r="J78" i="7" s="1"/>
  <c r="H77" i="7"/>
  <c r="J77" i="7" s="1"/>
  <c r="K77" i="7"/>
  <c r="L77" i="7" s="1"/>
  <c r="H76" i="7"/>
  <c r="J76" i="7" s="1"/>
  <c r="K76" i="7"/>
  <c r="L76" i="7" s="1"/>
  <c r="H75" i="7"/>
  <c r="H74" i="7"/>
  <c r="J74" i="7" s="1"/>
  <c r="K74" i="7"/>
  <c r="L74" i="7" s="1"/>
  <c r="H73" i="7"/>
  <c r="G61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87" i="7"/>
  <c r="H87" i="7"/>
  <c r="H65" i="7"/>
  <c r="H66" i="7"/>
  <c r="H67" i="7"/>
  <c r="H68" i="7"/>
  <c r="H69" i="7"/>
  <c r="H70" i="7"/>
  <c r="L7" i="10" l="1"/>
  <c r="L24" i="10"/>
  <c r="L82" i="10"/>
  <c r="L81" i="10"/>
  <c r="L90" i="10"/>
  <c r="L80" i="10"/>
  <c r="L79" i="10"/>
  <c r="L87" i="10"/>
  <c r="L83" i="10"/>
  <c r="L78" i="10"/>
  <c r="L86" i="10"/>
  <c r="L84" i="10"/>
  <c r="L85" i="10"/>
  <c r="L89" i="10"/>
  <c r="L91" i="10"/>
  <c r="L88" i="10"/>
  <c r="L65" i="10"/>
  <c r="L70" i="10"/>
  <c r="L48" i="10"/>
  <c r="L69" i="10"/>
  <c r="L64" i="10"/>
  <c r="L67" i="10"/>
  <c r="L71" i="10"/>
  <c r="L73" i="10"/>
  <c r="L72" i="10"/>
  <c r="L74" i="10"/>
  <c r="L66" i="10"/>
  <c r="L62" i="10"/>
  <c r="L35" i="10"/>
  <c r="L51" i="10"/>
  <c r="L53" i="10"/>
  <c r="L31" i="10"/>
  <c r="L52" i="10"/>
  <c r="L47" i="10"/>
  <c r="L54" i="10"/>
  <c r="L25" i="10"/>
  <c r="L46" i="10"/>
  <c r="L27" i="10"/>
  <c r="L36" i="10"/>
  <c r="L43" i="10"/>
  <c r="L34" i="10"/>
  <c r="L33" i="10"/>
  <c r="L55" i="10"/>
  <c r="L56" i="10"/>
  <c r="L49" i="10"/>
  <c r="L8" i="10"/>
  <c r="L2" i="10"/>
  <c r="L14" i="10"/>
  <c r="L10" i="10"/>
  <c r="J82" i="7"/>
  <c r="J73" i="7"/>
  <c r="J80" i="7"/>
  <c r="J75" i="7"/>
  <c r="J81" i="7"/>
  <c r="K78" i="7"/>
  <c r="L78" i="7" s="1"/>
  <c r="G62" i="7"/>
  <c r="G63" i="7"/>
  <c r="G64" i="7"/>
  <c r="G65" i="7"/>
  <c r="G66" i="7"/>
  <c r="G67" i="7"/>
  <c r="G68" i="7"/>
  <c r="G69" i="7"/>
  <c r="G70" i="7"/>
  <c r="H116" i="7" l="1"/>
  <c r="K116" i="7" s="1"/>
  <c r="H115" i="7"/>
  <c r="H114" i="7"/>
  <c r="H113" i="7"/>
  <c r="K113" i="7" s="1"/>
  <c r="H112" i="7"/>
  <c r="H111" i="7"/>
  <c r="K111" i="7" s="1"/>
  <c r="H110" i="7"/>
  <c r="K110" i="7" s="1"/>
  <c r="H109" i="7"/>
  <c r="H108" i="7"/>
  <c r="K108" i="7" s="1"/>
  <c r="H107" i="7"/>
  <c r="H106" i="7"/>
  <c r="H105" i="7"/>
  <c r="K105" i="7" s="1"/>
  <c r="H104" i="7"/>
  <c r="H103" i="7"/>
  <c r="H102" i="7"/>
  <c r="K102" i="7" s="1"/>
  <c r="H101" i="7"/>
  <c r="H100" i="7"/>
  <c r="H99" i="7"/>
  <c r="H98" i="7"/>
  <c r="H97" i="7"/>
  <c r="H96" i="7"/>
  <c r="H95" i="7"/>
  <c r="H94" i="7"/>
  <c r="H93" i="7"/>
  <c r="H92" i="7"/>
  <c r="K92" i="7" s="1"/>
  <c r="H91" i="7"/>
  <c r="H90" i="7"/>
  <c r="K90" i="7" s="1"/>
  <c r="H89" i="7"/>
  <c r="H88" i="7"/>
  <c r="J87" i="7"/>
  <c r="K68" i="7"/>
  <c r="H64" i="7"/>
  <c r="H63" i="7"/>
  <c r="K63" i="7" s="1"/>
  <c r="H62" i="7"/>
  <c r="H61" i="7"/>
  <c r="H58" i="7"/>
  <c r="G58" i="7"/>
  <c r="H57" i="7"/>
  <c r="G57" i="7"/>
  <c r="H56" i="7"/>
  <c r="G56" i="7"/>
  <c r="H55" i="7"/>
  <c r="G55" i="7"/>
  <c r="H54" i="7"/>
  <c r="G54" i="7"/>
  <c r="H53" i="7"/>
  <c r="G53" i="7"/>
  <c r="H52" i="7"/>
  <c r="G52" i="7"/>
  <c r="H51" i="7"/>
  <c r="G51" i="7"/>
  <c r="H50" i="7"/>
  <c r="G50" i="7"/>
  <c r="H49" i="7"/>
  <c r="G49" i="7"/>
  <c r="H48" i="7"/>
  <c r="G48" i="7"/>
  <c r="H47" i="7"/>
  <c r="G47" i="7"/>
  <c r="H46" i="7"/>
  <c r="G46" i="7"/>
  <c r="H45" i="7"/>
  <c r="G45" i="7"/>
  <c r="H44" i="7"/>
  <c r="G44" i="7"/>
  <c r="H43" i="7"/>
  <c r="G43" i="7"/>
  <c r="K43" i="7" s="1"/>
  <c r="H42" i="7"/>
  <c r="G42" i="7"/>
  <c r="H41" i="7"/>
  <c r="G41" i="7"/>
  <c r="H40" i="7"/>
  <c r="G40" i="7"/>
  <c r="H39" i="7"/>
  <c r="G39" i="7"/>
  <c r="H38" i="7"/>
  <c r="G38" i="7"/>
  <c r="H37" i="7"/>
  <c r="G37" i="7"/>
  <c r="K37" i="7" s="1"/>
  <c r="H36" i="7"/>
  <c r="G36" i="7"/>
  <c r="H35" i="7"/>
  <c r="G35" i="7"/>
  <c r="H34" i="7"/>
  <c r="G34" i="7"/>
  <c r="H33" i="7"/>
  <c r="G33" i="7"/>
  <c r="H32" i="7"/>
  <c r="G32" i="7"/>
  <c r="H31" i="7"/>
  <c r="G31" i="7"/>
  <c r="H30" i="7"/>
  <c r="G30" i="7"/>
  <c r="H29" i="7"/>
  <c r="G29" i="7"/>
  <c r="H26" i="7"/>
  <c r="G26" i="7"/>
  <c r="H25" i="7"/>
  <c r="G25" i="7"/>
  <c r="K25" i="7" s="1"/>
  <c r="H24" i="7"/>
  <c r="G24" i="7"/>
  <c r="H23" i="7"/>
  <c r="G23" i="7"/>
  <c r="K23" i="7" s="1"/>
  <c r="H22" i="7"/>
  <c r="G22" i="7"/>
  <c r="H21" i="7"/>
  <c r="G21" i="7"/>
  <c r="H20" i="7"/>
  <c r="G20" i="7"/>
  <c r="H19" i="7"/>
  <c r="G19" i="7"/>
  <c r="K19" i="7" s="1"/>
  <c r="H18" i="7"/>
  <c r="G18" i="7"/>
  <c r="H17" i="7"/>
  <c r="G17" i="7"/>
  <c r="K17" i="7" s="1"/>
  <c r="H14" i="7"/>
  <c r="G14" i="7"/>
  <c r="H13" i="7"/>
  <c r="G13" i="7"/>
  <c r="H12" i="7"/>
  <c r="G12" i="7"/>
  <c r="H11" i="7"/>
  <c r="G11" i="7"/>
  <c r="H10" i="7"/>
  <c r="G10" i="7"/>
  <c r="H9" i="7"/>
  <c r="G9" i="7"/>
  <c r="K9" i="7" s="1"/>
  <c r="H8" i="7"/>
  <c r="G8" i="7"/>
  <c r="H7" i="7"/>
  <c r="G7" i="7"/>
  <c r="H6" i="7"/>
  <c r="G6" i="7"/>
  <c r="H5" i="7"/>
  <c r="G5" i="7"/>
  <c r="G2" i="7"/>
  <c r="J2" i="7" s="1"/>
  <c r="K12" i="7" l="1"/>
  <c r="K46" i="7"/>
  <c r="K33" i="7"/>
  <c r="K52" i="7"/>
  <c r="K49" i="7"/>
  <c r="K7" i="7"/>
  <c r="K29" i="7"/>
  <c r="J116" i="7"/>
  <c r="K114" i="7"/>
  <c r="K42" i="7"/>
  <c r="J88" i="7"/>
  <c r="J109" i="7"/>
  <c r="K10" i="7"/>
  <c r="K18" i="7"/>
  <c r="K24" i="7"/>
  <c r="J94" i="7"/>
  <c r="J95" i="7"/>
  <c r="K107" i="7"/>
  <c r="K66" i="7"/>
  <c r="K97" i="7"/>
  <c r="J115" i="7"/>
  <c r="J48" i="7"/>
  <c r="K14" i="7"/>
  <c r="K22" i="7"/>
  <c r="K38" i="7"/>
  <c r="K44" i="7"/>
  <c r="K50" i="7"/>
  <c r="K56" i="7"/>
  <c r="K64" i="7"/>
  <c r="K89" i="7"/>
  <c r="K95" i="7"/>
  <c r="K101" i="7"/>
  <c r="K112" i="7"/>
  <c r="J61" i="7"/>
  <c r="J107" i="7"/>
  <c r="K26" i="7"/>
  <c r="K36" i="7"/>
  <c r="J67" i="7"/>
  <c r="J96" i="7"/>
  <c r="J102" i="7"/>
  <c r="K103" i="7"/>
  <c r="J68" i="7"/>
  <c r="J91" i="7"/>
  <c r="K109" i="7"/>
  <c r="J21" i="7"/>
  <c r="J37" i="7"/>
  <c r="J49" i="7"/>
  <c r="K104" i="7"/>
  <c r="K69" i="7"/>
  <c r="J98" i="7"/>
  <c r="J64" i="7"/>
  <c r="J69" i="7"/>
  <c r="K70" i="7"/>
  <c r="J93" i="7"/>
  <c r="K65" i="7"/>
  <c r="K106" i="7"/>
  <c r="K34" i="7"/>
  <c r="K39" i="7"/>
  <c r="K45" i="7"/>
  <c r="K51" i="7"/>
  <c r="K57" i="7"/>
  <c r="K91" i="7"/>
  <c r="K96" i="7"/>
  <c r="J113" i="7"/>
  <c r="J35" i="7"/>
  <c r="J40" i="7"/>
  <c r="J58" i="7"/>
  <c r="J65" i="7"/>
  <c r="J92" i="7"/>
  <c r="J97" i="7"/>
  <c r="K47" i="7"/>
  <c r="K61" i="7"/>
  <c r="J70" i="7"/>
  <c r="K93" i="7"/>
  <c r="K98" i="7"/>
  <c r="J103" i="7"/>
  <c r="J108" i="7"/>
  <c r="J114" i="7"/>
  <c r="K20" i="7"/>
  <c r="J36" i="7"/>
  <c r="K5" i="7"/>
  <c r="K11" i="7"/>
  <c r="K21" i="7"/>
  <c r="K31" i="7"/>
  <c r="K67" i="7"/>
  <c r="K94" i="7"/>
  <c r="J99" i="7"/>
  <c r="J104" i="7"/>
  <c r="K115" i="7"/>
  <c r="K55" i="7"/>
  <c r="J62" i="7"/>
  <c r="J89" i="7"/>
  <c r="J105" i="7"/>
  <c r="J110" i="7"/>
  <c r="J6" i="7"/>
  <c r="J32" i="7"/>
  <c r="J100" i="7"/>
  <c r="J63" i="7"/>
  <c r="J90" i="7"/>
  <c r="J106" i="7"/>
  <c r="J13" i="7"/>
  <c r="J101" i="7"/>
  <c r="K100" i="7"/>
  <c r="J112" i="7"/>
  <c r="J111" i="7"/>
  <c r="K87" i="7"/>
  <c r="K99" i="7"/>
  <c r="K88" i="7"/>
  <c r="K62" i="7"/>
  <c r="J66" i="7"/>
  <c r="J54" i="7"/>
  <c r="J55" i="7"/>
  <c r="J22" i="7"/>
  <c r="J44" i="7"/>
  <c r="J33" i="7"/>
  <c r="J34" i="7"/>
  <c r="K35" i="7"/>
  <c r="K40" i="7"/>
  <c r="J45" i="7"/>
  <c r="J50" i="7"/>
  <c r="J56" i="7"/>
  <c r="J9" i="7"/>
  <c r="J43" i="7"/>
  <c r="J14" i="7"/>
  <c r="J23" i="7"/>
  <c r="K6" i="7"/>
  <c r="J11" i="7"/>
  <c r="J25" i="7"/>
  <c r="J30" i="7"/>
  <c r="K41" i="7"/>
  <c r="J46" i="7"/>
  <c r="J51" i="7"/>
  <c r="J8" i="7"/>
  <c r="J18" i="7"/>
  <c r="J57" i="7"/>
  <c r="J10" i="7"/>
  <c r="J39" i="7"/>
  <c r="J5" i="7"/>
  <c r="J19" i="7"/>
  <c r="J26" i="7"/>
  <c r="J31" i="7"/>
  <c r="J47" i="7"/>
  <c r="J52" i="7"/>
  <c r="K58" i="7"/>
  <c r="K32" i="7"/>
  <c r="J17" i="7"/>
  <c r="J24" i="7"/>
  <c r="J12" i="7"/>
  <c r="J7" i="7"/>
  <c r="K13" i="7"/>
  <c r="K48" i="7"/>
  <c r="K53" i="7"/>
  <c r="J42" i="7"/>
  <c r="J38" i="7"/>
  <c r="K54" i="7"/>
  <c r="K30" i="7"/>
  <c r="J29" i="7"/>
  <c r="J41" i="7"/>
  <c r="J53" i="7"/>
  <c r="J20" i="7"/>
  <c r="K8" i="7"/>
  <c r="K2" i="7"/>
  <c r="L2" i="7" s="1"/>
  <c r="H15" i="7"/>
  <c r="G6" i="3"/>
  <c r="F6" i="3"/>
  <c r="I6" i="3" l="1"/>
  <c r="L46" i="7"/>
  <c r="L92" i="7"/>
  <c r="L87" i="7"/>
  <c r="L66" i="7"/>
  <c r="L103" i="7"/>
  <c r="L108" i="7"/>
  <c r="L63" i="7"/>
  <c r="L47" i="7"/>
  <c r="L19" i="7"/>
  <c r="L100" i="7"/>
  <c r="L111" i="7"/>
  <c r="L30" i="7"/>
  <c r="L38" i="7"/>
  <c r="L10" i="7"/>
  <c r="L94" i="7"/>
  <c r="L104" i="7"/>
  <c r="L54" i="7"/>
  <c r="L106" i="7"/>
  <c r="L97" i="7"/>
  <c r="L6" i="7"/>
  <c r="L67" i="7"/>
  <c r="L31" i="7"/>
  <c r="L41" i="7"/>
  <c r="L110" i="7"/>
  <c r="L65" i="7"/>
  <c r="L107" i="7"/>
  <c r="L105" i="7"/>
  <c r="L70" i="7"/>
  <c r="L113" i="7"/>
  <c r="L68" i="7"/>
  <c r="L89" i="7"/>
  <c r="L102" i="7"/>
  <c r="L36" i="7"/>
  <c r="L101" i="7"/>
  <c r="L116" i="7"/>
  <c r="L98" i="7"/>
  <c r="L64" i="7"/>
  <c r="L95" i="7"/>
  <c r="L13" i="7"/>
  <c r="L9" i="7"/>
  <c r="L62" i="7"/>
  <c r="L93" i="7"/>
  <c r="L112" i="7"/>
  <c r="L69" i="7"/>
  <c r="L32" i="7"/>
  <c r="L88" i="7"/>
  <c r="L115" i="7"/>
  <c r="L96" i="7"/>
  <c r="L90" i="7"/>
  <c r="L99" i="7"/>
  <c r="L109" i="7"/>
  <c r="L61" i="7"/>
  <c r="L91" i="7"/>
  <c r="L114" i="7"/>
  <c r="L14" i="7"/>
  <c r="L44" i="7"/>
  <c r="L34" i="7"/>
  <c r="L37" i="7"/>
  <c r="L51" i="7"/>
  <c r="L17" i="7"/>
  <c r="L11" i="7"/>
  <c r="L21" i="7"/>
  <c r="L25" i="7"/>
  <c r="L53" i="7"/>
  <c r="L58" i="7"/>
  <c r="L20" i="7"/>
  <c r="L5" i="7"/>
  <c r="L56" i="7"/>
  <c r="L48" i="7"/>
  <c r="L45" i="7"/>
  <c r="L33" i="7"/>
  <c r="L29" i="7"/>
  <c r="L24" i="7"/>
  <c r="L43" i="7"/>
  <c r="L40" i="7"/>
  <c r="L23" i="7"/>
  <c r="L12" i="7"/>
  <c r="L50" i="7"/>
  <c r="L57" i="7"/>
  <c r="L35" i="7"/>
  <c r="L49" i="7"/>
  <c r="L18" i="7"/>
  <c r="L55" i="7"/>
  <c r="L8" i="7"/>
  <c r="L26" i="7"/>
  <c r="L42" i="7"/>
  <c r="L7" i="7"/>
  <c r="L52" i="7"/>
  <c r="L39" i="7"/>
  <c r="L22" i="7"/>
  <c r="F2" i="3"/>
  <c r="I2" i="3" s="1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J7" i="3" l="1"/>
  <c r="J8" i="3"/>
  <c r="J108" i="3"/>
  <c r="J93" i="3"/>
  <c r="J82" i="3"/>
  <c r="J98" i="3"/>
  <c r="J92" i="3"/>
  <c r="J87" i="3"/>
  <c r="J102" i="3"/>
  <c r="J97" i="3"/>
  <c r="J81" i="3"/>
  <c r="J107" i="3"/>
  <c r="J83" i="3"/>
  <c r="J88" i="3"/>
  <c r="J103" i="3"/>
  <c r="J86" i="3"/>
  <c r="J96" i="3"/>
  <c r="J91" i="3"/>
  <c r="J106" i="3"/>
  <c r="J101" i="3"/>
  <c r="J122" i="3"/>
  <c r="J125" i="3"/>
  <c r="J128" i="3"/>
  <c r="J123" i="3"/>
  <c r="J126" i="3"/>
  <c r="J120" i="3"/>
  <c r="J124" i="3"/>
  <c r="J121" i="3"/>
  <c r="J127" i="3"/>
  <c r="J119" i="3"/>
  <c r="J76" i="3"/>
  <c r="J72" i="3"/>
  <c r="J77" i="3"/>
  <c r="J78" i="3"/>
  <c r="J71" i="3"/>
  <c r="J73" i="3"/>
  <c r="J67" i="3"/>
  <c r="J68" i="3"/>
  <c r="J66" i="3"/>
  <c r="J61" i="3"/>
  <c r="J62" i="3"/>
  <c r="J63" i="3"/>
  <c r="J41" i="3"/>
  <c r="J43" i="3"/>
  <c r="J42" i="3"/>
  <c r="J58" i="3"/>
  <c r="J52" i="3"/>
  <c r="J46" i="3"/>
  <c r="J57" i="3"/>
  <c r="J48" i="3"/>
  <c r="J51" i="3"/>
  <c r="J47" i="3"/>
  <c r="J56" i="3"/>
  <c r="J53" i="3"/>
  <c r="J37" i="3"/>
  <c r="J36" i="3"/>
  <c r="J38" i="3"/>
  <c r="J33" i="3"/>
  <c r="J31" i="3"/>
  <c r="J32" i="3"/>
  <c r="J28" i="3"/>
  <c r="J26" i="3"/>
  <c r="J27" i="3"/>
  <c r="J22" i="3"/>
  <c r="J23" i="3"/>
  <c r="J21" i="3"/>
  <c r="J17" i="3"/>
  <c r="J16" i="3"/>
  <c r="J18" i="3"/>
  <c r="J11" i="3"/>
  <c r="J12" i="3"/>
  <c r="J13" i="3"/>
  <c r="J2" i="3"/>
  <c r="J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I103" i="1" l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J103" i="1" l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L6" i="1" l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</calcChain>
</file>

<file path=xl/sharedStrings.xml><?xml version="1.0" encoding="utf-8"?>
<sst xmlns="http://schemas.openxmlformats.org/spreadsheetml/2006/main" count="1404" uniqueCount="511">
  <si>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</si>
  <si>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</si>
  <si>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</si>
  <si>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</si>
  <si>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</si>
  <si>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</si>
  <si>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</si>
  <si>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</si>
  <si>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</si>
  <si>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</si>
  <si>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</si>
  <si>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</si>
  <si>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</si>
  <si>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</si>
  <si>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</si>
  <si>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</si>
  <si>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</si>
  <si>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</si>
  <si>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</si>
  <si>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</si>
  <si>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</si>
  <si>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</si>
  <si>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</si>
  <si>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</si>
  <si>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</si>
  <si>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</si>
  <si>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</si>
  <si>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</si>
  <si>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</si>
  <si>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</si>
  <si>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</si>
  <si>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</si>
  <si>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</si>
  <si>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</si>
  <si>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</si>
  <si>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</si>
  <si>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</si>
  <si>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</si>
  <si>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</si>
  <si>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</si>
  <si>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</si>
  <si>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</si>
  <si>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</si>
  <si>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</si>
  <si>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</si>
  <si>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</si>
  <si>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</si>
  <si>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</si>
  <si>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</si>
  <si>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</si>
  <si>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</si>
  <si>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</si>
  <si>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</si>
  <si>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</si>
  <si>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</si>
  <si>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</si>
  <si>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</si>
  <si>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</si>
  <si>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</si>
  <si>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</si>
  <si>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</si>
  <si>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</si>
  <si>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</si>
  <si>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</si>
  <si>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</si>
  <si>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</si>
  <si>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</si>
  <si>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</si>
  <si>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</si>
  <si>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</si>
  <si>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</si>
  <si>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</si>
  <si>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</si>
  <si>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</si>
  <si>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</si>
  <si>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</si>
  <si>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</si>
  <si>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</si>
  <si>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</si>
  <si>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</si>
  <si>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</si>
  <si>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</si>
  <si>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</si>
  <si>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</si>
  <si>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</si>
  <si>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</si>
  <si>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</si>
  <si>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</si>
  <si>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</si>
  <si>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</si>
  <si>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</si>
  <si>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</si>
  <si>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</si>
  <si>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</si>
  <si>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</si>
  <si>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</si>
  <si>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</si>
  <si>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</si>
  <si>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</si>
  <si>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</si>
  <si>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</si>
  <si>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</si>
  <si>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</si>
  <si>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</si>
  <si>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</si>
  <si>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</si>
  <si>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</si>
  <si>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</si>
  <si>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</si>
  <si>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</si>
  <si>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</si>
  <si>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</si>
  <si>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</si>
  <si>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</si>
  <si>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</si>
  <si>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</si>
  <si>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</si>
  <si>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</si>
  <si>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</si>
  <si>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</si>
  <si>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</si>
  <si>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</si>
  <si>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</si>
  <si>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</si>
  <si>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</si>
  <si>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</si>
  <si>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</si>
  <si>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</si>
  <si>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</si>
  <si>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</si>
  <si>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</si>
  <si>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</si>
  <si>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</si>
  <si>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</si>
  <si>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</si>
  <si>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</si>
  <si>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</si>
  <si>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</si>
  <si>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</si>
  <si>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</si>
  <si>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</si>
  <si>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</si>
  <si>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</si>
  <si>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</si>
  <si>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</si>
  <si>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</si>
  <si>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</si>
  <si>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</si>
  <si>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</si>
  <si>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</si>
  <si>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</si>
  <si>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</si>
  <si>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</si>
  <si>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</si>
  <si>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</si>
  <si>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</si>
  <si>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</si>
  <si>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</si>
  <si>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</si>
  <si>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</si>
  <si>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</si>
  <si>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</si>
  <si>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</si>
  <si>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</si>
  <si>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</si>
  <si>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</si>
  <si>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</si>
  <si>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</si>
  <si>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</si>
  <si>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</si>
  <si>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</si>
  <si>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</si>
  <si>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</si>
  <si>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</si>
  <si>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</si>
  <si>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</si>
  <si>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</si>
  <si>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</si>
  <si>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</si>
  <si>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</si>
  <si>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</si>
  <si>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</si>
  <si>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</si>
  <si>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</si>
  <si>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</si>
  <si>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</si>
  <si>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</si>
  <si>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</si>
  <si>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</si>
  <si>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</si>
  <si>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</si>
  <si>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</si>
  <si>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</si>
  <si>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</si>
  <si>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</si>
  <si>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</si>
  <si>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</si>
  <si>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</si>
  <si>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</si>
  <si>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</si>
  <si>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</si>
  <si>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</si>
  <si>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</si>
  <si>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</si>
  <si>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</si>
  <si>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</si>
  <si>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</si>
  <si>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</si>
  <si>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</si>
  <si>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</si>
  <si>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</si>
  <si>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</si>
  <si>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</si>
  <si>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</si>
  <si>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</si>
  <si>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</si>
  <si>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</si>
  <si>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</si>
  <si>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</si>
  <si>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</si>
  <si>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</si>
  <si>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</si>
  <si>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</si>
  <si>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</si>
  <si>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</si>
  <si>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</si>
  <si>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</si>
  <si>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</si>
  <si>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</si>
  <si>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</si>
  <si>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</si>
  <si>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</si>
  <si>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</si>
  <si>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</si>
  <si>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</si>
  <si>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</si>
  <si>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</si>
  <si>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</si>
  <si>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</si>
  <si>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</si>
  <si>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</si>
  <si>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</si>
  <si>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</si>
  <si>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</si>
  <si>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</si>
  <si>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</si>
  <si>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</si>
  <si>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</si>
  <si>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</si>
  <si>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</si>
  <si>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</si>
  <si>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</si>
  <si>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</si>
  <si>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</si>
  <si>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</si>
  <si>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</si>
  <si>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</si>
  <si>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</si>
  <si>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</si>
  <si>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</si>
  <si>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갑옷 소환 횟수</t>
    <phoneticPr fontId="1" type="noConversion"/>
  </si>
  <si>
    <t>갑옷 소환 횟수 1</t>
    <phoneticPr fontId="1" type="noConversion"/>
  </si>
  <si>
    <t>갑옷 소환 횟수 2</t>
  </si>
  <si>
    <t>갑옷 소환 횟수 3</t>
  </si>
  <si>
    <t>초월석</t>
    <phoneticPr fontId="1" type="noConversion"/>
  </si>
  <si>
    <t>룬석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</si>
  <si>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</si>
  <si>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</si>
  <si>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</si>
  <si>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</si>
  <si>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</si>
  <si>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</si>
  <si>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</si>
  <si>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조선 영웅 소환 횟수</t>
    <phoneticPr fontId="1" type="noConversion"/>
  </si>
  <si>
    <t>조선소환권</t>
    <phoneticPr fontId="1" type="noConversion"/>
  </si>
  <si>
    <t>조선 영웅 소환 횟수 1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</si>
  <si>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</si>
  <si>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</si>
  <si>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</si>
  <si>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패기 소환 횟수</t>
    <phoneticPr fontId="1" type="noConversion"/>
  </si>
  <si>
    <t>패기소환권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</si>
  <si>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</si>
  <si>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</si>
  <si>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</si>
  <si>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가속 소환 횟수</t>
    <phoneticPr fontId="1" type="noConversion"/>
  </si>
  <si>
    <t>가속 소환 횟수 1</t>
    <phoneticPr fontId="1" type="noConversion"/>
  </si>
  <si>
    <t>가속소환권</t>
    <phoneticPr fontId="1" type="noConversion"/>
  </si>
  <si>
    <t>초월 승급 1</t>
    <phoneticPr fontId="1" type="noConversion"/>
  </si>
  <si>
    <t>초월 승급 2</t>
  </si>
  <si>
    <t>초월 승급 3</t>
  </si>
  <si>
    <t>어빌석</t>
    <phoneticPr fontId="1" type="noConversion"/>
  </si>
  <si>
    <t>X</t>
    <phoneticPr fontId="1" type="noConversion"/>
  </si>
  <si>
    <t>파천타 확률 1</t>
    <phoneticPr fontId="1" type="noConversion"/>
  </si>
  <si>
    <t>파천타 확률 2</t>
  </si>
  <si>
    <t>파천타 확률 3</t>
  </si>
  <si>
    <t>파천타 확률 4</t>
  </si>
  <si>
    <t>파천타 확률 5</t>
  </si>
  <si>
    <t>파천타 확률 6</t>
  </si>
  <si>
    <t>파천타 확률 7</t>
  </si>
  <si>
    <t>파천타 확률 8</t>
  </si>
  <si>
    <t>파천타 확률 9</t>
  </si>
  <si>
    <t>파천타 확률 10</t>
  </si>
  <si>
    <t>다이아+금괴</t>
    <phoneticPr fontId="1" type="noConversion"/>
  </si>
  <si>
    <t>[극한] 파천타 확률 퍼센트</t>
    <phoneticPr fontId="1" type="noConversion"/>
  </si>
  <si>
    <t>SuddenProduct2_Growth1_6</t>
    <phoneticPr fontId="1" type="noConversion"/>
  </si>
  <si>
    <t>[극한] 파천타 데미지 퍼센트</t>
    <phoneticPr fontId="1" type="noConversion"/>
  </si>
  <si>
    <t>파천타 데미지 1</t>
    <phoneticPr fontId="1" type="noConversion"/>
  </si>
  <si>
    <t>파천타 데미지 2</t>
  </si>
  <si>
    <t>파천타 데미지 3</t>
  </si>
  <si>
    <t>파천타 데미지 4</t>
  </si>
  <si>
    <t>파천타 데미지 5</t>
  </si>
  <si>
    <t>파천타 데미지 6</t>
  </si>
  <si>
    <t>파천타 데미지 7</t>
  </si>
  <si>
    <t>파천타 데미지 8</t>
  </si>
  <si>
    <t>파천타 데미지 9</t>
  </si>
  <si>
    <t>파천타 데미지 10</t>
  </si>
  <si>
    <t>SuddenProduct2_Growth1_7</t>
    <phoneticPr fontId="1" type="noConversion"/>
  </si>
  <si>
    <t>SuddenProduct2_Diamond2</t>
    <phoneticPr fontId="1" type="noConversion"/>
  </si>
  <si>
    <t>&lt;-이름 변경 가능?</t>
    <phoneticPr fontId="1" type="noConversion"/>
  </si>
  <si>
    <t>[극한] 스테이지 클리어 (2)</t>
    <phoneticPr fontId="1" type="noConversion"/>
  </si>
  <si>
    <t>극한 스테이지 클리어 1</t>
    <phoneticPr fontId="1" type="noConversion"/>
  </si>
  <si>
    <t>극한 스테이지 클리어 2</t>
  </si>
  <si>
    <t>극한 스테이지 클리어 3</t>
  </si>
  <si>
    <t>극한 스테이지 클리어 4</t>
  </si>
  <si>
    <t>극한 스테이지 클리어 5</t>
  </si>
  <si>
    <t>극한 스테이지 클리어 6</t>
  </si>
  <si>
    <t>극한 스테이지 클리어 7</t>
  </si>
  <si>
    <t>극한 스테이지 클리어 8</t>
  </si>
  <si>
    <t>극한 스테이지 클리어 9</t>
  </si>
  <si>
    <t>극한 스테이지 클리어 10</t>
  </si>
  <si>
    <t>극한 스테이지 클리어 11</t>
  </si>
  <si>
    <t>극한 스테이지 클리어 12</t>
  </si>
  <si>
    <t>극한 스테이지 클리어 13</t>
  </si>
  <si>
    <t>극한 스테이지 클리어 14</t>
  </si>
  <si>
    <t>극한 스테이지 클리어 15</t>
  </si>
  <si>
    <t>극한 스테이지 클리어 16</t>
  </si>
  <si>
    <t>극한 스테이지 클리어 17</t>
  </si>
  <si>
    <t>극한 스테이지 클리어 18</t>
  </si>
  <si>
    <t>극한 스테이지 클리어 19</t>
  </si>
  <si>
    <t>극한 스테이지 클리어 20</t>
  </si>
  <si>
    <t>극한 스테이지 클리어 21</t>
  </si>
  <si>
    <t>극한 스테이지 클리어 22</t>
  </si>
  <si>
    <t>극한 스테이지 클리어 23</t>
  </si>
  <si>
    <t>극한 스테이지 클리어 24</t>
  </si>
  <si>
    <t>극한 스테이지 클리어 25</t>
  </si>
  <si>
    <t>극한 스테이지 클리어 26</t>
  </si>
  <si>
    <t>극한 스테이지 클리어 27</t>
  </si>
  <si>
    <t>극한 스테이지 클리어 28</t>
  </si>
  <si>
    <t>극한 스테이지 클리어 29</t>
  </si>
  <si>
    <t>극한 스테이지 클리어 30</t>
  </si>
  <si>
    <t>[요괴전] 두억시니 단계 클리어</t>
    <phoneticPr fontId="1" type="noConversion"/>
  </si>
  <si>
    <t>두억시니 단계 클리어 1</t>
    <phoneticPr fontId="1" type="noConversion"/>
  </si>
  <si>
    <t>두억시니 단계 클리어 2</t>
  </si>
  <si>
    <t>두억시니 단계 클리어 3</t>
  </si>
  <si>
    <t>두억시니 단계 클리어 4</t>
  </si>
  <si>
    <t>두억시니 단계 클리어 5</t>
  </si>
  <si>
    <t>두억시니 단계 클리어 6</t>
  </si>
  <si>
    <t>두억시니 단계 클리어 7</t>
  </si>
  <si>
    <t>두억시니 단계 클리어 8</t>
  </si>
  <si>
    <t>두억시니 단계 클리어 9</t>
  </si>
  <si>
    <t>두억시니 단계 클리어 10</t>
  </si>
  <si>
    <t>다이아+두억시니의 쇠뿔</t>
    <phoneticPr fontId="1" type="noConversion"/>
  </si>
  <si>
    <t>두억시니 쇠뿔</t>
    <phoneticPr fontId="1" type="noConversion"/>
  </si>
  <si>
    <t>금괴</t>
    <phoneticPr fontId="1" type="noConversion"/>
  </si>
  <si>
    <t>두억시니의 쇠뿔</t>
    <phoneticPr fontId="1" type="noConversion"/>
  </si>
  <si>
    <t>요괴전 토벌권</t>
    <phoneticPr fontId="1" type="noConversion"/>
  </si>
  <si>
    <t>다이아+요괴전 토벌권</t>
    <phoneticPr fontId="1" type="noConversion"/>
  </si>
  <si>
    <t>단계</t>
    <phoneticPr fontId="1" type="noConversion"/>
  </si>
  <si>
    <t>30000 다이아</t>
    <phoneticPr fontId="1" type="noConversion"/>
  </si>
  <si>
    <t>SuddenProduct2_Ghost1</t>
    <phoneticPr fontId="1" type="noConversion"/>
  </si>
  <si>
    <t>SuddenProduct2_Ghost2</t>
    <phoneticPr fontId="1" type="noConversion"/>
  </si>
  <si>
    <t>[보물] 옛 보신각 동종 강화 횟수</t>
    <phoneticPr fontId="1" type="noConversion"/>
  </si>
  <si>
    <t>옛 보신각 동종 강화 횟수 1</t>
    <phoneticPr fontId="1" type="noConversion"/>
  </si>
  <si>
    <t>옛 보신각 동종 강화 횟수 2</t>
  </si>
  <si>
    <t>옛 보신각 동종 강화 횟수 3</t>
  </si>
  <si>
    <t>옛 보신각 동종 강화 횟수 4</t>
  </si>
  <si>
    <t>옛 보신각 동종 강화 횟수 5</t>
  </si>
  <si>
    <t>옛 보신각 동종 강화 횟수 6</t>
  </si>
  <si>
    <t>옛 보신각 동종 강화 횟수 7</t>
  </si>
  <si>
    <t>옛 보신각 동종 강화 횟수 8</t>
  </si>
  <si>
    <t>옛 보신각 동종 강화 횟수 9</t>
  </si>
  <si>
    <t>옛 보신각 동종 강화 횟수 10</t>
  </si>
  <si>
    <t>옛 보신각 동종 강화 횟수 11</t>
  </si>
  <si>
    <t>옛 보신각 동종 강화 횟수 12</t>
  </si>
  <si>
    <t>옛 보신각 동종 강화 횟수 13</t>
  </si>
  <si>
    <t>옛 보신각 동종 강화 횟수 14</t>
  </si>
  <si>
    <t>옛 보신각 동종 강화 횟수 15</t>
  </si>
  <si>
    <t>옛 보신각 동종 강화 횟수 16</t>
  </si>
  <si>
    <t>옛 보신각 동종 강화 횟수 17</t>
  </si>
  <si>
    <t>옛 보신각 동종 강화 횟수 18</t>
  </si>
  <si>
    <t>옛 보신각 동종 강화 횟수 19</t>
  </si>
  <si>
    <t>옛 보신각 동종 강화 횟수 20</t>
  </si>
  <si>
    <t>옛 보신각 동종 강화 횟수 21</t>
  </si>
  <si>
    <t>옛 보신각 동종 강화 횟수 22</t>
  </si>
  <si>
    <t>옛 보신각 동종 강화 횟수 23</t>
  </si>
  <si>
    <t>옛 보신각 동종 강화 횟수 24</t>
  </si>
  <si>
    <t>옛 보신각 동종 강화 횟수 25</t>
  </si>
  <si>
    <t>옛 보신각 동종 강화 횟수 26</t>
  </si>
  <si>
    <t>옛 보신각 동종 강화 횟수 27</t>
  </si>
  <si>
    <t>옛 보신각 동종 강화 횟수 28</t>
  </si>
  <si>
    <t>옛 보신각 동종 강화 횟수 29</t>
  </si>
  <si>
    <t>옛 보신각 동종 강화 횟수 30</t>
  </si>
  <si>
    <t>150 다이아</t>
    <phoneticPr fontId="1" type="noConversion"/>
  </si>
  <si>
    <t>개당 200</t>
    <phoneticPr fontId="1" type="noConversion"/>
  </si>
  <si>
    <t>개당 150</t>
    <phoneticPr fontId="1" type="noConversion"/>
  </si>
  <si>
    <t>신수 소환 횟수</t>
    <phoneticPr fontId="1" type="noConversion"/>
  </si>
  <si>
    <t>신수 던전 클리어</t>
    <phoneticPr fontId="1" type="noConversion"/>
  </si>
  <si>
    <t>신수소환권</t>
    <phoneticPr fontId="1" type="noConversion"/>
  </si>
  <si>
    <t>신수 소환 횟수 1</t>
    <phoneticPr fontId="1" type="noConversion"/>
  </si>
  <si>
    <t>신수 소환 횟수 2</t>
  </si>
  <si>
    <t>신수 소환 횟수 3</t>
  </si>
  <si>
    <t>다이아+신수소환권</t>
    <phoneticPr fontId="1" type="noConversion"/>
  </si>
  <si>
    <t>다이아+신수경단</t>
    <phoneticPr fontId="1" type="noConversion"/>
  </si>
  <si>
    <t>신수경단</t>
    <phoneticPr fontId="1" type="noConversion"/>
  </si>
  <si>
    <t>신수 경단 클리어 1</t>
    <phoneticPr fontId="1" type="noConversion"/>
  </si>
  <si>
    <t>신수 경단 클리어 2</t>
  </si>
  <si>
    <t>신수 경단 클리어 3</t>
  </si>
  <si>
    <t>신수 경단 클리어 4</t>
  </si>
  <si>
    <t>신수 경단 클리어 5</t>
  </si>
  <si>
    <t>신수 경단 클리어 6</t>
  </si>
  <si>
    <t>신수 경단 클리어 7</t>
  </si>
  <si>
    <t>신수 경단 클리어 8</t>
  </si>
  <si>
    <t>신수 경단 클리어 9</t>
  </si>
  <si>
    <t>신수 경단 클리어 10</t>
  </si>
  <si>
    <t>5단계</t>
    <phoneticPr fontId="1" type="noConversion"/>
  </si>
  <si>
    <t>10단계</t>
    <phoneticPr fontId="1" type="noConversion"/>
  </si>
  <si>
    <t>15단계</t>
  </si>
  <si>
    <t>20단계</t>
  </si>
  <si>
    <t>25단계</t>
  </si>
  <si>
    <t>30단계</t>
  </si>
  <si>
    <t>35단계</t>
  </si>
  <si>
    <t>40단계</t>
  </si>
  <si>
    <t>45단계</t>
  </si>
  <si>
    <t>50단계</t>
  </si>
  <si>
    <t>금화 (5/5)</t>
  </si>
  <si>
    <t>금괴 (5/5)</t>
  </si>
  <si>
    <t>점무퇴묘 입장권 (5/5)</t>
  </si>
  <si>
    <t>초월석(5/5)</t>
  </si>
  <si>
    <t>룬석(5/5)</t>
  </si>
  <si>
    <t>묘목석(5/5)</t>
  </si>
  <si>
    <t>어빌석 (5/5)</t>
  </si>
  <si>
    <t>연구석 (5/5)</t>
  </si>
  <si>
    <t>근현대영웅소환권(5/5)</t>
  </si>
  <si>
    <t>요괴전토벌권(5/5)</t>
  </si>
  <si>
    <t>신수소환권(5/5)</t>
  </si>
  <si>
    <t>악세소환권(5/5)</t>
  </si>
  <si>
    <t>신수경단(5/5)</t>
  </si>
  <si>
    <t>일반 300</t>
    <phoneticPr fontId="1" type="noConversion"/>
  </si>
  <si>
    <t>일반 암시장</t>
    <phoneticPr fontId="1" type="noConversion"/>
  </si>
  <si>
    <t>금화</t>
    <phoneticPr fontId="1" type="noConversion"/>
  </si>
  <si>
    <t>어려움 암시장</t>
    <phoneticPr fontId="1" type="noConversion"/>
  </si>
  <si>
    <t>극한 암시장</t>
    <phoneticPr fontId="1" type="noConversion"/>
  </si>
  <si>
    <t>지옥 암시장</t>
    <phoneticPr fontId="1" type="noConversion"/>
  </si>
  <si>
    <t>일반 450</t>
    <phoneticPr fontId="1" type="noConversion"/>
  </si>
  <si>
    <t>어려움 900</t>
    <phoneticPr fontId="1" type="noConversion"/>
  </si>
  <si>
    <t>일반 1600</t>
    <phoneticPr fontId="1" type="noConversion"/>
  </si>
  <si>
    <t>일반 2800</t>
    <phoneticPr fontId="1" type="noConversion"/>
  </si>
  <si>
    <t>극한 900</t>
    <phoneticPr fontId="1" type="noConversion"/>
  </si>
  <si>
    <t>암시장 상품</t>
    <phoneticPr fontId="1" type="noConversion"/>
  </si>
  <si>
    <t>요괴전토벌권</t>
    <phoneticPr fontId="1" type="noConversion"/>
  </si>
  <si>
    <t>근현대영웅소환권</t>
    <phoneticPr fontId="1" type="noConversion"/>
  </si>
  <si>
    <t>악세소환권</t>
    <phoneticPr fontId="1" type="noConversion"/>
  </si>
  <si>
    <t>강화석2</t>
    <phoneticPr fontId="1" type="noConversion"/>
  </si>
  <si>
    <t>점/무/퇴/묘 입장권 (총 4장)</t>
    <phoneticPr fontId="1" type="noConversion"/>
  </si>
  <si>
    <t>악세소환권(5/5)</t>
    <phoneticPr fontId="1" type="noConversion"/>
  </si>
  <si>
    <t>연마석(5/5)</t>
    <phoneticPr fontId="1" type="noConversion"/>
  </si>
  <si>
    <t>무기 소환 횟수 2</t>
    <phoneticPr fontId="1" type="noConversion"/>
  </si>
  <si>
    <t>무기 소환 횟수 3</t>
    <phoneticPr fontId="1" type="noConversion"/>
  </si>
  <si>
    <t>갑옷소환권</t>
    <phoneticPr fontId="1" type="noConversion"/>
  </si>
  <si>
    <t>패기 소환 횟수 3</t>
    <phoneticPr fontId="1" type="noConversion"/>
  </si>
  <si>
    <t>고려 영웅 소환 횟수 2</t>
    <phoneticPr fontId="1" type="noConversion"/>
  </si>
  <si>
    <t>고려 영웅 소환 횟수 3</t>
    <phoneticPr fontId="1" type="noConversion"/>
  </si>
  <si>
    <t>조선 영웅 소환 횟수 2</t>
    <phoneticPr fontId="1" type="noConversion"/>
  </si>
  <si>
    <t>조선 영웅 소환 횟수 3</t>
    <phoneticPr fontId="1" type="noConversion"/>
  </si>
  <si>
    <t>가속 소환 횟수 2</t>
    <phoneticPr fontId="1" type="noConversion"/>
  </si>
  <si>
    <t>가속 소환 횟수 3</t>
    <phoneticPr fontId="1" type="noConversion"/>
  </si>
  <si>
    <t>악세 소환 횟수</t>
    <phoneticPr fontId="1" type="noConversion"/>
  </si>
  <si>
    <t>악세 소환 횟수 1</t>
    <phoneticPr fontId="1" type="noConversion"/>
  </si>
  <si>
    <t>악세 소환 횟수 2</t>
  </si>
  <si>
    <t>악세 소환 횟수 3</t>
  </si>
  <si>
    <t>다이아+악세소환권</t>
    <phoneticPr fontId="1" type="noConversion"/>
  </si>
  <si>
    <t>스킬 소환 횟수</t>
    <phoneticPr fontId="1" type="noConversion"/>
  </si>
  <si>
    <t>스킬 소환 횟수 1</t>
    <phoneticPr fontId="1" type="noConversion"/>
  </si>
  <si>
    <t>스킬 소환 횟수 2</t>
  </si>
  <si>
    <t>스킬 소환 횟수 3</t>
  </si>
  <si>
    <t>다이아+스킬소환권</t>
    <phoneticPr fontId="1" type="noConversion"/>
  </si>
  <si>
    <t>스킬소환권</t>
    <phoneticPr fontId="1" type="noConversion"/>
  </si>
  <si>
    <t>큐브 소환 횟수</t>
    <phoneticPr fontId="1" type="noConversion"/>
  </si>
  <si>
    <t>큐브 소환 횟수 1</t>
    <phoneticPr fontId="1" type="noConversion"/>
  </si>
  <si>
    <t>큐브 소환 횟수 2</t>
  </si>
  <si>
    <t>큐브 소환 횟수 3</t>
  </si>
  <si>
    <t>큐브소환권</t>
    <phoneticPr fontId="1" type="noConversion"/>
  </si>
  <si>
    <t>다이아+큐브소환권</t>
    <phoneticPr fontId="1" type="noConversion"/>
  </si>
  <si>
    <t>초월 승급</t>
    <phoneticPr fontId="1" type="noConversion"/>
  </si>
  <si>
    <t>동료조각(5명)</t>
    <phoneticPr fontId="1" type="noConversion"/>
  </si>
  <si>
    <t>스테이지 클리어 (일반)</t>
    <phoneticPr fontId="1" type="noConversion"/>
  </si>
  <si>
    <t>스테이지 클리어 (어려움)</t>
    <phoneticPr fontId="1" type="noConversion"/>
  </si>
  <si>
    <t>25스테이지</t>
    <phoneticPr fontId="1" type="noConversion"/>
  </si>
  <si>
    <t>승급마다</t>
    <phoneticPr fontId="1" type="noConversion"/>
  </si>
  <si>
    <t>스테이지 클리어 (극한)</t>
    <phoneticPr fontId="1" type="noConversion"/>
  </si>
  <si>
    <t>스테이지 클리어 (지옥)</t>
    <phoneticPr fontId="1" type="noConversion"/>
  </si>
  <si>
    <t>스테이지 클리어 (연옥)</t>
    <phoneticPr fontId="1" type="noConversion"/>
  </si>
  <si>
    <t>보류</t>
    <phoneticPr fontId="1" type="noConversion"/>
  </si>
  <si>
    <t>연옥 암시장</t>
    <phoneticPr fontId="1" type="noConversion"/>
  </si>
  <si>
    <t>다이아 (5/5)</t>
    <phoneticPr fontId="1" type="noConversion"/>
  </si>
  <si>
    <t>2D</t>
    <phoneticPr fontId="1" type="noConversion"/>
  </si>
  <si>
    <t>금화 (2D)</t>
    <phoneticPr fontId="1" type="noConversion"/>
  </si>
  <si>
    <t>금화 (5D)</t>
    <phoneticPr fontId="1" type="noConversion"/>
  </si>
  <si>
    <t>5D</t>
    <phoneticPr fontId="1" type="noConversion"/>
  </si>
  <si>
    <t>200조</t>
    <phoneticPr fontId="1" type="noConversion"/>
  </si>
  <si>
    <t>금화 (200조)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</si>
</sst>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_-* #,##0_-;\-* #,##0_-;_-* &quot;-&quot;??_-;_-@_-"/>
  </numFmts>
  <fonts count="1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6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  <xf numFmtId="0" fontId="14" fillId="0" borderId="0" applyNumberForma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6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8" borderId="1" xfId="0" applyFill="1" applyBorder="1">
      <alignment vertical="center"/>
    </xf>
    <xf numFmtId="41" fontId="3" fillId="8" borderId="1" xfId="3" applyFont="1" applyFill="1" applyBorder="1" applyAlignment="1">
      <alignment horizontal="right" vertical="center"/>
    </xf>
    <xf numFmtId="42" fontId="3" fillId="8" borderId="1" xfId="0" applyNumberFormat="1" applyFont="1" applyFill="1" applyBorder="1">
      <alignment vertical="center"/>
    </xf>
    <xf numFmtId="176" fontId="3" fillId="8" borderId="1" xfId="0" applyNumberFormat="1" applyFont="1" applyFill="1" applyBorder="1">
      <alignment vertical="center"/>
    </xf>
    <xf numFmtId="0" fontId="0" fillId="8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6" borderId="1" xfId="0" applyNumberFormat="1" applyFill="1" applyBorder="1">
      <alignment vertical="center"/>
    </xf>
    <xf numFmtId="0" fontId="2" fillId="8" borderId="1" xfId="0" applyFont="1" applyFill="1" applyBorder="1">
      <alignment vertical="center"/>
    </xf>
    <xf numFmtId="41" fontId="0" fillId="8" borderId="1" xfId="3" applyFont="1" applyFill="1" applyBorder="1" applyAlignment="1">
      <alignment horizontal="right" vertical="center"/>
    </xf>
    <xf numFmtId="42" fontId="0" fillId="8" borderId="1" xfId="0" applyNumberFormat="1" applyFill="1" applyBorder="1">
      <alignment vertical="center"/>
    </xf>
    <xf numFmtId="176" fontId="0" fillId="8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0" fillId="6" borderId="1" xfId="0" applyFill="1" applyBorder="1">
      <alignment vertical="center"/>
    </xf>
    <xf numFmtId="0" fontId="15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2" fillId="11" borderId="1" xfId="0" applyFont="1" applyFill="1" applyBorder="1">
      <alignment vertical="center"/>
    </xf>
    <xf numFmtId="0" fontId="0" fillId="11" borderId="1" xfId="0" applyFill="1" applyBorder="1">
      <alignment vertical="center"/>
    </xf>
    <xf numFmtId="41" fontId="0" fillId="11" borderId="1" xfId="3" applyFont="1" applyFill="1" applyBorder="1" applyAlignment="1">
      <alignment horizontal="right" vertical="center"/>
    </xf>
    <xf numFmtId="42" fontId="0" fillId="11" borderId="1" xfId="0" applyNumberFormat="1" applyFill="1" applyBorder="1">
      <alignment vertical="center"/>
    </xf>
    <xf numFmtId="176" fontId="0" fillId="11" borderId="1" xfId="0" applyNumberFormat="1" applyFill="1" applyBorder="1">
      <alignment vertical="center"/>
    </xf>
    <xf numFmtId="0" fontId="0" fillId="11" borderId="1" xfId="0" applyFill="1" applyBorder="1" applyAlignment="1">
      <alignment vertical="center" wrapText="1"/>
    </xf>
    <xf numFmtId="0" fontId="3" fillId="8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8" borderId="1" xfId="0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0" fillId="12" borderId="1" xfId="0" applyFill="1" applyBorder="1">
      <alignment vertical="center"/>
    </xf>
    <xf numFmtId="41" fontId="0" fillId="12" borderId="1" xfId="3" applyFont="1" applyFill="1" applyBorder="1" applyAlignment="1">
      <alignment horizontal="right" vertical="center"/>
    </xf>
    <xf numFmtId="0" fontId="0" fillId="12" borderId="1" xfId="0" applyFill="1" applyBorder="1" applyAlignment="1">
      <alignment horizontal="left" vertical="center"/>
    </xf>
    <xf numFmtId="42" fontId="0" fillId="12" borderId="1" xfId="0" applyNumberFormat="1" applyFill="1" applyBorder="1">
      <alignment vertical="center"/>
    </xf>
    <xf numFmtId="176" fontId="0" fillId="12" borderId="1" xfId="0" applyNumberFormat="1" applyFill="1" applyBorder="1">
      <alignment vertical="center"/>
    </xf>
    <xf numFmtId="0" fontId="9" fillId="8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3" borderId="1" xfId="0" applyFill="1" applyBorder="1">
      <alignment vertical="center"/>
    </xf>
    <xf numFmtId="0" fontId="0" fillId="13" borderId="1" xfId="0" applyFill="1" applyBorder="1" applyAlignment="1">
      <alignment horizontal="left" vertical="center"/>
    </xf>
    <xf numFmtId="41" fontId="0" fillId="13" borderId="1" xfId="3" applyFont="1" applyFill="1" applyBorder="1" applyAlignment="1">
      <alignment horizontal="right" vertical="center"/>
    </xf>
    <xf numFmtId="42" fontId="0" fillId="13" borderId="1" xfId="0" applyNumberFormat="1" applyFill="1" applyBorder="1">
      <alignment vertical="center"/>
    </xf>
    <xf numFmtId="176" fontId="0" fillId="13" borderId="1" xfId="0" applyNumberFormat="1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179" fontId="0" fillId="8" borderId="1" xfId="0" applyNumberFormat="1" applyFill="1" applyBorder="1">
      <alignment vertical="center"/>
    </xf>
    <xf numFmtId="179" fontId="3" fillId="8" borderId="1" xfId="0" applyNumberFormat="1" applyFont="1" applyFill="1" applyBorder="1">
      <alignment vertical="center"/>
    </xf>
    <xf numFmtId="179" fontId="0" fillId="12" borderId="1" xfId="0" applyNumberFormat="1" applyFill="1" applyBorder="1">
      <alignment vertical="center"/>
    </xf>
    <xf numFmtId="179" fontId="0" fillId="11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  <xf numFmtId="0" fontId="0" fillId="6" borderId="1" xfId="3" applyNumberFormat="1" applyFont="1" applyFill="1" applyBorder="1" applyAlignment="1">
      <alignment horizontal="right" vertical="center"/>
    </xf>
    <xf numFmtId="0" fontId="0" fillId="8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2" borderId="1" xfId="3" applyNumberFormat="1" applyFon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11" borderId="1" xfId="3" applyNumberFormat="1" applyFont="1" applyFill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4" borderId="1" xfId="0" applyFill="1" applyBorder="1" applyAlignment="1">
      <alignment horizontal="left" vertical="center"/>
    </xf>
    <xf numFmtId="0" fontId="0" fillId="14" borderId="1" xfId="0" applyFill="1" applyBorder="1">
      <alignment vertical="center"/>
    </xf>
    <xf numFmtId="0" fontId="0" fillId="14" borderId="1" xfId="3" applyNumberFormat="1" applyFont="1" applyFill="1" applyBorder="1" applyAlignment="1">
      <alignment horizontal="right"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6" borderId="2" xfId="0" applyFill="1" applyBorder="1">
      <alignment vertical="center"/>
    </xf>
    <xf numFmtId="0" fontId="15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right" vertical="center"/>
    </xf>
    <xf numFmtId="0" fontId="0" fillId="6" borderId="2" xfId="3" applyNumberFormat="1" applyFont="1" applyFill="1" applyBorder="1" applyAlignment="1">
      <alignment horizontal="right" vertical="center"/>
    </xf>
    <xf numFmtId="41" fontId="0" fillId="6" borderId="2" xfId="3" applyFont="1" applyFill="1" applyBorder="1" applyAlignment="1">
      <alignment horizontal="right" vertical="center"/>
    </xf>
    <xf numFmtId="2" fontId="0" fillId="6" borderId="2" xfId="0" applyNumberFormat="1" applyFill="1" applyBorder="1">
      <alignment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>
      <alignment vertical="center"/>
    </xf>
    <xf numFmtId="1" fontId="0" fillId="8" borderId="2" xfId="0" applyNumberFormat="1" applyFill="1" applyBorder="1" applyAlignment="1">
      <alignment horizontal="left" vertical="center"/>
    </xf>
    <xf numFmtId="0" fontId="0" fillId="8" borderId="2" xfId="0" applyFill="1" applyBorder="1" applyAlignment="1">
      <alignment horizontal="left" vertical="center" wrapText="1"/>
    </xf>
    <xf numFmtId="0" fontId="0" fillId="10" borderId="2" xfId="0" applyFill="1" applyBorder="1" applyAlignment="1">
      <alignment horizontal="right" vertical="center"/>
    </xf>
    <xf numFmtId="0" fontId="0" fillId="15" borderId="2" xfId="0" applyFill="1" applyBorder="1" applyAlignment="1">
      <alignment horizontal="right" vertical="center"/>
    </xf>
    <xf numFmtId="41" fontId="3" fillId="8" borderId="2" xfId="3" applyFont="1" applyFill="1" applyBorder="1" applyAlignment="1">
      <alignment horizontal="right" vertical="center"/>
    </xf>
    <xf numFmtId="42" fontId="0" fillId="8" borderId="2" xfId="0" applyNumberFormat="1" applyFill="1" applyBorder="1">
      <alignment vertical="center"/>
    </xf>
    <xf numFmtId="176" fontId="3" fillId="8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8" borderId="2" xfId="0" applyFill="1" applyBorder="1" applyAlignment="1">
      <alignment horizontal="left" vertical="center"/>
    </xf>
    <xf numFmtId="41" fontId="0" fillId="8" borderId="2" xfId="3" applyFont="1" applyFill="1" applyBorder="1" applyAlignment="1">
      <alignment horizontal="right" vertical="center"/>
    </xf>
    <xf numFmtId="176" fontId="0" fillId="8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8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9" borderId="2" xfId="0" applyNumberFormat="1" applyFill="1" applyBorder="1">
      <alignment vertical="center"/>
    </xf>
    <xf numFmtId="0" fontId="0" fillId="15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41" fontId="0" fillId="0" borderId="2" xfId="0" applyNumberFormat="1" applyBorder="1">
      <alignment vertical="center"/>
    </xf>
    <xf numFmtId="180" fontId="0" fillId="0" borderId="2" xfId="0" applyNumberFormat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2" fillId="7" borderId="2" xfId="0" applyFont="1" applyFill="1" applyBorder="1" applyAlignment="1">
      <alignment horizontal="center" vertical="center"/>
    </xf>
    <xf numFmtId="0" fontId="7" fillId="0" borderId="2" xfId="0" applyFont="1" applyBorder="1">
      <alignment vertical="center"/>
    </xf>
    <xf numFmtId="0" fontId="0" fillId="16" borderId="2" xfId="0" applyFill="1" applyBorder="1">
      <alignment vertical="center"/>
    </xf>
    <xf numFmtId="0" fontId="14" fillId="8" borderId="2" xfId="0" applyFont="1" applyFill="1" applyBorder="1">
      <alignment vertical="center"/>
    </xf>
    <xf numFmtId="0" fontId="10" fillId="8" borderId="2" xfId="0" applyFont="1" applyFill="1" applyBorder="1">
      <alignment vertical="center"/>
    </xf>
    <xf numFmtId="0" fontId="0" fillId="1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1" fontId="10" fillId="8" borderId="2" xfId="0" applyNumberFormat="1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right" vertical="center"/>
    </xf>
    <xf numFmtId="0" fontId="10" fillId="15" borderId="2" xfId="0" applyFont="1" applyFill="1" applyBorder="1" applyAlignment="1">
      <alignment horizontal="right" vertical="center"/>
    </xf>
    <xf numFmtId="41" fontId="10" fillId="8" borderId="2" xfId="3" applyFont="1" applyFill="1" applyBorder="1" applyAlignment="1">
      <alignment horizontal="right" vertical="center"/>
    </xf>
    <xf numFmtId="42" fontId="10" fillId="8" borderId="2" xfId="0" applyNumberFormat="1" applyFont="1" applyFill="1" applyBorder="1">
      <alignment vertical="center"/>
    </xf>
    <xf numFmtId="179" fontId="10" fillId="9" borderId="2" xfId="0" applyNumberFormat="1" applyFont="1" applyFill="1" applyBorder="1">
      <alignment vertical="center"/>
    </xf>
    <xf numFmtId="176" fontId="10" fillId="8" borderId="2" xfId="0" applyNumberFormat="1" applyFont="1" applyFill="1" applyBorder="1">
      <alignment vertical="center"/>
    </xf>
    <xf numFmtId="0" fontId="18" fillId="15" borderId="2" xfId="0" applyFont="1" applyFill="1" applyBorder="1" applyAlignment="1">
      <alignment horizontal="right" vertical="center"/>
    </xf>
    <xf numFmtId="0" fontId="14" fillId="8" borderId="2" xfId="5" applyFill="1" applyBorder="1">
      <alignment vertical="center"/>
    </xf>
    <xf numFmtId="0" fontId="2" fillId="15" borderId="2" xfId="0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center" vertical="center" wrapText="1"/>
    </xf>
  </cellXfs>
  <cellStyles count="6">
    <cellStyle name="경고문" xfId="5" builtinId="11"/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C50" sqref="C50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Normal="100" workbookViewId="0">
      <pane ySplit="1" topLeftCell="A68" activePane="bottomLeft" state="frozen"/>
      <selection pane="bottomLeft" activeCell="D95" sqref="D95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216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249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248</v>
      </c>
      <c r="C10" s="93"/>
      <c r="D10" s="94" t="s">
        <v>249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250</v>
      </c>
      <c r="C11" s="93"/>
      <c r="D11" s="94" t="s">
        <v>249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251</v>
      </c>
      <c r="C12" s="93"/>
      <c r="D12" s="94" t="s">
        <v>249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252</v>
      </c>
      <c r="C13" s="93"/>
      <c r="D13" s="94" t="s">
        <v>249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253</v>
      </c>
      <c r="C14" s="93"/>
      <c r="D14" s="94" t="s">
        <v>249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254</v>
      </c>
      <c r="C15" s="93"/>
      <c r="D15" s="94" t="s">
        <v>249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256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193</v>
      </c>
      <c r="C19" s="10"/>
      <c r="D19" s="47" t="s">
        <v>217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188</v>
      </c>
      <c r="D20" s="47" t="s">
        <v>217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189</v>
      </c>
      <c r="D21" s="47" t="s">
        <v>217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190</v>
      </c>
      <c r="D22" s="47" t="s">
        <v>217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191</v>
      </c>
      <c r="D23" s="47" t="s">
        <v>217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192</v>
      </c>
      <c r="D24" s="47" t="s">
        <v>217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199</v>
      </c>
      <c r="D26" s="47" t="s">
        <v>220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194</v>
      </c>
      <c r="D27" s="47" t="s">
        <v>220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195</v>
      </c>
      <c r="D28" s="47" t="s">
        <v>220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196</v>
      </c>
      <c r="D29" s="47" t="s">
        <v>220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197</v>
      </c>
      <c r="D30" s="47" t="s">
        <v>220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198</v>
      </c>
      <c r="D31" s="47" t="s">
        <v>220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258</v>
      </c>
      <c r="C33" s="26"/>
      <c r="D33" s="47" t="s">
        <v>218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200</v>
      </c>
      <c r="C34" s="26"/>
      <c r="D34" s="47" t="s">
        <v>218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201</v>
      </c>
      <c r="C35" s="26"/>
      <c r="D35" s="47" t="s">
        <v>218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202</v>
      </c>
      <c r="C36" s="26"/>
      <c r="D36" s="47" t="s">
        <v>218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203</v>
      </c>
      <c r="C37" s="26"/>
      <c r="D37" s="47" t="s">
        <v>218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259</v>
      </c>
      <c r="C39" s="26"/>
      <c r="D39" s="47" t="s">
        <v>219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204</v>
      </c>
      <c r="C40" s="26"/>
      <c r="D40" s="47" t="s">
        <v>219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205</v>
      </c>
      <c r="C41" s="26"/>
      <c r="D41" s="47" t="s">
        <v>219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206</v>
      </c>
      <c r="C42" s="26"/>
      <c r="D42" s="47" t="s">
        <v>219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207</v>
      </c>
      <c r="C43" s="26"/>
      <c r="D43" s="47" t="s">
        <v>219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208</v>
      </c>
      <c r="C45" s="48"/>
      <c r="D45" s="49" t="s">
        <v>185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209</v>
      </c>
      <c r="C46" s="48"/>
      <c r="D46" s="49" t="s">
        <v>185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210</v>
      </c>
      <c r="C47" s="48"/>
      <c r="D47" s="49" t="s">
        <v>185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211</v>
      </c>
      <c r="C48" s="48"/>
      <c r="D48" s="49" t="s">
        <v>185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212</v>
      </c>
      <c r="C49" s="48"/>
      <c r="D49" s="49" t="s">
        <v>185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257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221</v>
      </c>
      <c r="C53" s="26"/>
      <c r="D53" s="22" t="s">
        <v>96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222</v>
      </c>
      <c r="C54" s="56"/>
      <c r="D54" s="39" t="s">
        <v>183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223</v>
      </c>
      <c r="C55" s="56"/>
      <c r="D55" s="39" t="s">
        <v>183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224</v>
      </c>
      <c r="C56" s="56"/>
      <c r="D56" s="39" t="s">
        <v>183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225</v>
      </c>
      <c r="C57" s="55"/>
      <c r="D57" s="22" t="s">
        <v>184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226</v>
      </c>
      <c r="C58" s="55"/>
      <c r="D58" s="22" t="s">
        <v>184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227</v>
      </c>
      <c r="C59" s="55"/>
      <c r="D59" s="22" t="s">
        <v>184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228</v>
      </c>
      <c r="C60" s="57"/>
      <c r="D60" s="39" t="s">
        <v>185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229</v>
      </c>
      <c r="C61" s="57"/>
      <c r="D61" s="39" t="s">
        <v>185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230</v>
      </c>
      <c r="C62" s="57"/>
      <c r="D62" s="39" t="s">
        <v>185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231</v>
      </c>
      <c r="C63" s="55"/>
      <c r="D63" s="22" t="s">
        <v>186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232</v>
      </c>
      <c r="C64" s="55"/>
      <c r="D64" s="22" t="s">
        <v>186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233</v>
      </c>
      <c r="C65" s="55"/>
      <c r="D65" s="22" t="s">
        <v>186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234</v>
      </c>
      <c r="C66" s="57"/>
      <c r="D66" s="39" t="s">
        <v>187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235</v>
      </c>
      <c r="C67" s="57"/>
      <c r="D67" s="39" t="s">
        <v>187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236</v>
      </c>
      <c r="C68" s="57"/>
      <c r="D68" s="39" t="s">
        <v>187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237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238</v>
      </c>
      <c r="C70" s="58"/>
      <c r="D70" s="43" t="s">
        <v>97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243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244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245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242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222</v>
      </c>
      <c r="C76" s="56"/>
      <c r="D76" s="39" t="s">
        <v>183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223</v>
      </c>
      <c r="C77" s="56"/>
      <c r="D77" s="39" t="s">
        <v>183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224</v>
      </c>
      <c r="C78" s="56"/>
      <c r="D78" s="39" t="s">
        <v>183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225</v>
      </c>
      <c r="C79" s="55"/>
      <c r="D79" s="22" t="s">
        <v>184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226</v>
      </c>
      <c r="C80" s="55"/>
      <c r="D80" s="22" t="s">
        <v>184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227</v>
      </c>
      <c r="C81" s="55"/>
      <c r="D81" s="22" t="s">
        <v>184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228</v>
      </c>
      <c r="C82" s="57"/>
      <c r="D82" s="39" t="s">
        <v>185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229</v>
      </c>
      <c r="C83" s="57"/>
      <c r="D83" s="39" t="s">
        <v>185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230</v>
      </c>
      <c r="C84" s="57"/>
      <c r="D84" s="39" t="s">
        <v>185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231</v>
      </c>
      <c r="C85" s="55"/>
      <c r="D85" s="22" t="s">
        <v>186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232</v>
      </c>
      <c r="C86" s="55"/>
      <c r="D86" s="22" t="s">
        <v>186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233</v>
      </c>
      <c r="C87" s="55"/>
      <c r="D87" s="22" t="s">
        <v>186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234</v>
      </c>
      <c r="C88" s="57"/>
      <c r="D88" s="39" t="s">
        <v>187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235</v>
      </c>
      <c r="C89" s="57"/>
      <c r="D89" s="39" t="s">
        <v>187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236</v>
      </c>
      <c r="C90" s="57"/>
      <c r="D90" s="39" t="s">
        <v>187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237</v>
      </c>
      <c r="C91" s="26"/>
      <c r="D91" s="34" t="s">
        <v>98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238</v>
      </c>
      <c r="C92" s="26"/>
      <c r="D92" s="34" t="s">
        <v>98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243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244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245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246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247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239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240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241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99</v>
      </c>
      <c r="C111" s="52"/>
      <c r="D111" s="50" t="s">
        <v>100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102</v>
      </c>
      <c r="C112" s="52"/>
      <c r="D112" s="50" t="s">
        <v>101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214</v>
      </c>
      <c r="C113" s="61"/>
      <c r="D113" s="60" t="s">
        <v>128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129</v>
      </c>
      <c r="C114" s="61"/>
      <c r="D114" s="60" t="s">
        <v>130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131</v>
      </c>
      <c r="C115" s="61"/>
      <c r="D115" s="60" t="s">
        <v>132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133</v>
      </c>
      <c r="C116" s="61"/>
      <c r="D116" s="60" t="s">
        <v>134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135</v>
      </c>
      <c r="C117" s="61"/>
      <c r="D117" s="60" t="s">
        <v>136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137</v>
      </c>
      <c r="C118" s="61"/>
      <c r="D118" s="60" t="s">
        <v>138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139</v>
      </c>
      <c r="C119" s="61"/>
      <c r="D119" s="60" t="s">
        <v>140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141</v>
      </c>
      <c r="C120" s="61"/>
      <c r="D120" s="60" t="s">
        <v>142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143</v>
      </c>
      <c r="C121" s="61"/>
      <c r="D121" s="60" t="s">
        <v>144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145</v>
      </c>
      <c r="C122" s="61"/>
      <c r="D122" s="60" t="s">
        <v>146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166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127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123</v>
      </c>
      <c r="C132" s="52"/>
      <c r="D132" s="50" t="s">
        <v>124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125</v>
      </c>
      <c r="C133" s="52"/>
      <c r="D133" s="50" t="s">
        <v>126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215</v>
      </c>
      <c r="C134" s="61"/>
      <c r="D134" s="60" t="s">
        <v>147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148</v>
      </c>
      <c r="C135" s="61"/>
      <c r="D135" s="60" t="s">
        <v>149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150</v>
      </c>
      <c r="C136" s="61"/>
      <c r="D136" s="60" t="s">
        <v>151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152</v>
      </c>
      <c r="C137" s="61"/>
      <c r="D137" s="60" t="s">
        <v>153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154</v>
      </c>
      <c r="C138" s="61"/>
      <c r="D138" s="60" t="s">
        <v>155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156</v>
      </c>
      <c r="C139" s="61"/>
      <c r="D139" s="60" t="s">
        <v>157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158</v>
      </c>
      <c r="C140" s="61"/>
      <c r="D140" s="60" t="s">
        <v>159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160</v>
      </c>
      <c r="C141" s="61"/>
      <c r="D141" s="60" t="s">
        <v>161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162</v>
      </c>
      <c r="C142" s="61"/>
      <c r="D142" s="60" t="s">
        <v>163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164</v>
      </c>
      <c r="C143" s="61"/>
      <c r="D143" s="60" t="s">
        <v>165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113</v>
      </c>
      <c r="C145" s="50">
        <v>1250</v>
      </c>
      <c r="D145" s="50" t="s">
        <v>168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114</v>
      </c>
      <c r="C146" s="50">
        <f t="shared" ref="C146:C159" si="32">C145+1250</f>
        <v>2500</v>
      </c>
      <c r="D146" s="50" t="s">
        <v>168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115</v>
      </c>
      <c r="C147" s="50">
        <f t="shared" si="32"/>
        <v>3750</v>
      </c>
      <c r="D147" s="50" t="s">
        <v>167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116</v>
      </c>
      <c r="C148" s="50">
        <f t="shared" si="32"/>
        <v>5000</v>
      </c>
      <c r="D148" s="50" t="s">
        <v>167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117</v>
      </c>
      <c r="C149" s="50">
        <f t="shared" si="32"/>
        <v>6250</v>
      </c>
      <c r="D149" s="50" t="s">
        <v>167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118</v>
      </c>
      <c r="C150" s="50">
        <f t="shared" si="32"/>
        <v>7500</v>
      </c>
      <c r="D150" s="50" t="s">
        <v>167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119</v>
      </c>
      <c r="C151" s="50">
        <f t="shared" si="32"/>
        <v>8750</v>
      </c>
      <c r="D151" s="50" t="s">
        <v>167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120</v>
      </c>
      <c r="C152" s="50">
        <f t="shared" si="32"/>
        <v>10000</v>
      </c>
      <c r="D152" s="50" t="s">
        <v>167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121</v>
      </c>
      <c r="C153" s="50">
        <f t="shared" si="32"/>
        <v>11250</v>
      </c>
      <c r="D153" s="50" t="s">
        <v>167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122</v>
      </c>
      <c r="C154" s="50">
        <f t="shared" si="32"/>
        <v>12500</v>
      </c>
      <c r="D154" s="50" t="s">
        <v>167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169</v>
      </c>
      <c r="C155" s="50">
        <f t="shared" si="32"/>
        <v>13750</v>
      </c>
      <c r="D155" s="50" t="s">
        <v>167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170</v>
      </c>
      <c r="C156" s="50">
        <f t="shared" si="32"/>
        <v>15000</v>
      </c>
      <c r="D156" s="50" t="s">
        <v>167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171</v>
      </c>
      <c r="C157" s="50">
        <f t="shared" si="32"/>
        <v>16250</v>
      </c>
      <c r="D157" s="50" t="s">
        <v>167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172</v>
      </c>
      <c r="C158" s="50">
        <f t="shared" si="32"/>
        <v>17500</v>
      </c>
      <c r="D158" s="50" t="s">
        <v>167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173</v>
      </c>
      <c r="C159" s="50">
        <f t="shared" si="32"/>
        <v>18750</v>
      </c>
      <c r="D159" s="50" t="s">
        <v>167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103</v>
      </c>
      <c r="C161" s="65" t="s">
        <v>175</v>
      </c>
      <c r="D161" s="50" t="s">
        <v>174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104</v>
      </c>
      <c r="C162" s="65" t="s">
        <v>175</v>
      </c>
      <c r="D162" s="50" t="s">
        <v>174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105</v>
      </c>
      <c r="C163" s="65" t="s">
        <v>175</v>
      </c>
      <c r="D163" s="50" t="s">
        <v>174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106</v>
      </c>
      <c r="C164" s="65" t="s">
        <v>175</v>
      </c>
      <c r="D164" s="50" t="s">
        <v>174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107</v>
      </c>
      <c r="C165" s="65" t="s">
        <v>175</v>
      </c>
      <c r="D165" s="50" t="s">
        <v>174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108</v>
      </c>
      <c r="C166" s="65" t="s">
        <v>175</v>
      </c>
      <c r="D166" s="50" t="s">
        <v>174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109</v>
      </c>
      <c r="C167" s="65" t="s">
        <v>175</v>
      </c>
      <c r="D167" s="50" t="s">
        <v>174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112</v>
      </c>
      <c r="C168" s="65" t="s">
        <v>175</v>
      </c>
      <c r="D168" s="50" t="s">
        <v>174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110</v>
      </c>
      <c r="C169" s="65" t="s">
        <v>175</v>
      </c>
      <c r="D169" s="50" t="s">
        <v>174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111</v>
      </c>
      <c r="C170" s="65" t="s">
        <v>175</v>
      </c>
      <c r="D170" s="50" t="s">
        <v>174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255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181</v>
      </c>
      <c r="D173" s="188" t="s">
        <v>177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182</v>
      </c>
      <c r="D174" s="188"/>
      <c r="F174" s="76"/>
      <c r="G174" s="16"/>
      <c r="H174" s="9"/>
      <c r="I174" s="9"/>
      <c r="J174" s="6"/>
      <c r="K174" s="6"/>
    </row>
    <row r="175" spans="1:12">
      <c r="D175" s="188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178</v>
      </c>
      <c r="D177" s="188" t="s">
        <v>213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180</v>
      </c>
      <c r="D178" s="188"/>
      <c r="E178" s="90"/>
    </row>
    <row r="179" spans="1:12">
      <c r="D179" s="188"/>
      <c r="E179" s="90"/>
    </row>
    <row r="180" spans="1:12" ht="13.5" customHeight="1">
      <c r="D180" s="188"/>
      <c r="E180" s="90"/>
    </row>
    <row r="181" spans="1:12">
      <c r="D181" s="33"/>
    </row>
    <row r="182" spans="1:12" ht="16.5" customHeight="1">
      <c r="A182" s="1" t="s">
        <v>58</v>
      </c>
      <c r="B182" s="22" t="s">
        <v>179</v>
      </c>
      <c r="D182" s="188" t="s">
        <v>176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180</v>
      </c>
      <c r="D183" s="188"/>
      <c r="E183" s="90"/>
    </row>
    <row r="184" spans="1:12">
      <c r="D184" s="188"/>
      <c r="E184" s="90"/>
    </row>
    <row r="185" spans="1:12">
      <c r="D185" s="188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209-4AFF-45A9-823C-EE675F0D4E0B}">
  <dimension ref="A1:P116"/>
  <sheetViews>
    <sheetView workbookViewId="0">
      <pane ySplit="1" topLeftCell="A53" activePane="bottomLeft" state="frozen"/>
      <selection pane="bottomLeft" activeCell="G116" sqref="G116"/>
    </sheetView>
  </sheetViews>
  <sheetFormatPr defaultRowHeight="16.5"/>
  <cols>
    <col min="1" max="1" width="5.25" bestFit="1" customWidth="1"/>
    <col min="2" max="2" width="30.375" bestFit="1" customWidth="1"/>
    <col min="3" max="3" width="9.625" bestFit="1" customWidth="1"/>
    <col min="4" max="4" width="27" bestFit="1" customWidth="1"/>
    <col min="5" max="5" width="17.75" bestFit="1" customWidth="1"/>
    <col min="6" max="6" width="13.75" bestFit="1" customWidth="1"/>
    <col min="7" max="7" width="11.875" bestFit="1" customWidth="1"/>
    <col min="8" max="8" width="12.125" bestFit="1" customWidth="1"/>
    <col min="9" max="9" width="10" bestFit="1" customWidth="1"/>
    <col min="10" max="10" width="19" bestFit="1" customWidth="1"/>
    <col min="11" max="11" width="16.875" bestFit="1" customWidth="1"/>
    <col min="12" max="12" width="14.375" bestFit="1" customWidth="1"/>
    <col min="14" max="14" width="15.875" bestFit="1" customWidth="1"/>
    <col min="15" max="15" width="13" bestFit="1" customWidth="1"/>
    <col min="16" max="16" width="5.25" bestFit="1" customWidth="1"/>
  </cols>
  <sheetData>
    <row r="1" spans="1:12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216</v>
      </c>
      <c r="J1" s="105" t="s">
        <v>59</v>
      </c>
      <c r="K1" s="105" t="s">
        <v>60</v>
      </c>
      <c r="L1" s="105" t="s">
        <v>46</v>
      </c>
    </row>
    <row r="2" spans="1:12">
      <c r="A2" s="109"/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I2" s="109"/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4" spans="1:12">
      <c r="A4" s="109"/>
      <c r="B4" s="123" t="s">
        <v>303</v>
      </c>
      <c r="C4" s="110"/>
      <c r="D4" s="109" t="s">
        <v>304</v>
      </c>
      <c r="E4" s="111"/>
      <c r="F4" s="112" t="s">
        <v>363</v>
      </c>
      <c r="G4" s="113"/>
      <c r="H4" s="109"/>
      <c r="I4" s="109"/>
      <c r="J4" s="109"/>
      <c r="K4" s="109"/>
      <c r="L4" s="115"/>
    </row>
    <row r="5" spans="1:12">
      <c r="A5" s="109" t="s">
        <v>54</v>
      </c>
      <c r="B5" s="124" t="s">
        <v>292</v>
      </c>
      <c r="C5" s="125">
        <v>1</v>
      </c>
      <c r="D5" s="126" t="s">
        <v>302</v>
      </c>
      <c r="E5" s="127">
        <v>50000</v>
      </c>
      <c r="F5" s="128">
        <v>392000000000</v>
      </c>
      <c r="G5" s="129">
        <f>E5+(F5*0.00000056)</f>
        <v>269520</v>
      </c>
      <c r="H5" s="130">
        <f>I5*10</f>
        <v>14900</v>
      </c>
      <c r="I5" s="153">
        <v>1490</v>
      </c>
      <c r="J5" s="131">
        <f>H5/G5</f>
        <v>5.5283466904125854E-2</v>
      </c>
      <c r="K5" s="131">
        <f>G5/H5</f>
        <v>18.088590604026844</v>
      </c>
      <c r="L5" s="115">
        <f t="shared" ref="L5:L14" si="0">K5/K$2</f>
        <v>8.5378147651006699</v>
      </c>
    </row>
    <row r="6" spans="1:12">
      <c r="A6" s="109" t="s">
        <v>54</v>
      </c>
      <c r="B6" s="124" t="s">
        <v>293</v>
      </c>
      <c r="C6" s="125">
        <v>100</v>
      </c>
      <c r="D6" s="126" t="s">
        <v>302</v>
      </c>
      <c r="E6" s="127">
        <v>50000</v>
      </c>
      <c r="F6" s="128">
        <v>1326000000000</v>
      </c>
      <c r="G6" s="129">
        <f t="shared" ref="G6:G14" si="1">E6+(F6*0.00000056)</f>
        <v>792560</v>
      </c>
      <c r="H6" s="130">
        <f t="shared" ref="H6:H14" si="2">I6*10</f>
        <v>14900</v>
      </c>
      <c r="I6" s="153">
        <v>1490</v>
      </c>
      <c r="J6" s="131">
        <f t="shared" ref="J6:J14" si="3">H6/G6</f>
        <v>1.8799838498031695E-2</v>
      </c>
      <c r="K6" s="131">
        <f t="shared" ref="K6:K14" si="4">G6/H6</f>
        <v>53.19194630872483</v>
      </c>
      <c r="L6" s="115">
        <f t="shared" si="0"/>
        <v>25.10659865771812</v>
      </c>
    </row>
    <row r="7" spans="1:12">
      <c r="A7" s="109" t="s">
        <v>54</v>
      </c>
      <c r="B7" s="124" t="s">
        <v>294</v>
      </c>
      <c r="C7" s="125">
        <v>200</v>
      </c>
      <c r="D7" s="126" t="s">
        <v>302</v>
      </c>
      <c r="E7" s="127">
        <v>50000</v>
      </c>
      <c r="F7" s="128">
        <v>2802000000000</v>
      </c>
      <c r="G7" s="129">
        <f t="shared" si="1"/>
        <v>1619120</v>
      </c>
      <c r="H7" s="130">
        <f t="shared" si="2"/>
        <v>14900</v>
      </c>
      <c r="I7" s="153">
        <v>1490</v>
      </c>
      <c r="J7" s="131">
        <f t="shared" si="3"/>
        <v>9.202529769257374E-3</v>
      </c>
      <c r="K7" s="131">
        <f t="shared" si="4"/>
        <v>108.66577181208054</v>
      </c>
      <c r="L7" s="115">
        <f t="shared" si="0"/>
        <v>51.29024429530201</v>
      </c>
    </row>
    <row r="8" spans="1:12">
      <c r="A8" s="109" t="s">
        <v>54</v>
      </c>
      <c r="B8" s="124" t="s">
        <v>295</v>
      </c>
      <c r="C8" s="125">
        <v>300</v>
      </c>
      <c r="D8" s="126" t="s">
        <v>302</v>
      </c>
      <c r="E8" s="127">
        <v>50000</v>
      </c>
      <c r="F8" s="128">
        <v>4819000000000</v>
      </c>
      <c r="G8" s="129">
        <f t="shared" si="1"/>
        <v>2748640</v>
      </c>
      <c r="H8" s="130">
        <f t="shared" si="2"/>
        <v>14900</v>
      </c>
      <c r="I8" s="153">
        <v>1490</v>
      </c>
      <c r="J8" s="131">
        <f t="shared" si="3"/>
        <v>5.4208626811805107E-3</v>
      </c>
      <c r="K8" s="131">
        <f t="shared" si="4"/>
        <v>184.47248322147652</v>
      </c>
      <c r="L8" s="115">
        <f t="shared" si="0"/>
        <v>87.071012080536917</v>
      </c>
    </row>
    <row r="9" spans="1:12">
      <c r="A9" s="109" t="s">
        <v>54</v>
      </c>
      <c r="B9" s="124" t="s">
        <v>296</v>
      </c>
      <c r="C9" s="125">
        <v>400</v>
      </c>
      <c r="D9" s="126" t="s">
        <v>302</v>
      </c>
      <c r="E9" s="127">
        <v>50000</v>
      </c>
      <c r="F9" s="128">
        <v>7379000000000</v>
      </c>
      <c r="G9" s="129">
        <f t="shared" si="1"/>
        <v>4182240.0000000005</v>
      </c>
      <c r="H9" s="130">
        <f t="shared" si="2"/>
        <v>14900</v>
      </c>
      <c r="I9" s="153">
        <v>1490</v>
      </c>
      <c r="J9" s="131">
        <f t="shared" si="3"/>
        <v>3.5626841118634985E-3</v>
      </c>
      <c r="K9" s="131">
        <f t="shared" si="4"/>
        <v>280.6872483221477</v>
      </c>
      <c r="L9" s="115">
        <f t="shared" si="0"/>
        <v>132.48438120805369</v>
      </c>
    </row>
    <row r="10" spans="1:12">
      <c r="A10" s="109" t="s">
        <v>54</v>
      </c>
      <c r="B10" s="124" t="s">
        <v>297</v>
      </c>
      <c r="C10" s="125">
        <v>500</v>
      </c>
      <c r="D10" s="126" t="s">
        <v>302</v>
      </c>
      <c r="E10" s="127">
        <v>50000</v>
      </c>
      <c r="F10" s="128">
        <v>10480000000000</v>
      </c>
      <c r="G10" s="129">
        <f t="shared" si="1"/>
        <v>5918800</v>
      </c>
      <c r="H10" s="130">
        <f t="shared" si="2"/>
        <v>14900</v>
      </c>
      <c r="I10" s="153">
        <v>1490</v>
      </c>
      <c r="J10" s="131">
        <f t="shared" si="3"/>
        <v>2.5174021761167806E-3</v>
      </c>
      <c r="K10" s="131">
        <f t="shared" si="4"/>
        <v>397.23489932885906</v>
      </c>
      <c r="L10" s="115">
        <f t="shared" si="0"/>
        <v>187.49487248322146</v>
      </c>
    </row>
    <row r="11" spans="1:12">
      <c r="A11" s="109" t="s">
        <v>54</v>
      </c>
      <c r="B11" s="124" t="s">
        <v>298</v>
      </c>
      <c r="C11" s="125">
        <v>600</v>
      </c>
      <c r="D11" s="126" t="s">
        <v>302</v>
      </c>
      <c r="E11" s="127">
        <v>50000</v>
      </c>
      <c r="F11" s="128">
        <v>14123000000000</v>
      </c>
      <c r="G11" s="129">
        <f t="shared" si="1"/>
        <v>7958880.0000000009</v>
      </c>
      <c r="H11" s="130">
        <f t="shared" si="2"/>
        <v>14900</v>
      </c>
      <c r="I11" s="153">
        <v>1490</v>
      </c>
      <c r="J11" s="131">
        <f t="shared" si="3"/>
        <v>1.8721227107331682E-3</v>
      </c>
      <c r="K11" s="131">
        <f t="shared" si="4"/>
        <v>534.1530201342282</v>
      </c>
      <c r="L11" s="115">
        <f t="shared" si="0"/>
        <v>252.1202255033557</v>
      </c>
    </row>
    <row r="12" spans="1:12">
      <c r="A12" s="109" t="s">
        <v>54</v>
      </c>
      <c r="B12" s="124" t="s">
        <v>299</v>
      </c>
      <c r="C12" s="125">
        <v>700</v>
      </c>
      <c r="D12" s="126" t="s">
        <v>302</v>
      </c>
      <c r="E12" s="127">
        <v>50000</v>
      </c>
      <c r="F12" s="128">
        <v>18307000000000</v>
      </c>
      <c r="G12" s="129">
        <f t="shared" si="1"/>
        <v>10301920</v>
      </c>
      <c r="H12" s="130">
        <f t="shared" si="2"/>
        <v>14900</v>
      </c>
      <c r="I12" s="153">
        <v>1490</v>
      </c>
      <c r="J12" s="131">
        <f t="shared" si="3"/>
        <v>1.4463323341668349E-3</v>
      </c>
      <c r="K12" s="131">
        <f t="shared" si="4"/>
        <v>691.40402684563753</v>
      </c>
      <c r="L12" s="115">
        <f t="shared" si="0"/>
        <v>326.3427006711409</v>
      </c>
    </row>
    <row r="13" spans="1:12">
      <c r="A13" s="109" t="s">
        <v>54</v>
      </c>
      <c r="B13" s="124" t="s">
        <v>300</v>
      </c>
      <c r="C13" s="125">
        <v>800</v>
      </c>
      <c r="D13" s="126" t="s">
        <v>302</v>
      </c>
      <c r="E13" s="127">
        <v>50000</v>
      </c>
      <c r="F13" s="128">
        <v>23034000000000</v>
      </c>
      <c r="G13" s="129">
        <f t="shared" si="1"/>
        <v>12949040</v>
      </c>
      <c r="H13" s="130">
        <f t="shared" si="2"/>
        <v>14900</v>
      </c>
      <c r="I13" s="153">
        <v>1490</v>
      </c>
      <c r="J13" s="131">
        <f t="shared" si="3"/>
        <v>1.150664450800986E-3</v>
      </c>
      <c r="K13" s="131">
        <f t="shared" si="4"/>
        <v>869.06308724832218</v>
      </c>
      <c r="L13" s="115">
        <f t="shared" si="0"/>
        <v>410.19777718120804</v>
      </c>
    </row>
    <row r="14" spans="1:12">
      <c r="A14" s="109" t="s">
        <v>54</v>
      </c>
      <c r="B14" s="124" t="s">
        <v>301</v>
      </c>
      <c r="C14" s="125">
        <v>900</v>
      </c>
      <c r="D14" s="126" t="s">
        <v>302</v>
      </c>
      <c r="E14" s="127">
        <v>50000</v>
      </c>
      <c r="F14" s="128">
        <v>28302000000000</v>
      </c>
      <c r="G14" s="129">
        <f t="shared" si="1"/>
        <v>15899120.000000002</v>
      </c>
      <c r="H14" s="130">
        <f t="shared" si="2"/>
        <v>14900</v>
      </c>
      <c r="I14" s="153">
        <v>1490</v>
      </c>
      <c r="J14" s="131">
        <f t="shared" si="3"/>
        <v>9.371587861466545E-4</v>
      </c>
      <c r="K14" s="131">
        <f t="shared" si="4"/>
        <v>1067.0550335570472</v>
      </c>
      <c r="L14" s="115">
        <f t="shared" si="0"/>
        <v>503.64997583892625</v>
      </c>
    </row>
    <row r="15" spans="1:12">
      <c r="A15" s="109"/>
      <c r="B15" s="109"/>
      <c r="C15" s="156"/>
      <c r="D15" s="144"/>
      <c r="E15" s="111"/>
      <c r="F15" s="111"/>
      <c r="G15" s="157"/>
      <c r="H15" s="149">
        <f>SUM(H5:H14)</f>
        <v>149000</v>
      </c>
      <c r="I15" s="158"/>
      <c r="J15" s="159"/>
      <c r="K15" s="159"/>
      <c r="L15" s="115"/>
    </row>
    <row r="16" spans="1:12">
      <c r="A16" s="109"/>
      <c r="B16" s="123" t="s">
        <v>305</v>
      </c>
      <c r="C16" s="110"/>
      <c r="D16" s="109" t="s">
        <v>316</v>
      </c>
      <c r="E16" s="111"/>
      <c r="F16" s="112" t="s">
        <v>363</v>
      </c>
      <c r="G16" s="113"/>
      <c r="H16" s="109"/>
      <c r="I16" s="109"/>
      <c r="J16" s="109"/>
      <c r="K16" s="109"/>
      <c r="L16" s="115"/>
    </row>
    <row r="17" spans="1:12">
      <c r="A17" s="109" t="s">
        <v>54</v>
      </c>
      <c r="B17" s="124" t="s">
        <v>306</v>
      </c>
      <c r="C17" s="125">
        <v>0</v>
      </c>
      <c r="D17" s="126" t="s">
        <v>302</v>
      </c>
      <c r="E17" s="127">
        <v>50000</v>
      </c>
      <c r="F17" s="128">
        <v>392000000000</v>
      </c>
      <c r="G17" s="129">
        <f>E17+(F17*0.00000056)</f>
        <v>269520</v>
      </c>
      <c r="H17" s="130">
        <f>I17*10</f>
        <v>14900</v>
      </c>
      <c r="I17" s="153">
        <v>1490</v>
      </c>
      <c r="J17" s="131">
        <f>H17/G17</f>
        <v>5.5283466904125854E-2</v>
      </c>
      <c r="K17" s="131">
        <f>G17/H17</f>
        <v>18.088590604026844</v>
      </c>
      <c r="L17" s="115">
        <f t="shared" ref="L17:L26" si="5">K17/K$2</f>
        <v>8.5378147651006699</v>
      </c>
    </row>
    <row r="18" spans="1:12">
      <c r="A18" s="109" t="s">
        <v>54</v>
      </c>
      <c r="B18" s="124" t="s">
        <v>307</v>
      </c>
      <c r="C18" s="125">
        <v>500</v>
      </c>
      <c r="D18" s="126" t="s">
        <v>302</v>
      </c>
      <c r="E18" s="127">
        <v>50000</v>
      </c>
      <c r="F18" s="128">
        <v>1326000000000</v>
      </c>
      <c r="G18" s="129">
        <f t="shared" ref="G18:G26" si="6">E18+(F18*0.00000056)</f>
        <v>792560</v>
      </c>
      <c r="H18" s="130">
        <f t="shared" ref="H18:H26" si="7">I18*10</f>
        <v>14900</v>
      </c>
      <c r="I18" s="153">
        <v>1490</v>
      </c>
      <c r="J18" s="131">
        <f t="shared" ref="J18:J26" si="8">H18/G18</f>
        <v>1.8799838498031695E-2</v>
      </c>
      <c r="K18" s="131">
        <f t="shared" ref="K18:K26" si="9">G18/H18</f>
        <v>53.19194630872483</v>
      </c>
      <c r="L18" s="115">
        <f t="shared" si="5"/>
        <v>25.10659865771812</v>
      </c>
    </row>
    <row r="19" spans="1:12">
      <c r="A19" s="109" t="s">
        <v>54</v>
      </c>
      <c r="B19" s="124" t="s">
        <v>308</v>
      </c>
      <c r="C19" s="125">
        <v>1000</v>
      </c>
      <c r="D19" s="126" t="s">
        <v>302</v>
      </c>
      <c r="E19" s="127">
        <v>50000</v>
      </c>
      <c r="F19" s="128">
        <v>2802000000000</v>
      </c>
      <c r="G19" s="129">
        <f t="shared" si="6"/>
        <v>1619120</v>
      </c>
      <c r="H19" s="130">
        <f t="shared" si="7"/>
        <v>14900</v>
      </c>
      <c r="I19" s="153">
        <v>1490</v>
      </c>
      <c r="J19" s="131">
        <f t="shared" si="8"/>
        <v>9.202529769257374E-3</v>
      </c>
      <c r="K19" s="131">
        <f t="shared" si="9"/>
        <v>108.66577181208054</v>
      </c>
      <c r="L19" s="115">
        <f t="shared" si="5"/>
        <v>51.29024429530201</v>
      </c>
    </row>
    <row r="20" spans="1:12">
      <c r="A20" s="109" t="s">
        <v>54</v>
      </c>
      <c r="B20" s="124" t="s">
        <v>309</v>
      </c>
      <c r="C20" s="125">
        <v>1500</v>
      </c>
      <c r="D20" s="126" t="s">
        <v>302</v>
      </c>
      <c r="E20" s="127">
        <v>50000</v>
      </c>
      <c r="F20" s="128">
        <v>4819000000000</v>
      </c>
      <c r="G20" s="129">
        <f t="shared" si="6"/>
        <v>2748640</v>
      </c>
      <c r="H20" s="130">
        <f t="shared" si="7"/>
        <v>14900</v>
      </c>
      <c r="I20" s="153">
        <v>1490</v>
      </c>
      <c r="J20" s="131">
        <f t="shared" si="8"/>
        <v>5.4208626811805107E-3</v>
      </c>
      <c r="K20" s="131">
        <f t="shared" si="9"/>
        <v>184.47248322147652</v>
      </c>
      <c r="L20" s="115">
        <f t="shared" si="5"/>
        <v>87.071012080536917</v>
      </c>
    </row>
    <row r="21" spans="1:12">
      <c r="A21" s="109" t="s">
        <v>54</v>
      </c>
      <c r="B21" s="124" t="s">
        <v>310</v>
      </c>
      <c r="C21" s="125">
        <v>2000</v>
      </c>
      <c r="D21" s="126" t="s">
        <v>302</v>
      </c>
      <c r="E21" s="127">
        <v>50000</v>
      </c>
      <c r="F21" s="128">
        <v>7379000000000</v>
      </c>
      <c r="G21" s="129">
        <f t="shared" si="6"/>
        <v>4182240.0000000005</v>
      </c>
      <c r="H21" s="130">
        <f t="shared" si="7"/>
        <v>14900</v>
      </c>
      <c r="I21" s="153">
        <v>1490</v>
      </c>
      <c r="J21" s="131">
        <f t="shared" si="8"/>
        <v>3.5626841118634985E-3</v>
      </c>
      <c r="K21" s="131">
        <f t="shared" si="9"/>
        <v>280.6872483221477</v>
      </c>
      <c r="L21" s="115">
        <f t="shared" si="5"/>
        <v>132.48438120805369</v>
      </c>
    </row>
    <row r="22" spans="1:12">
      <c r="A22" s="109" t="s">
        <v>54</v>
      </c>
      <c r="B22" s="124" t="s">
        <v>311</v>
      </c>
      <c r="C22" s="125">
        <v>2500</v>
      </c>
      <c r="D22" s="126" t="s">
        <v>302</v>
      </c>
      <c r="E22" s="127">
        <v>50000</v>
      </c>
      <c r="F22" s="128">
        <v>10480000000000</v>
      </c>
      <c r="G22" s="129">
        <f t="shared" si="6"/>
        <v>5918800</v>
      </c>
      <c r="H22" s="130">
        <f t="shared" si="7"/>
        <v>14900</v>
      </c>
      <c r="I22" s="153">
        <v>1490</v>
      </c>
      <c r="J22" s="131">
        <f t="shared" si="8"/>
        <v>2.5174021761167806E-3</v>
      </c>
      <c r="K22" s="131">
        <f t="shared" si="9"/>
        <v>397.23489932885906</v>
      </c>
      <c r="L22" s="115">
        <f t="shared" si="5"/>
        <v>187.49487248322146</v>
      </c>
    </row>
    <row r="23" spans="1:12">
      <c r="A23" s="109" t="s">
        <v>54</v>
      </c>
      <c r="B23" s="124" t="s">
        <v>312</v>
      </c>
      <c r="C23" s="125">
        <v>3000</v>
      </c>
      <c r="D23" s="126" t="s">
        <v>302</v>
      </c>
      <c r="E23" s="127">
        <v>50000</v>
      </c>
      <c r="F23" s="128">
        <v>14123000000000</v>
      </c>
      <c r="G23" s="129">
        <f t="shared" si="6"/>
        <v>7958880.0000000009</v>
      </c>
      <c r="H23" s="130">
        <f t="shared" si="7"/>
        <v>14900</v>
      </c>
      <c r="I23" s="153">
        <v>1490</v>
      </c>
      <c r="J23" s="131">
        <f t="shared" si="8"/>
        <v>1.8721227107331682E-3</v>
      </c>
      <c r="K23" s="131">
        <f t="shared" si="9"/>
        <v>534.1530201342282</v>
      </c>
      <c r="L23" s="115">
        <f t="shared" si="5"/>
        <v>252.1202255033557</v>
      </c>
    </row>
    <row r="24" spans="1:12">
      <c r="A24" s="109" t="s">
        <v>54</v>
      </c>
      <c r="B24" s="124" t="s">
        <v>313</v>
      </c>
      <c r="C24" s="125">
        <v>3500</v>
      </c>
      <c r="D24" s="126" t="s">
        <v>302</v>
      </c>
      <c r="E24" s="127">
        <v>50000</v>
      </c>
      <c r="F24" s="128">
        <v>18307000000000</v>
      </c>
      <c r="G24" s="129">
        <f t="shared" si="6"/>
        <v>10301920</v>
      </c>
      <c r="H24" s="130">
        <f t="shared" si="7"/>
        <v>14900</v>
      </c>
      <c r="I24" s="153">
        <v>1490</v>
      </c>
      <c r="J24" s="131">
        <f t="shared" si="8"/>
        <v>1.4463323341668349E-3</v>
      </c>
      <c r="K24" s="131">
        <f t="shared" si="9"/>
        <v>691.40402684563753</v>
      </c>
      <c r="L24" s="115">
        <f t="shared" si="5"/>
        <v>326.3427006711409</v>
      </c>
    </row>
    <row r="25" spans="1:12">
      <c r="A25" s="109" t="s">
        <v>54</v>
      </c>
      <c r="B25" s="124" t="s">
        <v>314</v>
      </c>
      <c r="C25" s="125">
        <v>4000</v>
      </c>
      <c r="D25" s="126" t="s">
        <v>302</v>
      </c>
      <c r="E25" s="127">
        <v>50000</v>
      </c>
      <c r="F25" s="128">
        <v>23034000000000</v>
      </c>
      <c r="G25" s="129">
        <f t="shared" si="6"/>
        <v>12949040</v>
      </c>
      <c r="H25" s="130">
        <f t="shared" si="7"/>
        <v>14900</v>
      </c>
      <c r="I25" s="153">
        <v>1490</v>
      </c>
      <c r="J25" s="131">
        <f t="shared" si="8"/>
        <v>1.150664450800986E-3</v>
      </c>
      <c r="K25" s="131">
        <f t="shared" si="9"/>
        <v>869.06308724832218</v>
      </c>
      <c r="L25" s="115">
        <f t="shared" si="5"/>
        <v>410.19777718120804</v>
      </c>
    </row>
    <row r="26" spans="1:12">
      <c r="A26" s="109" t="s">
        <v>54</v>
      </c>
      <c r="B26" s="124" t="s">
        <v>315</v>
      </c>
      <c r="C26" s="125">
        <v>4500</v>
      </c>
      <c r="D26" s="126" t="s">
        <v>302</v>
      </c>
      <c r="E26" s="127">
        <v>50000</v>
      </c>
      <c r="F26" s="128">
        <v>28302000000000</v>
      </c>
      <c r="G26" s="129">
        <f t="shared" si="6"/>
        <v>15899120.000000002</v>
      </c>
      <c r="H26" s="130">
        <f t="shared" si="7"/>
        <v>14900</v>
      </c>
      <c r="I26" s="153">
        <v>1490</v>
      </c>
      <c r="J26" s="131">
        <f t="shared" si="8"/>
        <v>9.371587861466545E-4</v>
      </c>
      <c r="K26" s="131">
        <f t="shared" si="9"/>
        <v>1067.0550335570472</v>
      </c>
      <c r="L26" s="115">
        <f t="shared" si="5"/>
        <v>503.64997583892625</v>
      </c>
    </row>
    <row r="28" spans="1:12">
      <c r="A28" s="109"/>
      <c r="B28" s="123" t="s">
        <v>319</v>
      </c>
      <c r="C28" s="110"/>
      <c r="D28" s="109" t="s">
        <v>317</v>
      </c>
      <c r="E28" s="111" t="s">
        <v>318</v>
      </c>
      <c r="F28" s="112" t="s">
        <v>291</v>
      </c>
      <c r="G28" s="113"/>
      <c r="H28" s="109"/>
      <c r="I28" s="109"/>
      <c r="J28" s="109"/>
      <c r="K28" s="109"/>
      <c r="L28" s="115"/>
    </row>
    <row r="29" spans="1:12">
      <c r="A29" s="109" t="s">
        <v>54</v>
      </c>
      <c r="B29" s="124" t="s">
        <v>320</v>
      </c>
      <c r="C29" s="125">
        <v>50</v>
      </c>
      <c r="D29" s="126" t="s">
        <v>48</v>
      </c>
      <c r="E29" s="127">
        <v>200000</v>
      </c>
      <c r="F29" s="128">
        <v>0</v>
      </c>
      <c r="G29" s="129">
        <f>E29+(F29*100)</f>
        <v>200000</v>
      </c>
      <c r="H29" s="130">
        <f>I29*10</f>
        <v>11000</v>
      </c>
      <c r="I29" s="153">
        <v>1100</v>
      </c>
      <c r="J29" s="131">
        <f>H29/G29</f>
        <v>5.5E-2</v>
      </c>
      <c r="K29" s="131">
        <f>G29/H29</f>
        <v>18.181818181818183</v>
      </c>
      <c r="L29" s="115">
        <f t="shared" ref="L29:L58" si="10">K29/K$2</f>
        <v>8.581818181818182</v>
      </c>
    </row>
    <row r="30" spans="1:12">
      <c r="A30" s="109" t="s">
        <v>54</v>
      </c>
      <c r="B30" s="124" t="s">
        <v>321</v>
      </c>
      <c r="C30" s="125">
        <v>100</v>
      </c>
      <c r="D30" s="126" t="s">
        <v>48</v>
      </c>
      <c r="E30" s="127">
        <v>600000</v>
      </c>
      <c r="F30" s="128">
        <v>0</v>
      </c>
      <c r="G30" s="129">
        <f t="shared" ref="G30:G58" si="11">E30+(F30*100)</f>
        <v>600000</v>
      </c>
      <c r="H30" s="130">
        <f t="shared" ref="H30:H58" si="12">I30*10</f>
        <v>33000</v>
      </c>
      <c r="I30" s="153">
        <v>3300</v>
      </c>
      <c r="J30" s="131">
        <f t="shared" ref="J30:J55" si="13">H30/G30</f>
        <v>5.5E-2</v>
      </c>
      <c r="K30" s="131">
        <f t="shared" ref="K30:K55" si="14">G30/H30</f>
        <v>18.181818181818183</v>
      </c>
      <c r="L30" s="115">
        <f t="shared" si="10"/>
        <v>8.581818181818182</v>
      </c>
    </row>
    <row r="31" spans="1:12">
      <c r="A31" s="109" t="s">
        <v>54</v>
      </c>
      <c r="B31" s="124" t="s">
        <v>322</v>
      </c>
      <c r="C31" s="125">
        <v>150</v>
      </c>
      <c r="D31" s="126" t="s">
        <v>48</v>
      </c>
      <c r="E31" s="127">
        <v>600000</v>
      </c>
      <c r="F31" s="128">
        <v>0</v>
      </c>
      <c r="G31" s="129">
        <f t="shared" si="11"/>
        <v>600000</v>
      </c>
      <c r="H31" s="130">
        <f t="shared" si="12"/>
        <v>33000</v>
      </c>
      <c r="I31" s="153">
        <v>3300</v>
      </c>
      <c r="J31" s="131">
        <f t="shared" si="13"/>
        <v>5.5E-2</v>
      </c>
      <c r="K31" s="131">
        <f t="shared" si="14"/>
        <v>18.181818181818183</v>
      </c>
      <c r="L31" s="115">
        <f t="shared" si="10"/>
        <v>8.581818181818182</v>
      </c>
    </row>
    <row r="32" spans="1:12">
      <c r="A32" s="109" t="s">
        <v>54</v>
      </c>
      <c r="B32" s="124" t="s">
        <v>323</v>
      </c>
      <c r="C32" s="125">
        <v>200</v>
      </c>
      <c r="D32" s="126" t="s">
        <v>48</v>
      </c>
      <c r="E32" s="127">
        <v>200000</v>
      </c>
      <c r="F32" s="128">
        <v>0</v>
      </c>
      <c r="G32" s="129">
        <f t="shared" si="11"/>
        <v>200000</v>
      </c>
      <c r="H32" s="130">
        <f t="shared" si="12"/>
        <v>11000</v>
      </c>
      <c r="I32" s="153">
        <v>1100</v>
      </c>
      <c r="J32" s="131">
        <f t="shared" si="13"/>
        <v>5.5E-2</v>
      </c>
      <c r="K32" s="131">
        <f t="shared" si="14"/>
        <v>18.181818181818183</v>
      </c>
      <c r="L32" s="115">
        <f t="shared" si="10"/>
        <v>8.581818181818182</v>
      </c>
    </row>
    <row r="33" spans="1:12">
      <c r="A33" s="109" t="s">
        <v>54</v>
      </c>
      <c r="B33" s="124" t="s">
        <v>324</v>
      </c>
      <c r="C33" s="125">
        <v>250</v>
      </c>
      <c r="D33" s="126" t="s">
        <v>48</v>
      </c>
      <c r="E33" s="127">
        <v>600000</v>
      </c>
      <c r="F33" s="128">
        <v>0</v>
      </c>
      <c r="G33" s="129">
        <f t="shared" si="11"/>
        <v>600000</v>
      </c>
      <c r="H33" s="130">
        <f t="shared" si="12"/>
        <v>33000</v>
      </c>
      <c r="I33" s="153">
        <v>3300</v>
      </c>
      <c r="J33" s="131">
        <f t="shared" si="13"/>
        <v>5.5E-2</v>
      </c>
      <c r="K33" s="131">
        <f t="shared" si="14"/>
        <v>18.181818181818183</v>
      </c>
      <c r="L33" s="115">
        <f t="shared" si="10"/>
        <v>8.581818181818182</v>
      </c>
    </row>
    <row r="34" spans="1:12">
      <c r="A34" s="109" t="s">
        <v>54</v>
      </c>
      <c r="B34" s="124" t="s">
        <v>325</v>
      </c>
      <c r="C34" s="125">
        <v>300</v>
      </c>
      <c r="D34" s="126" t="s">
        <v>48</v>
      </c>
      <c r="E34" s="127">
        <v>600000</v>
      </c>
      <c r="F34" s="128">
        <v>0</v>
      </c>
      <c r="G34" s="129">
        <f t="shared" si="11"/>
        <v>600000</v>
      </c>
      <c r="H34" s="130">
        <f t="shared" si="12"/>
        <v>33000</v>
      </c>
      <c r="I34" s="153">
        <v>3300</v>
      </c>
      <c r="J34" s="131">
        <f t="shared" si="13"/>
        <v>5.5E-2</v>
      </c>
      <c r="K34" s="131">
        <f t="shared" si="14"/>
        <v>18.181818181818183</v>
      </c>
      <c r="L34" s="115">
        <f t="shared" si="10"/>
        <v>8.581818181818182</v>
      </c>
    </row>
    <row r="35" spans="1:12">
      <c r="A35" s="109" t="s">
        <v>54</v>
      </c>
      <c r="B35" s="124" t="s">
        <v>326</v>
      </c>
      <c r="C35" s="125">
        <v>350</v>
      </c>
      <c r="D35" s="126" t="s">
        <v>48</v>
      </c>
      <c r="E35" s="127">
        <v>600000</v>
      </c>
      <c r="F35" s="128">
        <v>0</v>
      </c>
      <c r="G35" s="129">
        <f t="shared" si="11"/>
        <v>600000</v>
      </c>
      <c r="H35" s="130">
        <f t="shared" si="12"/>
        <v>33000</v>
      </c>
      <c r="I35" s="153">
        <v>3300</v>
      </c>
      <c r="J35" s="131">
        <f t="shared" si="13"/>
        <v>5.5E-2</v>
      </c>
      <c r="K35" s="131">
        <f t="shared" si="14"/>
        <v>18.181818181818183</v>
      </c>
      <c r="L35" s="115">
        <f t="shared" si="10"/>
        <v>8.581818181818182</v>
      </c>
    </row>
    <row r="36" spans="1:12">
      <c r="A36" s="109" t="s">
        <v>54</v>
      </c>
      <c r="B36" s="124" t="s">
        <v>327</v>
      </c>
      <c r="C36" s="125">
        <v>400</v>
      </c>
      <c r="D36" s="126" t="s">
        <v>48</v>
      </c>
      <c r="E36" s="127">
        <v>200000</v>
      </c>
      <c r="F36" s="128">
        <v>0</v>
      </c>
      <c r="G36" s="129">
        <f t="shared" si="11"/>
        <v>200000</v>
      </c>
      <c r="H36" s="130">
        <f t="shared" si="12"/>
        <v>11000</v>
      </c>
      <c r="I36" s="153">
        <v>1100</v>
      </c>
      <c r="J36" s="131">
        <f t="shared" si="13"/>
        <v>5.5E-2</v>
      </c>
      <c r="K36" s="131">
        <f t="shared" si="14"/>
        <v>18.181818181818183</v>
      </c>
      <c r="L36" s="115">
        <f t="shared" si="10"/>
        <v>8.581818181818182</v>
      </c>
    </row>
    <row r="37" spans="1:12">
      <c r="A37" s="109" t="s">
        <v>54</v>
      </c>
      <c r="B37" s="124" t="s">
        <v>328</v>
      </c>
      <c r="C37" s="125">
        <v>450</v>
      </c>
      <c r="D37" s="126" t="s">
        <v>48</v>
      </c>
      <c r="E37" s="127">
        <v>600000</v>
      </c>
      <c r="F37" s="128">
        <v>0</v>
      </c>
      <c r="G37" s="129">
        <f t="shared" si="11"/>
        <v>600000</v>
      </c>
      <c r="H37" s="130">
        <f t="shared" si="12"/>
        <v>33000</v>
      </c>
      <c r="I37" s="153">
        <v>3300</v>
      </c>
      <c r="J37" s="131">
        <f t="shared" si="13"/>
        <v>5.5E-2</v>
      </c>
      <c r="K37" s="131">
        <f t="shared" si="14"/>
        <v>18.181818181818183</v>
      </c>
      <c r="L37" s="115">
        <f t="shared" si="10"/>
        <v>8.581818181818182</v>
      </c>
    </row>
    <row r="38" spans="1:12">
      <c r="A38" s="109" t="s">
        <v>54</v>
      </c>
      <c r="B38" s="124" t="s">
        <v>329</v>
      </c>
      <c r="C38" s="125">
        <v>500</v>
      </c>
      <c r="D38" s="126" t="s">
        <v>48</v>
      </c>
      <c r="E38" s="127">
        <v>600000</v>
      </c>
      <c r="F38" s="128">
        <v>0</v>
      </c>
      <c r="G38" s="129">
        <f t="shared" si="11"/>
        <v>600000</v>
      </c>
      <c r="H38" s="130">
        <f t="shared" si="12"/>
        <v>33000</v>
      </c>
      <c r="I38" s="153">
        <v>3300</v>
      </c>
      <c r="J38" s="131">
        <f t="shared" si="13"/>
        <v>5.5E-2</v>
      </c>
      <c r="K38" s="131">
        <f t="shared" si="14"/>
        <v>18.181818181818183</v>
      </c>
      <c r="L38" s="115">
        <f t="shared" si="10"/>
        <v>8.581818181818182</v>
      </c>
    </row>
    <row r="39" spans="1:12">
      <c r="A39" s="109" t="s">
        <v>54</v>
      </c>
      <c r="B39" s="124" t="s">
        <v>330</v>
      </c>
      <c r="C39" s="125">
        <v>550</v>
      </c>
      <c r="D39" s="126" t="s">
        <v>48</v>
      </c>
      <c r="E39" s="127">
        <v>600000</v>
      </c>
      <c r="F39" s="128">
        <v>0</v>
      </c>
      <c r="G39" s="129">
        <f t="shared" si="11"/>
        <v>600000</v>
      </c>
      <c r="H39" s="130">
        <f t="shared" si="12"/>
        <v>33000</v>
      </c>
      <c r="I39" s="153">
        <v>3300</v>
      </c>
      <c r="J39" s="131">
        <f t="shared" si="13"/>
        <v>5.5E-2</v>
      </c>
      <c r="K39" s="131">
        <f t="shared" si="14"/>
        <v>18.181818181818183</v>
      </c>
      <c r="L39" s="115">
        <f t="shared" si="10"/>
        <v>8.581818181818182</v>
      </c>
    </row>
    <row r="40" spans="1:12">
      <c r="A40" s="109" t="s">
        <v>54</v>
      </c>
      <c r="B40" s="124" t="s">
        <v>331</v>
      </c>
      <c r="C40" s="125">
        <v>600</v>
      </c>
      <c r="D40" s="126" t="s">
        <v>48</v>
      </c>
      <c r="E40" s="127">
        <v>600000</v>
      </c>
      <c r="F40" s="128">
        <v>0</v>
      </c>
      <c r="G40" s="129">
        <f t="shared" si="11"/>
        <v>600000</v>
      </c>
      <c r="H40" s="130">
        <f t="shared" si="12"/>
        <v>33000</v>
      </c>
      <c r="I40" s="153">
        <v>3300</v>
      </c>
      <c r="J40" s="131">
        <f t="shared" si="13"/>
        <v>5.5E-2</v>
      </c>
      <c r="K40" s="131">
        <f t="shared" si="14"/>
        <v>18.181818181818183</v>
      </c>
      <c r="L40" s="115">
        <f t="shared" si="10"/>
        <v>8.581818181818182</v>
      </c>
    </row>
    <row r="41" spans="1:12">
      <c r="A41" s="109" t="s">
        <v>54</v>
      </c>
      <c r="B41" s="124" t="s">
        <v>332</v>
      </c>
      <c r="C41" s="125">
        <v>650</v>
      </c>
      <c r="D41" s="126" t="s">
        <v>48</v>
      </c>
      <c r="E41" s="127">
        <v>600000</v>
      </c>
      <c r="F41" s="128">
        <v>0</v>
      </c>
      <c r="G41" s="129">
        <f t="shared" si="11"/>
        <v>600000</v>
      </c>
      <c r="H41" s="130">
        <f t="shared" si="12"/>
        <v>33000</v>
      </c>
      <c r="I41" s="153">
        <v>3300</v>
      </c>
      <c r="J41" s="131">
        <f t="shared" si="13"/>
        <v>5.5E-2</v>
      </c>
      <c r="K41" s="131">
        <f t="shared" si="14"/>
        <v>18.181818181818183</v>
      </c>
      <c r="L41" s="115">
        <f t="shared" si="10"/>
        <v>8.581818181818182</v>
      </c>
    </row>
    <row r="42" spans="1:12">
      <c r="A42" s="109" t="s">
        <v>54</v>
      </c>
      <c r="B42" s="124" t="s">
        <v>333</v>
      </c>
      <c r="C42" s="125">
        <v>700</v>
      </c>
      <c r="D42" s="126" t="s">
        <v>48</v>
      </c>
      <c r="E42" s="127">
        <v>600000</v>
      </c>
      <c r="F42" s="128">
        <v>0</v>
      </c>
      <c r="G42" s="129">
        <f t="shared" si="11"/>
        <v>600000</v>
      </c>
      <c r="H42" s="130">
        <f t="shared" si="12"/>
        <v>33000</v>
      </c>
      <c r="I42" s="153">
        <v>3300</v>
      </c>
      <c r="J42" s="131">
        <f t="shared" si="13"/>
        <v>5.5E-2</v>
      </c>
      <c r="K42" s="131">
        <f t="shared" si="14"/>
        <v>18.181818181818183</v>
      </c>
      <c r="L42" s="115">
        <f t="shared" si="10"/>
        <v>8.581818181818182</v>
      </c>
    </row>
    <row r="43" spans="1:12">
      <c r="A43" s="109" t="s">
        <v>54</v>
      </c>
      <c r="B43" s="124" t="s">
        <v>334</v>
      </c>
      <c r="C43" s="125">
        <v>750</v>
      </c>
      <c r="D43" s="126" t="s">
        <v>48</v>
      </c>
      <c r="E43" s="127">
        <v>600000</v>
      </c>
      <c r="F43" s="128">
        <v>0</v>
      </c>
      <c r="G43" s="129">
        <f t="shared" si="11"/>
        <v>600000</v>
      </c>
      <c r="H43" s="130">
        <f t="shared" si="12"/>
        <v>33000</v>
      </c>
      <c r="I43" s="153">
        <v>3300</v>
      </c>
      <c r="J43" s="131">
        <f t="shared" si="13"/>
        <v>5.5E-2</v>
      </c>
      <c r="K43" s="131">
        <f t="shared" si="14"/>
        <v>18.181818181818183</v>
      </c>
      <c r="L43" s="115">
        <f t="shared" si="10"/>
        <v>8.581818181818182</v>
      </c>
    </row>
    <row r="44" spans="1:12">
      <c r="A44" s="109" t="s">
        <v>54</v>
      </c>
      <c r="B44" s="124" t="s">
        <v>335</v>
      </c>
      <c r="C44" s="125">
        <v>800</v>
      </c>
      <c r="D44" s="126" t="s">
        <v>48</v>
      </c>
      <c r="E44" s="127">
        <v>600000</v>
      </c>
      <c r="F44" s="128">
        <v>0</v>
      </c>
      <c r="G44" s="129">
        <f t="shared" si="11"/>
        <v>600000</v>
      </c>
      <c r="H44" s="130">
        <f t="shared" si="12"/>
        <v>33000</v>
      </c>
      <c r="I44" s="153">
        <v>3300</v>
      </c>
      <c r="J44" s="131">
        <f t="shared" si="13"/>
        <v>5.5E-2</v>
      </c>
      <c r="K44" s="131">
        <f t="shared" si="14"/>
        <v>18.181818181818183</v>
      </c>
      <c r="L44" s="115">
        <f t="shared" si="10"/>
        <v>8.581818181818182</v>
      </c>
    </row>
    <row r="45" spans="1:12">
      <c r="A45" s="109" t="s">
        <v>54</v>
      </c>
      <c r="B45" s="124" t="s">
        <v>336</v>
      </c>
      <c r="C45" s="125">
        <v>850</v>
      </c>
      <c r="D45" s="126" t="s">
        <v>48</v>
      </c>
      <c r="E45" s="127">
        <v>600000</v>
      </c>
      <c r="F45" s="128">
        <v>0</v>
      </c>
      <c r="G45" s="129">
        <f t="shared" si="11"/>
        <v>600000</v>
      </c>
      <c r="H45" s="130">
        <f t="shared" si="12"/>
        <v>33000</v>
      </c>
      <c r="I45" s="153">
        <v>3300</v>
      </c>
      <c r="J45" s="131">
        <f t="shared" si="13"/>
        <v>5.5E-2</v>
      </c>
      <c r="K45" s="131">
        <f t="shared" si="14"/>
        <v>18.181818181818183</v>
      </c>
      <c r="L45" s="115">
        <f t="shared" si="10"/>
        <v>8.581818181818182</v>
      </c>
    </row>
    <row r="46" spans="1:12">
      <c r="A46" s="109" t="s">
        <v>54</v>
      </c>
      <c r="B46" s="124" t="s">
        <v>337</v>
      </c>
      <c r="C46" s="125">
        <v>900</v>
      </c>
      <c r="D46" s="126" t="s">
        <v>48</v>
      </c>
      <c r="E46" s="127">
        <v>600000</v>
      </c>
      <c r="F46" s="128">
        <v>0</v>
      </c>
      <c r="G46" s="129">
        <f t="shared" si="11"/>
        <v>600000</v>
      </c>
      <c r="H46" s="130">
        <f t="shared" si="12"/>
        <v>33000</v>
      </c>
      <c r="I46" s="153">
        <v>3300</v>
      </c>
      <c r="J46" s="131">
        <f t="shared" si="13"/>
        <v>5.5E-2</v>
      </c>
      <c r="K46" s="131">
        <f t="shared" si="14"/>
        <v>18.181818181818183</v>
      </c>
      <c r="L46" s="115">
        <f t="shared" si="10"/>
        <v>8.581818181818182</v>
      </c>
    </row>
    <row r="47" spans="1:12">
      <c r="A47" s="109" t="s">
        <v>54</v>
      </c>
      <c r="B47" s="124" t="s">
        <v>338</v>
      </c>
      <c r="C47" s="125">
        <v>950</v>
      </c>
      <c r="D47" s="126" t="s">
        <v>48</v>
      </c>
      <c r="E47" s="127">
        <v>600000</v>
      </c>
      <c r="F47" s="128">
        <v>0</v>
      </c>
      <c r="G47" s="129">
        <f t="shared" si="11"/>
        <v>600000</v>
      </c>
      <c r="H47" s="130">
        <f t="shared" si="12"/>
        <v>33000</v>
      </c>
      <c r="I47" s="153">
        <v>3300</v>
      </c>
      <c r="J47" s="131">
        <f t="shared" si="13"/>
        <v>5.5E-2</v>
      </c>
      <c r="K47" s="131">
        <f t="shared" si="14"/>
        <v>18.181818181818183</v>
      </c>
      <c r="L47" s="115">
        <f t="shared" si="10"/>
        <v>8.581818181818182</v>
      </c>
    </row>
    <row r="48" spans="1:12">
      <c r="A48" s="109" t="s">
        <v>54</v>
      </c>
      <c r="B48" s="124" t="s">
        <v>339</v>
      </c>
      <c r="C48" s="125">
        <v>1000</v>
      </c>
      <c r="D48" s="126" t="s">
        <v>48</v>
      </c>
      <c r="E48" s="127">
        <v>600000</v>
      </c>
      <c r="F48" s="128">
        <v>0</v>
      </c>
      <c r="G48" s="129">
        <f t="shared" si="11"/>
        <v>600000</v>
      </c>
      <c r="H48" s="130">
        <f t="shared" si="12"/>
        <v>33000</v>
      </c>
      <c r="I48" s="153">
        <v>3300</v>
      </c>
      <c r="J48" s="131">
        <f t="shared" si="13"/>
        <v>5.5E-2</v>
      </c>
      <c r="K48" s="131">
        <f t="shared" si="14"/>
        <v>18.181818181818183</v>
      </c>
      <c r="L48" s="115">
        <f t="shared" si="10"/>
        <v>8.581818181818182</v>
      </c>
    </row>
    <row r="49" spans="1:15">
      <c r="A49" s="109" t="s">
        <v>54</v>
      </c>
      <c r="B49" s="124" t="s">
        <v>340</v>
      </c>
      <c r="C49" s="125">
        <v>1050</v>
      </c>
      <c r="D49" s="126" t="s">
        <v>48</v>
      </c>
      <c r="E49" s="127">
        <v>600000</v>
      </c>
      <c r="F49" s="128">
        <v>0</v>
      </c>
      <c r="G49" s="129">
        <f t="shared" si="11"/>
        <v>600000</v>
      </c>
      <c r="H49" s="130">
        <f t="shared" si="12"/>
        <v>33000</v>
      </c>
      <c r="I49" s="153">
        <v>3300</v>
      </c>
      <c r="J49" s="131">
        <f t="shared" si="13"/>
        <v>5.5E-2</v>
      </c>
      <c r="K49" s="131">
        <f t="shared" si="14"/>
        <v>18.181818181818183</v>
      </c>
      <c r="L49" s="115">
        <f t="shared" si="10"/>
        <v>8.581818181818182</v>
      </c>
    </row>
    <row r="50" spans="1:15">
      <c r="A50" s="109" t="s">
        <v>54</v>
      </c>
      <c r="B50" s="124" t="s">
        <v>341</v>
      </c>
      <c r="C50" s="125">
        <v>1100</v>
      </c>
      <c r="D50" s="126" t="s">
        <v>48</v>
      </c>
      <c r="E50" s="127">
        <v>600000</v>
      </c>
      <c r="F50" s="128">
        <v>0</v>
      </c>
      <c r="G50" s="129">
        <f t="shared" si="11"/>
        <v>600000</v>
      </c>
      <c r="H50" s="130">
        <f t="shared" si="12"/>
        <v>33000</v>
      </c>
      <c r="I50" s="153">
        <v>3300</v>
      </c>
      <c r="J50" s="131">
        <f t="shared" si="13"/>
        <v>5.5E-2</v>
      </c>
      <c r="K50" s="131">
        <f t="shared" si="14"/>
        <v>18.181818181818183</v>
      </c>
      <c r="L50" s="115">
        <f t="shared" si="10"/>
        <v>8.581818181818182</v>
      </c>
    </row>
    <row r="51" spans="1:15">
      <c r="A51" s="109" t="s">
        <v>54</v>
      </c>
      <c r="B51" s="124" t="s">
        <v>342</v>
      </c>
      <c r="C51" s="125">
        <v>1150</v>
      </c>
      <c r="D51" s="126" t="s">
        <v>48</v>
      </c>
      <c r="E51" s="127">
        <v>600000</v>
      </c>
      <c r="F51" s="128">
        <v>0</v>
      </c>
      <c r="G51" s="129">
        <f t="shared" si="11"/>
        <v>600000</v>
      </c>
      <c r="H51" s="130">
        <f t="shared" si="12"/>
        <v>33000</v>
      </c>
      <c r="I51" s="153">
        <v>3300</v>
      </c>
      <c r="J51" s="131">
        <f t="shared" si="13"/>
        <v>5.5E-2</v>
      </c>
      <c r="K51" s="131">
        <f t="shared" si="14"/>
        <v>18.181818181818183</v>
      </c>
      <c r="L51" s="115">
        <f t="shared" si="10"/>
        <v>8.581818181818182</v>
      </c>
    </row>
    <row r="52" spans="1:15">
      <c r="A52" s="109" t="s">
        <v>54</v>
      </c>
      <c r="B52" s="124" t="s">
        <v>343</v>
      </c>
      <c r="C52" s="125">
        <v>1200</v>
      </c>
      <c r="D52" s="126" t="s">
        <v>48</v>
      </c>
      <c r="E52" s="127">
        <v>600000</v>
      </c>
      <c r="F52" s="128">
        <v>0</v>
      </c>
      <c r="G52" s="129">
        <f t="shared" si="11"/>
        <v>600000</v>
      </c>
      <c r="H52" s="130">
        <f t="shared" si="12"/>
        <v>33000</v>
      </c>
      <c r="I52" s="153">
        <v>3300</v>
      </c>
      <c r="J52" s="131">
        <f t="shared" si="13"/>
        <v>5.5E-2</v>
      </c>
      <c r="K52" s="131">
        <f t="shared" si="14"/>
        <v>18.181818181818183</v>
      </c>
      <c r="L52" s="115">
        <f t="shared" si="10"/>
        <v>8.581818181818182</v>
      </c>
    </row>
    <row r="53" spans="1:15">
      <c r="A53" s="109" t="s">
        <v>54</v>
      </c>
      <c r="B53" s="124" t="s">
        <v>344</v>
      </c>
      <c r="C53" s="125">
        <v>1250</v>
      </c>
      <c r="D53" s="126" t="s">
        <v>48</v>
      </c>
      <c r="E53" s="127">
        <v>600000</v>
      </c>
      <c r="F53" s="128">
        <v>0</v>
      </c>
      <c r="G53" s="129">
        <f t="shared" si="11"/>
        <v>600000</v>
      </c>
      <c r="H53" s="130">
        <f t="shared" si="12"/>
        <v>33000</v>
      </c>
      <c r="I53" s="153">
        <v>3300</v>
      </c>
      <c r="J53" s="131">
        <f t="shared" si="13"/>
        <v>5.5E-2</v>
      </c>
      <c r="K53" s="131">
        <f t="shared" si="14"/>
        <v>18.181818181818183</v>
      </c>
      <c r="L53" s="115">
        <f t="shared" si="10"/>
        <v>8.581818181818182</v>
      </c>
    </row>
    <row r="54" spans="1:15">
      <c r="A54" s="109" t="s">
        <v>54</v>
      </c>
      <c r="B54" s="124" t="s">
        <v>345</v>
      </c>
      <c r="C54" s="125">
        <v>1300</v>
      </c>
      <c r="D54" s="126" t="s">
        <v>48</v>
      </c>
      <c r="E54" s="127">
        <v>600000</v>
      </c>
      <c r="F54" s="128">
        <v>0</v>
      </c>
      <c r="G54" s="129">
        <f t="shared" si="11"/>
        <v>600000</v>
      </c>
      <c r="H54" s="130">
        <f t="shared" si="12"/>
        <v>33000</v>
      </c>
      <c r="I54" s="153">
        <v>3300</v>
      </c>
      <c r="J54" s="131">
        <f t="shared" si="13"/>
        <v>5.5E-2</v>
      </c>
      <c r="K54" s="131">
        <f t="shared" si="14"/>
        <v>18.181818181818183</v>
      </c>
      <c r="L54" s="115">
        <f t="shared" si="10"/>
        <v>8.581818181818182</v>
      </c>
    </row>
    <row r="55" spans="1:15">
      <c r="A55" s="109" t="s">
        <v>54</v>
      </c>
      <c r="B55" s="124" t="s">
        <v>346</v>
      </c>
      <c r="C55" s="125">
        <v>1350</v>
      </c>
      <c r="D55" s="126" t="s">
        <v>48</v>
      </c>
      <c r="E55" s="127">
        <v>600000</v>
      </c>
      <c r="F55" s="128">
        <v>0</v>
      </c>
      <c r="G55" s="129">
        <f t="shared" si="11"/>
        <v>600000</v>
      </c>
      <c r="H55" s="130">
        <f t="shared" si="12"/>
        <v>33000</v>
      </c>
      <c r="I55" s="153">
        <v>3300</v>
      </c>
      <c r="J55" s="131">
        <f t="shared" si="13"/>
        <v>5.5E-2</v>
      </c>
      <c r="K55" s="131">
        <f t="shared" si="14"/>
        <v>18.181818181818183</v>
      </c>
      <c r="L55" s="115">
        <f t="shared" si="10"/>
        <v>8.581818181818182</v>
      </c>
    </row>
    <row r="56" spans="1:15">
      <c r="A56" s="109" t="s">
        <v>54</v>
      </c>
      <c r="B56" s="124" t="s">
        <v>347</v>
      </c>
      <c r="C56" s="125">
        <v>1400</v>
      </c>
      <c r="D56" s="126" t="s">
        <v>48</v>
      </c>
      <c r="E56" s="127">
        <v>600000</v>
      </c>
      <c r="F56" s="128">
        <v>0</v>
      </c>
      <c r="G56" s="129">
        <f t="shared" si="11"/>
        <v>600000</v>
      </c>
      <c r="H56" s="130">
        <f>I56*10</f>
        <v>33000</v>
      </c>
      <c r="I56" s="153">
        <v>3300</v>
      </c>
      <c r="J56" s="131">
        <f>H56/G56</f>
        <v>5.5E-2</v>
      </c>
      <c r="K56" s="131">
        <f>G56/H56</f>
        <v>18.181818181818183</v>
      </c>
      <c r="L56" s="115">
        <f t="shared" si="10"/>
        <v>8.581818181818182</v>
      </c>
    </row>
    <row r="57" spans="1:15">
      <c r="A57" s="109" t="s">
        <v>54</v>
      </c>
      <c r="B57" s="124" t="s">
        <v>348</v>
      </c>
      <c r="C57" s="125">
        <v>1450</v>
      </c>
      <c r="D57" s="126" t="s">
        <v>48</v>
      </c>
      <c r="E57" s="127">
        <v>600000</v>
      </c>
      <c r="F57" s="128">
        <v>0</v>
      </c>
      <c r="G57" s="129">
        <f t="shared" si="11"/>
        <v>600000</v>
      </c>
      <c r="H57" s="130">
        <f t="shared" si="12"/>
        <v>33000</v>
      </c>
      <c r="I57" s="153">
        <v>3300</v>
      </c>
      <c r="J57" s="131">
        <f t="shared" ref="J57:J58" si="15">H57/G57</f>
        <v>5.5E-2</v>
      </c>
      <c r="K57" s="131">
        <f t="shared" ref="K57:K58" si="16">G57/H57</f>
        <v>18.181818181818183</v>
      </c>
      <c r="L57" s="115">
        <f t="shared" si="10"/>
        <v>8.581818181818182</v>
      </c>
    </row>
    <row r="58" spans="1:15">
      <c r="A58" s="109" t="s">
        <v>54</v>
      </c>
      <c r="B58" s="124" t="s">
        <v>349</v>
      </c>
      <c r="C58" s="125">
        <v>1500</v>
      </c>
      <c r="D58" s="126" t="s">
        <v>48</v>
      </c>
      <c r="E58" s="127">
        <v>600000</v>
      </c>
      <c r="F58" s="128">
        <v>0</v>
      </c>
      <c r="G58" s="129">
        <f t="shared" si="11"/>
        <v>600000</v>
      </c>
      <c r="H58" s="130">
        <f t="shared" si="12"/>
        <v>33000</v>
      </c>
      <c r="I58" s="153">
        <v>3300</v>
      </c>
      <c r="J58" s="131">
        <f t="shared" si="15"/>
        <v>5.5E-2</v>
      </c>
      <c r="K58" s="131">
        <f t="shared" si="16"/>
        <v>18.181818181818183</v>
      </c>
      <c r="L58" s="115">
        <f t="shared" si="10"/>
        <v>8.581818181818182</v>
      </c>
    </row>
    <row r="60" spans="1:15">
      <c r="A60" s="109"/>
      <c r="B60" s="123" t="s">
        <v>350</v>
      </c>
      <c r="C60" s="110"/>
      <c r="D60" s="109" t="s">
        <v>369</v>
      </c>
      <c r="E60" s="111"/>
      <c r="F60" s="112" t="s">
        <v>362</v>
      </c>
      <c r="G60" s="113" t="s">
        <v>403</v>
      </c>
      <c r="H60" s="109"/>
      <c r="I60" s="109"/>
      <c r="J60" s="109"/>
      <c r="K60" s="109"/>
      <c r="L60" s="115"/>
    </row>
    <row r="61" spans="1:15">
      <c r="A61" s="109" t="s">
        <v>54</v>
      </c>
      <c r="B61" s="124" t="s">
        <v>351</v>
      </c>
      <c r="C61">
        <v>1</v>
      </c>
      <c r="D61" s="126" t="s">
        <v>361</v>
      </c>
      <c r="E61" s="127">
        <v>10000</v>
      </c>
      <c r="F61" s="128">
        <v>450</v>
      </c>
      <c r="G61" s="129">
        <f>E61+(F61*200)</f>
        <v>100000</v>
      </c>
      <c r="H61" s="130">
        <f>I61*10</f>
        <v>5500</v>
      </c>
      <c r="I61" s="153">
        <v>550</v>
      </c>
      <c r="J61" s="131">
        <f>H61/G61</f>
        <v>5.5E-2</v>
      </c>
      <c r="K61" s="131">
        <f>G61/H61</f>
        <v>18.181818181818183</v>
      </c>
      <c r="L61" s="115">
        <f t="shared" ref="L61:L70" si="17">K61/K$2</f>
        <v>8.581818181818182</v>
      </c>
      <c r="N61" t="s">
        <v>364</v>
      </c>
      <c r="O61" t="s">
        <v>402</v>
      </c>
    </row>
    <row r="62" spans="1:15">
      <c r="A62" s="109" t="s">
        <v>54</v>
      </c>
      <c r="B62" s="124" t="s">
        <v>352</v>
      </c>
      <c r="C62">
        <v>2</v>
      </c>
      <c r="D62" s="126" t="s">
        <v>361</v>
      </c>
      <c r="E62" s="127">
        <v>10000</v>
      </c>
      <c r="F62" s="128">
        <v>950</v>
      </c>
      <c r="G62" s="129">
        <f t="shared" ref="G62:G70" si="18">E62+(F62*200)</f>
        <v>200000</v>
      </c>
      <c r="H62" s="130">
        <f t="shared" ref="H62:H70" si="19">I62*10</f>
        <v>11000</v>
      </c>
      <c r="I62" s="153">
        <v>1100</v>
      </c>
      <c r="J62" s="131">
        <f t="shared" ref="J62:J70" si="20">H62/G62</f>
        <v>5.5E-2</v>
      </c>
      <c r="K62" s="131">
        <f t="shared" ref="K62:K70" si="21">G62/H62</f>
        <v>18.181818181818183</v>
      </c>
      <c r="L62" s="115">
        <f t="shared" si="17"/>
        <v>8.581818181818182</v>
      </c>
      <c r="N62" t="s">
        <v>365</v>
      </c>
      <c r="O62" t="s">
        <v>368</v>
      </c>
    </row>
    <row r="63" spans="1:15">
      <c r="A63" s="109" t="s">
        <v>54</v>
      </c>
      <c r="B63" s="124" t="s">
        <v>353</v>
      </c>
      <c r="C63">
        <v>3</v>
      </c>
      <c r="D63" s="126" t="s">
        <v>361</v>
      </c>
      <c r="E63" s="127">
        <v>10000</v>
      </c>
      <c r="F63" s="128">
        <v>1950</v>
      </c>
      <c r="G63" s="129">
        <f t="shared" si="18"/>
        <v>400000</v>
      </c>
      <c r="H63" s="130">
        <f t="shared" si="19"/>
        <v>22000</v>
      </c>
      <c r="I63" s="153">
        <v>2200</v>
      </c>
      <c r="J63" s="131">
        <f t="shared" si="20"/>
        <v>5.5E-2</v>
      </c>
      <c r="K63" s="131">
        <f t="shared" si="21"/>
        <v>18.181818181818183</v>
      </c>
      <c r="L63" s="115">
        <f t="shared" si="17"/>
        <v>8.581818181818182</v>
      </c>
    </row>
    <row r="64" spans="1:15">
      <c r="A64" s="109" t="s">
        <v>54</v>
      </c>
      <c r="B64" s="124" t="s">
        <v>354</v>
      </c>
      <c r="C64">
        <v>4</v>
      </c>
      <c r="D64" s="126" t="s">
        <v>361</v>
      </c>
      <c r="E64" s="127">
        <v>10000</v>
      </c>
      <c r="F64" s="128">
        <v>2950</v>
      </c>
      <c r="G64" s="129">
        <f t="shared" si="18"/>
        <v>600000</v>
      </c>
      <c r="H64" s="130">
        <f t="shared" si="19"/>
        <v>33000</v>
      </c>
      <c r="I64" s="153">
        <v>3300</v>
      </c>
      <c r="J64" s="131">
        <f t="shared" si="20"/>
        <v>5.5E-2</v>
      </c>
      <c r="K64" s="131">
        <f t="shared" si="21"/>
        <v>18.181818181818183</v>
      </c>
      <c r="L64" s="115">
        <f t="shared" si="17"/>
        <v>8.581818181818182</v>
      </c>
    </row>
    <row r="65" spans="1:16">
      <c r="A65" s="109" t="s">
        <v>54</v>
      </c>
      <c r="B65" s="124" t="s">
        <v>355</v>
      </c>
      <c r="C65">
        <v>5</v>
      </c>
      <c r="D65" s="126" t="s">
        <v>361</v>
      </c>
      <c r="E65" s="127">
        <v>10000</v>
      </c>
      <c r="F65" s="128">
        <v>2950</v>
      </c>
      <c r="G65" s="129">
        <f t="shared" si="18"/>
        <v>600000</v>
      </c>
      <c r="H65" s="130">
        <f t="shared" si="19"/>
        <v>33000</v>
      </c>
      <c r="I65" s="153">
        <v>3300</v>
      </c>
      <c r="J65" s="131">
        <f t="shared" si="20"/>
        <v>5.5E-2</v>
      </c>
      <c r="K65" s="131">
        <f t="shared" si="21"/>
        <v>18.181818181818183</v>
      </c>
      <c r="L65" s="115">
        <f t="shared" si="17"/>
        <v>8.581818181818182</v>
      </c>
    </row>
    <row r="66" spans="1:16">
      <c r="A66" s="109" t="s">
        <v>54</v>
      </c>
      <c r="B66" s="124" t="s">
        <v>356</v>
      </c>
      <c r="C66">
        <v>6</v>
      </c>
      <c r="D66" s="126" t="s">
        <v>361</v>
      </c>
      <c r="E66" s="127">
        <v>0</v>
      </c>
      <c r="F66" s="128">
        <v>2950</v>
      </c>
      <c r="G66" s="129">
        <f t="shared" si="18"/>
        <v>590000</v>
      </c>
      <c r="H66" s="130">
        <f t="shared" si="19"/>
        <v>33000</v>
      </c>
      <c r="I66" s="153">
        <v>3300</v>
      </c>
      <c r="J66" s="131">
        <f t="shared" si="20"/>
        <v>5.5932203389830508E-2</v>
      </c>
      <c r="K66" s="131">
        <f t="shared" si="21"/>
        <v>17.878787878787879</v>
      </c>
      <c r="L66" s="115">
        <f t="shared" si="17"/>
        <v>8.4387878787878776</v>
      </c>
    </row>
    <row r="67" spans="1:16">
      <c r="A67" s="109" t="s">
        <v>54</v>
      </c>
      <c r="B67" s="124" t="s">
        <v>357</v>
      </c>
      <c r="C67">
        <v>7</v>
      </c>
      <c r="D67" s="126" t="s">
        <v>361</v>
      </c>
      <c r="E67" s="127">
        <v>0</v>
      </c>
      <c r="F67" s="128">
        <v>2950</v>
      </c>
      <c r="G67" s="129">
        <f t="shared" si="18"/>
        <v>590000</v>
      </c>
      <c r="H67" s="130">
        <f t="shared" si="19"/>
        <v>33000</v>
      </c>
      <c r="I67" s="153">
        <v>3300</v>
      </c>
      <c r="J67" s="131">
        <f t="shared" si="20"/>
        <v>5.5932203389830508E-2</v>
      </c>
      <c r="K67" s="131">
        <f t="shared" si="21"/>
        <v>17.878787878787879</v>
      </c>
      <c r="L67" s="115">
        <f t="shared" si="17"/>
        <v>8.4387878787878776</v>
      </c>
    </row>
    <row r="68" spans="1:16">
      <c r="A68" s="109" t="s">
        <v>54</v>
      </c>
      <c r="B68" s="124" t="s">
        <v>358</v>
      </c>
      <c r="C68">
        <v>8</v>
      </c>
      <c r="D68" s="126" t="s">
        <v>361</v>
      </c>
      <c r="E68" s="127">
        <v>0</v>
      </c>
      <c r="F68" s="128">
        <v>2950</v>
      </c>
      <c r="G68" s="129">
        <f t="shared" si="18"/>
        <v>590000</v>
      </c>
      <c r="H68" s="130">
        <f t="shared" si="19"/>
        <v>33000</v>
      </c>
      <c r="I68" s="153">
        <v>3300</v>
      </c>
      <c r="J68" s="131">
        <f t="shared" si="20"/>
        <v>5.5932203389830508E-2</v>
      </c>
      <c r="K68" s="131">
        <f t="shared" si="21"/>
        <v>17.878787878787879</v>
      </c>
      <c r="L68" s="115">
        <f t="shared" si="17"/>
        <v>8.4387878787878776</v>
      </c>
    </row>
    <row r="69" spans="1:16">
      <c r="A69" s="109" t="s">
        <v>54</v>
      </c>
      <c r="B69" s="124" t="s">
        <v>359</v>
      </c>
      <c r="C69">
        <v>9</v>
      </c>
      <c r="D69" s="126" t="s">
        <v>361</v>
      </c>
      <c r="E69" s="127">
        <v>0</v>
      </c>
      <c r="F69" s="128">
        <v>2950</v>
      </c>
      <c r="G69" s="129">
        <f t="shared" si="18"/>
        <v>590000</v>
      </c>
      <c r="H69" s="130">
        <f t="shared" si="19"/>
        <v>33000</v>
      </c>
      <c r="I69" s="153">
        <v>3300</v>
      </c>
      <c r="J69" s="131">
        <f t="shared" si="20"/>
        <v>5.5932203389830508E-2</v>
      </c>
      <c r="K69" s="131">
        <f t="shared" si="21"/>
        <v>17.878787878787879</v>
      </c>
      <c r="L69" s="115">
        <f t="shared" si="17"/>
        <v>8.4387878787878776</v>
      </c>
    </row>
    <row r="70" spans="1:16">
      <c r="A70" s="109" t="s">
        <v>54</v>
      </c>
      <c r="B70" s="124" t="s">
        <v>360</v>
      </c>
      <c r="C70">
        <v>10</v>
      </c>
      <c r="D70" s="126" t="s">
        <v>361</v>
      </c>
      <c r="E70" s="127">
        <v>0</v>
      </c>
      <c r="F70" s="128">
        <v>2950</v>
      </c>
      <c r="G70" s="129">
        <f t="shared" si="18"/>
        <v>590000</v>
      </c>
      <c r="H70" s="130">
        <f t="shared" si="19"/>
        <v>33000</v>
      </c>
      <c r="I70" s="153">
        <v>3300</v>
      </c>
      <c r="J70" s="131">
        <f t="shared" si="20"/>
        <v>5.5932203389830508E-2</v>
      </c>
      <c r="K70" s="131">
        <f t="shared" si="21"/>
        <v>17.878787878787879</v>
      </c>
      <c r="L70" s="115">
        <f t="shared" si="17"/>
        <v>8.4387878787878776</v>
      </c>
    </row>
    <row r="71" spans="1:16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</row>
    <row r="72" spans="1:16">
      <c r="A72" s="109"/>
      <c r="B72" s="123" t="s">
        <v>350</v>
      </c>
      <c r="C72" s="110"/>
      <c r="D72" s="109" t="s">
        <v>369</v>
      </c>
      <c r="E72" s="111"/>
      <c r="F72" s="112" t="s">
        <v>362</v>
      </c>
      <c r="G72" s="113" t="s">
        <v>404</v>
      </c>
      <c r="H72" s="109"/>
      <c r="I72" s="109"/>
      <c r="J72" s="109"/>
      <c r="K72" s="109"/>
      <c r="L72" s="115"/>
      <c r="N72" t="s">
        <v>364</v>
      </c>
      <c r="O72" t="s">
        <v>367</v>
      </c>
      <c r="P72" t="s">
        <v>0</v>
      </c>
    </row>
    <row r="73" spans="1:16">
      <c r="A73" s="109" t="s">
        <v>54</v>
      </c>
      <c r="B73" s="124" t="s">
        <v>351</v>
      </c>
      <c r="C73">
        <v>1</v>
      </c>
      <c r="D73" s="126" t="s">
        <v>361</v>
      </c>
      <c r="E73" s="127">
        <v>10000</v>
      </c>
      <c r="F73" s="128">
        <v>600</v>
      </c>
      <c r="G73" s="129">
        <f>E73+(F73*150)</f>
        <v>100000</v>
      </c>
      <c r="H73" s="130">
        <f>I73*10</f>
        <v>5500</v>
      </c>
      <c r="I73" s="153">
        <v>550</v>
      </c>
      <c r="J73" s="131">
        <f>H73/G73</f>
        <v>5.5E-2</v>
      </c>
      <c r="K73" s="131">
        <f>G73/H73</f>
        <v>18.181818181818183</v>
      </c>
      <c r="L73" s="115">
        <f t="shared" ref="L73:L82" si="22">K73/K$2</f>
        <v>8.581818181818182</v>
      </c>
      <c r="O73">
        <v>1</v>
      </c>
      <c r="P73">
        <v>100</v>
      </c>
    </row>
    <row r="74" spans="1:16">
      <c r="A74" s="109" t="s">
        <v>54</v>
      </c>
      <c r="B74" s="124" t="s">
        <v>352</v>
      </c>
      <c r="C74">
        <v>2</v>
      </c>
      <c r="D74" s="126" t="s">
        <v>361</v>
      </c>
      <c r="E74" s="127">
        <v>10000</v>
      </c>
      <c r="F74" s="128">
        <v>1250</v>
      </c>
      <c r="G74" s="129">
        <f t="shared" ref="G74:G82" si="23">E74+(F74*150)</f>
        <v>197500</v>
      </c>
      <c r="H74" s="130">
        <f t="shared" ref="H74:H82" si="24">I74*10</f>
        <v>11000</v>
      </c>
      <c r="I74" s="153">
        <v>1100</v>
      </c>
      <c r="J74" s="131">
        <f t="shared" ref="J74:J82" si="25">H74/G74</f>
        <v>5.5696202531645568E-2</v>
      </c>
      <c r="K74" s="131">
        <f t="shared" ref="K74:K82" si="26">G74/H74</f>
        <v>17.954545454545453</v>
      </c>
      <c r="L74" s="115">
        <f t="shared" si="22"/>
        <v>8.4745454545454528</v>
      </c>
      <c r="O74">
        <v>2</v>
      </c>
      <c r="P74">
        <v>150</v>
      </c>
    </row>
    <row r="75" spans="1:16">
      <c r="A75" s="109" t="s">
        <v>54</v>
      </c>
      <c r="B75" s="124" t="s">
        <v>353</v>
      </c>
      <c r="C75">
        <v>3</v>
      </c>
      <c r="D75" s="126" t="s">
        <v>361</v>
      </c>
      <c r="E75" s="127">
        <v>10000</v>
      </c>
      <c r="F75" s="128">
        <v>2600</v>
      </c>
      <c r="G75" s="129">
        <f t="shared" si="23"/>
        <v>400000</v>
      </c>
      <c r="H75" s="130">
        <f t="shared" si="24"/>
        <v>22000</v>
      </c>
      <c r="I75" s="153">
        <v>2200</v>
      </c>
      <c r="J75" s="131">
        <f t="shared" si="25"/>
        <v>5.5E-2</v>
      </c>
      <c r="K75" s="131">
        <f t="shared" si="26"/>
        <v>18.181818181818183</v>
      </c>
      <c r="L75" s="115">
        <f t="shared" si="22"/>
        <v>8.581818181818182</v>
      </c>
      <c r="O75">
        <v>3</v>
      </c>
      <c r="P75">
        <v>200</v>
      </c>
    </row>
    <row r="76" spans="1:16">
      <c r="A76" s="109" t="s">
        <v>54</v>
      </c>
      <c r="B76" s="124" t="s">
        <v>354</v>
      </c>
      <c r="C76">
        <v>4</v>
      </c>
      <c r="D76" s="126" t="s">
        <v>361</v>
      </c>
      <c r="E76" s="127">
        <v>10000</v>
      </c>
      <c r="F76" s="128">
        <v>3900</v>
      </c>
      <c r="G76" s="129">
        <f t="shared" si="23"/>
        <v>595000</v>
      </c>
      <c r="H76" s="130">
        <f t="shared" si="24"/>
        <v>33000</v>
      </c>
      <c r="I76" s="153">
        <v>3300</v>
      </c>
      <c r="J76" s="131">
        <f t="shared" si="25"/>
        <v>5.5462184873949577E-2</v>
      </c>
      <c r="K76" s="131">
        <f t="shared" si="26"/>
        <v>18.030303030303031</v>
      </c>
      <c r="L76" s="115">
        <f t="shared" si="22"/>
        <v>8.5103030303030298</v>
      </c>
      <c r="O76">
        <v>4</v>
      </c>
      <c r="P76">
        <v>250</v>
      </c>
    </row>
    <row r="77" spans="1:16">
      <c r="A77" s="109" t="s">
        <v>54</v>
      </c>
      <c r="B77" s="124" t="s">
        <v>355</v>
      </c>
      <c r="C77">
        <v>5</v>
      </c>
      <c r="D77" s="126" t="s">
        <v>361</v>
      </c>
      <c r="E77" s="127">
        <v>10000</v>
      </c>
      <c r="F77" s="128">
        <v>3900</v>
      </c>
      <c r="G77" s="129">
        <f t="shared" si="23"/>
        <v>595000</v>
      </c>
      <c r="H77" s="130">
        <f t="shared" si="24"/>
        <v>33000</v>
      </c>
      <c r="I77" s="153">
        <v>3300</v>
      </c>
      <c r="J77" s="131">
        <f t="shared" si="25"/>
        <v>5.5462184873949577E-2</v>
      </c>
      <c r="K77" s="131">
        <f t="shared" si="26"/>
        <v>18.030303030303031</v>
      </c>
      <c r="L77" s="115">
        <f t="shared" si="22"/>
        <v>8.5103030303030298</v>
      </c>
      <c r="O77">
        <v>5</v>
      </c>
      <c r="P77">
        <v>300</v>
      </c>
    </row>
    <row r="78" spans="1:16">
      <c r="A78" s="109" t="s">
        <v>54</v>
      </c>
      <c r="B78" s="124" t="s">
        <v>356</v>
      </c>
      <c r="C78">
        <v>6</v>
      </c>
      <c r="D78" s="126" t="s">
        <v>361</v>
      </c>
      <c r="E78" s="127">
        <v>0</v>
      </c>
      <c r="F78" s="128">
        <v>3900</v>
      </c>
      <c r="G78" s="129">
        <f t="shared" si="23"/>
        <v>585000</v>
      </c>
      <c r="H78" s="130">
        <f t="shared" si="24"/>
        <v>33000</v>
      </c>
      <c r="I78" s="153">
        <v>3300</v>
      </c>
      <c r="J78" s="131">
        <f t="shared" si="25"/>
        <v>5.6410256410256411E-2</v>
      </c>
      <c r="K78" s="131">
        <f t="shared" si="26"/>
        <v>17.727272727272727</v>
      </c>
      <c r="L78" s="115">
        <f t="shared" si="22"/>
        <v>8.3672727272727272</v>
      </c>
      <c r="O78">
        <v>6</v>
      </c>
      <c r="P78">
        <v>350</v>
      </c>
    </row>
    <row r="79" spans="1:16">
      <c r="A79" s="109" t="s">
        <v>54</v>
      </c>
      <c r="B79" s="124" t="s">
        <v>357</v>
      </c>
      <c r="C79">
        <v>7</v>
      </c>
      <c r="D79" s="126" t="s">
        <v>361</v>
      </c>
      <c r="E79" s="127">
        <v>0</v>
      </c>
      <c r="F79" s="128">
        <v>3900</v>
      </c>
      <c r="G79" s="129">
        <f t="shared" si="23"/>
        <v>585000</v>
      </c>
      <c r="H79" s="130">
        <f t="shared" si="24"/>
        <v>33000</v>
      </c>
      <c r="I79" s="153">
        <v>3300</v>
      </c>
      <c r="J79" s="131">
        <f t="shared" si="25"/>
        <v>5.6410256410256411E-2</v>
      </c>
      <c r="K79" s="131">
        <f t="shared" si="26"/>
        <v>17.727272727272727</v>
      </c>
      <c r="L79" s="115">
        <f t="shared" si="22"/>
        <v>8.3672727272727272</v>
      </c>
      <c r="O79">
        <v>7</v>
      </c>
      <c r="P79">
        <v>400</v>
      </c>
    </row>
    <row r="80" spans="1:16">
      <c r="A80" s="109" t="s">
        <v>54</v>
      </c>
      <c r="B80" s="124" t="s">
        <v>358</v>
      </c>
      <c r="C80">
        <v>8</v>
      </c>
      <c r="D80" s="126" t="s">
        <v>361</v>
      </c>
      <c r="E80" s="127">
        <v>0</v>
      </c>
      <c r="F80" s="128">
        <v>3900</v>
      </c>
      <c r="G80" s="129">
        <f t="shared" si="23"/>
        <v>585000</v>
      </c>
      <c r="H80" s="130">
        <f t="shared" si="24"/>
        <v>33000</v>
      </c>
      <c r="I80" s="153">
        <v>3300</v>
      </c>
      <c r="J80" s="131">
        <f t="shared" si="25"/>
        <v>5.6410256410256411E-2</v>
      </c>
      <c r="K80" s="131">
        <f t="shared" si="26"/>
        <v>17.727272727272727</v>
      </c>
      <c r="L80" s="115">
        <f t="shared" si="22"/>
        <v>8.3672727272727272</v>
      </c>
      <c r="O80">
        <v>8</v>
      </c>
      <c r="P80">
        <v>450</v>
      </c>
    </row>
    <row r="81" spans="1:16">
      <c r="A81" s="109" t="s">
        <v>54</v>
      </c>
      <c r="B81" s="124" t="s">
        <v>359</v>
      </c>
      <c r="C81">
        <v>9</v>
      </c>
      <c r="D81" s="126" t="s">
        <v>361</v>
      </c>
      <c r="E81" s="127">
        <v>0</v>
      </c>
      <c r="F81" s="128">
        <v>3900</v>
      </c>
      <c r="G81" s="129">
        <f t="shared" si="23"/>
        <v>585000</v>
      </c>
      <c r="H81" s="130">
        <f t="shared" si="24"/>
        <v>33000</v>
      </c>
      <c r="I81" s="153">
        <v>3300</v>
      </c>
      <c r="J81" s="131">
        <f t="shared" si="25"/>
        <v>5.6410256410256411E-2</v>
      </c>
      <c r="K81" s="131">
        <f t="shared" si="26"/>
        <v>17.727272727272727</v>
      </c>
      <c r="L81" s="115">
        <f t="shared" si="22"/>
        <v>8.3672727272727272</v>
      </c>
      <c r="O81">
        <v>9</v>
      </c>
      <c r="P81">
        <v>500</v>
      </c>
    </row>
    <row r="82" spans="1:16">
      <c r="A82" s="109" t="s">
        <v>54</v>
      </c>
      <c r="B82" s="124" t="s">
        <v>360</v>
      </c>
      <c r="C82">
        <v>10</v>
      </c>
      <c r="D82" s="126" t="s">
        <v>361</v>
      </c>
      <c r="E82" s="127">
        <v>0</v>
      </c>
      <c r="F82" s="128">
        <v>3900</v>
      </c>
      <c r="G82" s="129">
        <f t="shared" si="23"/>
        <v>585000</v>
      </c>
      <c r="H82" s="130">
        <f t="shared" si="24"/>
        <v>33000</v>
      </c>
      <c r="I82" s="153">
        <v>3300</v>
      </c>
      <c r="J82" s="131">
        <f t="shared" si="25"/>
        <v>5.6410256410256411E-2</v>
      </c>
      <c r="K82" s="131">
        <f t="shared" si="26"/>
        <v>17.727272727272727</v>
      </c>
      <c r="L82" s="115">
        <f t="shared" si="22"/>
        <v>8.3672727272727272</v>
      </c>
      <c r="O82">
        <v>10</v>
      </c>
      <c r="P82">
        <v>550</v>
      </c>
    </row>
    <row r="86" spans="1:16">
      <c r="A86" s="109"/>
      <c r="B86" s="123" t="s">
        <v>371</v>
      </c>
      <c r="C86" s="110"/>
      <c r="D86" s="109" t="s">
        <v>370</v>
      </c>
      <c r="E86" s="111"/>
      <c r="F86" s="112" t="s">
        <v>365</v>
      </c>
      <c r="G86" s="113"/>
      <c r="H86" s="109"/>
      <c r="I86" s="109"/>
      <c r="J86" s="109"/>
      <c r="K86" s="109"/>
      <c r="L86" s="115"/>
    </row>
    <row r="87" spans="1:16">
      <c r="A87" s="109" t="s">
        <v>54</v>
      </c>
      <c r="B87" s="124" t="s">
        <v>372</v>
      </c>
      <c r="C87" s="135">
        <v>30</v>
      </c>
      <c r="D87" s="126" t="s">
        <v>366</v>
      </c>
      <c r="E87" s="127">
        <v>10000</v>
      </c>
      <c r="F87" s="128">
        <v>3</v>
      </c>
      <c r="G87" s="129">
        <f>E87+(F87*30000)</f>
        <v>100000</v>
      </c>
      <c r="H87" s="130">
        <f>I87*10</f>
        <v>5500</v>
      </c>
      <c r="I87" s="153">
        <v>550</v>
      </c>
      <c r="J87" s="131">
        <f>H87/G87</f>
        <v>5.5E-2</v>
      </c>
      <c r="K87" s="131">
        <f>G87/H87</f>
        <v>18.181818181818183</v>
      </c>
      <c r="L87" s="115">
        <f t="shared" ref="L87:L116" si="27">K87/K$2</f>
        <v>8.581818181818182</v>
      </c>
    </row>
    <row r="88" spans="1:16">
      <c r="A88" s="109" t="s">
        <v>54</v>
      </c>
      <c r="B88" s="124" t="s">
        <v>373</v>
      </c>
      <c r="C88" s="135">
        <v>60</v>
      </c>
      <c r="D88" s="126" t="s">
        <v>366</v>
      </c>
      <c r="E88" s="127">
        <v>20000</v>
      </c>
      <c r="F88" s="128">
        <v>6</v>
      </c>
      <c r="G88" s="129">
        <f t="shared" ref="G88:G116" si="28">E88+(F88*30000)</f>
        <v>200000</v>
      </c>
      <c r="H88" s="130">
        <f t="shared" ref="H88:H116" si="29">I88*10</f>
        <v>11000</v>
      </c>
      <c r="I88" s="153">
        <v>1100</v>
      </c>
      <c r="J88" s="131">
        <f t="shared" ref="J88:J112" si="30">H88/G88</f>
        <v>5.5E-2</v>
      </c>
      <c r="K88" s="131">
        <f t="shared" ref="K88:K112" si="31">G88/H88</f>
        <v>18.181818181818183</v>
      </c>
      <c r="L88" s="115">
        <f t="shared" si="27"/>
        <v>8.581818181818182</v>
      </c>
    </row>
    <row r="89" spans="1:16">
      <c r="A89" s="109" t="s">
        <v>54</v>
      </c>
      <c r="B89" s="124" t="s">
        <v>374</v>
      </c>
      <c r="C89" s="135">
        <v>90</v>
      </c>
      <c r="D89" s="126" t="s">
        <v>366</v>
      </c>
      <c r="E89" s="127">
        <v>30000</v>
      </c>
      <c r="F89" s="128">
        <v>12</v>
      </c>
      <c r="G89" s="129">
        <f t="shared" si="28"/>
        <v>390000</v>
      </c>
      <c r="H89" s="130">
        <f t="shared" si="29"/>
        <v>22000</v>
      </c>
      <c r="I89" s="153">
        <v>2200</v>
      </c>
      <c r="J89" s="131">
        <f t="shared" si="30"/>
        <v>5.6410256410256411E-2</v>
      </c>
      <c r="K89" s="131">
        <f t="shared" si="31"/>
        <v>17.727272727272727</v>
      </c>
      <c r="L89" s="115">
        <f t="shared" si="27"/>
        <v>8.3672727272727272</v>
      </c>
    </row>
    <row r="90" spans="1:16">
      <c r="A90" s="109" t="s">
        <v>54</v>
      </c>
      <c r="B90" s="124" t="s">
        <v>375</v>
      </c>
      <c r="C90" s="135">
        <v>120</v>
      </c>
      <c r="D90" s="126" t="s">
        <v>366</v>
      </c>
      <c r="E90" s="127">
        <v>50000</v>
      </c>
      <c r="F90" s="128">
        <v>18</v>
      </c>
      <c r="G90" s="129">
        <f t="shared" si="28"/>
        <v>590000</v>
      </c>
      <c r="H90" s="130">
        <f t="shared" si="29"/>
        <v>33000</v>
      </c>
      <c r="I90" s="153">
        <v>3300</v>
      </c>
      <c r="J90" s="131">
        <f t="shared" si="30"/>
        <v>5.5932203389830508E-2</v>
      </c>
      <c r="K90" s="131">
        <f t="shared" si="31"/>
        <v>17.878787878787879</v>
      </c>
      <c r="L90" s="115">
        <f t="shared" si="27"/>
        <v>8.4387878787878776</v>
      </c>
    </row>
    <row r="91" spans="1:16">
      <c r="A91" s="109" t="s">
        <v>54</v>
      </c>
      <c r="B91" s="124" t="s">
        <v>376</v>
      </c>
      <c r="C91" s="135">
        <v>150</v>
      </c>
      <c r="D91" s="126" t="s">
        <v>366</v>
      </c>
      <c r="E91" s="127">
        <v>50000</v>
      </c>
      <c r="F91" s="128">
        <v>18</v>
      </c>
      <c r="G91" s="129">
        <f t="shared" si="28"/>
        <v>590000</v>
      </c>
      <c r="H91" s="130">
        <f t="shared" si="29"/>
        <v>33000</v>
      </c>
      <c r="I91" s="153">
        <v>3300</v>
      </c>
      <c r="J91" s="131">
        <f t="shared" si="30"/>
        <v>5.5932203389830508E-2</v>
      </c>
      <c r="K91" s="131">
        <f t="shared" si="31"/>
        <v>17.878787878787879</v>
      </c>
      <c r="L91" s="115">
        <f t="shared" si="27"/>
        <v>8.4387878787878776</v>
      </c>
    </row>
    <row r="92" spans="1:16">
      <c r="A92" s="109" t="s">
        <v>54</v>
      </c>
      <c r="B92" s="124" t="s">
        <v>377</v>
      </c>
      <c r="C92" s="135">
        <v>180</v>
      </c>
      <c r="D92" s="126" t="s">
        <v>366</v>
      </c>
      <c r="E92" s="127">
        <v>50000</v>
      </c>
      <c r="F92" s="128">
        <v>18</v>
      </c>
      <c r="G92" s="129">
        <f t="shared" si="28"/>
        <v>590000</v>
      </c>
      <c r="H92" s="130">
        <f t="shared" si="29"/>
        <v>33000</v>
      </c>
      <c r="I92" s="153">
        <v>3300</v>
      </c>
      <c r="J92" s="131">
        <f t="shared" si="30"/>
        <v>5.5932203389830508E-2</v>
      </c>
      <c r="K92" s="131">
        <f t="shared" si="31"/>
        <v>17.878787878787879</v>
      </c>
      <c r="L92" s="115">
        <f t="shared" si="27"/>
        <v>8.4387878787878776</v>
      </c>
    </row>
    <row r="93" spans="1:16">
      <c r="A93" s="109" t="s">
        <v>54</v>
      </c>
      <c r="B93" s="124" t="s">
        <v>378</v>
      </c>
      <c r="C93" s="135">
        <v>210</v>
      </c>
      <c r="D93" s="126" t="s">
        <v>366</v>
      </c>
      <c r="E93" s="127">
        <v>50000</v>
      </c>
      <c r="F93" s="128">
        <v>18</v>
      </c>
      <c r="G93" s="129">
        <f t="shared" si="28"/>
        <v>590000</v>
      </c>
      <c r="H93" s="130">
        <f t="shared" si="29"/>
        <v>33000</v>
      </c>
      <c r="I93" s="153">
        <v>3300</v>
      </c>
      <c r="J93" s="131">
        <f t="shared" si="30"/>
        <v>5.5932203389830508E-2</v>
      </c>
      <c r="K93" s="131">
        <f t="shared" si="31"/>
        <v>17.878787878787879</v>
      </c>
      <c r="L93" s="115">
        <f t="shared" si="27"/>
        <v>8.4387878787878776</v>
      </c>
    </row>
    <row r="94" spans="1:16">
      <c r="A94" s="109" t="s">
        <v>54</v>
      </c>
      <c r="B94" s="124" t="s">
        <v>379</v>
      </c>
      <c r="C94" s="135">
        <v>240</v>
      </c>
      <c r="D94" s="126" t="s">
        <v>366</v>
      </c>
      <c r="E94" s="127">
        <v>50000</v>
      </c>
      <c r="F94" s="128">
        <v>18</v>
      </c>
      <c r="G94" s="129">
        <f t="shared" si="28"/>
        <v>590000</v>
      </c>
      <c r="H94" s="130">
        <f t="shared" si="29"/>
        <v>33000</v>
      </c>
      <c r="I94" s="153">
        <v>3300</v>
      </c>
      <c r="J94" s="131">
        <f t="shared" si="30"/>
        <v>5.5932203389830508E-2</v>
      </c>
      <c r="K94" s="131">
        <f t="shared" si="31"/>
        <v>17.878787878787879</v>
      </c>
      <c r="L94" s="115">
        <f t="shared" si="27"/>
        <v>8.4387878787878776</v>
      </c>
    </row>
    <row r="95" spans="1:16">
      <c r="A95" s="109" t="s">
        <v>54</v>
      </c>
      <c r="B95" s="124" t="s">
        <v>380</v>
      </c>
      <c r="C95" s="135">
        <v>270</v>
      </c>
      <c r="D95" s="126" t="s">
        <v>366</v>
      </c>
      <c r="E95" s="127">
        <v>50000</v>
      </c>
      <c r="F95" s="128">
        <v>18</v>
      </c>
      <c r="G95" s="129">
        <f t="shared" si="28"/>
        <v>590000</v>
      </c>
      <c r="H95" s="130">
        <f t="shared" si="29"/>
        <v>33000</v>
      </c>
      <c r="I95" s="153">
        <v>3300</v>
      </c>
      <c r="J95" s="131">
        <f t="shared" si="30"/>
        <v>5.5932203389830508E-2</v>
      </c>
      <c r="K95" s="131">
        <f t="shared" si="31"/>
        <v>17.878787878787879</v>
      </c>
      <c r="L95" s="115">
        <f t="shared" si="27"/>
        <v>8.4387878787878776</v>
      </c>
    </row>
    <row r="96" spans="1:16">
      <c r="A96" s="109" t="s">
        <v>54</v>
      </c>
      <c r="B96" s="124" t="s">
        <v>381</v>
      </c>
      <c r="C96" s="135">
        <v>300</v>
      </c>
      <c r="D96" s="126" t="s">
        <v>366</v>
      </c>
      <c r="E96" s="127">
        <v>50000</v>
      </c>
      <c r="F96" s="128">
        <v>18</v>
      </c>
      <c r="G96" s="129">
        <f t="shared" si="28"/>
        <v>590000</v>
      </c>
      <c r="H96" s="130">
        <f t="shared" si="29"/>
        <v>33000</v>
      </c>
      <c r="I96" s="153">
        <v>3300</v>
      </c>
      <c r="J96" s="131">
        <f t="shared" si="30"/>
        <v>5.5932203389830508E-2</v>
      </c>
      <c r="K96" s="131">
        <f t="shared" si="31"/>
        <v>17.878787878787879</v>
      </c>
      <c r="L96" s="115">
        <f t="shared" si="27"/>
        <v>8.4387878787878776</v>
      </c>
    </row>
    <row r="97" spans="1:12">
      <c r="A97" s="109" t="s">
        <v>54</v>
      </c>
      <c r="B97" s="124" t="s">
        <v>382</v>
      </c>
      <c r="C97" s="135">
        <v>330</v>
      </c>
      <c r="D97" s="126" t="s">
        <v>366</v>
      </c>
      <c r="E97" s="127">
        <v>50000</v>
      </c>
      <c r="F97" s="128">
        <v>18</v>
      </c>
      <c r="G97" s="129">
        <f t="shared" si="28"/>
        <v>590000</v>
      </c>
      <c r="H97" s="130">
        <f t="shared" si="29"/>
        <v>33000</v>
      </c>
      <c r="I97" s="153">
        <v>3300</v>
      </c>
      <c r="J97" s="131">
        <f t="shared" si="30"/>
        <v>5.5932203389830508E-2</v>
      </c>
      <c r="K97" s="131">
        <f t="shared" si="31"/>
        <v>17.878787878787879</v>
      </c>
      <c r="L97" s="115">
        <f t="shared" si="27"/>
        <v>8.4387878787878776</v>
      </c>
    </row>
    <row r="98" spans="1:12">
      <c r="A98" s="109" t="s">
        <v>54</v>
      </c>
      <c r="B98" s="124" t="s">
        <v>383</v>
      </c>
      <c r="C98" s="135">
        <v>360</v>
      </c>
      <c r="D98" s="126" t="s">
        <v>366</v>
      </c>
      <c r="E98" s="127">
        <v>50000</v>
      </c>
      <c r="F98" s="128">
        <v>18</v>
      </c>
      <c r="G98" s="129">
        <f t="shared" si="28"/>
        <v>590000</v>
      </c>
      <c r="H98" s="130">
        <f t="shared" si="29"/>
        <v>33000</v>
      </c>
      <c r="I98" s="153">
        <v>3300</v>
      </c>
      <c r="J98" s="131">
        <f t="shared" si="30"/>
        <v>5.5932203389830508E-2</v>
      </c>
      <c r="K98" s="131">
        <f t="shared" si="31"/>
        <v>17.878787878787879</v>
      </c>
      <c r="L98" s="115">
        <f t="shared" si="27"/>
        <v>8.4387878787878776</v>
      </c>
    </row>
    <row r="99" spans="1:12">
      <c r="A99" s="109" t="s">
        <v>54</v>
      </c>
      <c r="B99" s="124" t="s">
        <v>384</v>
      </c>
      <c r="C99" s="135">
        <v>390</v>
      </c>
      <c r="D99" s="126" t="s">
        <v>366</v>
      </c>
      <c r="E99" s="127">
        <v>50000</v>
      </c>
      <c r="F99" s="128">
        <v>18</v>
      </c>
      <c r="G99" s="129">
        <f t="shared" si="28"/>
        <v>590000</v>
      </c>
      <c r="H99" s="130">
        <f t="shared" si="29"/>
        <v>33000</v>
      </c>
      <c r="I99" s="153">
        <v>3300</v>
      </c>
      <c r="J99" s="131">
        <f t="shared" si="30"/>
        <v>5.5932203389830508E-2</v>
      </c>
      <c r="K99" s="131">
        <f t="shared" si="31"/>
        <v>17.878787878787879</v>
      </c>
      <c r="L99" s="115">
        <f t="shared" si="27"/>
        <v>8.4387878787878776</v>
      </c>
    </row>
    <row r="100" spans="1:12">
      <c r="A100" s="109" t="s">
        <v>54</v>
      </c>
      <c r="B100" s="124" t="s">
        <v>385</v>
      </c>
      <c r="C100" s="135">
        <v>420</v>
      </c>
      <c r="D100" s="126" t="s">
        <v>366</v>
      </c>
      <c r="E100" s="127">
        <v>50000</v>
      </c>
      <c r="F100" s="128">
        <v>18</v>
      </c>
      <c r="G100" s="129">
        <f t="shared" si="28"/>
        <v>590000</v>
      </c>
      <c r="H100" s="130">
        <f t="shared" si="29"/>
        <v>33000</v>
      </c>
      <c r="I100" s="153">
        <v>3300</v>
      </c>
      <c r="J100" s="131">
        <f t="shared" si="30"/>
        <v>5.5932203389830508E-2</v>
      </c>
      <c r="K100" s="131">
        <f t="shared" si="31"/>
        <v>17.878787878787879</v>
      </c>
      <c r="L100" s="115">
        <f t="shared" si="27"/>
        <v>8.4387878787878776</v>
      </c>
    </row>
    <row r="101" spans="1:12">
      <c r="A101" s="109" t="s">
        <v>54</v>
      </c>
      <c r="B101" s="124" t="s">
        <v>386</v>
      </c>
      <c r="C101" s="135">
        <v>450</v>
      </c>
      <c r="D101" s="126" t="s">
        <v>366</v>
      </c>
      <c r="E101" s="127">
        <v>50000</v>
      </c>
      <c r="F101" s="128">
        <v>18</v>
      </c>
      <c r="G101" s="129">
        <f t="shared" si="28"/>
        <v>590000</v>
      </c>
      <c r="H101" s="130">
        <f t="shared" si="29"/>
        <v>33000</v>
      </c>
      <c r="I101" s="153">
        <v>3300</v>
      </c>
      <c r="J101" s="131">
        <f t="shared" si="30"/>
        <v>5.5932203389830508E-2</v>
      </c>
      <c r="K101" s="131">
        <f t="shared" si="31"/>
        <v>17.878787878787879</v>
      </c>
      <c r="L101" s="115">
        <f t="shared" si="27"/>
        <v>8.4387878787878776</v>
      </c>
    </row>
    <row r="102" spans="1:12">
      <c r="A102" s="109" t="s">
        <v>54</v>
      </c>
      <c r="B102" s="124" t="s">
        <v>387</v>
      </c>
      <c r="C102" s="135">
        <v>480</v>
      </c>
      <c r="D102" s="126" t="s">
        <v>366</v>
      </c>
      <c r="E102" s="127">
        <v>50000</v>
      </c>
      <c r="F102" s="128">
        <v>18</v>
      </c>
      <c r="G102" s="129">
        <f t="shared" si="28"/>
        <v>590000</v>
      </c>
      <c r="H102" s="130">
        <f t="shared" si="29"/>
        <v>33000</v>
      </c>
      <c r="I102" s="153">
        <v>3300</v>
      </c>
      <c r="J102" s="131">
        <f t="shared" si="30"/>
        <v>5.5932203389830508E-2</v>
      </c>
      <c r="K102" s="131">
        <f t="shared" si="31"/>
        <v>17.878787878787879</v>
      </c>
      <c r="L102" s="115">
        <f t="shared" si="27"/>
        <v>8.4387878787878776</v>
      </c>
    </row>
    <row r="103" spans="1:12">
      <c r="A103" s="109" t="s">
        <v>54</v>
      </c>
      <c r="B103" s="124" t="s">
        <v>388</v>
      </c>
      <c r="C103" s="135">
        <v>510</v>
      </c>
      <c r="D103" s="126" t="s">
        <v>366</v>
      </c>
      <c r="E103" s="127">
        <v>50000</v>
      </c>
      <c r="F103" s="128">
        <v>18</v>
      </c>
      <c r="G103" s="129">
        <f t="shared" si="28"/>
        <v>590000</v>
      </c>
      <c r="H103" s="130">
        <f t="shared" si="29"/>
        <v>33000</v>
      </c>
      <c r="I103" s="153">
        <v>3300</v>
      </c>
      <c r="J103" s="131">
        <f t="shared" si="30"/>
        <v>5.5932203389830508E-2</v>
      </c>
      <c r="K103" s="131">
        <f t="shared" si="31"/>
        <v>17.878787878787879</v>
      </c>
      <c r="L103" s="115">
        <f t="shared" si="27"/>
        <v>8.4387878787878776</v>
      </c>
    </row>
    <row r="104" spans="1:12">
      <c r="A104" s="109" t="s">
        <v>54</v>
      </c>
      <c r="B104" s="124" t="s">
        <v>389</v>
      </c>
      <c r="C104" s="135">
        <v>540</v>
      </c>
      <c r="D104" s="126" t="s">
        <v>366</v>
      </c>
      <c r="E104" s="127">
        <v>50000</v>
      </c>
      <c r="F104" s="128">
        <v>18</v>
      </c>
      <c r="G104" s="129">
        <f t="shared" si="28"/>
        <v>590000</v>
      </c>
      <c r="H104" s="130">
        <f t="shared" si="29"/>
        <v>33000</v>
      </c>
      <c r="I104" s="153">
        <v>3300</v>
      </c>
      <c r="J104" s="131">
        <f t="shared" si="30"/>
        <v>5.5932203389830508E-2</v>
      </c>
      <c r="K104" s="131">
        <f t="shared" si="31"/>
        <v>17.878787878787879</v>
      </c>
      <c r="L104" s="115">
        <f t="shared" si="27"/>
        <v>8.4387878787878776</v>
      </c>
    </row>
    <row r="105" spans="1:12">
      <c r="A105" s="109" t="s">
        <v>54</v>
      </c>
      <c r="B105" s="124" t="s">
        <v>390</v>
      </c>
      <c r="C105" s="135">
        <v>570</v>
      </c>
      <c r="D105" s="126" t="s">
        <v>366</v>
      </c>
      <c r="E105" s="127">
        <v>50000</v>
      </c>
      <c r="F105" s="128">
        <v>18</v>
      </c>
      <c r="G105" s="129">
        <f t="shared" si="28"/>
        <v>590000</v>
      </c>
      <c r="H105" s="130">
        <f t="shared" si="29"/>
        <v>33000</v>
      </c>
      <c r="I105" s="153">
        <v>3300</v>
      </c>
      <c r="J105" s="131">
        <f t="shared" si="30"/>
        <v>5.5932203389830508E-2</v>
      </c>
      <c r="K105" s="131">
        <f t="shared" si="31"/>
        <v>17.878787878787879</v>
      </c>
      <c r="L105" s="115">
        <f t="shared" si="27"/>
        <v>8.4387878787878776</v>
      </c>
    </row>
    <row r="106" spans="1:12">
      <c r="A106" s="109" t="s">
        <v>54</v>
      </c>
      <c r="B106" s="124" t="s">
        <v>391</v>
      </c>
      <c r="C106" s="135">
        <v>600</v>
      </c>
      <c r="D106" s="126" t="s">
        <v>366</v>
      </c>
      <c r="E106" s="127">
        <v>50000</v>
      </c>
      <c r="F106" s="128">
        <v>18</v>
      </c>
      <c r="G106" s="129">
        <f t="shared" si="28"/>
        <v>590000</v>
      </c>
      <c r="H106" s="130">
        <f t="shared" si="29"/>
        <v>33000</v>
      </c>
      <c r="I106" s="153">
        <v>3300</v>
      </c>
      <c r="J106" s="131">
        <f t="shared" si="30"/>
        <v>5.5932203389830508E-2</v>
      </c>
      <c r="K106" s="131">
        <f t="shared" si="31"/>
        <v>17.878787878787879</v>
      </c>
      <c r="L106" s="115">
        <f t="shared" si="27"/>
        <v>8.4387878787878776</v>
      </c>
    </row>
    <row r="107" spans="1:12">
      <c r="A107" s="109" t="s">
        <v>54</v>
      </c>
      <c r="B107" s="124" t="s">
        <v>392</v>
      </c>
      <c r="C107" s="135">
        <v>630</v>
      </c>
      <c r="D107" s="126" t="s">
        <v>366</v>
      </c>
      <c r="E107" s="127">
        <v>50000</v>
      </c>
      <c r="F107" s="128">
        <v>18</v>
      </c>
      <c r="G107" s="129">
        <f t="shared" si="28"/>
        <v>590000</v>
      </c>
      <c r="H107" s="130">
        <f t="shared" si="29"/>
        <v>33000</v>
      </c>
      <c r="I107" s="153">
        <v>3300</v>
      </c>
      <c r="J107" s="131">
        <f t="shared" si="30"/>
        <v>5.5932203389830508E-2</v>
      </c>
      <c r="K107" s="131">
        <f t="shared" si="31"/>
        <v>17.878787878787879</v>
      </c>
      <c r="L107" s="115">
        <f t="shared" si="27"/>
        <v>8.4387878787878776</v>
      </c>
    </row>
    <row r="108" spans="1:12">
      <c r="A108" s="109" t="s">
        <v>54</v>
      </c>
      <c r="B108" s="124" t="s">
        <v>393</v>
      </c>
      <c r="C108" s="135">
        <v>660</v>
      </c>
      <c r="D108" s="126" t="s">
        <v>366</v>
      </c>
      <c r="E108" s="127">
        <v>50000</v>
      </c>
      <c r="F108" s="128">
        <v>18</v>
      </c>
      <c r="G108" s="129">
        <f t="shared" si="28"/>
        <v>590000</v>
      </c>
      <c r="H108" s="130">
        <f t="shared" si="29"/>
        <v>33000</v>
      </c>
      <c r="I108" s="153">
        <v>3300</v>
      </c>
      <c r="J108" s="131">
        <f t="shared" si="30"/>
        <v>5.5932203389830508E-2</v>
      </c>
      <c r="K108" s="131">
        <f t="shared" si="31"/>
        <v>17.878787878787879</v>
      </c>
      <c r="L108" s="115">
        <f t="shared" si="27"/>
        <v>8.4387878787878776</v>
      </c>
    </row>
    <row r="109" spans="1:12">
      <c r="A109" s="109" t="s">
        <v>54</v>
      </c>
      <c r="B109" s="124" t="s">
        <v>394</v>
      </c>
      <c r="C109" s="135">
        <v>690</v>
      </c>
      <c r="D109" s="126" t="s">
        <v>366</v>
      </c>
      <c r="E109" s="127">
        <v>50000</v>
      </c>
      <c r="F109" s="128">
        <v>18</v>
      </c>
      <c r="G109" s="129">
        <f t="shared" si="28"/>
        <v>590000</v>
      </c>
      <c r="H109" s="130">
        <f t="shared" si="29"/>
        <v>33000</v>
      </c>
      <c r="I109" s="153">
        <v>3300</v>
      </c>
      <c r="J109" s="131">
        <f t="shared" si="30"/>
        <v>5.5932203389830508E-2</v>
      </c>
      <c r="K109" s="131">
        <f t="shared" si="31"/>
        <v>17.878787878787879</v>
      </c>
      <c r="L109" s="115">
        <f t="shared" si="27"/>
        <v>8.4387878787878776</v>
      </c>
    </row>
    <row r="110" spans="1:12">
      <c r="A110" s="109" t="s">
        <v>54</v>
      </c>
      <c r="B110" s="124" t="s">
        <v>395</v>
      </c>
      <c r="C110" s="135">
        <v>720</v>
      </c>
      <c r="D110" s="126" t="s">
        <v>366</v>
      </c>
      <c r="E110" s="127">
        <v>50000</v>
      </c>
      <c r="F110" s="128">
        <v>18</v>
      </c>
      <c r="G110" s="129">
        <f t="shared" si="28"/>
        <v>590000</v>
      </c>
      <c r="H110" s="130">
        <f t="shared" si="29"/>
        <v>33000</v>
      </c>
      <c r="I110" s="153">
        <v>3300</v>
      </c>
      <c r="J110" s="131">
        <f t="shared" si="30"/>
        <v>5.5932203389830508E-2</v>
      </c>
      <c r="K110" s="131">
        <f t="shared" si="31"/>
        <v>17.878787878787879</v>
      </c>
      <c r="L110" s="115">
        <f t="shared" si="27"/>
        <v>8.4387878787878776</v>
      </c>
    </row>
    <row r="111" spans="1:12">
      <c r="A111" s="109" t="s">
        <v>54</v>
      </c>
      <c r="B111" s="124" t="s">
        <v>396</v>
      </c>
      <c r="C111" s="135">
        <v>750</v>
      </c>
      <c r="D111" s="126" t="s">
        <v>366</v>
      </c>
      <c r="E111" s="127">
        <v>50000</v>
      </c>
      <c r="F111" s="128">
        <v>18</v>
      </c>
      <c r="G111" s="129">
        <f t="shared" si="28"/>
        <v>590000</v>
      </c>
      <c r="H111" s="130">
        <f t="shared" si="29"/>
        <v>33000</v>
      </c>
      <c r="I111" s="153">
        <v>3300</v>
      </c>
      <c r="J111" s="131">
        <f t="shared" si="30"/>
        <v>5.5932203389830508E-2</v>
      </c>
      <c r="K111" s="131">
        <f t="shared" si="31"/>
        <v>17.878787878787879</v>
      </c>
      <c r="L111" s="115">
        <f t="shared" si="27"/>
        <v>8.4387878787878776</v>
      </c>
    </row>
    <row r="112" spans="1:12">
      <c r="A112" s="109" t="s">
        <v>54</v>
      </c>
      <c r="B112" s="124" t="s">
        <v>397</v>
      </c>
      <c r="C112" s="135">
        <v>780</v>
      </c>
      <c r="D112" s="126" t="s">
        <v>366</v>
      </c>
      <c r="E112" s="127">
        <v>50000</v>
      </c>
      <c r="F112" s="128">
        <v>18</v>
      </c>
      <c r="G112" s="129">
        <f t="shared" si="28"/>
        <v>590000</v>
      </c>
      <c r="H112" s="130">
        <f t="shared" si="29"/>
        <v>33000</v>
      </c>
      <c r="I112" s="153">
        <v>3300</v>
      </c>
      <c r="J112" s="131">
        <f t="shared" si="30"/>
        <v>5.5932203389830508E-2</v>
      </c>
      <c r="K112" s="131">
        <f t="shared" si="31"/>
        <v>17.878787878787879</v>
      </c>
      <c r="L112" s="115">
        <f t="shared" si="27"/>
        <v>8.4387878787878776</v>
      </c>
    </row>
    <row r="113" spans="1:12">
      <c r="A113" s="109" t="s">
        <v>54</v>
      </c>
      <c r="B113" s="124" t="s">
        <v>398</v>
      </c>
      <c r="C113" s="135">
        <v>810</v>
      </c>
      <c r="D113" s="126" t="s">
        <v>366</v>
      </c>
      <c r="E113" s="127">
        <v>50000</v>
      </c>
      <c r="F113" s="128">
        <v>18</v>
      </c>
      <c r="G113" s="129">
        <f t="shared" si="28"/>
        <v>590000</v>
      </c>
      <c r="H113" s="130">
        <f>I113*10</f>
        <v>33000</v>
      </c>
      <c r="I113" s="153">
        <v>3300</v>
      </c>
      <c r="J113" s="131">
        <f>H113/G113</f>
        <v>5.5932203389830508E-2</v>
      </c>
      <c r="K113" s="131">
        <f>G113/H113</f>
        <v>17.878787878787879</v>
      </c>
      <c r="L113" s="115">
        <f t="shared" si="27"/>
        <v>8.4387878787878776</v>
      </c>
    </row>
    <row r="114" spans="1:12">
      <c r="A114" s="109" t="s">
        <v>54</v>
      </c>
      <c r="B114" s="124" t="s">
        <v>399</v>
      </c>
      <c r="C114" s="135">
        <v>840</v>
      </c>
      <c r="D114" s="126" t="s">
        <v>366</v>
      </c>
      <c r="E114" s="127">
        <v>50000</v>
      </c>
      <c r="F114" s="128">
        <v>18</v>
      </c>
      <c r="G114" s="129">
        <f t="shared" si="28"/>
        <v>590000</v>
      </c>
      <c r="H114" s="130">
        <f t="shared" si="29"/>
        <v>33000</v>
      </c>
      <c r="I114" s="153">
        <v>3300</v>
      </c>
      <c r="J114" s="131">
        <f t="shared" ref="J114:J116" si="32">H114/G114</f>
        <v>5.5932203389830508E-2</v>
      </c>
      <c r="K114" s="131">
        <f t="shared" ref="K114:K116" si="33">G114/H114</f>
        <v>17.878787878787879</v>
      </c>
      <c r="L114" s="115">
        <f t="shared" si="27"/>
        <v>8.4387878787878776</v>
      </c>
    </row>
    <row r="115" spans="1:12">
      <c r="A115" s="109" t="s">
        <v>54</v>
      </c>
      <c r="B115" s="124" t="s">
        <v>400</v>
      </c>
      <c r="C115" s="135">
        <v>870</v>
      </c>
      <c r="D115" s="126" t="s">
        <v>366</v>
      </c>
      <c r="E115" s="127">
        <v>50000</v>
      </c>
      <c r="F115" s="128">
        <v>18</v>
      </c>
      <c r="G115" s="129">
        <f t="shared" si="28"/>
        <v>590000</v>
      </c>
      <c r="H115" s="130">
        <f t="shared" si="29"/>
        <v>33000</v>
      </c>
      <c r="I115" s="153">
        <v>3300</v>
      </c>
      <c r="J115" s="131">
        <f t="shared" si="32"/>
        <v>5.5932203389830508E-2</v>
      </c>
      <c r="K115" s="131">
        <f t="shared" si="33"/>
        <v>17.878787878787879</v>
      </c>
      <c r="L115" s="115">
        <f t="shared" si="27"/>
        <v>8.4387878787878776</v>
      </c>
    </row>
    <row r="116" spans="1:12">
      <c r="A116" s="109" t="s">
        <v>54</v>
      </c>
      <c r="B116" s="124" t="s">
        <v>401</v>
      </c>
      <c r="C116" s="135">
        <v>900</v>
      </c>
      <c r="D116" s="126" t="s">
        <v>366</v>
      </c>
      <c r="E116" s="127">
        <v>50000</v>
      </c>
      <c r="F116" s="128">
        <v>18</v>
      </c>
      <c r="G116" s="129">
        <f t="shared" si="28"/>
        <v>590000</v>
      </c>
      <c r="H116" s="130">
        <f t="shared" si="29"/>
        <v>33000</v>
      </c>
      <c r="I116" s="153">
        <v>3300</v>
      </c>
      <c r="J116" s="131">
        <f t="shared" si="32"/>
        <v>5.5932203389830508E-2</v>
      </c>
      <c r="K116" s="131">
        <f t="shared" si="33"/>
        <v>17.878787878787879</v>
      </c>
      <c r="L116" s="115">
        <f t="shared" si="27"/>
        <v>8.4387878787878776</v>
      </c>
    </row>
  </sheetData>
  <phoneticPr fontId="1" type="noConversion"/>
  <conditionalFormatting sqref="L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{F05BD9C0-B324-426B-A842-59A7D3B212AB}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{418F5446-8527-476F-A683-1FFD6D8C7B27}</x14:id>
        </ext>
      </extLst>
    </cfRule>
  </conditionalFormatting>
  <conditionalFormatting sqref="L29:L58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{5E2DCABD-1DD3-4F79-9B88-9D37C6701BE8}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{6AA999F1-36D9-49FF-96B7-3CBAC0E10A5B}</x14:id>
        </ext>
      </extLst>
    </cfRule>
  </conditionalFormatting>
  <conditionalFormatting sqref="L87:L11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{87981A36-6481-42EB-AF0A-E28294913223}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{BD086131-27F5-40E3-8D91-377F65C81D33}</x14:id>
        </ext>
      </extLst>
    </cfRule>
  </conditionalFormatting>
  <conditionalFormatting sqref="L5:L14">
    <cfRule type="dataBar" priority="3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{1FE48FA6-AC37-4BC3-8FFD-3E2A32323186}</x14:id>
        </ext>
      </extLst>
    </cfRule>
    <cfRule type="dataBar" priority="3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{E6E611BA-21E7-458E-B852-F4A89C2ADC1B}</x14:id>
        </ext>
      </extLst>
    </cfRule>
  </conditionalFormatting>
  <conditionalFormatting sqref="L17:L26">
    <cfRule type="dataBar" priority="3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{697C3621-7610-40FE-9F15-1B588480CC7C}</x14:id>
        </ext>
      </extLst>
    </cfRule>
    <cfRule type="dataBar" priority="3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{A74A3670-6F77-4AAA-9222-75F410F4353A}</x14:id>
        </ext>
      </extLst>
    </cfRule>
  </conditionalFormatting>
  <conditionalFormatting sqref="L61:L71">
    <cfRule type="dataBar" priority="3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{FC9609E9-DC76-4DF4-B54A-D2370908A206}</x14:id>
        </ext>
      </extLst>
    </cfRule>
    <cfRule type="dataBar" priority="3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{7345B6C4-9DDB-40FC-BB5B-129579DDDA81}</x14:id>
        </ext>
      </extLst>
    </cfRule>
  </conditionalFormatting>
  <conditionalFormatting sqref="L73:L8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{99A036D1-233A-4502-93F5-57D5E96C1D80}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{6CB152EE-0649-47C8-BB82-3112650D5C1B}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5BD9C0-B324-426B-A842-59A7D3B212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18F5446-8527-476F-A683-1FFD6D8C7B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5E2DCABD-1DD3-4F79-9B88-9D37C6701B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AA999F1-36D9-49FF-96B7-3CBAC0E10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L29:L58</xm:sqref>
        </x14:conditionalFormatting>
        <x14:conditionalFormatting xmlns:xm="http://schemas.microsoft.com/office/excel/2006/main">
          <x14:cfRule type="dataBar" id="{87981A36-6481-42EB-AF0A-E282949132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D086131-27F5-40E3-8D91-377F65C81D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L87:L116</xm:sqref>
        </x14:conditionalFormatting>
        <x14:conditionalFormatting xmlns:xm="http://schemas.microsoft.com/office/excel/2006/main">
          <x14:cfRule type="dataBar" id="{1FE48FA6-AC37-4BC3-8FFD-3E2A323231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6E611BA-21E7-458E-B852-F4A89C2AD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L5:L14</xm:sqref>
        </x14:conditionalFormatting>
        <x14:conditionalFormatting xmlns:xm="http://schemas.microsoft.com/office/excel/2006/main">
          <x14:cfRule type="dataBar" id="{697C3621-7610-40FE-9F15-1B588480CC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74A3670-6F77-4AAA-9222-75F410F43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L17:L26</xm:sqref>
        </x14:conditionalFormatting>
        <x14:conditionalFormatting xmlns:xm="http://schemas.microsoft.com/office/excel/2006/main">
          <x14:cfRule type="dataBar" id="{FC9609E9-DC76-4DF4-B54A-D2370908A2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B6C4-9DDB-40FC-BB5B-129579DDDA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L61:L71</xm:sqref>
        </x14:conditionalFormatting>
        <x14:conditionalFormatting xmlns:xm="http://schemas.microsoft.com/office/excel/2006/main">
          <x14:cfRule type="dataBar" id="{99A036D1-233A-4502-93F5-57D5E96C1D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B152EE-0649-47C8-BB82-3112650D5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L73:L82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N184"/>
  <sheetViews>
    <sheetView zoomScaleNormal="100" workbookViewId="0">
      <pane ySplit="1" topLeftCell="A2" activePane="bottomLeft" state="frozen"/>
      <selection pane="bottomLeft" activeCell="C28" sqref="C28"/>
    </sheetView>
  </sheetViews>
  <sheetFormatPr defaultRowHeight="16.5"/>
  <cols>
    <col min="1" max="1" width="29.125" style="109" bestFit="1" customWidth="1"/>
    <col min="2" max="2" width="11.25" style="108" bestFit="1" customWidth="1"/>
    <col min="3" max="3" width="27.875" style="108" bestFit="1" customWidth="1"/>
    <col min="4" max="4" width="9" style="109" bestFit="1" customWidth="1"/>
    <col min="5" max="5" width="14.25" style="109" bestFit="1" customWidth="1"/>
    <col min="6" max="6" width="13" style="109" bestFit="1" customWidth="1"/>
    <col min="7" max="7" width="12.125" style="109" bestFit="1" customWidth="1"/>
    <col min="8" max="8" width="11.125" style="109" bestFit="1" customWidth="1"/>
    <col min="9" max="9" width="16.875" style="109" bestFit="1" customWidth="1"/>
    <col min="10" max="10" width="14.375" style="109" bestFit="1" customWidth="1"/>
    <col min="11" max="11" width="11.625" style="109" bestFit="1" customWidth="1"/>
    <col min="12" max="14" width="11.625" style="109" customWidth="1"/>
    <col min="15" max="15" width="11.625" style="109" bestFit="1" customWidth="1"/>
    <col min="16" max="16" width="13" style="109" bestFit="1" customWidth="1"/>
    <col min="17" max="17" width="10.375" style="109" customWidth="1"/>
    <col min="18" max="18" width="8.5" style="109" bestFit="1" customWidth="1"/>
    <col min="19" max="19" width="12.75" style="109" bestFit="1" customWidth="1"/>
    <col min="20" max="20" width="11.625" style="109" bestFit="1" customWidth="1"/>
    <col min="21" max="16384" width="9" style="109"/>
  </cols>
  <sheetData>
    <row r="1" spans="1:14" s="108" customFormat="1">
      <c r="A1" s="105" t="s">
        <v>42</v>
      </c>
      <c r="B1" s="105" t="s">
        <v>95</v>
      </c>
      <c r="C1" s="105" t="s">
        <v>43</v>
      </c>
      <c r="D1" s="105" t="s">
        <v>48</v>
      </c>
      <c r="E1" s="106" t="s">
        <v>0</v>
      </c>
      <c r="F1" s="107" t="s">
        <v>44</v>
      </c>
      <c r="G1" s="105" t="s">
        <v>45</v>
      </c>
      <c r="H1" s="105" t="s">
        <v>216</v>
      </c>
      <c r="I1" s="105" t="s">
        <v>60</v>
      </c>
      <c r="J1" s="105" t="s">
        <v>46</v>
      </c>
    </row>
    <row r="2" spans="1:14">
      <c r="A2" s="109" t="s">
        <v>47</v>
      </c>
      <c r="C2" s="108" t="s">
        <v>48</v>
      </c>
      <c r="D2" s="111"/>
      <c r="E2" s="112"/>
      <c r="F2" s="113">
        <f>250000/2</f>
        <v>125000</v>
      </c>
      <c r="G2" s="109">
        <v>59000</v>
      </c>
      <c r="I2" s="114">
        <f>F2/G2</f>
        <v>2.1186440677966103</v>
      </c>
      <c r="J2" s="115">
        <f>I2/I$2</f>
        <v>1</v>
      </c>
    </row>
    <row r="3" spans="1:14">
      <c r="D3" s="111"/>
      <c r="E3" s="112"/>
      <c r="F3" s="113"/>
      <c r="I3" s="114"/>
      <c r="J3" s="115"/>
    </row>
    <row r="4" spans="1:14" s="116" customFormat="1">
      <c r="A4" s="117" t="s">
        <v>85</v>
      </c>
      <c r="B4" s="175"/>
      <c r="C4" s="169"/>
      <c r="D4" s="119"/>
      <c r="E4" s="120"/>
      <c r="F4" s="121"/>
      <c r="J4" s="122"/>
    </row>
    <row r="5" spans="1:14">
      <c r="A5" s="123" t="s">
        <v>277</v>
      </c>
      <c r="D5" s="111"/>
      <c r="E5" s="112" t="s">
        <v>276</v>
      </c>
      <c r="F5" s="113"/>
      <c r="J5" s="115"/>
    </row>
    <row r="6" spans="1:14">
      <c r="A6" s="124" t="s">
        <v>278</v>
      </c>
      <c r="B6" s="176"/>
      <c r="C6" s="170" t="s">
        <v>217</v>
      </c>
      <c r="D6" s="127">
        <v>5000</v>
      </c>
      <c r="E6" s="128">
        <v>1700</v>
      </c>
      <c r="F6" s="129">
        <f>D6+(E6*100)</f>
        <v>175000</v>
      </c>
      <c r="G6" s="130">
        <f>H6*10</f>
        <v>5500</v>
      </c>
      <c r="H6" s="153">
        <v>550</v>
      </c>
      <c r="I6" s="131">
        <f>F6/G6</f>
        <v>31.818181818181817</v>
      </c>
      <c r="J6" s="115">
        <f>I6/I$2</f>
        <v>15.018181818181816</v>
      </c>
    </row>
    <row r="7" spans="1:14">
      <c r="A7" s="124" t="s">
        <v>466</v>
      </c>
      <c r="B7" s="176"/>
      <c r="C7" s="170" t="s">
        <v>217</v>
      </c>
      <c r="D7" s="127">
        <v>10000</v>
      </c>
      <c r="E7" s="128">
        <v>3400</v>
      </c>
      <c r="F7" s="129">
        <f>D7+(E7*100)</f>
        <v>350000</v>
      </c>
      <c r="G7" s="130">
        <f>H7*10</f>
        <v>11000</v>
      </c>
      <c r="H7" s="153">
        <v>1100</v>
      </c>
      <c r="I7" s="131">
        <f>F7/G7</f>
        <v>31.818181818181817</v>
      </c>
      <c r="J7" s="115">
        <f>I7/I$2</f>
        <v>15.018181818181816</v>
      </c>
    </row>
    <row r="8" spans="1:14">
      <c r="A8" s="124" t="s">
        <v>467</v>
      </c>
      <c r="B8" s="176"/>
      <c r="C8" s="170" t="s">
        <v>217</v>
      </c>
      <c r="D8" s="127">
        <v>30000</v>
      </c>
      <c r="E8" s="128">
        <v>10200</v>
      </c>
      <c r="F8" s="129">
        <f>D8+(E8*100)</f>
        <v>1050000</v>
      </c>
      <c r="G8" s="130">
        <f>H8*10</f>
        <v>33000</v>
      </c>
      <c r="H8" s="153">
        <v>3300</v>
      </c>
      <c r="I8" s="131">
        <f>F8/G8</f>
        <v>31.818181818181817</v>
      </c>
      <c r="J8" s="115">
        <f>I8/I$2</f>
        <v>15.018181818181816</v>
      </c>
    </row>
    <row r="9" spans="1:14" customFormat="1">
      <c r="B9" s="171"/>
      <c r="C9" s="171"/>
    </row>
    <row r="10" spans="1:14">
      <c r="A10" s="123" t="s">
        <v>260</v>
      </c>
      <c r="D10" s="111"/>
      <c r="E10" s="112" t="s">
        <v>468</v>
      </c>
      <c r="F10" s="113"/>
      <c r="J10" s="115"/>
    </row>
    <row r="11" spans="1:14">
      <c r="A11" s="124" t="s">
        <v>261</v>
      </c>
      <c r="B11" s="176"/>
      <c r="C11" s="170" t="s">
        <v>220</v>
      </c>
      <c r="D11" s="127">
        <v>5000</v>
      </c>
      <c r="E11" s="128">
        <v>1700</v>
      </c>
      <c r="F11" s="129">
        <f>D11+(E11*100)</f>
        <v>175000</v>
      </c>
      <c r="G11" s="130">
        <f>H11*10</f>
        <v>5500</v>
      </c>
      <c r="H11" s="153">
        <v>550</v>
      </c>
      <c r="I11" s="131">
        <f>F11/G11</f>
        <v>31.818181818181817</v>
      </c>
      <c r="J11" s="115">
        <f>I11/I$2</f>
        <v>15.018181818181816</v>
      </c>
    </row>
    <row r="12" spans="1:14">
      <c r="A12" s="124" t="s">
        <v>262</v>
      </c>
      <c r="B12" s="176"/>
      <c r="C12" s="170" t="s">
        <v>220</v>
      </c>
      <c r="D12" s="127">
        <v>10000</v>
      </c>
      <c r="E12" s="128">
        <v>3400</v>
      </c>
      <c r="F12" s="129">
        <f>D12+(E12*100)</f>
        <v>350000</v>
      </c>
      <c r="G12" s="130">
        <f>H12*10</f>
        <v>11000</v>
      </c>
      <c r="H12" s="153">
        <v>1100</v>
      </c>
      <c r="I12" s="131">
        <f>F12/G12</f>
        <v>31.818181818181817</v>
      </c>
      <c r="J12" s="115">
        <f>I12/I$2</f>
        <v>15.018181818181816</v>
      </c>
    </row>
    <row r="13" spans="1:14">
      <c r="A13" s="124" t="s">
        <v>263</v>
      </c>
      <c r="B13" s="176"/>
      <c r="C13" s="170" t="s">
        <v>220</v>
      </c>
      <c r="D13" s="127">
        <v>30000</v>
      </c>
      <c r="E13" s="128">
        <v>10200</v>
      </c>
      <c r="F13" s="129">
        <f>D13+(E13*100)</f>
        <v>1050000</v>
      </c>
      <c r="G13" s="130">
        <f>H13*10</f>
        <v>33000</v>
      </c>
      <c r="H13" s="153">
        <v>3300</v>
      </c>
      <c r="I13" s="131">
        <f>F13/G13</f>
        <v>31.818181818181817</v>
      </c>
      <c r="J13" s="115">
        <f>I13/I$2</f>
        <v>15.018181818181816</v>
      </c>
    </row>
    <row r="14" spans="1:14" customFormat="1">
      <c r="B14" s="171"/>
      <c r="C14" s="171"/>
    </row>
    <row r="15" spans="1:14">
      <c r="A15" s="123" t="s">
        <v>279</v>
      </c>
      <c r="D15" s="111"/>
      <c r="E15" s="112" t="s">
        <v>280</v>
      </c>
      <c r="F15" s="113"/>
      <c r="J15" s="115"/>
    </row>
    <row r="16" spans="1:14">
      <c r="A16" s="124" t="s">
        <v>281</v>
      </c>
      <c r="B16" s="176"/>
      <c r="C16" s="170" t="s">
        <v>282</v>
      </c>
      <c r="D16" s="127">
        <v>5000</v>
      </c>
      <c r="E16" s="128">
        <v>280</v>
      </c>
      <c r="F16" s="129">
        <f>D16+(E16*600)</f>
        <v>173000</v>
      </c>
      <c r="G16" s="130">
        <f>H16*10</f>
        <v>5500</v>
      </c>
      <c r="H16" s="153">
        <v>550</v>
      </c>
      <c r="I16" s="131">
        <f>F16/G16</f>
        <v>31.454545454545453</v>
      </c>
      <c r="J16" s="115">
        <f>I16/I$2</f>
        <v>14.846545454545453</v>
      </c>
      <c r="K16" s="160"/>
      <c r="L16" s="160"/>
      <c r="M16" s="155"/>
      <c r="N16" s="160"/>
    </row>
    <row r="17" spans="1:14">
      <c r="A17" s="124" t="s">
        <v>283</v>
      </c>
      <c r="B17" s="176"/>
      <c r="C17" s="170" t="s">
        <v>282</v>
      </c>
      <c r="D17" s="127">
        <v>10000</v>
      </c>
      <c r="E17" s="128">
        <v>570</v>
      </c>
      <c r="F17" s="129">
        <f>D17+(E17*600)</f>
        <v>352000</v>
      </c>
      <c r="G17" s="130">
        <f>H17*10</f>
        <v>11000</v>
      </c>
      <c r="H17" s="153">
        <v>1100</v>
      </c>
      <c r="I17" s="131">
        <f>F17/G17</f>
        <v>32</v>
      </c>
      <c r="J17" s="115">
        <f>I17/I$2</f>
        <v>15.103999999999999</v>
      </c>
      <c r="K17" s="160"/>
      <c r="L17" s="160"/>
      <c r="M17" s="155"/>
      <c r="N17" s="160"/>
    </row>
    <row r="18" spans="1:14">
      <c r="A18" s="124" t="s">
        <v>469</v>
      </c>
      <c r="B18" s="176"/>
      <c r="C18" s="170" t="s">
        <v>282</v>
      </c>
      <c r="D18" s="127">
        <v>30000</v>
      </c>
      <c r="E18" s="128">
        <v>1710</v>
      </c>
      <c r="F18" s="129">
        <f>D18+(E18*600)</f>
        <v>1056000</v>
      </c>
      <c r="G18" s="130">
        <f>H18*10</f>
        <v>33000</v>
      </c>
      <c r="H18" s="153">
        <v>3300</v>
      </c>
      <c r="I18" s="131">
        <f>F18/G18</f>
        <v>32</v>
      </c>
      <c r="J18" s="115">
        <f>I18/I$2</f>
        <v>15.103999999999999</v>
      </c>
      <c r="K18" s="160"/>
      <c r="L18" s="160"/>
      <c r="M18" s="155"/>
      <c r="N18" s="160"/>
    </row>
    <row r="19" spans="1:14" customFormat="1">
      <c r="B19" s="171"/>
      <c r="C19" s="171"/>
    </row>
    <row r="20" spans="1:14">
      <c r="A20" s="123" t="s">
        <v>271</v>
      </c>
      <c r="D20" s="111"/>
      <c r="E20" s="112" t="s">
        <v>270</v>
      </c>
      <c r="F20" s="113"/>
      <c r="J20" s="115"/>
    </row>
    <row r="21" spans="1:14">
      <c r="A21" s="124" t="s">
        <v>272</v>
      </c>
      <c r="B21" s="176"/>
      <c r="C21" s="170" t="s">
        <v>218</v>
      </c>
      <c r="D21" s="127">
        <v>5000</v>
      </c>
      <c r="E21" s="128">
        <v>1130</v>
      </c>
      <c r="F21" s="129">
        <f>D21+(E21*150)</f>
        <v>174500</v>
      </c>
      <c r="G21" s="130">
        <f>H21*10</f>
        <v>5500</v>
      </c>
      <c r="H21" s="153">
        <v>550</v>
      </c>
      <c r="I21" s="131">
        <f>F21/G21</f>
        <v>31.727272727272727</v>
      </c>
      <c r="J21" s="115">
        <f>I21/I$2</f>
        <v>14.975272727272726</v>
      </c>
    </row>
    <row r="22" spans="1:14">
      <c r="A22" s="124" t="s">
        <v>470</v>
      </c>
      <c r="B22" s="176"/>
      <c r="C22" s="170" t="s">
        <v>218</v>
      </c>
      <c r="D22" s="127">
        <v>10000</v>
      </c>
      <c r="E22" s="128">
        <v>2260</v>
      </c>
      <c r="F22" s="129">
        <f>D22+(E22*150)</f>
        <v>349000</v>
      </c>
      <c r="G22" s="130">
        <f>H22*10</f>
        <v>11000</v>
      </c>
      <c r="H22" s="153">
        <v>1100</v>
      </c>
      <c r="I22" s="131">
        <f>F22/G22</f>
        <v>31.727272727272727</v>
      </c>
      <c r="J22" s="115">
        <f>I22/I$2</f>
        <v>14.975272727272726</v>
      </c>
    </row>
    <row r="23" spans="1:14">
      <c r="A23" s="124" t="s">
        <v>471</v>
      </c>
      <c r="B23" s="176"/>
      <c r="C23" s="170" t="s">
        <v>218</v>
      </c>
      <c r="D23" s="127">
        <v>30000</v>
      </c>
      <c r="E23" s="128">
        <v>6780</v>
      </c>
      <c r="F23" s="129">
        <f>D23+(E23*150)</f>
        <v>1047000</v>
      </c>
      <c r="G23" s="130">
        <f>H23*10</f>
        <v>33000</v>
      </c>
      <c r="H23" s="153">
        <v>3300</v>
      </c>
      <c r="I23" s="131">
        <f>F23/G23</f>
        <v>31.727272727272727</v>
      </c>
      <c r="J23" s="115">
        <f>I23/I$2</f>
        <v>14.975272727272726</v>
      </c>
    </row>
    <row r="24" spans="1:14" customFormat="1">
      <c r="B24" s="171"/>
      <c r="C24" s="171"/>
    </row>
    <row r="25" spans="1:14">
      <c r="A25" s="123" t="s">
        <v>273</v>
      </c>
      <c r="D25" s="111"/>
      <c r="E25" s="112" t="s">
        <v>274</v>
      </c>
      <c r="F25" s="113"/>
      <c r="J25" s="115"/>
    </row>
    <row r="26" spans="1:14">
      <c r="A26" s="124" t="s">
        <v>275</v>
      </c>
      <c r="B26" s="176"/>
      <c r="C26" s="170" t="s">
        <v>219</v>
      </c>
      <c r="D26" s="127">
        <v>5000</v>
      </c>
      <c r="E26" s="128">
        <v>1130</v>
      </c>
      <c r="F26" s="129">
        <f>D26+(E26*150)</f>
        <v>174500</v>
      </c>
      <c r="G26" s="130">
        <f>H26*10</f>
        <v>5500</v>
      </c>
      <c r="H26" s="153">
        <v>550</v>
      </c>
      <c r="I26" s="131">
        <f>F26/G26</f>
        <v>31.727272727272727</v>
      </c>
      <c r="J26" s="115">
        <f>I26/I$2</f>
        <v>14.975272727272726</v>
      </c>
    </row>
    <row r="27" spans="1:14">
      <c r="A27" s="124" t="s">
        <v>472</v>
      </c>
      <c r="B27" s="176"/>
      <c r="C27" s="170" t="s">
        <v>219</v>
      </c>
      <c r="D27" s="127">
        <v>10000</v>
      </c>
      <c r="E27" s="128">
        <v>2260</v>
      </c>
      <c r="F27" s="129">
        <f>D27+(E27*150)</f>
        <v>349000</v>
      </c>
      <c r="G27" s="130">
        <f>H27*10</f>
        <v>11000</v>
      </c>
      <c r="H27" s="153">
        <v>1100</v>
      </c>
      <c r="I27" s="131">
        <f>F27/G27</f>
        <v>31.727272727272727</v>
      </c>
      <c r="J27" s="115">
        <f>I27/I$2</f>
        <v>14.975272727272726</v>
      </c>
    </row>
    <row r="28" spans="1:14">
      <c r="A28" s="124" t="s">
        <v>473</v>
      </c>
      <c r="B28" s="176"/>
      <c r="C28" s="170" t="s">
        <v>219</v>
      </c>
      <c r="D28" s="127">
        <v>30000</v>
      </c>
      <c r="E28" s="128">
        <v>6780</v>
      </c>
      <c r="F28" s="129">
        <f>D28+(E28*150)</f>
        <v>1047000</v>
      </c>
      <c r="G28" s="130">
        <f>H28*10</f>
        <v>33000</v>
      </c>
      <c r="H28" s="153">
        <v>3300</v>
      </c>
      <c r="I28" s="131">
        <f>F28/G28</f>
        <v>31.727272727272727</v>
      </c>
      <c r="J28" s="115">
        <f>I28/I$2</f>
        <v>14.975272727272726</v>
      </c>
    </row>
    <row r="29" spans="1:14" customFormat="1">
      <c r="B29" s="171"/>
      <c r="C29" s="171"/>
    </row>
    <row r="30" spans="1:14">
      <c r="A30" s="123" t="s">
        <v>284</v>
      </c>
      <c r="D30" s="111"/>
      <c r="E30" s="112" t="s">
        <v>286</v>
      </c>
      <c r="F30" s="113"/>
      <c r="J30" s="115"/>
    </row>
    <row r="31" spans="1:14">
      <c r="A31" s="124" t="s">
        <v>285</v>
      </c>
      <c r="B31" s="176"/>
      <c r="C31" s="170" t="s">
        <v>185</v>
      </c>
      <c r="D31" s="127">
        <v>5000</v>
      </c>
      <c r="E31" s="128">
        <v>850</v>
      </c>
      <c r="F31" s="129">
        <f>D31+(E31*200)</f>
        <v>175000</v>
      </c>
      <c r="G31" s="130">
        <f>H31*10</f>
        <v>5500</v>
      </c>
      <c r="H31" s="153">
        <v>550</v>
      </c>
      <c r="I31" s="131">
        <f>F31/G31</f>
        <v>31.818181818181817</v>
      </c>
      <c r="J31" s="115">
        <f>I31/I$2</f>
        <v>15.018181818181816</v>
      </c>
    </row>
    <row r="32" spans="1:14">
      <c r="A32" s="124" t="s">
        <v>474</v>
      </c>
      <c r="B32" s="176"/>
      <c r="C32" s="170" t="s">
        <v>185</v>
      </c>
      <c r="D32" s="127">
        <v>10000</v>
      </c>
      <c r="E32" s="128">
        <v>1700</v>
      </c>
      <c r="F32" s="129">
        <f>D32+(E32*200)</f>
        <v>350000</v>
      </c>
      <c r="G32" s="130">
        <f>H32*10</f>
        <v>11000</v>
      </c>
      <c r="H32" s="153">
        <v>1100</v>
      </c>
      <c r="I32" s="131">
        <f>F32/G32</f>
        <v>31.818181818181817</v>
      </c>
      <c r="J32" s="115">
        <f>I32/I$2</f>
        <v>15.018181818181816</v>
      </c>
    </row>
    <row r="33" spans="1:10">
      <c r="A33" s="124" t="s">
        <v>475</v>
      </c>
      <c r="B33" s="176"/>
      <c r="C33" s="170" t="s">
        <v>185</v>
      </c>
      <c r="D33" s="127">
        <v>30000</v>
      </c>
      <c r="E33" s="128">
        <v>5100</v>
      </c>
      <c r="F33" s="129">
        <f>D33+(E33*200)</f>
        <v>1050000</v>
      </c>
      <c r="G33" s="130">
        <f>H33*10</f>
        <v>33000</v>
      </c>
      <c r="H33" s="153">
        <v>3300</v>
      </c>
      <c r="I33" s="131">
        <f>F33/G33</f>
        <v>31.818181818181817</v>
      </c>
      <c r="J33" s="115">
        <f>I33/I$2</f>
        <v>15.018181818181816</v>
      </c>
    </row>
    <row r="34" spans="1:10" customFormat="1">
      <c r="B34" s="171"/>
      <c r="C34" s="171"/>
    </row>
    <row r="35" spans="1:10">
      <c r="A35" s="123" t="s">
        <v>405</v>
      </c>
      <c r="D35" s="111"/>
      <c r="E35" s="112" t="s">
        <v>407</v>
      </c>
      <c r="F35" s="113"/>
      <c r="J35" s="115"/>
    </row>
    <row r="36" spans="1:10">
      <c r="A36" s="124" t="s">
        <v>408</v>
      </c>
      <c r="B36" s="176"/>
      <c r="C36" s="170" t="s">
        <v>411</v>
      </c>
      <c r="D36" s="127">
        <v>5000</v>
      </c>
      <c r="E36" s="128">
        <v>110</v>
      </c>
      <c r="F36" s="129">
        <f>D36+(E36*1500)</f>
        <v>170000</v>
      </c>
      <c r="G36" s="130">
        <f>H36*10</f>
        <v>5500</v>
      </c>
      <c r="H36" s="153">
        <v>550</v>
      </c>
      <c r="I36" s="131">
        <f>F36/G36</f>
        <v>30.90909090909091</v>
      </c>
      <c r="J36" s="115">
        <f t="shared" ref="J36:J38" si="0">I36/I$2</f>
        <v>14.589090909090908</v>
      </c>
    </row>
    <row r="37" spans="1:10">
      <c r="A37" s="124" t="s">
        <v>409</v>
      </c>
      <c r="B37" s="176"/>
      <c r="C37" s="170" t="s">
        <v>411</v>
      </c>
      <c r="D37" s="127">
        <v>10000</v>
      </c>
      <c r="E37" s="128">
        <v>220</v>
      </c>
      <c r="F37" s="129">
        <f t="shared" ref="F37:F38" si="1">D37+(E37*1500)</f>
        <v>340000</v>
      </c>
      <c r="G37" s="130">
        <f t="shared" ref="G37:G38" si="2">H37*10</f>
        <v>11000</v>
      </c>
      <c r="H37" s="153">
        <v>1100</v>
      </c>
      <c r="I37" s="131">
        <f>F37/G37</f>
        <v>30.90909090909091</v>
      </c>
      <c r="J37" s="115">
        <f t="shared" si="0"/>
        <v>14.589090909090908</v>
      </c>
    </row>
    <row r="38" spans="1:10">
      <c r="A38" s="124" t="s">
        <v>410</v>
      </c>
      <c r="B38" s="176"/>
      <c r="C38" s="170" t="s">
        <v>411</v>
      </c>
      <c r="D38" s="127">
        <v>30000</v>
      </c>
      <c r="E38" s="128">
        <v>660</v>
      </c>
      <c r="F38" s="129">
        <f t="shared" si="1"/>
        <v>1020000</v>
      </c>
      <c r="G38" s="130">
        <f t="shared" si="2"/>
        <v>33000</v>
      </c>
      <c r="H38" s="153">
        <v>3300</v>
      </c>
      <c r="I38" s="131">
        <f>F38/G38</f>
        <v>30.90909090909091</v>
      </c>
      <c r="J38" s="115">
        <f t="shared" si="0"/>
        <v>14.589090909090908</v>
      </c>
    </row>
    <row r="39" spans="1:10" customFormat="1">
      <c r="B39" s="171"/>
      <c r="C39" s="171"/>
    </row>
    <row r="40" spans="1:10">
      <c r="A40" s="168" t="s">
        <v>476</v>
      </c>
      <c r="D40" s="111"/>
      <c r="E40" s="112" t="s">
        <v>461</v>
      </c>
      <c r="F40" s="113"/>
      <c r="J40" s="115"/>
    </row>
    <row r="41" spans="1:10">
      <c r="A41" s="124" t="s">
        <v>477</v>
      </c>
      <c r="B41" s="176"/>
      <c r="C41" s="170" t="s">
        <v>480</v>
      </c>
      <c r="D41" s="127">
        <v>5000</v>
      </c>
      <c r="E41" s="128">
        <v>110</v>
      </c>
      <c r="F41" s="129">
        <f>D41+(E41*1500)</f>
        <v>170000</v>
      </c>
      <c r="G41" s="130">
        <f>H41*10</f>
        <v>5500</v>
      </c>
      <c r="H41" s="153">
        <v>550</v>
      </c>
      <c r="I41" s="131">
        <f>F41/G41</f>
        <v>30.90909090909091</v>
      </c>
      <c r="J41" s="115">
        <f t="shared" ref="J41:J43" si="3">I41/I$2</f>
        <v>14.589090909090908</v>
      </c>
    </row>
    <row r="42" spans="1:10">
      <c r="A42" s="124" t="s">
        <v>478</v>
      </c>
      <c r="B42" s="176"/>
      <c r="C42" s="170" t="s">
        <v>480</v>
      </c>
      <c r="D42" s="127">
        <v>10000</v>
      </c>
      <c r="E42" s="128">
        <v>220</v>
      </c>
      <c r="F42" s="129">
        <f t="shared" ref="F42:F43" si="4">D42+(E42*1500)</f>
        <v>340000</v>
      </c>
      <c r="G42" s="130">
        <f t="shared" ref="G42:G43" si="5">H42*10</f>
        <v>11000</v>
      </c>
      <c r="H42" s="153">
        <v>1100</v>
      </c>
      <c r="I42" s="131">
        <f>F42/G42</f>
        <v>30.90909090909091</v>
      </c>
      <c r="J42" s="115">
        <f t="shared" si="3"/>
        <v>14.589090909090908</v>
      </c>
    </row>
    <row r="43" spans="1:10">
      <c r="A43" s="124" t="s">
        <v>479</v>
      </c>
      <c r="B43" s="176"/>
      <c r="C43" s="170" t="s">
        <v>480</v>
      </c>
      <c r="D43" s="127">
        <v>30000</v>
      </c>
      <c r="E43" s="128">
        <v>660</v>
      </c>
      <c r="F43" s="129">
        <f t="shared" si="4"/>
        <v>1020000</v>
      </c>
      <c r="G43" s="130">
        <f t="shared" si="5"/>
        <v>33000</v>
      </c>
      <c r="H43" s="153">
        <v>3300</v>
      </c>
      <c r="I43" s="131">
        <f>F43/G43</f>
        <v>30.90909090909091</v>
      </c>
      <c r="J43" s="115">
        <f t="shared" si="3"/>
        <v>14.589090909090908</v>
      </c>
    </row>
    <row r="44" spans="1:10" customFormat="1">
      <c r="B44" s="171"/>
      <c r="C44" s="171"/>
    </row>
    <row r="45" spans="1:10">
      <c r="A45" s="168" t="s">
        <v>481</v>
      </c>
      <c r="D45" s="111"/>
      <c r="E45" s="112" t="s">
        <v>486</v>
      </c>
      <c r="F45" s="113"/>
      <c r="J45" s="115"/>
    </row>
    <row r="46" spans="1:10">
      <c r="A46" s="124" t="s">
        <v>482</v>
      </c>
      <c r="B46" s="176"/>
      <c r="C46" s="170" t="s">
        <v>485</v>
      </c>
      <c r="D46" s="127">
        <v>5000</v>
      </c>
      <c r="E46" s="128">
        <v>110</v>
      </c>
      <c r="F46" s="129">
        <f>D46+(E46*1500)</f>
        <v>170000</v>
      </c>
      <c r="G46" s="130">
        <f>H46*10</f>
        <v>5500</v>
      </c>
      <c r="H46" s="153">
        <v>550</v>
      </c>
      <c r="I46" s="131">
        <f>F46/G46</f>
        <v>30.90909090909091</v>
      </c>
      <c r="J46" s="115">
        <f t="shared" ref="J46:J48" si="6">I46/I$2</f>
        <v>14.589090909090908</v>
      </c>
    </row>
    <row r="47" spans="1:10">
      <c r="A47" s="124" t="s">
        <v>483</v>
      </c>
      <c r="B47" s="176"/>
      <c r="C47" s="170" t="s">
        <v>485</v>
      </c>
      <c r="D47" s="127">
        <v>10000</v>
      </c>
      <c r="E47" s="128">
        <v>220</v>
      </c>
      <c r="F47" s="129">
        <f t="shared" ref="F47:F48" si="7">D47+(E47*1500)</f>
        <v>340000</v>
      </c>
      <c r="G47" s="130">
        <f t="shared" ref="G47:G48" si="8">H47*10</f>
        <v>11000</v>
      </c>
      <c r="H47" s="153">
        <v>1100</v>
      </c>
      <c r="I47" s="131">
        <f>F47/G47</f>
        <v>30.90909090909091</v>
      </c>
      <c r="J47" s="115">
        <f t="shared" si="6"/>
        <v>14.589090909090908</v>
      </c>
    </row>
    <row r="48" spans="1:10">
      <c r="A48" s="124" t="s">
        <v>484</v>
      </c>
      <c r="B48" s="176"/>
      <c r="C48" s="170" t="s">
        <v>485</v>
      </c>
      <c r="D48" s="127">
        <v>30000</v>
      </c>
      <c r="E48" s="128">
        <v>660</v>
      </c>
      <c r="F48" s="129">
        <f t="shared" si="7"/>
        <v>1020000</v>
      </c>
      <c r="G48" s="130">
        <f t="shared" si="8"/>
        <v>33000</v>
      </c>
      <c r="H48" s="153">
        <v>3300</v>
      </c>
      <c r="I48" s="131">
        <f>F48/G48</f>
        <v>30.90909090909091</v>
      </c>
      <c r="J48" s="115">
        <f t="shared" si="6"/>
        <v>14.589090909090908</v>
      </c>
    </row>
    <row r="49" spans="1:10" customFormat="1">
      <c r="B49" s="171"/>
      <c r="C49" s="171"/>
    </row>
    <row r="50" spans="1:10">
      <c r="A50" s="168" t="s">
        <v>487</v>
      </c>
      <c r="D50" s="111"/>
      <c r="E50" s="112" t="s">
        <v>491</v>
      </c>
      <c r="F50" s="113"/>
      <c r="J50" s="115"/>
    </row>
    <row r="51" spans="1:10">
      <c r="A51" s="124" t="s">
        <v>488</v>
      </c>
      <c r="B51" s="176"/>
      <c r="C51" s="170" t="s">
        <v>492</v>
      </c>
      <c r="D51" s="127">
        <v>5000</v>
      </c>
      <c r="E51" s="128">
        <v>110</v>
      </c>
      <c r="F51" s="129">
        <f>D51+(E51*1500)</f>
        <v>170000</v>
      </c>
      <c r="G51" s="130">
        <f>H51*10</f>
        <v>5500</v>
      </c>
      <c r="H51" s="153">
        <v>550</v>
      </c>
      <c r="I51" s="131">
        <f>F51/G51</f>
        <v>30.90909090909091</v>
      </c>
      <c r="J51" s="115">
        <f t="shared" ref="J51:J53" si="9">I51/I$2</f>
        <v>14.589090909090908</v>
      </c>
    </row>
    <row r="52" spans="1:10">
      <c r="A52" s="124" t="s">
        <v>489</v>
      </c>
      <c r="B52" s="176"/>
      <c r="C52" s="170" t="s">
        <v>492</v>
      </c>
      <c r="D52" s="127">
        <v>10000</v>
      </c>
      <c r="E52" s="128">
        <v>220</v>
      </c>
      <c r="F52" s="129">
        <f t="shared" ref="F52:F53" si="10">D52+(E52*1500)</f>
        <v>340000</v>
      </c>
      <c r="G52" s="130">
        <f t="shared" ref="G52:G53" si="11">H52*10</f>
        <v>11000</v>
      </c>
      <c r="H52" s="153">
        <v>1100</v>
      </c>
      <c r="I52" s="131">
        <f>F52/G52</f>
        <v>30.90909090909091</v>
      </c>
      <c r="J52" s="115">
        <f t="shared" si="9"/>
        <v>14.589090909090908</v>
      </c>
    </row>
    <row r="53" spans="1:10">
      <c r="A53" s="124" t="s">
        <v>490</v>
      </c>
      <c r="B53" s="176"/>
      <c r="C53" s="170" t="s">
        <v>492</v>
      </c>
      <c r="D53" s="127">
        <v>30000</v>
      </c>
      <c r="E53" s="128">
        <v>660</v>
      </c>
      <c r="F53" s="129">
        <f t="shared" si="10"/>
        <v>1020000</v>
      </c>
      <c r="G53" s="130">
        <f t="shared" si="11"/>
        <v>33000</v>
      </c>
      <c r="H53" s="153">
        <v>3300</v>
      </c>
      <c r="I53" s="131">
        <f>F53/G53</f>
        <v>30.90909090909091</v>
      </c>
      <c r="J53" s="115">
        <f t="shared" si="9"/>
        <v>14.589090909090908</v>
      </c>
    </row>
    <row r="54" spans="1:10" customFormat="1">
      <c r="B54" s="171"/>
      <c r="C54" s="171"/>
    </row>
    <row r="55" spans="1:10">
      <c r="A55" s="123" t="s">
        <v>493</v>
      </c>
      <c r="D55" s="111"/>
      <c r="E55" s="148" t="s">
        <v>290</v>
      </c>
      <c r="F55" s="113"/>
    </row>
    <row r="56" spans="1:10">
      <c r="A56" s="124" t="s">
        <v>287</v>
      </c>
      <c r="B56" s="172" t="s">
        <v>498</v>
      </c>
      <c r="C56" s="172" t="s">
        <v>290</v>
      </c>
      <c r="D56" s="127">
        <v>0</v>
      </c>
      <c r="E56" s="154">
        <v>530000</v>
      </c>
      <c r="F56" s="136">
        <f>D56+(E56*1/3)</f>
        <v>176666.66666666666</v>
      </c>
      <c r="G56" s="146">
        <f>H56*10</f>
        <v>5500</v>
      </c>
      <c r="H56" s="147">
        <v>550</v>
      </c>
      <c r="I56" s="137">
        <f>F56/G56</f>
        <v>32.121212121212118</v>
      </c>
      <c r="J56" s="115">
        <f>I56/I$2</f>
        <v>15.161212121212118</v>
      </c>
    </row>
    <row r="57" spans="1:10">
      <c r="A57" s="124" t="s">
        <v>288</v>
      </c>
      <c r="B57" s="172" t="s">
        <v>498</v>
      </c>
      <c r="C57" s="172" t="s">
        <v>290</v>
      </c>
      <c r="D57" s="127">
        <v>0</v>
      </c>
      <c r="E57" s="154">
        <v>1060000</v>
      </c>
      <c r="F57" s="136">
        <f>D57+(E57*1/3)</f>
        <v>353333.33333333331</v>
      </c>
      <c r="G57" s="146">
        <f>H57*10</f>
        <v>11000</v>
      </c>
      <c r="H57" s="147">
        <v>1100</v>
      </c>
      <c r="I57" s="137">
        <f>F57/G57</f>
        <v>32.121212121212118</v>
      </c>
      <c r="J57" s="115">
        <f>I57/I$2</f>
        <v>15.161212121212118</v>
      </c>
    </row>
    <row r="58" spans="1:10">
      <c r="A58" s="124" t="s">
        <v>289</v>
      </c>
      <c r="B58" s="172" t="s">
        <v>498</v>
      </c>
      <c r="C58" s="172" t="s">
        <v>290</v>
      </c>
      <c r="D58" s="127">
        <v>0</v>
      </c>
      <c r="E58" s="154">
        <v>3180000</v>
      </c>
      <c r="F58" s="136">
        <f>D58+(E58*1/3)</f>
        <v>1060000</v>
      </c>
      <c r="G58" s="146">
        <f>H58*10</f>
        <v>33000</v>
      </c>
      <c r="H58" s="147">
        <v>3300</v>
      </c>
      <c r="I58" s="137">
        <f>F58/G58</f>
        <v>32.121212121212125</v>
      </c>
      <c r="J58" s="115">
        <f>I58/I$2</f>
        <v>15.161212121212122</v>
      </c>
    </row>
    <row r="59" spans="1:10" customFormat="1">
      <c r="B59" s="171"/>
      <c r="C59" s="171"/>
    </row>
    <row r="60" spans="1:10">
      <c r="A60" s="123" t="s">
        <v>495</v>
      </c>
      <c r="D60" s="111"/>
      <c r="E60" s="112" t="s">
        <v>266</v>
      </c>
      <c r="F60" s="113"/>
      <c r="J60" s="115"/>
    </row>
    <row r="61" spans="1:10">
      <c r="A61" s="124" t="s">
        <v>267</v>
      </c>
      <c r="B61" s="176" t="s">
        <v>497</v>
      </c>
      <c r="C61" s="170" t="s">
        <v>494</v>
      </c>
      <c r="D61" s="127">
        <v>0</v>
      </c>
      <c r="E61" s="128">
        <v>500</v>
      </c>
      <c r="F61" s="129">
        <f>D61+(E61*350)</f>
        <v>175000</v>
      </c>
      <c r="G61" s="130">
        <f>H61*10</f>
        <v>5500</v>
      </c>
      <c r="H61" s="153">
        <v>550</v>
      </c>
      <c r="I61" s="131">
        <f>F61/G61</f>
        <v>31.818181818181817</v>
      </c>
      <c r="J61" s="115">
        <f>I61/I$2</f>
        <v>15.018181818181816</v>
      </c>
    </row>
    <row r="62" spans="1:10">
      <c r="A62" s="124" t="s">
        <v>268</v>
      </c>
      <c r="B62" s="176" t="s">
        <v>497</v>
      </c>
      <c r="C62" s="170" t="s">
        <v>494</v>
      </c>
      <c r="D62" s="127">
        <v>0</v>
      </c>
      <c r="E62" s="128">
        <v>1000</v>
      </c>
      <c r="F62" s="129">
        <f t="shared" ref="F62:F63" si="12">D62+(E62*350)</f>
        <v>350000</v>
      </c>
      <c r="G62" s="130">
        <f>H62*10</f>
        <v>11000</v>
      </c>
      <c r="H62" s="153">
        <v>1100</v>
      </c>
      <c r="I62" s="131">
        <f>F62/G62</f>
        <v>31.818181818181817</v>
      </c>
      <c r="J62" s="115">
        <f>I62/I$2</f>
        <v>15.018181818181816</v>
      </c>
    </row>
    <row r="63" spans="1:10">
      <c r="A63" s="124" t="s">
        <v>269</v>
      </c>
      <c r="B63" s="176" t="s">
        <v>497</v>
      </c>
      <c r="C63" s="170" t="s">
        <v>494</v>
      </c>
      <c r="D63" s="127">
        <v>0</v>
      </c>
      <c r="E63" s="128">
        <v>3000</v>
      </c>
      <c r="F63" s="129">
        <f t="shared" si="12"/>
        <v>1050000</v>
      </c>
      <c r="G63" s="130">
        <f>H63*10</f>
        <v>33000</v>
      </c>
      <c r="H63" s="153">
        <v>3300</v>
      </c>
      <c r="I63" s="131">
        <f>F63/G63</f>
        <v>31.818181818181817</v>
      </c>
      <c r="J63" s="115">
        <f>I63/I$2</f>
        <v>15.018181818181816</v>
      </c>
    </row>
    <row r="64" spans="1:10" customFormat="1">
      <c r="B64" s="171"/>
      <c r="C64" s="171"/>
    </row>
    <row r="65" spans="1:10">
      <c r="A65" s="123" t="s">
        <v>495</v>
      </c>
      <c r="C65" s="173"/>
      <c r="E65" s="111"/>
    </row>
    <row r="66" spans="1:10">
      <c r="A66" s="124" t="s">
        <v>267</v>
      </c>
      <c r="B66" s="176" t="s">
        <v>497</v>
      </c>
      <c r="C66" s="172" t="s">
        <v>48</v>
      </c>
      <c r="D66" s="127">
        <v>175000</v>
      </c>
      <c r="E66" s="128">
        <v>0</v>
      </c>
      <c r="F66" s="129">
        <f>D66+E66</f>
        <v>175000</v>
      </c>
      <c r="G66" s="130">
        <f>H66*10</f>
        <v>5500</v>
      </c>
      <c r="H66" s="153">
        <v>550</v>
      </c>
      <c r="I66" s="131">
        <f>F66/G66</f>
        <v>31.818181818181817</v>
      </c>
      <c r="J66" s="115">
        <f>I66/I$2</f>
        <v>15.018181818181816</v>
      </c>
    </row>
    <row r="67" spans="1:10">
      <c r="A67" s="124" t="s">
        <v>268</v>
      </c>
      <c r="B67" s="176" t="s">
        <v>497</v>
      </c>
      <c r="C67" s="172" t="s">
        <v>48</v>
      </c>
      <c r="D67" s="127">
        <v>350000</v>
      </c>
      <c r="E67" s="128">
        <v>0</v>
      </c>
      <c r="F67" s="129">
        <f>D67+E67</f>
        <v>350000</v>
      </c>
      <c r="G67" s="130">
        <f t="shared" ref="G67:G68" si="13">H67*10</f>
        <v>11000</v>
      </c>
      <c r="H67" s="153">
        <v>1100</v>
      </c>
      <c r="I67" s="131">
        <f>F67/G67</f>
        <v>31.818181818181817</v>
      </c>
      <c r="J67" s="115">
        <f>I67/I$2</f>
        <v>15.018181818181816</v>
      </c>
    </row>
    <row r="68" spans="1:10">
      <c r="A68" s="124" t="s">
        <v>269</v>
      </c>
      <c r="B68" s="176" t="s">
        <v>497</v>
      </c>
      <c r="C68" s="172" t="s">
        <v>48</v>
      </c>
      <c r="D68" s="127">
        <v>1050000</v>
      </c>
      <c r="E68" s="128">
        <v>0</v>
      </c>
      <c r="F68" s="129">
        <f>D68+E68</f>
        <v>1050000</v>
      </c>
      <c r="G68" s="130">
        <f t="shared" si="13"/>
        <v>33000</v>
      </c>
      <c r="H68" s="153">
        <v>3300</v>
      </c>
      <c r="I68" s="131">
        <f>F68/G68</f>
        <v>31.818181818181817</v>
      </c>
      <c r="J68" s="115">
        <f>I68/I$2</f>
        <v>15.018181818181816</v>
      </c>
    </row>
    <row r="69" spans="1:10" customFormat="1">
      <c r="B69" s="171"/>
      <c r="C69" s="171"/>
    </row>
    <row r="70" spans="1:10" customFormat="1">
      <c r="A70" s="123" t="s">
        <v>496</v>
      </c>
      <c r="B70" s="108"/>
      <c r="C70" s="173"/>
      <c r="D70" s="109"/>
      <c r="E70" s="111"/>
      <c r="F70" s="109"/>
      <c r="G70" s="109"/>
      <c r="H70" s="109"/>
      <c r="I70" s="109"/>
      <c r="J70" s="109"/>
    </row>
    <row r="71" spans="1:10" customFormat="1">
      <c r="A71" s="124" t="s">
        <v>267</v>
      </c>
      <c r="B71" s="176" t="s">
        <v>497</v>
      </c>
      <c r="C71" s="172" t="s">
        <v>48</v>
      </c>
      <c r="D71" s="127">
        <v>175000</v>
      </c>
      <c r="E71" s="128">
        <v>0</v>
      </c>
      <c r="F71" s="129">
        <f>D71+E71</f>
        <v>175000</v>
      </c>
      <c r="G71" s="130">
        <f>H71*10</f>
        <v>5500</v>
      </c>
      <c r="H71" s="153">
        <v>550</v>
      </c>
      <c r="I71" s="131">
        <f>F71/G71</f>
        <v>31.818181818181817</v>
      </c>
      <c r="J71" s="115">
        <f>I71/I$2</f>
        <v>15.018181818181816</v>
      </c>
    </row>
    <row r="72" spans="1:10" customFormat="1">
      <c r="A72" s="124" t="s">
        <v>268</v>
      </c>
      <c r="B72" s="176" t="s">
        <v>497</v>
      </c>
      <c r="C72" s="172" t="s">
        <v>48</v>
      </c>
      <c r="D72" s="127">
        <v>350000</v>
      </c>
      <c r="E72" s="128">
        <v>0</v>
      </c>
      <c r="F72" s="129">
        <f>D72+E72</f>
        <v>350000</v>
      </c>
      <c r="G72" s="130">
        <f>H72*10</f>
        <v>11000</v>
      </c>
      <c r="H72" s="153">
        <v>1100</v>
      </c>
      <c r="I72" s="131">
        <f>F72/G72</f>
        <v>31.818181818181817</v>
      </c>
      <c r="J72" s="115">
        <f>I72/I$2</f>
        <v>15.018181818181816</v>
      </c>
    </row>
    <row r="73" spans="1:10" customFormat="1">
      <c r="A73" s="124" t="s">
        <v>269</v>
      </c>
      <c r="B73" s="176" t="s">
        <v>497</v>
      </c>
      <c r="C73" s="172" t="s">
        <v>48</v>
      </c>
      <c r="D73" s="127">
        <v>1050000</v>
      </c>
      <c r="E73" s="128">
        <v>0</v>
      </c>
      <c r="F73" s="129">
        <f>D73+E73</f>
        <v>1050000</v>
      </c>
      <c r="G73" s="130">
        <f>H73*10</f>
        <v>33000</v>
      </c>
      <c r="H73" s="153">
        <v>3300</v>
      </c>
      <c r="I73" s="131">
        <f>F73/G73</f>
        <v>31.818181818181817</v>
      </c>
      <c r="J73" s="115">
        <f>I73/I$2</f>
        <v>15.018181818181816</v>
      </c>
    </row>
    <row r="74" spans="1:10" customFormat="1">
      <c r="B74" s="171"/>
      <c r="C74" s="171"/>
    </row>
    <row r="75" spans="1:10" customFormat="1">
      <c r="A75" s="123" t="s">
        <v>496</v>
      </c>
      <c r="B75" s="108"/>
      <c r="C75" s="173"/>
      <c r="D75" s="109"/>
      <c r="E75" s="111"/>
      <c r="F75" s="109"/>
      <c r="G75" s="109"/>
      <c r="H75" s="109"/>
      <c r="I75" s="109"/>
      <c r="J75" s="109"/>
    </row>
    <row r="76" spans="1:10" customFormat="1">
      <c r="A76" s="124" t="s">
        <v>267</v>
      </c>
      <c r="B76" s="176" t="s">
        <v>497</v>
      </c>
      <c r="C76" s="172" t="s">
        <v>48</v>
      </c>
      <c r="D76" s="127">
        <v>175000</v>
      </c>
      <c r="E76" s="128">
        <v>0</v>
      </c>
      <c r="F76" s="129">
        <f>D76+E76</f>
        <v>175000</v>
      </c>
      <c r="G76" s="130">
        <f>H76*10</f>
        <v>5500</v>
      </c>
      <c r="H76" s="153">
        <v>550</v>
      </c>
      <c r="I76" s="131">
        <f>F76/G76</f>
        <v>31.818181818181817</v>
      </c>
      <c r="J76" s="115">
        <f>I76/I$2</f>
        <v>15.018181818181816</v>
      </c>
    </row>
    <row r="77" spans="1:10" customFormat="1">
      <c r="A77" s="124" t="s">
        <v>268</v>
      </c>
      <c r="B77" s="176" t="s">
        <v>497</v>
      </c>
      <c r="C77" s="172" t="s">
        <v>48</v>
      </c>
      <c r="D77" s="127">
        <v>350000</v>
      </c>
      <c r="E77" s="128">
        <v>0</v>
      </c>
      <c r="F77" s="129">
        <f>D77+E77</f>
        <v>350000</v>
      </c>
      <c r="G77" s="130">
        <f>H77*10</f>
        <v>11000</v>
      </c>
      <c r="H77" s="153">
        <v>1100</v>
      </c>
      <c r="I77" s="131">
        <f>F77/G77</f>
        <v>31.818181818181817</v>
      </c>
      <c r="J77" s="115">
        <f>I77/I$2</f>
        <v>15.018181818181816</v>
      </c>
    </row>
    <row r="78" spans="1:10" customFormat="1">
      <c r="A78" s="124" t="s">
        <v>269</v>
      </c>
      <c r="B78" s="176" t="s">
        <v>497</v>
      </c>
      <c r="C78" s="172" t="s">
        <v>48</v>
      </c>
      <c r="D78" s="127">
        <v>1050000</v>
      </c>
      <c r="E78" s="128">
        <v>0</v>
      </c>
      <c r="F78" s="129">
        <f>D78+E78</f>
        <v>1050000</v>
      </c>
      <c r="G78" s="130">
        <f>H78*10</f>
        <v>33000</v>
      </c>
      <c r="H78" s="153">
        <v>3300</v>
      </c>
      <c r="I78" s="131">
        <f>F78/G78</f>
        <v>31.818181818181817</v>
      </c>
      <c r="J78" s="115">
        <f>I78/I$2</f>
        <v>15.018181818181816</v>
      </c>
    </row>
    <row r="79" spans="1:10" customFormat="1">
      <c r="B79" s="171"/>
      <c r="C79" s="171"/>
    </row>
    <row r="80" spans="1:10" customFormat="1">
      <c r="A80" s="123" t="s">
        <v>499</v>
      </c>
      <c r="B80" s="108"/>
      <c r="C80" s="173"/>
      <c r="D80" s="109"/>
      <c r="E80" s="111"/>
      <c r="F80" s="109"/>
      <c r="G80" s="109"/>
      <c r="H80" s="109"/>
      <c r="I80" s="109"/>
      <c r="J80" s="109"/>
    </row>
    <row r="81" spans="1:10" customFormat="1">
      <c r="A81" s="124" t="s">
        <v>267</v>
      </c>
      <c r="B81" s="176" t="s">
        <v>497</v>
      </c>
      <c r="C81" s="172" t="s">
        <v>48</v>
      </c>
      <c r="D81" s="127">
        <v>175000</v>
      </c>
      <c r="E81" s="128">
        <v>0</v>
      </c>
      <c r="F81" s="129">
        <f>D81+E81</f>
        <v>175000</v>
      </c>
      <c r="G81" s="130">
        <f>H81*10</f>
        <v>5500</v>
      </c>
      <c r="H81" s="153">
        <v>550</v>
      </c>
      <c r="I81" s="131">
        <f>F81/G81</f>
        <v>31.818181818181817</v>
      </c>
      <c r="J81" s="115">
        <f>I81/I$2</f>
        <v>15.018181818181816</v>
      </c>
    </row>
    <row r="82" spans="1:10" customFormat="1">
      <c r="A82" s="124" t="s">
        <v>268</v>
      </c>
      <c r="B82" s="176" t="s">
        <v>497</v>
      </c>
      <c r="C82" s="172" t="s">
        <v>48</v>
      </c>
      <c r="D82" s="127">
        <v>350000</v>
      </c>
      <c r="E82" s="128">
        <v>0</v>
      </c>
      <c r="F82" s="129">
        <f>D82+E82</f>
        <v>350000</v>
      </c>
      <c r="G82" s="130">
        <f>H82*10</f>
        <v>11000</v>
      </c>
      <c r="H82" s="153">
        <v>1100</v>
      </c>
      <c r="I82" s="131">
        <f>F82/G82</f>
        <v>31.818181818181817</v>
      </c>
      <c r="J82" s="115">
        <f>I82/I$2</f>
        <v>15.018181818181816</v>
      </c>
    </row>
    <row r="83" spans="1:10" customFormat="1">
      <c r="A83" s="124" t="s">
        <v>269</v>
      </c>
      <c r="B83" s="176" t="s">
        <v>497</v>
      </c>
      <c r="C83" s="172" t="s">
        <v>48</v>
      </c>
      <c r="D83" s="127">
        <v>1050000</v>
      </c>
      <c r="E83" s="128">
        <v>0</v>
      </c>
      <c r="F83" s="129">
        <f>D83+E83</f>
        <v>1050000</v>
      </c>
      <c r="G83" s="130">
        <f>H83*10</f>
        <v>33000</v>
      </c>
      <c r="H83" s="153">
        <v>3300</v>
      </c>
      <c r="I83" s="131">
        <f>F83/G83</f>
        <v>31.818181818181817</v>
      </c>
      <c r="J83" s="115">
        <f>I83/I$2</f>
        <v>15.018181818181816</v>
      </c>
    </row>
    <row r="84" spans="1:10" customFormat="1">
      <c r="B84" s="171"/>
      <c r="C84" s="171"/>
    </row>
    <row r="85" spans="1:10" customFormat="1">
      <c r="A85" s="123" t="s">
        <v>499</v>
      </c>
      <c r="B85" s="108"/>
      <c r="C85" s="173"/>
      <c r="D85" s="109"/>
      <c r="E85" s="111"/>
      <c r="F85" s="109"/>
      <c r="G85" s="109"/>
      <c r="H85" s="109"/>
      <c r="I85" s="109"/>
      <c r="J85" s="109"/>
    </row>
    <row r="86" spans="1:10" customFormat="1">
      <c r="A86" s="124" t="s">
        <v>267</v>
      </c>
      <c r="B86" s="176" t="s">
        <v>497</v>
      </c>
      <c r="C86" s="172" t="s">
        <v>48</v>
      </c>
      <c r="D86" s="127">
        <v>175000</v>
      </c>
      <c r="E86" s="128">
        <v>0</v>
      </c>
      <c r="F86" s="129">
        <f>D86+E86</f>
        <v>175000</v>
      </c>
      <c r="G86" s="130">
        <f>H86*10</f>
        <v>5500</v>
      </c>
      <c r="H86" s="153">
        <v>550</v>
      </c>
      <c r="I86" s="131">
        <f>F86/G86</f>
        <v>31.818181818181817</v>
      </c>
      <c r="J86" s="115">
        <f>I86/I$2</f>
        <v>15.018181818181816</v>
      </c>
    </row>
    <row r="87" spans="1:10" customFormat="1">
      <c r="A87" s="124" t="s">
        <v>268</v>
      </c>
      <c r="B87" s="176" t="s">
        <v>497</v>
      </c>
      <c r="C87" s="172" t="s">
        <v>48</v>
      </c>
      <c r="D87" s="127">
        <v>350000</v>
      </c>
      <c r="E87" s="128">
        <v>0</v>
      </c>
      <c r="F87" s="129">
        <f>D87+E87</f>
        <v>350000</v>
      </c>
      <c r="G87" s="130">
        <f>H87*10</f>
        <v>11000</v>
      </c>
      <c r="H87" s="153">
        <v>1100</v>
      </c>
      <c r="I87" s="131">
        <f>F87/G87</f>
        <v>31.818181818181817</v>
      </c>
      <c r="J87" s="115">
        <f>I87/I$2</f>
        <v>15.018181818181816</v>
      </c>
    </row>
    <row r="88" spans="1:10" customFormat="1">
      <c r="A88" s="124" t="s">
        <v>269</v>
      </c>
      <c r="B88" s="176" t="s">
        <v>497</v>
      </c>
      <c r="C88" s="172" t="s">
        <v>48</v>
      </c>
      <c r="D88" s="127">
        <v>1050000</v>
      </c>
      <c r="E88" s="128">
        <v>0</v>
      </c>
      <c r="F88" s="129">
        <f>D88+E88</f>
        <v>1050000</v>
      </c>
      <c r="G88" s="130">
        <f>H88*10</f>
        <v>33000</v>
      </c>
      <c r="H88" s="153">
        <v>3300</v>
      </c>
      <c r="I88" s="131">
        <f>F88/G88</f>
        <v>31.818181818181817</v>
      </c>
      <c r="J88" s="115">
        <f>I88/I$2</f>
        <v>15.018181818181816</v>
      </c>
    </row>
    <row r="89" spans="1:10" customFormat="1">
      <c r="B89" s="171"/>
      <c r="C89" s="171"/>
    </row>
    <row r="90" spans="1:10" customFormat="1">
      <c r="A90" s="123" t="s">
        <v>500</v>
      </c>
      <c r="B90" s="108"/>
      <c r="C90" s="173"/>
      <c r="D90" s="109"/>
      <c r="E90" s="111"/>
      <c r="F90" s="109"/>
      <c r="G90" s="109"/>
      <c r="H90" s="109"/>
      <c r="I90" s="109"/>
      <c r="J90" s="109"/>
    </row>
    <row r="91" spans="1:10" customFormat="1">
      <c r="A91" s="124" t="s">
        <v>267</v>
      </c>
      <c r="B91" s="176" t="s">
        <v>497</v>
      </c>
      <c r="C91" s="172" t="s">
        <v>48</v>
      </c>
      <c r="D91" s="127">
        <v>175000</v>
      </c>
      <c r="E91" s="128">
        <v>0</v>
      </c>
      <c r="F91" s="129">
        <f>D91+E91</f>
        <v>175000</v>
      </c>
      <c r="G91" s="130">
        <f>H91*10</f>
        <v>5500</v>
      </c>
      <c r="H91" s="153">
        <v>550</v>
      </c>
      <c r="I91" s="131">
        <f>F91/G91</f>
        <v>31.818181818181817</v>
      </c>
      <c r="J91" s="115">
        <f>I91/I$2</f>
        <v>15.018181818181816</v>
      </c>
    </row>
    <row r="92" spans="1:10" customFormat="1">
      <c r="A92" s="124" t="s">
        <v>268</v>
      </c>
      <c r="B92" s="176" t="s">
        <v>497</v>
      </c>
      <c r="C92" s="172" t="s">
        <v>48</v>
      </c>
      <c r="D92" s="127">
        <v>350000</v>
      </c>
      <c r="E92" s="128">
        <v>0</v>
      </c>
      <c r="F92" s="129">
        <f>D92+E92</f>
        <v>350000</v>
      </c>
      <c r="G92" s="130">
        <f>H92*10</f>
        <v>11000</v>
      </c>
      <c r="H92" s="153">
        <v>1100</v>
      </c>
      <c r="I92" s="131">
        <f>F92/G92</f>
        <v>31.818181818181817</v>
      </c>
      <c r="J92" s="115">
        <f>I92/I$2</f>
        <v>15.018181818181816</v>
      </c>
    </row>
    <row r="93" spans="1:10" customFormat="1">
      <c r="A93" s="124" t="s">
        <v>269</v>
      </c>
      <c r="B93" s="176" t="s">
        <v>497</v>
      </c>
      <c r="C93" s="172" t="s">
        <v>48</v>
      </c>
      <c r="D93" s="127">
        <v>1050000</v>
      </c>
      <c r="E93" s="128">
        <v>0</v>
      </c>
      <c r="F93" s="129">
        <f>D93+E93</f>
        <v>1050000</v>
      </c>
      <c r="G93" s="130">
        <f>H93*10</f>
        <v>33000</v>
      </c>
      <c r="H93" s="153">
        <v>3300</v>
      </c>
      <c r="I93" s="131">
        <f>F93/G93</f>
        <v>31.818181818181817</v>
      </c>
      <c r="J93" s="115">
        <f>I93/I$2</f>
        <v>15.018181818181816</v>
      </c>
    </row>
    <row r="94" spans="1:10" customFormat="1">
      <c r="B94" s="171"/>
      <c r="C94" s="171"/>
    </row>
    <row r="95" spans="1:10" customFormat="1">
      <c r="A95" s="123" t="s">
        <v>500</v>
      </c>
      <c r="B95" s="108"/>
      <c r="C95" s="173"/>
      <c r="D95" s="109"/>
      <c r="E95" s="111"/>
      <c r="F95" s="109"/>
      <c r="G95" s="109"/>
      <c r="H95" s="109"/>
      <c r="I95" s="109"/>
      <c r="J95" s="109"/>
    </row>
    <row r="96" spans="1:10" customFormat="1">
      <c r="A96" s="124" t="s">
        <v>267</v>
      </c>
      <c r="B96" s="176" t="s">
        <v>497</v>
      </c>
      <c r="C96" s="172" t="s">
        <v>48</v>
      </c>
      <c r="D96" s="127">
        <v>175000</v>
      </c>
      <c r="E96" s="128">
        <v>0</v>
      </c>
      <c r="F96" s="129">
        <f>D96+E96</f>
        <v>175000</v>
      </c>
      <c r="G96" s="130">
        <f>H96*10</f>
        <v>5500</v>
      </c>
      <c r="H96" s="153">
        <v>550</v>
      </c>
      <c r="I96" s="131">
        <f>F96/G96</f>
        <v>31.818181818181817</v>
      </c>
      <c r="J96" s="115">
        <f>I96/I$2</f>
        <v>15.018181818181816</v>
      </c>
    </row>
    <row r="97" spans="1:10" customFormat="1">
      <c r="A97" s="124" t="s">
        <v>268</v>
      </c>
      <c r="B97" s="176" t="s">
        <v>497</v>
      </c>
      <c r="C97" s="172" t="s">
        <v>48</v>
      </c>
      <c r="D97" s="127">
        <v>350000</v>
      </c>
      <c r="E97" s="128">
        <v>0</v>
      </c>
      <c r="F97" s="129">
        <f>D97+E97</f>
        <v>350000</v>
      </c>
      <c r="G97" s="130">
        <f>H97*10</f>
        <v>11000</v>
      </c>
      <c r="H97" s="153">
        <v>1100</v>
      </c>
      <c r="I97" s="131">
        <f>F97/G97</f>
        <v>31.818181818181817</v>
      </c>
      <c r="J97" s="115">
        <f>I97/I$2</f>
        <v>15.018181818181816</v>
      </c>
    </row>
    <row r="98" spans="1:10" customFormat="1">
      <c r="A98" s="124" t="s">
        <v>269</v>
      </c>
      <c r="B98" s="176" t="s">
        <v>497</v>
      </c>
      <c r="C98" s="172" t="s">
        <v>48</v>
      </c>
      <c r="D98" s="127">
        <v>1050000</v>
      </c>
      <c r="E98" s="128">
        <v>0</v>
      </c>
      <c r="F98" s="129">
        <f>D98+E98</f>
        <v>1050000</v>
      </c>
      <c r="G98" s="130">
        <f>H98*10</f>
        <v>33000</v>
      </c>
      <c r="H98" s="153">
        <v>3300</v>
      </c>
      <c r="I98" s="131">
        <f>F98/G98</f>
        <v>31.818181818181817</v>
      </c>
      <c r="J98" s="115">
        <f>I98/I$2</f>
        <v>15.018181818181816</v>
      </c>
    </row>
    <row r="99" spans="1:10" customFormat="1">
      <c r="B99" s="171"/>
      <c r="C99" s="171"/>
    </row>
    <row r="100" spans="1:10" customFormat="1">
      <c r="A100" s="123" t="s">
        <v>501</v>
      </c>
      <c r="B100" s="108"/>
      <c r="C100" s="173"/>
      <c r="D100" s="109"/>
      <c r="E100" s="111"/>
      <c r="F100" s="109"/>
      <c r="G100" s="109"/>
      <c r="H100" s="109"/>
      <c r="I100" s="109"/>
      <c r="J100" s="109"/>
    </row>
    <row r="101" spans="1:10" customFormat="1">
      <c r="A101" s="124" t="s">
        <v>267</v>
      </c>
      <c r="B101" s="176" t="s">
        <v>497</v>
      </c>
      <c r="C101" s="172" t="s">
        <v>48</v>
      </c>
      <c r="D101" s="127">
        <v>175000</v>
      </c>
      <c r="E101" s="128">
        <v>0</v>
      </c>
      <c r="F101" s="129">
        <f>D101+E101</f>
        <v>175000</v>
      </c>
      <c r="G101" s="130">
        <f>H101*10</f>
        <v>5500</v>
      </c>
      <c r="H101" s="153">
        <v>550</v>
      </c>
      <c r="I101" s="131">
        <f>F101/G101</f>
        <v>31.818181818181817</v>
      </c>
      <c r="J101" s="115">
        <f>I101/I$2</f>
        <v>15.018181818181816</v>
      </c>
    </row>
    <row r="102" spans="1:10" customFormat="1">
      <c r="A102" s="124" t="s">
        <v>268</v>
      </c>
      <c r="B102" s="176" t="s">
        <v>497</v>
      </c>
      <c r="C102" s="172" t="s">
        <v>48</v>
      </c>
      <c r="D102" s="127">
        <v>350000</v>
      </c>
      <c r="E102" s="128">
        <v>0</v>
      </c>
      <c r="F102" s="129">
        <f>D102+E102</f>
        <v>350000</v>
      </c>
      <c r="G102" s="130">
        <f>H102*10</f>
        <v>11000</v>
      </c>
      <c r="H102" s="153">
        <v>1100</v>
      </c>
      <c r="I102" s="131">
        <f>F102/G102</f>
        <v>31.818181818181817</v>
      </c>
      <c r="J102" s="115">
        <f>I102/I$2</f>
        <v>15.018181818181816</v>
      </c>
    </row>
    <row r="103" spans="1:10" customFormat="1">
      <c r="A103" s="124" t="s">
        <v>269</v>
      </c>
      <c r="B103" s="176" t="s">
        <v>497</v>
      </c>
      <c r="C103" s="172" t="s">
        <v>48</v>
      </c>
      <c r="D103" s="127">
        <v>1050000</v>
      </c>
      <c r="E103" s="128">
        <v>0</v>
      </c>
      <c r="F103" s="129">
        <f>D103+E103</f>
        <v>1050000</v>
      </c>
      <c r="G103" s="130">
        <f>H103*10</f>
        <v>33000</v>
      </c>
      <c r="H103" s="153">
        <v>3300</v>
      </c>
      <c r="I103" s="131">
        <f>F103/G103</f>
        <v>31.818181818181817</v>
      </c>
      <c r="J103" s="115">
        <f>I103/I$2</f>
        <v>15.018181818181816</v>
      </c>
    </row>
    <row r="104" spans="1:10" customFormat="1">
      <c r="B104" s="171"/>
      <c r="C104" s="171"/>
    </row>
    <row r="105" spans="1:10" customFormat="1">
      <c r="A105" s="123" t="s">
        <v>501</v>
      </c>
      <c r="B105" s="108"/>
      <c r="C105" s="173"/>
      <c r="D105" s="109"/>
      <c r="E105" s="111"/>
      <c r="F105" s="109"/>
      <c r="G105" s="109"/>
      <c r="H105" s="109"/>
      <c r="I105" s="109"/>
      <c r="J105" s="109"/>
    </row>
    <row r="106" spans="1:10" customFormat="1">
      <c r="A106" s="124" t="s">
        <v>267</v>
      </c>
      <c r="B106" s="176" t="s">
        <v>497</v>
      </c>
      <c r="C106" s="172" t="s">
        <v>48</v>
      </c>
      <c r="D106" s="127">
        <v>175000</v>
      </c>
      <c r="E106" s="128">
        <v>0</v>
      </c>
      <c r="F106" s="129">
        <f>D106+E106</f>
        <v>175000</v>
      </c>
      <c r="G106" s="130">
        <f>H106*10</f>
        <v>5500</v>
      </c>
      <c r="H106" s="153">
        <v>550</v>
      </c>
      <c r="I106" s="131">
        <f>F106/G106</f>
        <v>31.818181818181817</v>
      </c>
      <c r="J106" s="115">
        <f>I106/I$2</f>
        <v>15.018181818181816</v>
      </c>
    </row>
    <row r="107" spans="1:10" customFormat="1">
      <c r="A107" s="124" t="s">
        <v>268</v>
      </c>
      <c r="B107" s="176" t="s">
        <v>497</v>
      </c>
      <c r="C107" s="172" t="s">
        <v>48</v>
      </c>
      <c r="D107" s="127">
        <v>350000</v>
      </c>
      <c r="E107" s="128">
        <v>0</v>
      </c>
      <c r="F107" s="129">
        <f>D107+E107</f>
        <v>350000</v>
      </c>
      <c r="G107" s="130">
        <f>H107*10</f>
        <v>11000</v>
      </c>
      <c r="H107" s="153">
        <v>1100</v>
      </c>
      <c r="I107" s="131">
        <f>F107/G107</f>
        <v>31.818181818181817</v>
      </c>
      <c r="J107" s="115">
        <f>I107/I$2</f>
        <v>15.018181818181816</v>
      </c>
    </row>
    <row r="108" spans="1:10" customFormat="1">
      <c r="A108" s="124" t="s">
        <v>269</v>
      </c>
      <c r="B108" s="176" t="s">
        <v>497</v>
      </c>
      <c r="C108" s="172" t="s">
        <v>48</v>
      </c>
      <c r="D108" s="127">
        <v>1050000</v>
      </c>
      <c r="E108" s="128">
        <v>0</v>
      </c>
      <c r="F108" s="129">
        <f>D108+E108</f>
        <v>1050000</v>
      </c>
      <c r="G108" s="130">
        <f>H108*10</f>
        <v>33000</v>
      </c>
      <c r="H108" s="153">
        <v>3300</v>
      </c>
      <c r="I108" s="131">
        <f>F108/G108</f>
        <v>31.818181818181817</v>
      </c>
      <c r="J108" s="115">
        <f>I108/I$2</f>
        <v>15.018181818181816</v>
      </c>
    </row>
    <row r="118" spans="1:14">
      <c r="A118" s="168" t="s">
        <v>406</v>
      </c>
      <c r="B118" s="108" t="s">
        <v>502</v>
      </c>
      <c r="C118" s="108" t="s">
        <v>502</v>
      </c>
      <c r="D118" s="111"/>
      <c r="E118" s="112" t="s">
        <v>413</v>
      </c>
      <c r="F118" s="113"/>
      <c r="J118" s="115"/>
    </row>
    <row r="119" spans="1:14">
      <c r="A119" s="124" t="s">
        <v>414</v>
      </c>
      <c r="B119" s="176" t="s">
        <v>424</v>
      </c>
      <c r="C119" s="170" t="s">
        <v>412</v>
      </c>
      <c r="D119" s="127">
        <v>10000</v>
      </c>
      <c r="E119" s="128">
        <v>5000</v>
      </c>
      <c r="F119" s="129">
        <f t="shared" ref="F119:F128" si="14">D119+(E119*18)</f>
        <v>100000</v>
      </c>
      <c r="G119" s="130">
        <f t="shared" ref="G119:G128" si="15">H119*10</f>
        <v>5500</v>
      </c>
      <c r="H119" s="153">
        <v>550</v>
      </c>
      <c r="I119" s="131">
        <f t="shared" ref="I119:I128" si="16">F119/G119</f>
        <v>18.181818181818183</v>
      </c>
      <c r="J119" s="115">
        <f t="shared" ref="J119:J128" si="17">I119/I$2</f>
        <v>8.581818181818182</v>
      </c>
      <c r="K119" s="162"/>
      <c r="L119" s="162"/>
      <c r="M119" s="162"/>
      <c r="N119" s="162"/>
    </row>
    <row r="120" spans="1:14">
      <c r="A120" s="124" t="s">
        <v>415</v>
      </c>
      <c r="B120" s="176" t="s">
        <v>425</v>
      </c>
      <c r="C120" s="170" t="s">
        <v>412</v>
      </c>
      <c r="D120" s="127">
        <v>10000</v>
      </c>
      <c r="E120" s="128">
        <v>5000</v>
      </c>
      <c r="F120" s="129">
        <f t="shared" si="14"/>
        <v>100000</v>
      </c>
      <c r="G120" s="130">
        <f t="shared" si="15"/>
        <v>5500</v>
      </c>
      <c r="H120" s="153">
        <v>550</v>
      </c>
      <c r="I120" s="131">
        <f t="shared" si="16"/>
        <v>18.181818181818183</v>
      </c>
      <c r="J120" s="115">
        <f t="shared" si="17"/>
        <v>8.581818181818182</v>
      </c>
      <c r="K120" s="162"/>
      <c r="L120" s="162"/>
      <c r="M120" s="162"/>
      <c r="N120" s="162"/>
    </row>
    <row r="121" spans="1:14">
      <c r="A121" s="124" t="s">
        <v>416</v>
      </c>
      <c r="B121" s="176" t="s">
        <v>426</v>
      </c>
      <c r="C121" s="170" t="s">
        <v>412</v>
      </c>
      <c r="D121" s="127">
        <v>10000</v>
      </c>
      <c r="E121" s="128">
        <v>5000</v>
      </c>
      <c r="F121" s="129">
        <f t="shared" si="14"/>
        <v>100000</v>
      </c>
      <c r="G121" s="130">
        <f t="shared" si="15"/>
        <v>5500</v>
      </c>
      <c r="H121" s="153">
        <v>550</v>
      </c>
      <c r="I121" s="131">
        <f t="shared" si="16"/>
        <v>18.181818181818183</v>
      </c>
      <c r="J121" s="115">
        <f t="shared" si="17"/>
        <v>8.581818181818182</v>
      </c>
      <c r="K121" s="162"/>
      <c r="L121" s="162"/>
      <c r="M121" s="162"/>
      <c r="N121" s="162"/>
    </row>
    <row r="122" spans="1:14">
      <c r="A122" s="124" t="s">
        <v>417</v>
      </c>
      <c r="B122" s="176" t="s">
        <v>427</v>
      </c>
      <c r="C122" s="170" t="s">
        <v>412</v>
      </c>
      <c r="D122" s="127">
        <v>10000</v>
      </c>
      <c r="E122" s="128">
        <v>5000</v>
      </c>
      <c r="F122" s="129">
        <f t="shared" si="14"/>
        <v>100000</v>
      </c>
      <c r="G122" s="130">
        <f t="shared" si="15"/>
        <v>5500</v>
      </c>
      <c r="H122" s="153">
        <v>550</v>
      </c>
      <c r="I122" s="131">
        <f t="shared" si="16"/>
        <v>18.181818181818183</v>
      </c>
      <c r="J122" s="115">
        <f t="shared" si="17"/>
        <v>8.581818181818182</v>
      </c>
      <c r="K122" s="162"/>
      <c r="L122" s="162"/>
      <c r="M122" s="162"/>
      <c r="N122" s="162"/>
    </row>
    <row r="123" spans="1:14">
      <c r="A123" s="124" t="s">
        <v>418</v>
      </c>
      <c r="B123" s="176" t="s">
        <v>428</v>
      </c>
      <c r="C123" s="170" t="s">
        <v>412</v>
      </c>
      <c r="D123" s="127">
        <v>10000</v>
      </c>
      <c r="E123" s="128">
        <v>5000</v>
      </c>
      <c r="F123" s="129">
        <f t="shared" si="14"/>
        <v>100000</v>
      </c>
      <c r="G123" s="130">
        <f t="shared" si="15"/>
        <v>5500</v>
      </c>
      <c r="H123" s="153">
        <v>550</v>
      </c>
      <c r="I123" s="131">
        <f t="shared" si="16"/>
        <v>18.181818181818183</v>
      </c>
      <c r="J123" s="115">
        <f t="shared" si="17"/>
        <v>8.581818181818182</v>
      </c>
      <c r="K123" s="162"/>
      <c r="L123" s="162"/>
      <c r="M123" s="162"/>
      <c r="N123" s="162"/>
    </row>
    <row r="124" spans="1:14">
      <c r="A124" s="124" t="s">
        <v>419</v>
      </c>
      <c r="B124" s="176" t="s">
        <v>429</v>
      </c>
      <c r="C124" s="170" t="s">
        <v>412</v>
      </c>
      <c r="D124" s="127">
        <v>10000</v>
      </c>
      <c r="E124" s="128">
        <v>5000</v>
      </c>
      <c r="F124" s="129">
        <f t="shared" si="14"/>
        <v>100000</v>
      </c>
      <c r="G124" s="130">
        <f t="shared" si="15"/>
        <v>5500</v>
      </c>
      <c r="H124" s="153">
        <v>550</v>
      </c>
      <c r="I124" s="131">
        <f t="shared" si="16"/>
        <v>18.181818181818183</v>
      </c>
      <c r="J124" s="115">
        <f t="shared" si="17"/>
        <v>8.581818181818182</v>
      </c>
      <c r="K124" s="162"/>
      <c r="L124" s="162"/>
      <c r="M124" s="162"/>
      <c r="N124" s="162"/>
    </row>
    <row r="125" spans="1:14">
      <c r="A125" s="124" t="s">
        <v>420</v>
      </c>
      <c r="B125" s="176" t="s">
        <v>430</v>
      </c>
      <c r="C125" s="170" t="s">
        <v>412</v>
      </c>
      <c r="D125" s="127">
        <v>10000</v>
      </c>
      <c r="E125" s="128">
        <v>5000</v>
      </c>
      <c r="F125" s="129">
        <f t="shared" si="14"/>
        <v>100000</v>
      </c>
      <c r="G125" s="130">
        <f t="shared" si="15"/>
        <v>5500</v>
      </c>
      <c r="H125" s="153">
        <v>550</v>
      </c>
      <c r="I125" s="131">
        <f t="shared" si="16"/>
        <v>18.181818181818183</v>
      </c>
      <c r="J125" s="115">
        <f t="shared" si="17"/>
        <v>8.581818181818182</v>
      </c>
      <c r="K125" s="162"/>
      <c r="L125" s="162"/>
      <c r="M125" s="162"/>
      <c r="N125" s="162"/>
    </row>
    <row r="126" spans="1:14">
      <c r="A126" s="124" t="s">
        <v>421</v>
      </c>
      <c r="B126" s="176" t="s">
        <v>431</v>
      </c>
      <c r="C126" s="170" t="s">
        <v>412</v>
      </c>
      <c r="D126" s="127">
        <v>10000</v>
      </c>
      <c r="E126" s="128">
        <v>5000</v>
      </c>
      <c r="F126" s="129">
        <f t="shared" si="14"/>
        <v>100000</v>
      </c>
      <c r="G126" s="130">
        <f t="shared" si="15"/>
        <v>5500</v>
      </c>
      <c r="H126" s="153">
        <v>550</v>
      </c>
      <c r="I126" s="131">
        <f t="shared" si="16"/>
        <v>18.181818181818183</v>
      </c>
      <c r="J126" s="115">
        <f t="shared" si="17"/>
        <v>8.581818181818182</v>
      </c>
      <c r="K126" s="162"/>
      <c r="L126" s="162"/>
      <c r="M126" s="162"/>
      <c r="N126" s="162"/>
    </row>
    <row r="127" spans="1:14">
      <c r="A127" s="124" t="s">
        <v>422</v>
      </c>
      <c r="B127" s="176" t="s">
        <v>432</v>
      </c>
      <c r="C127" s="170" t="s">
        <v>412</v>
      </c>
      <c r="D127" s="127">
        <v>10000</v>
      </c>
      <c r="E127" s="128">
        <v>5000</v>
      </c>
      <c r="F127" s="129">
        <f t="shared" si="14"/>
        <v>100000</v>
      </c>
      <c r="G127" s="130">
        <f t="shared" si="15"/>
        <v>5500</v>
      </c>
      <c r="H127" s="153">
        <v>550</v>
      </c>
      <c r="I127" s="131">
        <f t="shared" si="16"/>
        <v>18.181818181818183</v>
      </c>
      <c r="J127" s="115">
        <f t="shared" si="17"/>
        <v>8.581818181818182</v>
      </c>
      <c r="K127" s="162"/>
      <c r="L127" s="162"/>
      <c r="M127" s="162"/>
      <c r="N127" s="162"/>
    </row>
    <row r="128" spans="1:14">
      <c r="A128" s="124" t="s">
        <v>423</v>
      </c>
      <c r="B128" s="176" t="s">
        <v>433</v>
      </c>
      <c r="C128" s="170" t="s">
        <v>412</v>
      </c>
      <c r="D128" s="127">
        <v>10000</v>
      </c>
      <c r="E128" s="128">
        <v>5000</v>
      </c>
      <c r="F128" s="129">
        <f t="shared" si="14"/>
        <v>100000</v>
      </c>
      <c r="G128" s="130">
        <f t="shared" si="15"/>
        <v>5500</v>
      </c>
      <c r="H128" s="153">
        <v>550</v>
      </c>
      <c r="I128" s="131">
        <f t="shared" si="16"/>
        <v>18.181818181818183</v>
      </c>
      <c r="J128" s="115">
        <f t="shared" si="17"/>
        <v>8.581818181818182</v>
      </c>
      <c r="K128" s="162"/>
      <c r="L128" s="162"/>
      <c r="M128" s="162"/>
      <c r="N128" s="162"/>
    </row>
    <row r="129" spans="1:10">
      <c r="A129" s="162"/>
      <c r="B129" s="161"/>
      <c r="C129" s="161"/>
      <c r="E129" s="164">
        <f>SUM(E119:E128)</f>
        <v>50000</v>
      </c>
      <c r="G129" s="149">
        <f>SUM(G119:G128)</f>
        <v>55000</v>
      </c>
    </row>
    <row r="142" spans="1:10">
      <c r="C142" s="174"/>
      <c r="D142" s="139"/>
      <c r="E142" s="112"/>
      <c r="F142" s="113"/>
      <c r="J142" s="115"/>
    </row>
    <row r="150" spans="4:10">
      <c r="D150" s="111"/>
      <c r="E150" s="112"/>
      <c r="F150" s="113"/>
      <c r="J150" s="115"/>
    </row>
    <row r="169" spans="4:10">
      <c r="D169" s="111"/>
      <c r="E169" s="112"/>
      <c r="F169" s="113"/>
      <c r="G169" s="149"/>
      <c r="J169" s="115"/>
    </row>
    <row r="170" spans="4:10">
      <c r="D170" s="111"/>
      <c r="E170" s="133"/>
      <c r="F170" s="134"/>
      <c r="G170" s="150"/>
      <c r="H170" s="151"/>
      <c r="I170" s="114"/>
      <c r="J170" s="115"/>
    </row>
    <row r="184" spans="11:14">
      <c r="K184" s="152"/>
      <c r="L184" s="152"/>
      <c r="M184" s="152"/>
      <c r="N184" s="152"/>
    </row>
  </sheetData>
  <phoneticPr fontId="1" type="noConversion"/>
  <conditionalFormatting sqref="J169:J170">
    <cfRule type="dataBar" priority="2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J170">
    <cfRule type="dataBar" priority="2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J64 J59 J34 J29 J24 J19 J14 J9 J39 J44 J49 J54 J69 J74 J79 J84 J89 J94 J99 J104">
    <cfRule type="dataBar" priority="5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  <cfRule type="dataBar" priority="5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J6:J8">
    <cfRule type="dataBar" priority="6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  <cfRule type="dataBar" priority="6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J11:J13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{7FECED64-6270-43CB-ABD1-BC28E1376279}</x14:id>
        </ext>
      </extLst>
    </cfRule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{3290DC26-1267-4569-8C20-1E70838A2527}</x14:id>
        </ext>
      </extLst>
    </cfRule>
  </conditionalFormatting>
  <conditionalFormatting sqref="J16:J18">
    <cfRule type="dataBar" priority="6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{99F019A6-0C39-4DE2-A135-F90DC2F76767}</x14:id>
        </ext>
      </extLst>
    </cfRule>
    <cfRule type="dataBar" priority="6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{B8B35532-2571-4BBA-8A69-95D245004253}</x14:id>
        </ext>
      </extLst>
    </cfRule>
  </conditionalFormatting>
  <conditionalFormatting sqref="J36:J38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{E7549FEF-5384-4FFB-9A8C-72C5F5B953BD}</x14:id>
        </ext>
      </extLst>
    </cfRule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{677CD07C-A700-4673-A1A6-1611D8FD5ACC}</x14:id>
        </ext>
      </extLst>
    </cfRule>
  </conditionalFormatting>
  <conditionalFormatting sqref="J119:J128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{0F61149E-965D-4C5A-A44D-11E4A12BD097}</x14:id>
        </ext>
      </extLst>
    </cfRule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{33F8B1B1-E099-4537-A920-182402079859}</x14:id>
        </ext>
      </extLst>
    </cfRule>
  </conditionalFormatting>
  <conditionalFormatting sqref="J21:J23">
    <cfRule type="dataBar" priority="6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{39DECAD6-18B7-48A8-9939-64BD0AD504FA}</x14:id>
        </ext>
      </extLst>
    </cfRule>
    <cfRule type="dataBar" priority="6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{6739CECC-02F2-4BC8-9BEE-28E33648DADC}</x14:id>
        </ext>
      </extLst>
    </cfRule>
  </conditionalFormatting>
  <conditionalFormatting sqref="J26:J28">
    <cfRule type="dataBar" priority="6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{79C0F4C2-E3D6-4FED-8D3B-D69BFCAEE0BB}</x14:id>
        </ext>
      </extLst>
    </cfRule>
    <cfRule type="dataBar" priority="6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{FE48F542-4BD0-4077-A527-0522235E0903}</x14:id>
        </ext>
      </extLst>
    </cfRule>
  </conditionalFormatting>
  <conditionalFormatting sqref="J31:J33">
    <cfRule type="dataBar" priority="7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{EC291AA8-6380-482F-B3D0-86F8459424EB}</x14:id>
        </ext>
      </extLst>
    </cfRule>
    <cfRule type="dataBar" priority="7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{94E4705D-2034-4428-B1EA-10A88A58D0A3}</x14:id>
        </ext>
      </extLst>
    </cfRule>
  </conditionalFormatting>
  <conditionalFormatting sqref="J41:J43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{75B6BD2D-8599-4CAE-9940-0CCBC2C49692}</x14:id>
        </ext>
      </extLst>
    </cfRule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{EF6F860E-3A26-459C-9F67-1F7EFB4D4646}</x14:id>
        </ext>
      </extLst>
    </cfRule>
  </conditionalFormatting>
  <conditionalFormatting sqref="J46:J48">
    <cfRule type="dataBar" priority="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{B9FB6C71-5700-4E75-9899-E58376A67177}</x14:id>
        </ext>
      </extLst>
    </cfRule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{65221962-779B-466C-B189-8F503D938F6D}</x14:id>
        </ext>
      </extLst>
    </cfRule>
  </conditionalFormatting>
  <conditionalFormatting sqref="J51:J53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{B7BF1FA5-3DA9-400C-B6BB-DCD594BED8AD}</x14:id>
        </ext>
      </extLst>
    </cfRule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{23555EC8-F96F-4100-AA1A-9C2B3F1C276F}</x14:id>
        </ext>
      </extLst>
    </cfRule>
  </conditionalFormatting>
  <conditionalFormatting sqref="J56:J58">
    <cfRule type="dataBar" priority="7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{543DA7F5-197C-4D6C-9B03-26C1B4C81041}</x14:id>
        </ext>
      </extLst>
    </cfRule>
    <cfRule type="dataBar" priority="7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{5090EFC7-DB41-4034-894D-10FA7697DB90}</x14:id>
        </ext>
      </extLst>
    </cfRule>
    <cfRule type="dataBar" priority="7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{2FEB7665-07AC-45EE-B3C4-25B8A1792A77}</x14:id>
        </ext>
      </extLst>
    </cfRule>
    <cfRule type="dataBar" priority="7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{8E701C0A-CDCD-4DA4-963C-158A9622625C}</x14:id>
        </ext>
      </extLst>
    </cfRule>
    <cfRule type="dataBar" priority="7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{CEE0930B-BA2D-4C88-B3F5-CA3102778465}</x14:id>
        </ext>
      </extLst>
    </cfRule>
    <cfRule type="dataBar" priority="7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{0668B765-CD4C-4B31-8D1A-3DE313A69568}</x14:id>
        </ext>
      </extLst>
    </cfRule>
    <cfRule type="dataBar" priority="7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{F6E1A4B0-20FF-4A1E-8668-1A0068142D73}</x14:id>
        </ext>
      </extLst>
    </cfRule>
    <cfRule type="dataBar" priority="7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{BA450176-7909-4C74-9215-B9687EBE795F}</x14:id>
        </ext>
      </extLst>
    </cfRule>
    <cfRule type="dataBar" priority="7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{E26BFD04-6A71-4ABB-9F41-436D605CE009}</x14:id>
        </ext>
      </extLst>
    </cfRule>
  </conditionalFormatting>
  <conditionalFormatting sqref="J56:J58">
    <cfRule type="dataBar" priority="7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{852CEF46-AF71-42CD-AC2D-1218FB2DA721}</x14:id>
        </ext>
      </extLst>
    </cfRule>
  </conditionalFormatting>
  <conditionalFormatting sqref="J61:J63">
    <cfRule type="dataBar" priority="8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{36AD6ED6-3819-4AAD-B718-746195A07BB8}</x14:id>
        </ext>
      </extLst>
    </cfRule>
    <cfRule type="dataBar" priority="8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{1258B1B0-B834-4B6D-B00E-9570CD83661D}</x14:id>
        </ext>
      </extLst>
    </cfRule>
  </conditionalFormatting>
  <conditionalFormatting sqref="J66:J68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{20F8256C-0836-4921-9A7F-DFCCA9C40DCD}</x14:id>
        </ext>
      </extLst>
    </cfRule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{9D7909AF-5616-4CD6-AA6C-B44585C832A9}</x14:id>
        </ext>
      </extLst>
    </cfRule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{F31693E6-F552-4A0B-B6E8-DBF011F4B0FA}</x14:id>
        </ext>
      </extLst>
    </cfRule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{6BCB6CDF-FDE3-4807-B6F2-F093F157C737}</x14:id>
        </ext>
      </extLst>
    </cfRule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{A7647F3B-966F-46D0-AB19-BE5B4708D0C8}</x14:id>
        </ext>
      </extLst>
    </cfRule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{C8A5EF89-068F-4F18-9A8A-19D48D007D4D}</x14:id>
        </ext>
      </extLst>
    </cfRule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{31538D6C-5820-4B9A-982F-BF9ABF864572}</x14:id>
        </ext>
      </extLst>
    </cfRule>
  </conditionalFormatting>
  <conditionalFormatting sqref="J71:J73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{45EC871E-318C-42C2-8DE5-18AF5F88D10F}</x14:id>
        </ext>
      </extLst>
    </cfRule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{03383B83-75BC-454D-BC22-F4D22FE54A26}</x14:id>
        </ext>
      </extLst>
    </cfRule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{1B189ED6-CC16-4ABE-B4E7-9AA9B140861C}</x14:id>
        </ext>
      </extLst>
    </cfRule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{11E034CA-1D49-424B-A33A-C5C31C26BDE8}</x14:id>
        </ext>
      </extLst>
    </cfRule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{979C3DFC-1BCE-461B-9F62-0A353CF3E4F9}</x14:id>
        </ext>
      </extLst>
    </cfRule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{02BE2186-97D9-449C-AEF4-ABDB8EF64AA6}</x14:id>
        </ext>
      </extLst>
    </cfRule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{5BF25537-C0AD-4374-BF94-857A5EB92021}</x14:id>
        </ext>
      </extLst>
    </cfRule>
  </conditionalFormatting>
  <conditionalFormatting sqref="J76:J78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{B0B37E1C-11DD-402A-A04F-A937B9C8EA3B}</x14:id>
        </ext>
      </extLst>
    </cfRule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{8EE57C20-6404-46C3-AD42-6E3D6D20F375}</x14:id>
        </ext>
      </extLst>
    </cfRule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{94C8BDCE-0006-4D59-BA13-0B31A5FF266C}</x14:id>
        </ext>
      </extLst>
    </cfRule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{E5398932-A35F-47A7-BE1C-92E9F68E9642}</x14:id>
        </ext>
      </extLst>
    </cfRule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{EAFAB22A-03C9-490E-8A0D-037D5B9AA356}</x14:id>
        </ext>
      </extLst>
    </cfRule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{4E7B653E-D7F6-4054-A189-09B9C34A69C0}</x14:id>
        </ext>
      </extLst>
    </cfRule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{67676BF8-D15F-4717-A066-9AC71AEC7823}</x14:id>
        </ext>
      </extLst>
    </cfRule>
  </conditionalFormatting>
  <conditionalFormatting sqref="J81:J83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{F9D112A3-D421-4423-B436-FB8BAB0A2837}</x14:id>
        </ext>
      </extLst>
    </cfRule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{7C5CACB4-A0B3-4CA7-B9D0-B8AE919516A2}</x14:id>
        </ext>
      </extLst>
    </cfRule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{431D8947-0E34-4A2F-AE83-2B8F01E89595}</x14:id>
        </ext>
      </extLst>
    </cfRule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{EFC19934-5CBC-4949-805D-92ECA5CB3EF0}</x14:id>
        </ext>
      </extLst>
    </cfRule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{1A4E5F7A-0EE7-44AC-A035-9EAD224A577A}</x14:id>
        </ext>
      </extLst>
    </cfRule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{AB9F84E0-C18C-43E0-A3B4-9F3D2663FB0E}</x14:id>
        </ext>
      </extLst>
    </cfRule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{82237A0C-B21D-48EB-B40E-CEDD6E658FD7}</x14:id>
        </ext>
      </extLst>
    </cfRule>
  </conditionalFormatting>
  <conditionalFormatting sqref="J86:J8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{0EFF664B-F811-4C95-9659-B9E8B894C1E4}</x14:id>
        </ext>
      </extLst>
    </cfRule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{768F164C-EBB1-43FA-9A0B-E7887B863B03}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{E9DC53EC-6F48-4908-883D-856A597B87FB}</x14:id>
        </ext>
      </extLst>
    </cfRule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{B35D5E21-68C1-4D07-9C6A-62BCA07CFA2A}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{52FBA8EA-C2CB-40F7-B407-C8D5C3D417A8}</x14:id>
        </ext>
      </extLst>
    </cfRule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{5C59134A-E8AC-4719-8B10-A3B255225996}</x14:id>
        </ext>
      </extLst>
    </cfRule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{CF42F982-D4FE-439E-9DB8-BE4D4A197AD1}</x14:id>
        </ext>
      </extLst>
    </cfRule>
  </conditionalFormatting>
  <conditionalFormatting sqref="J91:J9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{4395E590-5D1E-4842-9E58-77D067400217}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{08E2A453-37F0-4B33-9BF9-C20180297ED6}</x14:id>
        </ext>
      </extLst>
    </cfRule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{637831C3-B99F-4E5F-AE55-C8544DC06879}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{23A5B581-DF51-448E-B800-FD70D7801B13}</x14:id>
        </ext>
      </extLst>
    </cfRule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{AFC2254E-5E0B-4238-A07A-9EABEDDDB596}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{2EC0458B-2994-48FF-B158-0C7DFE4089E5}</x14:id>
        </ext>
      </extLst>
    </cfRule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{8473E2EA-6C37-4452-9ADA-7B3C99AFA4FD}</x14:id>
        </ext>
      </extLst>
    </cfRule>
  </conditionalFormatting>
  <conditionalFormatting sqref="J96:J98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{02C25519-70E8-4C38-9945-5D9B07AE68AD}</x14:id>
        </ext>
      </extLst>
    </cfRule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{B67B2960-FDED-41A7-A4E4-D4E15BDDB9AB}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{FBC541D0-088E-409D-9F0E-0BDAC880D625}</x14:id>
        </ext>
      </extLst>
    </cfRule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{F0E9BBC5-8B2C-4F0A-BA72-852D3D2954E0}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{0D254404-51E3-4700-9652-0C0E31D97DB1}</x14:id>
        </ext>
      </extLst>
    </cfRule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{2D8242EA-7378-4011-97B2-153ED1595A28}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{22AA8B6D-CFD7-49A6-B1BA-9117EC9DFEF7}</x14:id>
        </ext>
      </extLst>
    </cfRule>
  </conditionalFormatting>
  <conditionalFormatting sqref="J101:J10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{E100944B-F40C-4AFD-B8B5-BD1E6FB68D61}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{8DBEDEEC-F817-4258-8E76-78A594C25FB5}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{FF212832-FC0D-4DB7-ABA7-A863EDC88CBD}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{9DE05295-DBA6-40C5-BFCE-FB72DFE1F4E9}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{61089B9D-1CC4-4979-BCF4-124B5DB9033A}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{7A174638-BAB4-4D1A-8702-263FE2A7E5F2}</x14:id>
        </ext>
      </extLst>
    </cfRule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{0C771D61-63A8-473C-B2C3-CDD7EC2F5CAC}</x14:id>
        </ext>
      </extLst>
    </cfRule>
  </conditionalFormatting>
  <conditionalFormatting sqref="J106:J10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{E405888D-69DD-483F-ADAB-5B5B3395BCB1}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{B350F5FA-DD83-4289-8204-D83EF5A41783}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{2CDD0BD6-F960-432B-9620-2915D45FDB36}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{9F9B64F5-13B7-4400-B07E-41989ADB880F}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{A62785D2-3C80-44B2-8518-E0260CE467AE}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{CFF0FA6E-658D-49AA-AF56-DA2EFFA6C589}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{BF36281A-F933-4179-A73A-DCF90CE6186F}</x14:id>
        </ext>
      </extLst>
    </cfRule>
  </conditionalFormatting>
  <conditionalFormatting sqref="J142">
    <cfRule type="dataBar" priority="8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J169:J170 J142 J150 J4">
    <cfRule type="dataBar" priority="8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J169:J170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J170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J64 J59 J34 J29 J24 J19 J14 J9 J39 J44 J49 J54 J69 J74 J79 J84 J89 J94 J99 J104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J6:J8</xm:sqref>
        </x14:conditionalFormatting>
        <x14:conditionalFormatting xmlns:xm="http://schemas.microsoft.com/office/excel/2006/main">
          <x14:cfRule type="dataBar" id="{7FECED64-6270-43CB-ABD1-BC28E1376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290DC26-1267-4569-8C20-1E70838A2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J11:J13</xm:sqref>
        </x14:conditionalFormatting>
        <x14:conditionalFormatting xmlns:xm="http://schemas.microsoft.com/office/excel/2006/main">
          <x14:cfRule type="dataBar" id="{99F019A6-0C39-4DE2-A135-F90DC2F767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8B35532-2571-4BBA-8A69-95D2450042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J16:J18</xm:sqref>
        </x14:conditionalFormatting>
        <x14:conditionalFormatting xmlns:xm="http://schemas.microsoft.com/office/excel/2006/main">
          <x14:cfRule type="dataBar" id="{E7549FEF-5384-4FFB-9A8C-72C5F5B953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7CD07C-A700-4673-A1A6-1611D8FD5A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J36:J38</xm:sqref>
        </x14:conditionalFormatting>
        <x14:conditionalFormatting xmlns:xm="http://schemas.microsoft.com/office/excel/2006/main">
          <x14:cfRule type="dataBar" id="{0F61149E-965D-4C5A-A44D-11E4A12BD0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3F8B1B1-E099-4537-A920-182402079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J119:J128</xm:sqref>
        </x14:conditionalFormatting>
        <x14:conditionalFormatting xmlns:xm="http://schemas.microsoft.com/office/excel/2006/main">
          <x14:cfRule type="dataBar" id="{39DECAD6-18B7-48A8-9939-64BD0AD504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39CECC-02F2-4BC8-9BEE-28E33648DA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J21:J23</xm:sqref>
        </x14:conditionalFormatting>
        <x14:conditionalFormatting xmlns:xm="http://schemas.microsoft.com/office/excel/2006/main">
          <x14:cfRule type="dataBar" id="{79C0F4C2-E3D6-4FED-8D3B-D69BFCAEE0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E48F542-4BD0-4077-A527-0522235E0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J26:J28</xm:sqref>
        </x14:conditionalFormatting>
        <x14:conditionalFormatting xmlns:xm="http://schemas.microsoft.com/office/excel/2006/main">
          <x14:cfRule type="dataBar" id="{EC291AA8-6380-482F-B3D0-86F8459424E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4E4705D-2034-4428-B1EA-10A88A58D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J31:J33</xm:sqref>
        </x14:conditionalFormatting>
        <x14:conditionalFormatting xmlns:xm="http://schemas.microsoft.com/office/excel/2006/main">
          <x14:cfRule type="dataBar" id="{75B6BD2D-8599-4CAE-9940-0CCBC2C496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F6F860E-3A26-459C-9F67-1F7EFB4D46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J41:J43</xm:sqref>
        </x14:conditionalFormatting>
        <x14:conditionalFormatting xmlns:xm="http://schemas.microsoft.com/office/excel/2006/main">
          <x14:cfRule type="dataBar" id="{B9FB6C71-5700-4E75-9899-E58376A671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5221962-779B-466C-B189-8F503D938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J46:J48</xm:sqref>
        </x14:conditionalFormatting>
        <x14:conditionalFormatting xmlns:xm="http://schemas.microsoft.com/office/excel/2006/main">
          <x14:cfRule type="dataBar" id="{B7BF1FA5-3DA9-400C-B6BB-DCD594BED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3555EC8-F96F-4100-AA1A-9C2B3F1C27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J51:J53</xm:sqref>
        </x14:conditionalFormatting>
        <x14:conditionalFormatting xmlns:xm="http://schemas.microsoft.com/office/excel/2006/main">
          <x14:cfRule type="dataBar" id="{543DA7F5-197C-4D6C-9B03-26C1B4C810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090EFC7-DB41-4034-894D-10FA7697DB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B7665-07AC-45EE-B3C4-25B8A179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701C0A-CDCD-4DA4-963C-158A96226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E0930B-BA2D-4C88-B3F5-CA31027784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8B765-CD4C-4B31-8D1A-3DE313A695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6E1A4B0-20FF-4A1E-8668-1A0068142D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A450176-7909-4C74-9215-B9687EBE79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26BFD04-6A71-4ABB-9F41-436D605CE0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J56:J58</xm:sqref>
        </x14:conditionalFormatting>
        <x14:conditionalFormatting xmlns:xm="http://schemas.microsoft.com/office/excel/2006/main">
          <x14:cfRule type="dataBar" id="{852CEF46-AF71-42CD-AC2D-1218FB2DA7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J56:J58</xm:sqref>
        </x14:conditionalFormatting>
        <x14:conditionalFormatting xmlns:xm="http://schemas.microsoft.com/office/excel/2006/main">
          <x14:cfRule type="dataBar" id="{36AD6ED6-3819-4AAD-B718-746195A07B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258B1B0-B834-4B6D-B00E-9570CD836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J61:J63</xm:sqref>
        </x14:conditionalFormatting>
        <x14:conditionalFormatting xmlns:xm="http://schemas.microsoft.com/office/excel/2006/main">
          <x14:cfRule type="dataBar" id="{20F8256C-0836-4921-9A7F-DFCCA9C40DC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D7909AF-5616-4CD6-AA6C-B44585C832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1693E6-F552-4A0B-B6E8-DBF011F4B0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CB6CDF-FDE3-4807-B6F2-F093F157C7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647F3B-966F-46D0-AB19-BE5B4708D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A5EF89-068F-4F18-9A8A-19D48D007D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1538D6C-5820-4B9A-982F-BF9ABF8645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J66:J68</xm:sqref>
        </x14:conditionalFormatting>
        <x14:conditionalFormatting xmlns:xm="http://schemas.microsoft.com/office/excel/2006/main">
          <x14:cfRule type="dataBar" id="{45EC871E-318C-42C2-8DE5-18AF5F88D1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3383B83-75BC-454D-BC22-F4D22FE54A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189ED6-CC16-4ABE-B4E7-9AA9B14086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E034CA-1D49-424B-A33A-C5C31C26BD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9C3DFC-1BCE-461B-9F62-0A353CF3E4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E2186-97D9-449C-AEF4-ABDB8EF64A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BF25537-C0AD-4374-BF94-857A5EB920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J71:J73</xm:sqref>
        </x14:conditionalFormatting>
        <x14:conditionalFormatting xmlns:xm="http://schemas.microsoft.com/office/excel/2006/main">
          <x14:cfRule type="dataBar" id="{B0B37E1C-11DD-402A-A04F-A937B9C8EA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EE57C20-6404-46C3-AD42-6E3D6D20F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C8BDCE-0006-4D59-BA13-0B31A5FF26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398932-A35F-47A7-BE1C-92E9F68E96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FAB22A-03C9-490E-8A0D-037D5B9AA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7B653E-D7F6-4054-A189-09B9C34A69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676BF8-D15F-4717-A066-9AC71AEC78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J76:J78</xm:sqref>
        </x14:conditionalFormatting>
        <x14:conditionalFormatting xmlns:xm="http://schemas.microsoft.com/office/excel/2006/main">
          <x14:cfRule type="dataBar" id="{F9D112A3-D421-4423-B436-FB8BAB0A28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5CACB4-A0B3-4CA7-B9D0-B8AE919516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1D8947-0E34-4A2F-AE83-2B8F01E895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C19934-5CBC-4949-805D-92ECA5CB3E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4E5F7A-0EE7-44AC-A035-9EAD224A5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9F84E0-C18C-43E0-A3B4-9F3D2663FB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2237A0C-B21D-48EB-B40E-CEDD6E658F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J81:J83</xm:sqref>
        </x14:conditionalFormatting>
        <x14:conditionalFormatting xmlns:xm="http://schemas.microsoft.com/office/excel/2006/main">
          <x14:cfRule type="dataBar" id="{0EFF664B-F811-4C95-9659-B9E8B894C1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68F164C-EBB1-43FA-9A0B-E7887B863B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DC53EC-6F48-4908-883D-856A597B8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5D5E21-68C1-4D07-9C6A-62BCA07CFA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FBA8EA-C2CB-40F7-B407-C8D5C3D417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59134A-E8AC-4719-8B10-A3B25522599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F42F982-D4FE-439E-9DB8-BE4D4A197A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J86:J88</xm:sqref>
        </x14:conditionalFormatting>
        <x14:conditionalFormatting xmlns:xm="http://schemas.microsoft.com/office/excel/2006/main">
          <x14:cfRule type="dataBar" id="{4395E590-5D1E-4842-9E58-77D06740021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8E2A453-37F0-4B33-9BF9-C20180297E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7831C3-B99F-4E5F-AE55-C8544DC06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A5B581-DF51-448E-B800-FD70D7801B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C2254E-5E0B-4238-A07A-9EABEDDDB5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C0458B-2994-48FF-B158-0C7DFE4089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473E2EA-6C37-4452-9ADA-7B3C99AFA4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J91:J93</xm:sqref>
        </x14:conditionalFormatting>
        <x14:conditionalFormatting xmlns:xm="http://schemas.microsoft.com/office/excel/2006/main">
          <x14:cfRule type="dataBar" id="{02C25519-70E8-4C38-9945-5D9B07AE6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67B2960-FDED-41A7-A4E4-D4E15BDDB9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C541D0-088E-409D-9F0E-0BDAC880D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E9BBC5-8B2C-4F0A-BA72-852D3D2954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254404-51E3-4700-9652-0C0E31D97D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8242EA-7378-4011-97B2-153ED1595A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2AA8B6D-CFD7-49A6-B1BA-9117EC9DFE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J96:J98</xm:sqref>
        </x14:conditionalFormatting>
        <x14:conditionalFormatting xmlns:xm="http://schemas.microsoft.com/office/excel/2006/main">
          <x14:cfRule type="dataBar" id="{E100944B-F40C-4AFD-B8B5-BD1E6FB68D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DBEDEEC-F817-4258-8E76-78A594C25F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212832-FC0D-4DB7-ABA7-A863EDC88C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E05295-DBA6-40C5-BFCE-FB72DFE1F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089B9D-1CC4-4979-BCF4-124B5DB90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174638-BAB4-4D1A-8702-263FE2A7E5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C771D61-63A8-473C-B2C3-CDD7EC2F5C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J101:J103</xm:sqref>
        </x14:conditionalFormatting>
        <x14:conditionalFormatting xmlns:xm="http://schemas.microsoft.com/office/excel/2006/main">
          <x14:cfRule type="dataBar" id="{E405888D-69DD-483F-ADAB-5B5B3395BC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350F5FA-DD83-4289-8204-D83EF5A417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DD0BD6-F960-432B-9620-2915D45FD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9B64F5-13B7-4400-B07E-41989ADB88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2785D2-3C80-44B2-8518-E0260CE467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F0FA6E-658D-49AA-AF56-DA2EFFA6C5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F36281A-F933-4179-A73A-DCF90CE618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J106:J108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J142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J169:J170 J142 J150 J4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56E4D-10C9-417B-9040-E0B169150C7D}">
  <dimension ref="A1:P216"/>
  <sheetViews>
    <sheetView tabSelected="1" zoomScaleNormal="100" workbookViewId="0">
      <pane ySplit="1" topLeftCell="A47" activePane="bottomLeft" state="frozen"/>
      <selection pane="bottomLeft" activeCell="M83" sqref="M83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.5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4" width="16.5" style="109" bestFit="1" customWidth="1"/>
    <col min="15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4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216</v>
      </c>
      <c r="J1" s="105" t="s">
        <v>59</v>
      </c>
      <c r="K1" s="105" t="s">
        <v>60</v>
      </c>
      <c r="L1" s="105" t="s">
        <v>46</v>
      </c>
    </row>
    <row r="2" spans="1:14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4">
      <c r="C3" s="110"/>
      <c r="E3" s="111"/>
      <c r="F3" s="112"/>
      <c r="G3" s="113"/>
      <c r="K3" s="114"/>
      <c r="L3" s="115"/>
    </row>
    <row r="4" spans="1:14" s="116" customFormat="1">
      <c r="B4" s="117" t="s">
        <v>458</v>
      </c>
      <c r="C4" s="118"/>
      <c r="E4" s="119"/>
      <c r="F4" s="120"/>
      <c r="G4" s="121"/>
      <c r="L4" s="122"/>
    </row>
    <row r="6" spans="1:14">
      <c r="B6" s="163" t="s">
        <v>448</v>
      </c>
      <c r="C6" s="110"/>
      <c r="E6" s="111"/>
      <c r="F6" s="112"/>
      <c r="G6" s="113"/>
      <c r="L6" s="115"/>
    </row>
    <row r="7" spans="1:14">
      <c r="A7" s="109" t="s">
        <v>54</v>
      </c>
      <c r="B7" s="124" t="s">
        <v>504</v>
      </c>
      <c r="C7" s="125" t="s">
        <v>447</v>
      </c>
      <c r="D7" s="126" t="s">
        <v>48</v>
      </c>
      <c r="E7" s="127">
        <v>175000</v>
      </c>
      <c r="F7" s="128">
        <v>0</v>
      </c>
      <c r="G7" s="129">
        <f>E7+(F7*1/3)</f>
        <v>175000</v>
      </c>
      <c r="H7" s="130">
        <f t="shared" ref="H7" si="0">I7*10</f>
        <v>5500</v>
      </c>
      <c r="I7" s="153">
        <v>550</v>
      </c>
      <c r="J7" s="131">
        <f t="shared" ref="J7" si="1">H7/G7</f>
        <v>3.1428571428571431E-2</v>
      </c>
      <c r="K7" s="131">
        <f t="shared" ref="K7" si="2">G7/H7</f>
        <v>31.818181818181817</v>
      </c>
      <c r="L7" s="115">
        <f t="shared" ref="L7" si="3">K7/K$2</f>
        <v>15.018181818181816</v>
      </c>
    </row>
    <row r="8" spans="1:14">
      <c r="A8" s="109" t="s">
        <v>54</v>
      </c>
      <c r="B8" s="124" t="s">
        <v>434</v>
      </c>
      <c r="C8" s="125" t="s">
        <v>447</v>
      </c>
      <c r="D8" s="126" t="s">
        <v>506</v>
      </c>
      <c r="E8" s="127">
        <v>0</v>
      </c>
      <c r="F8" s="128" t="s">
        <v>505</v>
      </c>
      <c r="G8" s="129" t="e">
        <f t="shared" ref="G8" si="4">E8+(F8*150)</f>
        <v>#VALUE!</v>
      </c>
      <c r="H8" s="130">
        <f t="shared" ref="H8:H14" si="5">I8*10</f>
        <v>5500</v>
      </c>
      <c r="I8" s="153">
        <v>550</v>
      </c>
      <c r="J8" s="131"/>
      <c r="K8" s="131"/>
      <c r="L8" s="115">
        <f t="shared" ref="L8:L14" si="6">K8/K$2</f>
        <v>0</v>
      </c>
    </row>
    <row r="9" spans="1:14">
      <c r="A9" s="109" t="s">
        <v>54</v>
      </c>
      <c r="B9" s="165" t="s">
        <v>435</v>
      </c>
      <c r="C9" s="125"/>
      <c r="D9" s="126"/>
      <c r="E9" s="127"/>
      <c r="F9" s="128"/>
      <c r="G9" s="129"/>
      <c r="H9" s="130"/>
      <c r="I9" s="153"/>
      <c r="J9" s="131"/>
      <c r="K9" s="131"/>
      <c r="L9" s="115"/>
      <c r="N9" s="138"/>
    </row>
    <row r="10" spans="1:14">
      <c r="A10" s="109" t="s">
        <v>54</v>
      </c>
      <c r="B10" s="124" t="s">
        <v>436</v>
      </c>
      <c r="C10" s="125" t="s">
        <v>447</v>
      </c>
      <c r="D10" s="126" t="s">
        <v>463</v>
      </c>
      <c r="E10" s="127">
        <v>0</v>
      </c>
      <c r="F10" s="128">
        <v>40</v>
      </c>
      <c r="G10" s="129">
        <f>E10+(F10*4400)</f>
        <v>176000</v>
      </c>
      <c r="H10" s="130">
        <f t="shared" si="5"/>
        <v>5500</v>
      </c>
      <c r="I10" s="153">
        <v>550</v>
      </c>
      <c r="J10" s="131">
        <f t="shared" ref="J10:J14" si="7">H10/G10</f>
        <v>3.125E-2</v>
      </c>
      <c r="K10" s="131">
        <f t="shared" ref="K10:K14" si="8">G10/H10</f>
        <v>32</v>
      </c>
      <c r="L10" s="115">
        <f t="shared" si="6"/>
        <v>15.103999999999999</v>
      </c>
      <c r="N10" s="132"/>
    </row>
    <row r="11" spans="1:14">
      <c r="A11" s="109" t="s">
        <v>54</v>
      </c>
      <c r="B11" s="165" t="s">
        <v>437</v>
      </c>
      <c r="C11" s="125"/>
      <c r="D11" s="126"/>
      <c r="E11" s="127"/>
      <c r="F11" s="128"/>
      <c r="G11" s="129"/>
      <c r="H11" s="130"/>
      <c r="I11" s="153"/>
      <c r="J11" s="131"/>
      <c r="K11" s="131"/>
      <c r="L11" s="115"/>
      <c r="N11" s="132"/>
    </row>
    <row r="12" spans="1:14">
      <c r="A12" s="109" t="s">
        <v>54</v>
      </c>
      <c r="B12" s="165" t="s">
        <v>438</v>
      </c>
      <c r="C12" s="125"/>
      <c r="D12" s="126"/>
      <c r="E12" s="127"/>
      <c r="F12" s="128"/>
      <c r="G12" s="129"/>
      <c r="H12" s="130"/>
      <c r="I12" s="153"/>
      <c r="J12" s="131"/>
      <c r="K12" s="131"/>
      <c r="L12" s="115"/>
      <c r="N12" s="132"/>
    </row>
    <row r="13" spans="1:14">
      <c r="A13" s="109" t="s">
        <v>54</v>
      </c>
      <c r="B13" s="165" t="s">
        <v>439</v>
      </c>
      <c r="C13" s="125"/>
      <c r="D13" s="126"/>
      <c r="E13" s="127"/>
      <c r="F13" s="128"/>
      <c r="G13" s="129"/>
      <c r="H13" s="130"/>
      <c r="I13" s="153"/>
      <c r="J13" s="131"/>
      <c r="K13" s="131"/>
      <c r="L13" s="115"/>
    </row>
    <row r="14" spans="1:14">
      <c r="A14" s="109" t="s">
        <v>54</v>
      </c>
      <c r="B14" s="124" t="s">
        <v>440</v>
      </c>
      <c r="C14" s="125" t="s">
        <v>447</v>
      </c>
      <c r="D14" s="126" t="s">
        <v>290</v>
      </c>
      <c r="E14" s="127">
        <v>0</v>
      </c>
      <c r="F14" s="128">
        <v>530000</v>
      </c>
      <c r="G14" s="129">
        <f>E14+(F14*1/3)</f>
        <v>176666.66666666666</v>
      </c>
      <c r="H14" s="130">
        <f t="shared" si="5"/>
        <v>5500</v>
      </c>
      <c r="I14" s="153">
        <v>550</v>
      </c>
      <c r="J14" s="131">
        <f t="shared" si="7"/>
        <v>3.1132075471698113E-2</v>
      </c>
      <c r="K14" s="131">
        <f t="shared" si="8"/>
        <v>32.121212121212118</v>
      </c>
      <c r="L14" s="115">
        <f t="shared" si="6"/>
        <v>15.161212121212118</v>
      </c>
    </row>
    <row r="15" spans="1:14">
      <c r="A15" s="109" t="s">
        <v>54</v>
      </c>
      <c r="B15" s="124" t="s">
        <v>441</v>
      </c>
      <c r="C15" s="125"/>
      <c r="D15" s="126"/>
      <c r="E15" s="127"/>
      <c r="F15" s="128"/>
      <c r="G15" s="129"/>
      <c r="H15" s="130"/>
      <c r="I15" s="153"/>
      <c r="J15" s="131"/>
      <c r="K15" s="131"/>
      <c r="L15" s="115"/>
    </row>
    <row r="16" spans="1:14">
      <c r="A16" s="109" t="s">
        <v>54</v>
      </c>
      <c r="B16" s="165" t="s">
        <v>442</v>
      </c>
      <c r="C16" s="125"/>
      <c r="D16" s="126"/>
      <c r="E16" s="127"/>
      <c r="F16" s="128"/>
      <c r="G16" s="129"/>
      <c r="H16" s="130"/>
      <c r="I16" s="153"/>
      <c r="J16" s="131"/>
      <c r="K16" s="131"/>
      <c r="L16" s="115"/>
    </row>
    <row r="17" spans="1:14">
      <c r="A17" s="109" t="s">
        <v>54</v>
      </c>
      <c r="B17" s="165" t="s">
        <v>443</v>
      </c>
      <c r="C17" s="125"/>
      <c r="D17" s="126"/>
      <c r="E17" s="127"/>
      <c r="F17" s="128"/>
      <c r="G17" s="129"/>
      <c r="H17" s="130"/>
      <c r="I17" s="153"/>
      <c r="J17" s="131"/>
      <c r="K17" s="131"/>
      <c r="L17" s="115"/>
    </row>
    <row r="18" spans="1:14">
      <c r="A18" s="109" t="s">
        <v>54</v>
      </c>
      <c r="B18" s="165" t="s">
        <v>444</v>
      </c>
      <c r="C18" s="125"/>
      <c r="D18" s="126"/>
      <c r="E18" s="127"/>
      <c r="F18" s="128"/>
      <c r="G18" s="129"/>
      <c r="H18" s="130"/>
      <c r="I18" s="153"/>
      <c r="J18" s="131"/>
      <c r="K18" s="131"/>
      <c r="L18" s="115"/>
    </row>
    <row r="19" spans="1:14">
      <c r="A19" s="109" t="s">
        <v>54</v>
      </c>
      <c r="B19" s="165" t="s">
        <v>446</v>
      </c>
      <c r="C19" s="125"/>
      <c r="D19" s="126"/>
      <c r="E19" s="127"/>
      <c r="F19" s="128"/>
      <c r="G19" s="129"/>
      <c r="H19" s="130"/>
      <c r="I19" s="153"/>
      <c r="J19" s="131"/>
      <c r="K19" s="131"/>
      <c r="L19" s="115"/>
    </row>
    <row r="20" spans="1:14">
      <c r="A20" s="109" t="s">
        <v>54</v>
      </c>
      <c r="B20" s="165" t="s">
        <v>464</v>
      </c>
      <c r="C20" s="125"/>
      <c r="D20" s="126"/>
      <c r="E20" s="127"/>
      <c r="F20" s="128"/>
      <c r="G20" s="129"/>
      <c r="H20" s="130"/>
      <c r="I20" s="153"/>
      <c r="J20" s="131"/>
      <c r="K20" s="131"/>
      <c r="L20" s="115"/>
    </row>
    <row r="21" spans="1:14">
      <c r="A21" s="109" t="s">
        <v>54</v>
      </c>
      <c r="B21" s="165" t="s">
        <v>465</v>
      </c>
      <c r="C21" s="125"/>
      <c r="D21" s="126"/>
      <c r="E21" s="127"/>
      <c r="F21" s="128"/>
      <c r="G21" s="129"/>
      <c r="H21" s="130"/>
      <c r="I21" s="153"/>
      <c r="J21" s="131"/>
      <c r="K21" s="131"/>
      <c r="L21" s="115"/>
    </row>
    <row r="23" spans="1:14">
      <c r="B23" s="163" t="s">
        <v>450</v>
      </c>
      <c r="C23" s="110"/>
      <c r="E23" s="111"/>
      <c r="F23" s="112"/>
      <c r="G23" s="113"/>
      <c r="L23" s="115"/>
    </row>
    <row r="24" spans="1:14">
      <c r="A24" s="109" t="s">
        <v>54</v>
      </c>
      <c r="B24" s="124" t="s">
        <v>504</v>
      </c>
      <c r="C24" s="125" t="s">
        <v>447</v>
      </c>
      <c r="D24" s="126" t="s">
        <v>48</v>
      </c>
      <c r="E24" s="127">
        <v>350000</v>
      </c>
      <c r="F24" s="128">
        <v>0</v>
      </c>
      <c r="G24" s="129">
        <f>E24+(F24*1/3)</f>
        <v>350000</v>
      </c>
      <c r="H24" s="130">
        <f t="shared" ref="H24" si="9">I24*10</f>
        <v>11000</v>
      </c>
      <c r="I24" s="153">
        <v>1100</v>
      </c>
      <c r="J24" s="131">
        <f t="shared" ref="J24" si="10">H24/G24</f>
        <v>3.1428571428571431E-2</v>
      </c>
      <c r="K24" s="131">
        <f t="shared" ref="K24" si="11">G24/H24</f>
        <v>31.818181818181817</v>
      </c>
      <c r="L24" s="115">
        <f t="shared" ref="L24" si="12">K24/K$2</f>
        <v>15.018181818181816</v>
      </c>
    </row>
    <row r="25" spans="1:14">
      <c r="A25" s="109" t="s">
        <v>54</v>
      </c>
      <c r="B25" s="124" t="s">
        <v>434</v>
      </c>
      <c r="C25" s="125" t="s">
        <v>453</v>
      </c>
      <c r="D25" s="126" t="s">
        <v>507</v>
      </c>
      <c r="E25" s="127"/>
      <c r="F25" s="128" t="s">
        <v>508</v>
      </c>
      <c r="G25" s="129" t="e">
        <f t="shared" ref="G25" si="13">E25+(F25*150)</f>
        <v>#VALUE!</v>
      </c>
      <c r="H25" s="130">
        <f t="shared" ref="H25:H35" si="14">I25*10</f>
        <v>11000</v>
      </c>
      <c r="I25" s="153">
        <v>1100</v>
      </c>
      <c r="J25" s="131"/>
      <c r="K25" s="131"/>
      <c r="L25" s="115">
        <f t="shared" ref="L25:L35" si="15">K25/K$2</f>
        <v>0</v>
      </c>
    </row>
    <row r="26" spans="1:14">
      <c r="A26" s="109" t="s">
        <v>54</v>
      </c>
      <c r="B26" s="165" t="s">
        <v>435</v>
      </c>
      <c r="C26" s="125"/>
      <c r="D26" s="126"/>
      <c r="E26" s="127"/>
      <c r="F26" s="128"/>
      <c r="G26" s="129"/>
      <c r="H26" s="130"/>
      <c r="I26" s="153"/>
      <c r="J26" s="131"/>
      <c r="K26" s="131"/>
      <c r="L26" s="115"/>
      <c r="N26" s="138"/>
    </row>
    <row r="27" spans="1:14">
      <c r="A27" s="109" t="s">
        <v>54</v>
      </c>
      <c r="B27" s="124" t="s">
        <v>436</v>
      </c>
      <c r="C27" s="125" t="s">
        <v>453</v>
      </c>
      <c r="D27" s="126" t="s">
        <v>463</v>
      </c>
      <c r="E27" s="127">
        <v>0</v>
      </c>
      <c r="F27" s="128">
        <v>80</v>
      </c>
      <c r="G27" s="129">
        <f>E27+(F27*4400)</f>
        <v>352000</v>
      </c>
      <c r="H27" s="130">
        <f t="shared" si="14"/>
        <v>11000</v>
      </c>
      <c r="I27" s="153">
        <v>1100</v>
      </c>
      <c r="J27" s="131">
        <f t="shared" ref="J27:J35" si="16">H27/G27</f>
        <v>3.125E-2</v>
      </c>
      <c r="K27" s="131">
        <f t="shared" ref="K27:K35" si="17">G27/H27</f>
        <v>32</v>
      </c>
      <c r="L27" s="115">
        <f t="shared" si="15"/>
        <v>15.103999999999999</v>
      </c>
      <c r="N27" s="132"/>
    </row>
    <row r="28" spans="1:14">
      <c r="A28" s="109" t="s">
        <v>54</v>
      </c>
      <c r="B28" s="165" t="s">
        <v>437</v>
      </c>
      <c r="C28" s="125"/>
      <c r="D28" s="126"/>
      <c r="E28" s="127"/>
      <c r="F28" s="128"/>
      <c r="G28" s="129"/>
      <c r="H28" s="130"/>
      <c r="I28" s="153"/>
      <c r="J28" s="131"/>
      <c r="K28" s="131"/>
      <c r="L28" s="115"/>
      <c r="N28" s="132"/>
    </row>
    <row r="29" spans="1:14">
      <c r="A29" s="109" t="s">
        <v>54</v>
      </c>
      <c r="B29" s="165" t="s">
        <v>438</v>
      </c>
      <c r="C29" s="125"/>
      <c r="D29" s="126"/>
      <c r="E29" s="127"/>
      <c r="F29" s="128"/>
      <c r="G29" s="129"/>
      <c r="H29" s="130"/>
      <c r="I29" s="153"/>
      <c r="J29" s="131"/>
      <c r="K29" s="131"/>
      <c r="L29" s="115"/>
      <c r="N29" s="132"/>
    </row>
    <row r="30" spans="1:14">
      <c r="A30" s="109" t="s">
        <v>54</v>
      </c>
      <c r="B30" s="165" t="s">
        <v>439</v>
      </c>
      <c r="C30" s="125"/>
      <c r="D30" s="126"/>
      <c r="E30" s="127"/>
      <c r="F30" s="128"/>
      <c r="G30" s="129"/>
      <c r="H30" s="130"/>
      <c r="I30" s="153"/>
      <c r="J30" s="131"/>
      <c r="K30" s="131"/>
      <c r="L30" s="115"/>
    </row>
    <row r="31" spans="1:14">
      <c r="A31" s="109" t="s">
        <v>54</v>
      </c>
      <c r="B31" s="124" t="s">
        <v>440</v>
      </c>
      <c r="C31" s="125" t="s">
        <v>453</v>
      </c>
      <c r="D31" s="126" t="s">
        <v>290</v>
      </c>
      <c r="E31" s="127">
        <v>0</v>
      </c>
      <c r="F31" s="128">
        <v>1060000</v>
      </c>
      <c r="G31" s="129">
        <f>E31+(F31*1/3)</f>
        <v>353333.33333333331</v>
      </c>
      <c r="H31" s="130">
        <f t="shared" si="14"/>
        <v>11000</v>
      </c>
      <c r="I31" s="153">
        <v>1100</v>
      </c>
      <c r="J31" s="131">
        <f t="shared" si="16"/>
        <v>3.1132075471698113E-2</v>
      </c>
      <c r="K31" s="131">
        <f t="shared" si="17"/>
        <v>32.121212121212118</v>
      </c>
      <c r="L31" s="115">
        <f t="shared" si="15"/>
        <v>15.161212121212118</v>
      </c>
    </row>
    <row r="32" spans="1:14">
      <c r="A32" s="109" t="s">
        <v>54</v>
      </c>
      <c r="B32" s="124" t="s">
        <v>441</v>
      </c>
      <c r="C32" s="125"/>
      <c r="D32" s="126"/>
      <c r="E32" s="127"/>
      <c r="F32" s="128"/>
      <c r="G32" s="129"/>
      <c r="H32" s="130"/>
      <c r="I32" s="153"/>
      <c r="J32" s="131"/>
      <c r="K32" s="131"/>
      <c r="L32" s="115"/>
    </row>
    <row r="33" spans="1:14">
      <c r="A33" s="109" t="s">
        <v>54</v>
      </c>
      <c r="B33" s="124" t="s">
        <v>442</v>
      </c>
      <c r="C33" s="125" t="s">
        <v>453</v>
      </c>
      <c r="D33" s="126" t="s">
        <v>460</v>
      </c>
      <c r="E33" s="127">
        <v>0</v>
      </c>
      <c r="F33" s="128">
        <v>410</v>
      </c>
      <c r="G33" s="129">
        <f>E33+(F33*850)</f>
        <v>348500</v>
      </c>
      <c r="H33" s="130">
        <f t="shared" si="14"/>
        <v>11000</v>
      </c>
      <c r="I33" s="153">
        <v>1100</v>
      </c>
      <c r="J33" s="131">
        <f t="shared" si="16"/>
        <v>3.1563845050215207E-2</v>
      </c>
      <c r="K33" s="131">
        <f t="shared" si="17"/>
        <v>31.681818181818183</v>
      </c>
      <c r="L33" s="115">
        <f t="shared" si="15"/>
        <v>14.953818181818182</v>
      </c>
    </row>
    <row r="34" spans="1:14">
      <c r="A34" s="109" t="s">
        <v>54</v>
      </c>
      <c r="B34" s="124" t="s">
        <v>443</v>
      </c>
      <c r="C34" s="125" t="s">
        <v>453</v>
      </c>
      <c r="D34" s="126" t="s">
        <v>459</v>
      </c>
      <c r="E34" s="127">
        <v>0</v>
      </c>
      <c r="F34" s="128">
        <v>50</v>
      </c>
      <c r="G34" s="129">
        <f>E34+(F34*7000)</f>
        <v>350000</v>
      </c>
      <c r="H34" s="130">
        <f t="shared" si="14"/>
        <v>11000</v>
      </c>
      <c r="I34" s="153">
        <v>1100</v>
      </c>
      <c r="J34" s="131">
        <f t="shared" si="16"/>
        <v>3.1428571428571431E-2</v>
      </c>
      <c r="K34" s="131">
        <f t="shared" si="17"/>
        <v>31.818181818181817</v>
      </c>
      <c r="L34" s="115">
        <f t="shared" si="15"/>
        <v>15.018181818181816</v>
      </c>
    </row>
    <row r="35" spans="1:14">
      <c r="A35" s="109" t="s">
        <v>54</v>
      </c>
      <c r="B35" s="124" t="s">
        <v>444</v>
      </c>
      <c r="C35" s="125" t="s">
        <v>453</v>
      </c>
      <c r="D35" s="126" t="s">
        <v>407</v>
      </c>
      <c r="E35" s="127">
        <v>0</v>
      </c>
      <c r="F35" s="128">
        <v>300</v>
      </c>
      <c r="G35" s="129">
        <f>E35+(F35*1200)</f>
        <v>360000</v>
      </c>
      <c r="H35" s="130">
        <f t="shared" si="14"/>
        <v>11000</v>
      </c>
      <c r="I35" s="153">
        <v>1100</v>
      </c>
      <c r="J35" s="131">
        <f t="shared" si="16"/>
        <v>3.0555555555555555E-2</v>
      </c>
      <c r="K35" s="131">
        <f t="shared" si="17"/>
        <v>32.727272727272727</v>
      </c>
      <c r="L35" s="115">
        <f t="shared" si="15"/>
        <v>15.447272727272725</v>
      </c>
    </row>
    <row r="36" spans="1:14">
      <c r="A36" s="109" t="s">
        <v>54</v>
      </c>
      <c r="B36" s="124" t="s">
        <v>446</v>
      </c>
      <c r="C36" s="125" t="s">
        <v>453</v>
      </c>
      <c r="D36" s="126" t="s">
        <v>413</v>
      </c>
      <c r="E36" s="127">
        <v>0</v>
      </c>
      <c r="F36" s="128">
        <v>5000</v>
      </c>
      <c r="G36" s="129">
        <f>E36+(F36*35)</f>
        <v>175000</v>
      </c>
      <c r="H36" s="130">
        <f>I36*10</f>
        <v>5500</v>
      </c>
      <c r="I36" s="153">
        <v>550</v>
      </c>
      <c r="J36" s="131">
        <f>H36/G36</f>
        <v>3.1428571428571431E-2</v>
      </c>
      <c r="K36" s="131">
        <f>G36/H36</f>
        <v>31.818181818181817</v>
      </c>
      <c r="L36" s="115">
        <f>K36/K$2</f>
        <v>15.018181818181816</v>
      </c>
    </row>
    <row r="37" spans="1:14">
      <c r="A37" s="109" t="s">
        <v>54</v>
      </c>
      <c r="B37" s="165" t="s">
        <v>445</v>
      </c>
      <c r="C37" s="125"/>
      <c r="D37" s="126"/>
      <c r="E37" s="127"/>
      <c r="F37" s="128"/>
      <c r="G37" s="129"/>
      <c r="H37" s="130"/>
      <c r="I37" s="153"/>
      <c r="J37" s="131"/>
      <c r="K37" s="131"/>
      <c r="L37" s="115"/>
    </row>
    <row r="38" spans="1:14">
      <c r="A38" s="109" t="s">
        <v>54</v>
      </c>
      <c r="B38" s="165" t="s">
        <v>465</v>
      </c>
      <c r="C38" s="125"/>
      <c r="D38" s="126"/>
      <c r="E38" s="127"/>
      <c r="F38" s="128"/>
      <c r="G38" s="129"/>
      <c r="H38" s="130"/>
      <c r="I38" s="153"/>
      <c r="J38" s="131"/>
      <c r="K38" s="131"/>
      <c r="L38" s="115"/>
    </row>
    <row r="40" spans="1:14">
      <c r="C40" s="110"/>
      <c r="D40" s="144"/>
      <c r="E40" s="145"/>
      <c r="F40" s="140"/>
      <c r="G40" s="141"/>
      <c r="H40" s="142"/>
      <c r="I40" s="142"/>
      <c r="J40" s="132"/>
      <c r="K40" s="132"/>
      <c r="L40" s="143"/>
    </row>
    <row r="41" spans="1:14">
      <c r="B41" s="163" t="s">
        <v>451</v>
      </c>
      <c r="C41" s="110" t="s">
        <v>455</v>
      </c>
      <c r="E41" s="111"/>
      <c r="F41" s="112"/>
      <c r="G41" s="113"/>
      <c r="L41" s="115"/>
    </row>
    <row r="42" spans="1:14">
      <c r="A42" s="109" t="s">
        <v>54</v>
      </c>
      <c r="B42" s="124" t="s">
        <v>504</v>
      </c>
      <c r="C42" s="125" t="s">
        <v>447</v>
      </c>
      <c r="D42" s="126" t="s">
        <v>48</v>
      </c>
      <c r="E42" s="127">
        <v>1050000</v>
      </c>
      <c r="F42" s="128">
        <v>0</v>
      </c>
      <c r="G42" s="129">
        <f>E42+(F42*1/3)</f>
        <v>1050000</v>
      </c>
      <c r="H42" s="130">
        <f t="shared" ref="H42" si="18">I42*10</f>
        <v>33000</v>
      </c>
      <c r="I42" s="153">
        <v>3300</v>
      </c>
      <c r="J42" s="131">
        <f t="shared" ref="J42" si="19">H42/G42</f>
        <v>3.1428571428571431E-2</v>
      </c>
      <c r="K42" s="131">
        <f t="shared" ref="K42" si="20">G42/H42</f>
        <v>31.818181818181817</v>
      </c>
      <c r="L42" s="115">
        <f t="shared" ref="L42" si="21">K42/K$2</f>
        <v>15.018181818181816</v>
      </c>
    </row>
    <row r="43" spans="1:14">
      <c r="A43" s="109" t="s">
        <v>54</v>
      </c>
      <c r="B43" s="124" t="s">
        <v>434</v>
      </c>
      <c r="C43" s="125" t="s">
        <v>454</v>
      </c>
      <c r="D43" s="126" t="s">
        <v>510</v>
      </c>
      <c r="E43" s="127">
        <v>0</v>
      </c>
      <c r="F43" s="128" t="s">
        <v>509</v>
      </c>
      <c r="G43" s="129" t="e">
        <f>E43+(F43*0.0035)</f>
        <v>#VALUE!</v>
      </c>
      <c r="H43" s="130">
        <f t="shared" ref="H43" si="22">I43*10</f>
        <v>33000</v>
      </c>
      <c r="I43" s="153">
        <v>3300</v>
      </c>
      <c r="J43" s="131"/>
      <c r="K43" s="131"/>
      <c r="L43" s="115">
        <f t="shared" ref="L43:L56" si="23">K43/K$2</f>
        <v>0</v>
      </c>
    </row>
    <row r="44" spans="1:14">
      <c r="A44" s="109" t="s">
        <v>54</v>
      </c>
      <c r="B44" s="165" t="s">
        <v>435</v>
      </c>
      <c r="C44" s="125"/>
      <c r="D44" s="126"/>
      <c r="E44" s="127"/>
      <c r="F44" s="128"/>
      <c r="G44" s="129"/>
      <c r="H44" s="130"/>
      <c r="I44" s="153"/>
      <c r="J44" s="131"/>
      <c r="K44" s="131"/>
      <c r="L44" s="115"/>
      <c r="N44" s="138"/>
    </row>
    <row r="45" spans="1:14">
      <c r="A45" s="109" t="s">
        <v>54</v>
      </c>
      <c r="B45" s="165" t="s">
        <v>436</v>
      </c>
      <c r="C45" s="125"/>
      <c r="D45" s="126"/>
      <c r="E45" s="127"/>
      <c r="F45" s="128"/>
      <c r="G45" s="129"/>
      <c r="H45" s="130"/>
      <c r="I45" s="153"/>
      <c r="J45" s="131"/>
      <c r="K45" s="131"/>
      <c r="L45" s="115"/>
      <c r="N45" s="132"/>
    </row>
    <row r="46" spans="1:14">
      <c r="A46" s="109" t="s">
        <v>54</v>
      </c>
      <c r="B46" s="124" t="s">
        <v>437</v>
      </c>
      <c r="C46" s="125" t="s">
        <v>454</v>
      </c>
      <c r="D46" s="126" t="s">
        <v>264</v>
      </c>
      <c r="E46" s="127"/>
      <c r="F46" s="185">
        <v>1200000000</v>
      </c>
      <c r="G46" s="129">
        <f>E46+(F46*0.00075)</f>
        <v>900000</v>
      </c>
      <c r="H46" s="130">
        <f t="shared" ref="H46:H56" si="24">I46*10</f>
        <v>11000</v>
      </c>
      <c r="I46" s="153">
        <v>1100</v>
      </c>
      <c r="J46" s="131"/>
      <c r="K46" s="131"/>
      <c r="L46" s="115">
        <f t="shared" si="23"/>
        <v>0</v>
      </c>
      <c r="N46" s="132"/>
    </row>
    <row r="47" spans="1:14">
      <c r="A47" s="109" t="s">
        <v>54</v>
      </c>
      <c r="B47" s="124" t="s">
        <v>438</v>
      </c>
      <c r="C47" s="125" t="s">
        <v>454</v>
      </c>
      <c r="D47" s="126" t="s">
        <v>265</v>
      </c>
      <c r="E47" s="127"/>
      <c r="F47" s="185">
        <v>300000000</v>
      </c>
      <c r="G47" s="129">
        <f>E47+(F47*0.0035)</f>
        <v>1050000</v>
      </c>
      <c r="H47" s="130">
        <f t="shared" si="24"/>
        <v>11000</v>
      </c>
      <c r="I47" s="153">
        <v>1100</v>
      </c>
      <c r="J47" s="131"/>
      <c r="K47" s="131"/>
      <c r="L47" s="115">
        <f t="shared" si="23"/>
        <v>0</v>
      </c>
      <c r="N47" s="132"/>
    </row>
    <row r="48" spans="1:14">
      <c r="A48" s="109" t="s">
        <v>54</v>
      </c>
      <c r="B48" s="124" t="s">
        <v>439</v>
      </c>
      <c r="C48" s="125" t="s">
        <v>454</v>
      </c>
      <c r="D48" s="126" t="s">
        <v>12</v>
      </c>
      <c r="E48" s="127"/>
      <c r="F48" s="185">
        <v>2000000</v>
      </c>
      <c r="G48" s="129">
        <f>E48+(F48*1.05)</f>
        <v>2100000</v>
      </c>
      <c r="H48" s="130">
        <f t="shared" si="24"/>
        <v>11000</v>
      </c>
      <c r="I48" s="153">
        <v>1100</v>
      </c>
      <c r="J48" s="131"/>
      <c r="K48" s="131"/>
      <c r="L48" s="115">
        <f t="shared" si="23"/>
        <v>0</v>
      </c>
    </row>
    <row r="49" spans="1:14">
      <c r="A49" s="109" t="s">
        <v>54</v>
      </c>
      <c r="B49" s="124" t="s">
        <v>440</v>
      </c>
      <c r="C49" s="125" t="s">
        <v>454</v>
      </c>
      <c r="D49" s="126" t="s">
        <v>290</v>
      </c>
      <c r="E49" s="127">
        <v>0</v>
      </c>
      <c r="F49" s="187">
        <v>3180000</v>
      </c>
      <c r="G49" s="129">
        <f>E49+(F49*1/3)</f>
        <v>1060000</v>
      </c>
      <c r="H49" s="130">
        <f t="shared" si="24"/>
        <v>33000</v>
      </c>
      <c r="I49" s="153">
        <v>3300</v>
      </c>
      <c r="J49" s="131">
        <f t="shared" ref="J49:J56" si="25">H49/G49</f>
        <v>3.1132075471698113E-2</v>
      </c>
      <c r="K49" s="131">
        <f t="shared" ref="K49:K56" si="26">G49/H49</f>
        <v>32.121212121212125</v>
      </c>
      <c r="L49" s="115">
        <f t="shared" si="23"/>
        <v>15.161212121212122</v>
      </c>
    </row>
    <row r="50" spans="1:14">
      <c r="A50" s="109" t="s">
        <v>54</v>
      </c>
      <c r="B50" s="124" t="s">
        <v>441</v>
      </c>
      <c r="C50" s="125"/>
      <c r="D50" s="126"/>
      <c r="E50" s="127"/>
      <c r="F50" s="187"/>
      <c r="G50" s="129"/>
      <c r="H50" s="130"/>
      <c r="I50" s="153"/>
      <c r="J50" s="131"/>
      <c r="K50" s="131"/>
      <c r="L50" s="115"/>
    </row>
    <row r="51" spans="1:14">
      <c r="A51" s="109" t="s">
        <v>54</v>
      </c>
      <c r="B51" s="124" t="s">
        <v>442</v>
      </c>
      <c r="C51" s="125" t="s">
        <v>454</v>
      </c>
      <c r="D51" s="126" t="s">
        <v>460</v>
      </c>
      <c r="E51" s="127">
        <v>0</v>
      </c>
      <c r="F51" s="128">
        <v>1230</v>
      </c>
      <c r="G51" s="129">
        <f>E51+(F51*850)</f>
        <v>1045500</v>
      </c>
      <c r="H51" s="130">
        <f t="shared" si="24"/>
        <v>33000</v>
      </c>
      <c r="I51" s="153">
        <v>3300</v>
      </c>
      <c r="J51" s="131">
        <f t="shared" si="25"/>
        <v>3.1563845050215207E-2</v>
      </c>
      <c r="K51" s="131">
        <f t="shared" si="26"/>
        <v>31.681818181818183</v>
      </c>
      <c r="L51" s="115">
        <f t="shared" si="23"/>
        <v>14.953818181818182</v>
      </c>
    </row>
    <row r="52" spans="1:14">
      <c r="A52" s="109" t="s">
        <v>54</v>
      </c>
      <c r="B52" s="124" t="s">
        <v>443</v>
      </c>
      <c r="C52" s="125" t="s">
        <v>454</v>
      </c>
      <c r="D52" s="126" t="s">
        <v>459</v>
      </c>
      <c r="E52" s="127">
        <v>0</v>
      </c>
      <c r="F52" s="128">
        <v>150</v>
      </c>
      <c r="G52" s="129">
        <f>E52+(F52*7000)</f>
        <v>1050000</v>
      </c>
      <c r="H52" s="130">
        <f t="shared" si="24"/>
        <v>33000</v>
      </c>
      <c r="I52" s="153">
        <v>3300</v>
      </c>
      <c r="J52" s="131">
        <f t="shared" si="25"/>
        <v>3.1428571428571431E-2</v>
      </c>
      <c r="K52" s="131">
        <f t="shared" si="26"/>
        <v>31.818181818181817</v>
      </c>
      <c r="L52" s="115">
        <f t="shared" si="23"/>
        <v>15.018181818181816</v>
      </c>
    </row>
    <row r="53" spans="1:14">
      <c r="A53" s="109" t="s">
        <v>54</v>
      </c>
      <c r="B53" s="124" t="s">
        <v>444</v>
      </c>
      <c r="C53" s="125" t="s">
        <v>454</v>
      </c>
      <c r="D53" s="126" t="s">
        <v>407</v>
      </c>
      <c r="E53" s="127">
        <v>0</v>
      </c>
      <c r="F53" s="128">
        <v>960</v>
      </c>
      <c r="G53" s="129">
        <f>E53+(F53*1500)</f>
        <v>1440000</v>
      </c>
      <c r="H53" s="130">
        <f t="shared" si="24"/>
        <v>33000</v>
      </c>
      <c r="I53" s="153">
        <v>3300</v>
      </c>
      <c r="J53" s="131">
        <f t="shared" si="25"/>
        <v>2.2916666666666665E-2</v>
      </c>
      <c r="K53" s="131">
        <f t="shared" si="26"/>
        <v>43.636363636363633</v>
      </c>
      <c r="L53" s="115">
        <f t="shared" si="23"/>
        <v>20.596363636363634</v>
      </c>
    </row>
    <row r="54" spans="1:14">
      <c r="A54" s="109" t="s">
        <v>54</v>
      </c>
      <c r="B54" s="124" t="s">
        <v>446</v>
      </c>
      <c r="C54" s="125" t="s">
        <v>454</v>
      </c>
      <c r="D54" s="126" t="s">
        <v>413</v>
      </c>
      <c r="E54" s="127"/>
      <c r="F54" s="128">
        <v>5000</v>
      </c>
      <c r="G54" s="129">
        <f>E54+(F54*35)</f>
        <v>175000</v>
      </c>
      <c r="H54" s="130">
        <f>I54*10</f>
        <v>5500</v>
      </c>
      <c r="I54" s="153">
        <v>550</v>
      </c>
      <c r="J54" s="131">
        <f>H54/G54</f>
        <v>3.1428571428571431E-2</v>
      </c>
      <c r="K54" s="131">
        <f>G54/H54</f>
        <v>31.818181818181817</v>
      </c>
      <c r="L54" s="115">
        <f>K54/K$2</f>
        <v>15.018181818181816</v>
      </c>
    </row>
    <row r="55" spans="1:14">
      <c r="A55" s="109" t="s">
        <v>54</v>
      </c>
      <c r="B55" s="166" t="s">
        <v>445</v>
      </c>
      <c r="C55" s="177" t="s">
        <v>454</v>
      </c>
      <c r="D55" s="178" t="s">
        <v>461</v>
      </c>
      <c r="E55" s="179"/>
      <c r="F55" s="180"/>
      <c r="G55" s="181">
        <f t="shared" ref="G55:G56" si="27">E55+(F55*150)</f>
        <v>0</v>
      </c>
      <c r="H55" s="182">
        <f t="shared" si="24"/>
        <v>33000</v>
      </c>
      <c r="I55" s="183">
        <v>3300</v>
      </c>
      <c r="J55" s="184" t="e">
        <f t="shared" si="25"/>
        <v>#DIV/0!</v>
      </c>
      <c r="K55" s="184">
        <f t="shared" si="26"/>
        <v>0</v>
      </c>
      <c r="L55" s="143">
        <f t="shared" si="23"/>
        <v>0</v>
      </c>
    </row>
    <row r="56" spans="1:14">
      <c r="A56" s="109" t="s">
        <v>54</v>
      </c>
      <c r="B56" s="167" t="s">
        <v>465</v>
      </c>
      <c r="C56" s="177" t="s">
        <v>454</v>
      </c>
      <c r="D56" s="178" t="s">
        <v>462</v>
      </c>
      <c r="E56" s="179"/>
      <c r="F56" s="180"/>
      <c r="G56" s="181">
        <f t="shared" si="27"/>
        <v>0</v>
      </c>
      <c r="H56" s="182">
        <f t="shared" si="24"/>
        <v>33000</v>
      </c>
      <c r="I56" s="183">
        <v>3300</v>
      </c>
      <c r="J56" s="184" t="e">
        <f t="shared" si="25"/>
        <v>#DIV/0!</v>
      </c>
      <c r="K56" s="184">
        <f t="shared" si="26"/>
        <v>0</v>
      </c>
      <c r="L56" s="143">
        <f t="shared" si="23"/>
        <v>0</v>
      </c>
    </row>
    <row r="58" spans="1:14">
      <c r="A58" s="162"/>
      <c r="B58" s="162"/>
      <c r="C58" s="162"/>
      <c r="D58" s="162"/>
      <c r="F58" s="164"/>
      <c r="H58" s="149"/>
    </row>
    <row r="59" spans="1:14">
      <c r="B59" s="163" t="s">
        <v>452</v>
      </c>
      <c r="C59" s="110" t="s">
        <v>456</v>
      </c>
      <c r="E59" s="111"/>
      <c r="F59" s="112"/>
      <c r="G59" s="113"/>
      <c r="L59" s="115"/>
    </row>
    <row r="60" spans="1:14">
      <c r="A60" s="109" t="s">
        <v>54</v>
      </c>
      <c r="B60" s="124" t="s">
        <v>504</v>
      </c>
      <c r="C60" s="125" t="s">
        <v>447</v>
      </c>
      <c r="D60" s="126" t="s">
        <v>48</v>
      </c>
      <c r="E60" s="127">
        <v>1050000</v>
      </c>
      <c r="F60" s="128">
        <v>0</v>
      </c>
      <c r="G60" s="129">
        <f>E60+(F60*1/3)</f>
        <v>1050000</v>
      </c>
      <c r="H60" s="130">
        <f t="shared" ref="H60" si="28">I60*10</f>
        <v>33000</v>
      </c>
      <c r="I60" s="153">
        <v>3300</v>
      </c>
      <c r="J60" s="131">
        <f t="shared" ref="J60" si="29">H60/G60</f>
        <v>3.1428571428571431E-2</v>
      </c>
      <c r="K60" s="131">
        <f t="shared" ref="K60" si="30">G60/H60</f>
        <v>31.818181818181817</v>
      </c>
      <c r="L60" s="115">
        <f t="shared" ref="L60" si="31">K60/K$2</f>
        <v>15.018181818181816</v>
      </c>
    </row>
    <row r="61" spans="1:14">
      <c r="A61" s="109" t="s">
        <v>54</v>
      </c>
      <c r="B61" s="165" t="s">
        <v>434</v>
      </c>
      <c r="C61" s="125"/>
      <c r="D61" s="126"/>
      <c r="E61" s="127"/>
      <c r="F61" s="128"/>
      <c r="G61" s="129"/>
      <c r="H61" s="130"/>
      <c r="I61" s="153"/>
      <c r="J61" s="131"/>
      <c r="K61" s="131"/>
      <c r="L61" s="115"/>
    </row>
    <row r="62" spans="1:14">
      <c r="A62" s="109" t="s">
        <v>54</v>
      </c>
      <c r="B62" s="186" t="s">
        <v>435</v>
      </c>
      <c r="C62" s="125" t="s">
        <v>457</v>
      </c>
      <c r="D62" s="126" t="s">
        <v>363</v>
      </c>
      <c r="E62" s="127"/>
      <c r="F62" s="128"/>
      <c r="G62" s="129"/>
      <c r="H62" s="130"/>
      <c r="I62" s="153"/>
      <c r="J62" s="131"/>
      <c r="K62" s="131"/>
      <c r="L62" s="115">
        <f t="shared" ref="L62:L74" si="32">K62/K$2</f>
        <v>0</v>
      </c>
      <c r="N62" s="138"/>
    </row>
    <row r="63" spans="1:14">
      <c r="A63" s="109" t="s">
        <v>54</v>
      </c>
      <c r="B63" s="165" t="s">
        <v>436</v>
      </c>
      <c r="C63" s="125"/>
      <c r="D63" s="126"/>
      <c r="E63" s="127"/>
      <c r="F63" s="128"/>
      <c r="G63" s="129"/>
      <c r="H63" s="130"/>
      <c r="I63" s="153"/>
      <c r="J63" s="131"/>
      <c r="K63" s="131"/>
      <c r="L63" s="115"/>
      <c r="N63" s="132"/>
    </row>
    <row r="64" spans="1:14">
      <c r="A64" s="109" t="s">
        <v>54</v>
      </c>
      <c r="B64" s="124" t="s">
        <v>437</v>
      </c>
      <c r="C64" s="125" t="s">
        <v>457</v>
      </c>
      <c r="D64" s="126" t="s">
        <v>264</v>
      </c>
      <c r="E64" s="127"/>
      <c r="F64" s="185">
        <v>3600000000</v>
      </c>
      <c r="G64" s="129">
        <f>E64+(F64*0.0035)</f>
        <v>12600000</v>
      </c>
      <c r="H64" s="130">
        <f t="shared" ref="H64:H74" si="33">I64*10</f>
        <v>33000</v>
      </c>
      <c r="I64" s="153">
        <v>3300</v>
      </c>
      <c r="J64" s="131"/>
      <c r="K64" s="131"/>
      <c r="L64" s="115">
        <f t="shared" si="32"/>
        <v>0</v>
      </c>
      <c r="N64" s="132"/>
    </row>
    <row r="65" spans="1:14">
      <c r="A65" s="109" t="s">
        <v>54</v>
      </c>
      <c r="B65" s="124" t="s">
        <v>438</v>
      </c>
      <c r="C65" s="125" t="s">
        <v>457</v>
      </c>
      <c r="D65" s="126" t="s">
        <v>265</v>
      </c>
      <c r="E65" s="127"/>
      <c r="F65" s="185">
        <v>900000000</v>
      </c>
      <c r="G65" s="129">
        <f>E65+(F65*0.0035)</f>
        <v>3150000</v>
      </c>
      <c r="H65" s="130">
        <f t="shared" si="33"/>
        <v>33000</v>
      </c>
      <c r="I65" s="153">
        <v>3300</v>
      </c>
      <c r="J65" s="131"/>
      <c r="K65" s="131"/>
      <c r="L65" s="115">
        <f t="shared" si="32"/>
        <v>0</v>
      </c>
      <c r="N65" s="132"/>
    </row>
    <row r="66" spans="1:14">
      <c r="A66" s="109" t="s">
        <v>54</v>
      </c>
      <c r="B66" s="124" t="s">
        <v>439</v>
      </c>
      <c r="C66" s="125" t="s">
        <v>457</v>
      </c>
      <c r="D66" s="126" t="s">
        <v>12</v>
      </c>
      <c r="E66" s="127"/>
      <c r="F66" s="185">
        <v>12000000</v>
      </c>
      <c r="G66" s="129">
        <f>E66+(F66*1.05)</f>
        <v>12600000</v>
      </c>
      <c r="H66" s="130">
        <f t="shared" si="33"/>
        <v>33000</v>
      </c>
      <c r="I66" s="153">
        <v>3300</v>
      </c>
      <c r="J66" s="131"/>
      <c r="K66" s="131"/>
      <c r="L66" s="115">
        <f t="shared" si="32"/>
        <v>0</v>
      </c>
    </row>
    <row r="67" spans="1:14">
      <c r="A67" s="109" t="s">
        <v>54</v>
      </c>
      <c r="B67" s="124" t="s">
        <v>440</v>
      </c>
      <c r="C67" s="125" t="s">
        <v>457</v>
      </c>
      <c r="D67" s="126" t="s">
        <v>290</v>
      </c>
      <c r="E67" s="127">
        <v>0</v>
      </c>
      <c r="F67" s="128">
        <v>3180000</v>
      </c>
      <c r="G67" s="129">
        <f>E67+(F67*1/3)</f>
        <v>1060000</v>
      </c>
      <c r="H67" s="130">
        <f t="shared" si="33"/>
        <v>33000</v>
      </c>
      <c r="I67" s="153">
        <v>3300</v>
      </c>
      <c r="J67" s="131">
        <f t="shared" ref="J67:J74" si="34">H67/G67</f>
        <v>3.1132075471698113E-2</v>
      </c>
      <c r="K67" s="131">
        <f t="shared" ref="K67:K74" si="35">G67/H67</f>
        <v>32.121212121212125</v>
      </c>
      <c r="L67" s="115">
        <f t="shared" si="32"/>
        <v>15.161212121212122</v>
      </c>
    </row>
    <row r="68" spans="1:14">
      <c r="A68" s="109" t="s">
        <v>54</v>
      </c>
      <c r="B68" s="124" t="s">
        <v>441</v>
      </c>
      <c r="C68" s="125"/>
      <c r="D68" s="126"/>
      <c r="E68" s="127"/>
      <c r="F68" s="128"/>
      <c r="G68" s="129"/>
      <c r="H68" s="130"/>
      <c r="I68" s="153"/>
      <c r="J68" s="131"/>
      <c r="K68" s="131"/>
      <c r="L68" s="115"/>
    </row>
    <row r="69" spans="1:14">
      <c r="A69" s="109" t="s">
        <v>54</v>
      </c>
      <c r="B69" s="124" t="s">
        <v>442</v>
      </c>
      <c r="C69" s="125" t="s">
        <v>457</v>
      </c>
      <c r="D69" s="126" t="s">
        <v>460</v>
      </c>
      <c r="E69" s="127">
        <v>0</v>
      </c>
      <c r="F69" s="128">
        <v>1230</v>
      </c>
      <c r="G69" s="129">
        <f>E69+(F69*850)</f>
        <v>1045500</v>
      </c>
      <c r="H69" s="130">
        <f t="shared" si="33"/>
        <v>33000</v>
      </c>
      <c r="I69" s="153">
        <v>3300</v>
      </c>
      <c r="J69" s="131">
        <f t="shared" si="34"/>
        <v>3.1563845050215207E-2</v>
      </c>
      <c r="K69" s="131">
        <f t="shared" si="35"/>
        <v>31.681818181818183</v>
      </c>
      <c r="L69" s="115">
        <f t="shared" si="32"/>
        <v>14.953818181818182</v>
      </c>
    </row>
    <row r="70" spans="1:14">
      <c r="A70" s="109" t="s">
        <v>54</v>
      </c>
      <c r="B70" s="124" t="s">
        <v>443</v>
      </c>
      <c r="C70" s="125" t="s">
        <v>457</v>
      </c>
      <c r="D70" s="126" t="s">
        <v>459</v>
      </c>
      <c r="E70" s="127">
        <v>0</v>
      </c>
      <c r="F70" s="128">
        <v>150</v>
      </c>
      <c r="G70" s="129">
        <f>E70+(F70*7000)</f>
        <v>1050000</v>
      </c>
      <c r="H70" s="130">
        <f t="shared" si="33"/>
        <v>33000</v>
      </c>
      <c r="I70" s="153">
        <v>3300</v>
      </c>
      <c r="J70" s="131">
        <f t="shared" si="34"/>
        <v>3.1428571428571431E-2</v>
      </c>
      <c r="K70" s="131">
        <f t="shared" si="35"/>
        <v>31.818181818181817</v>
      </c>
      <c r="L70" s="115">
        <f t="shared" si="32"/>
        <v>15.018181818181816</v>
      </c>
    </row>
    <row r="71" spans="1:14">
      <c r="A71" s="109" t="s">
        <v>54</v>
      </c>
      <c r="B71" s="124" t="s">
        <v>444</v>
      </c>
      <c r="C71" s="125" t="s">
        <v>457</v>
      </c>
      <c r="D71" s="126" t="s">
        <v>407</v>
      </c>
      <c r="E71" s="127">
        <v>0</v>
      </c>
      <c r="F71" s="128">
        <v>960</v>
      </c>
      <c r="G71" s="129">
        <f>E71+(F71*1500)</f>
        <v>1440000</v>
      </c>
      <c r="H71" s="130">
        <f t="shared" si="33"/>
        <v>33000</v>
      </c>
      <c r="I71" s="153">
        <v>3300</v>
      </c>
      <c r="J71" s="131">
        <f t="shared" si="34"/>
        <v>2.2916666666666665E-2</v>
      </c>
      <c r="K71" s="131">
        <f t="shared" si="35"/>
        <v>43.636363636363633</v>
      </c>
      <c r="L71" s="115">
        <f t="shared" si="32"/>
        <v>20.596363636363634</v>
      </c>
    </row>
    <row r="72" spans="1:14">
      <c r="A72" s="109" t="s">
        <v>54</v>
      </c>
      <c r="B72" s="124" t="s">
        <v>446</v>
      </c>
      <c r="C72" s="125" t="s">
        <v>457</v>
      </c>
      <c r="D72" s="126" t="s">
        <v>413</v>
      </c>
      <c r="E72" s="127"/>
      <c r="F72" s="128">
        <v>5000</v>
      </c>
      <c r="G72" s="129">
        <f>E72+(F72*35)</f>
        <v>175000</v>
      </c>
      <c r="H72" s="130">
        <f>I72*10</f>
        <v>5500</v>
      </c>
      <c r="I72" s="153">
        <v>550</v>
      </c>
      <c r="J72" s="131">
        <f>H72/G72</f>
        <v>3.1428571428571431E-2</v>
      </c>
      <c r="K72" s="131">
        <f>G72/H72</f>
        <v>31.818181818181817</v>
      </c>
      <c r="L72" s="115">
        <f>K72/K$2</f>
        <v>15.018181818181816</v>
      </c>
    </row>
    <row r="73" spans="1:14">
      <c r="A73" s="109" t="s">
        <v>54</v>
      </c>
      <c r="B73" s="166" t="s">
        <v>445</v>
      </c>
      <c r="C73" s="177" t="s">
        <v>457</v>
      </c>
      <c r="D73" s="178" t="s">
        <v>461</v>
      </c>
      <c r="E73" s="179"/>
      <c r="F73" s="180"/>
      <c r="G73" s="181">
        <f t="shared" ref="G73:G74" si="36">E73+(F73*150)</f>
        <v>0</v>
      </c>
      <c r="H73" s="182">
        <f t="shared" si="33"/>
        <v>33000</v>
      </c>
      <c r="I73" s="183">
        <v>3300</v>
      </c>
      <c r="J73" s="184" t="e">
        <f t="shared" si="34"/>
        <v>#DIV/0!</v>
      </c>
      <c r="K73" s="184">
        <f t="shared" si="35"/>
        <v>0</v>
      </c>
      <c r="L73" s="143">
        <f t="shared" si="32"/>
        <v>0</v>
      </c>
    </row>
    <row r="74" spans="1:14">
      <c r="A74" s="109" t="s">
        <v>54</v>
      </c>
      <c r="B74" s="167" t="s">
        <v>465</v>
      </c>
      <c r="C74" s="177" t="s">
        <v>457</v>
      </c>
      <c r="D74" s="178" t="s">
        <v>462</v>
      </c>
      <c r="E74" s="179"/>
      <c r="F74" s="180"/>
      <c r="G74" s="181">
        <f t="shared" si="36"/>
        <v>0</v>
      </c>
      <c r="H74" s="182">
        <f t="shared" si="33"/>
        <v>33000</v>
      </c>
      <c r="I74" s="183">
        <v>3300</v>
      </c>
      <c r="J74" s="184" t="e">
        <f t="shared" si="34"/>
        <v>#DIV/0!</v>
      </c>
      <c r="K74" s="184">
        <f t="shared" si="35"/>
        <v>0</v>
      </c>
      <c r="L74" s="143">
        <f t="shared" si="32"/>
        <v>0</v>
      </c>
    </row>
    <row r="76" spans="1:14">
      <c r="A76" s="162"/>
      <c r="B76" s="162"/>
      <c r="C76" s="162"/>
      <c r="D76" s="162"/>
    </row>
    <row r="77" spans="1:14">
      <c r="B77" s="163" t="s">
        <v>503</v>
      </c>
      <c r="C77" s="110" t="s">
        <v>456</v>
      </c>
      <c r="E77" s="111"/>
      <c r="F77" s="112"/>
      <c r="G77" s="113"/>
      <c r="L77" s="115"/>
    </row>
    <row r="78" spans="1:14" ht="15.75" customHeight="1">
      <c r="A78" s="109" t="s">
        <v>54</v>
      </c>
      <c r="B78" s="165" t="s">
        <v>434</v>
      </c>
      <c r="C78" s="125" t="s">
        <v>457</v>
      </c>
      <c r="D78" s="126" t="s">
        <v>449</v>
      </c>
      <c r="E78" s="127">
        <v>0</v>
      </c>
      <c r="F78" s="128">
        <v>0</v>
      </c>
      <c r="G78" s="129">
        <f t="shared" ref="G78:G79" si="37">E78+(F78*150)</f>
        <v>0</v>
      </c>
      <c r="H78" s="130">
        <f t="shared" ref="H78:H88" si="38">I78*10</f>
        <v>0</v>
      </c>
      <c r="I78" s="153">
        <v>0</v>
      </c>
      <c r="J78" s="131"/>
      <c r="K78" s="131"/>
      <c r="L78" s="115">
        <f t="shared" ref="L78:L88" si="39">K78/K$2</f>
        <v>0</v>
      </c>
    </row>
    <row r="79" spans="1:14">
      <c r="A79" s="109" t="s">
        <v>54</v>
      </c>
      <c r="B79" s="124" t="s">
        <v>435</v>
      </c>
      <c r="C79" s="125" t="s">
        <v>457</v>
      </c>
      <c r="D79" s="126" t="s">
        <v>363</v>
      </c>
      <c r="E79" s="127">
        <v>0</v>
      </c>
      <c r="F79" s="128">
        <v>0</v>
      </c>
      <c r="G79" s="129">
        <f t="shared" si="37"/>
        <v>0</v>
      </c>
      <c r="H79" s="130">
        <f t="shared" si="38"/>
        <v>33000</v>
      </c>
      <c r="I79" s="153">
        <v>3300</v>
      </c>
      <c r="J79" s="131"/>
      <c r="K79" s="131"/>
      <c r="L79" s="115">
        <f t="shared" si="39"/>
        <v>0</v>
      </c>
    </row>
    <row r="80" spans="1:14">
      <c r="A80" s="109" t="s">
        <v>54</v>
      </c>
      <c r="B80" s="165" t="s">
        <v>436</v>
      </c>
      <c r="C80" s="125" t="s">
        <v>457</v>
      </c>
      <c r="D80" s="126" t="s">
        <v>463</v>
      </c>
      <c r="E80" s="127">
        <v>0</v>
      </c>
      <c r="F80" s="128">
        <v>0</v>
      </c>
      <c r="G80" s="129">
        <f>E80+(F80*8800)</f>
        <v>0</v>
      </c>
      <c r="H80" s="130">
        <f t="shared" si="38"/>
        <v>0</v>
      </c>
      <c r="I80" s="153">
        <v>0</v>
      </c>
      <c r="J80" s="131"/>
      <c r="K80" s="131"/>
      <c r="L80" s="115">
        <f t="shared" si="39"/>
        <v>0</v>
      </c>
    </row>
    <row r="81" spans="1:12">
      <c r="A81" s="109" t="s">
        <v>54</v>
      </c>
      <c r="B81" s="124" t="s">
        <v>437</v>
      </c>
      <c r="C81" s="125" t="s">
        <v>457</v>
      </c>
      <c r="D81" s="126" t="s">
        <v>264</v>
      </c>
      <c r="E81" s="127">
        <v>0</v>
      </c>
      <c r="F81" s="128">
        <v>300000000</v>
      </c>
      <c r="G81" s="129">
        <f>E81+(F81*0.0035)</f>
        <v>1050000</v>
      </c>
      <c r="H81" s="130">
        <f t="shared" si="38"/>
        <v>33000</v>
      </c>
      <c r="I81" s="153">
        <v>3300</v>
      </c>
      <c r="J81" s="131">
        <f t="shared" ref="J81:J88" si="40">H81/G81</f>
        <v>3.1428571428571431E-2</v>
      </c>
      <c r="K81" s="131">
        <f t="shared" ref="K81:K88" si="41">G81/H81</f>
        <v>31.818181818181817</v>
      </c>
      <c r="L81" s="115">
        <f t="shared" si="39"/>
        <v>15.018181818181816</v>
      </c>
    </row>
    <row r="82" spans="1:12">
      <c r="A82" s="109" t="s">
        <v>54</v>
      </c>
      <c r="B82" s="124" t="s">
        <v>438</v>
      </c>
      <c r="C82" s="125" t="s">
        <v>457</v>
      </c>
      <c r="D82" s="126" t="s">
        <v>265</v>
      </c>
      <c r="E82" s="127">
        <v>0</v>
      </c>
      <c r="F82" s="128">
        <v>300000000</v>
      </c>
      <c r="G82" s="129">
        <f>E82+(F82*0.0035)</f>
        <v>1050000</v>
      </c>
      <c r="H82" s="130">
        <f t="shared" si="38"/>
        <v>33000</v>
      </c>
      <c r="I82" s="153">
        <v>3300</v>
      </c>
      <c r="J82" s="131">
        <f t="shared" si="40"/>
        <v>3.1428571428571431E-2</v>
      </c>
      <c r="K82" s="131">
        <f t="shared" si="41"/>
        <v>31.818181818181817</v>
      </c>
      <c r="L82" s="115">
        <f t="shared" si="39"/>
        <v>15.018181818181816</v>
      </c>
    </row>
    <row r="83" spans="1:12">
      <c r="A83" s="109" t="s">
        <v>54</v>
      </c>
      <c r="B83" s="124" t="s">
        <v>439</v>
      </c>
      <c r="C83" s="125" t="s">
        <v>457</v>
      </c>
      <c r="D83" s="126" t="s">
        <v>12</v>
      </c>
      <c r="E83" s="127">
        <v>0</v>
      </c>
      <c r="F83" s="128">
        <v>1000000</v>
      </c>
      <c r="G83" s="129">
        <f>E83+(F83*1.05)</f>
        <v>1050000</v>
      </c>
      <c r="H83" s="130">
        <f t="shared" si="38"/>
        <v>33000</v>
      </c>
      <c r="I83" s="153">
        <v>3300</v>
      </c>
      <c r="J83" s="131">
        <f t="shared" si="40"/>
        <v>3.1428571428571431E-2</v>
      </c>
      <c r="K83" s="131">
        <f t="shared" si="41"/>
        <v>31.818181818181817</v>
      </c>
      <c r="L83" s="115">
        <f t="shared" si="39"/>
        <v>15.018181818181816</v>
      </c>
    </row>
    <row r="84" spans="1:12">
      <c r="A84" s="109" t="s">
        <v>54</v>
      </c>
      <c r="B84" s="124" t="s">
        <v>440</v>
      </c>
      <c r="C84" s="125" t="s">
        <v>457</v>
      </c>
      <c r="D84" s="126" t="s">
        <v>290</v>
      </c>
      <c r="E84" s="127">
        <v>0</v>
      </c>
      <c r="F84" s="128">
        <v>3150000</v>
      </c>
      <c r="G84" s="129">
        <f>E84+(F84*1/3)</f>
        <v>1050000</v>
      </c>
      <c r="H84" s="130">
        <f t="shared" si="38"/>
        <v>33000</v>
      </c>
      <c r="I84" s="153">
        <v>3300</v>
      </c>
      <c r="J84" s="131">
        <f t="shared" si="40"/>
        <v>3.1428571428571431E-2</v>
      </c>
      <c r="K84" s="131">
        <f t="shared" si="41"/>
        <v>31.818181818181817</v>
      </c>
      <c r="L84" s="115">
        <f t="shared" si="39"/>
        <v>15.018181818181816</v>
      </c>
    </row>
    <row r="85" spans="1:12">
      <c r="A85" s="109" t="s">
        <v>54</v>
      </c>
      <c r="B85" s="124" t="s">
        <v>441</v>
      </c>
      <c r="C85" s="125" t="s">
        <v>457</v>
      </c>
      <c r="D85" s="126" t="s">
        <v>11</v>
      </c>
      <c r="E85" s="127">
        <v>0</v>
      </c>
      <c r="F85" s="128">
        <v>3150000</v>
      </c>
      <c r="G85" s="129">
        <f>E85+(F85*1/3)</f>
        <v>1050000</v>
      </c>
      <c r="H85" s="130">
        <f t="shared" si="38"/>
        <v>33000</v>
      </c>
      <c r="I85" s="153">
        <v>3300</v>
      </c>
      <c r="J85" s="131">
        <f t="shared" si="40"/>
        <v>3.1428571428571431E-2</v>
      </c>
      <c r="K85" s="131">
        <f t="shared" si="41"/>
        <v>31.818181818181817</v>
      </c>
      <c r="L85" s="115">
        <f t="shared" si="39"/>
        <v>15.018181818181816</v>
      </c>
    </row>
    <row r="86" spans="1:12">
      <c r="A86" s="109" t="s">
        <v>54</v>
      </c>
      <c r="B86" s="124" t="s">
        <v>442</v>
      </c>
      <c r="C86" s="125" t="s">
        <v>457</v>
      </c>
      <c r="D86" s="126" t="s">
        <v>460</v>
      </c>
      <c r="E86" s="127">
        <v>0</v>
      </c>
      <c r="F86" s="128">
        <v>1240</v>
      </c>
      <c r="G86" s="129">
        <f>E86+(F86*850)</f>
        <v>1054000</v>
      </c>
      <c r="H86" s="130">
        <f t="shared" si="38"/>
        <v>33000</v>
      </c>
      <c r="I86" s="153">
        <v>3300</v>
      </c>
      <c r="J86" s="131">
        <f t="shared" si="40"/>
        <v>3.1309297912713474E-2</v>
      </c>
      <c r="K86" s="131">
        <f t="shared" si="41"/>
        <v>31.939393939393938</v>
      </c>
      <c r="L86" s="115">
        <f t="shared" si="39"/>
        <v>15.075393939393937</v>
      </c>
    </row>
    <row r="87" spans="1:12">
      <c r="A87" s="109" t="s">
        <v>54</v>
      </c>
      <c r="B87" s="124" t="s">
        <v>443</v>
      </c>
      <c r="C87" s="125" t="s">
        <v>457</v>
      </c>
      <c r="D87" s="126" t="s">
        <v>459</v>
      </c>
      <c r="E87" s="127">
        <v>0</v>
      </c>
      <c r="F87" s="128">
        <v>35</v>
      </c>
      <c r="G87" s="129">
        <f>E87+(F87*14000)</f>
        <v>490000</v>
      </c>
      <c r="H87" s="130">
        <f t="shared" si="38"/>
        <v>33000</v>
      </c>
      <c r="I87" s="153">
        <v>3300</v>
      </c>
      <c r="J87" s="131">
        <f t="shared" si="40"/>
        <v>6.7346938775510207E-2</v>
      </c>
      <c r="K87" s="131">
        <f t="shared" si="41"/>
        <v>14.848484848484848</v>
      </c>
      <c r="L87" s="115">
        <f t="shared" si="39"/>
        <v>7.0084848484848479</v>
      </c>
    </row>
    <row r="88" spans="1:12">
      <c r="A88" s="109" t="s">
        <v>54</v>
      </c>
      <c r="B88" s="124" t="s">
        <v>444</v>
      </c>
      <c r="C88" s="125" t="s">
        <v>457</v>
      </c>
      <c r="D88" s="126" t="s">
        <v>407</v>
      </c>
      <c r="E88" s="127">
        <v>0</v>
      </c>
      <c r="F88" s="128">
        <v>960</v>
      </c>
      <c r="G88" s="129">
        <f>E88+(F88*1500)</f>
        <v>1440000</v>
      </c>
      <c r="H88" s="130">
        <f t="shared" si="38"/>
        <v>33000</v>
      </c>
      <c r="I88" s="153">
        <v>3300</v>
      </c>
      <c r="J88" s="131">
        <f t="shared" si="40"/>
        <v>2.2916666666666665E-2</v>
      </c>
      <c r="K88" s="131">
        <f t="shared" si="41"/>
        <v>43.636363636363633</v>
      </c>
      <c r="L88" s="115">
        <f t="shared" si="39"/>
        <v>20.596363636363634</v>
      </c>
    </row>
    <row r="89" spans="1:12">
      <c r="A89" s="109" t="s">
        <v>54</v>
      </c>
      <c r="B89" s="124" t="s">
        <v>446</v>
      </c>
      <c r="C89" s="125" t="s">
        <v>457</v>
      </c>
      <c r="D89" s="126" t="s">
        <v>413</v>
      </c>
      <c r="E89" s="127">
        <v>0</v>
      </c>
      <c r="F89" s="128">
        <v>5000</v>
      </c>
      <c r="G89" s="129">
        <f>E89+(F89*35)</f>
        <v>175000</v>
      </c>
      <c r="H89" s="130">
        <f>I89*10</f>
        <v>5500</v>
      </c>
      <c r="I89" s="153">
        <v>550</v>
      </c>
      <c r="J89" s="131">
        <f>H89/G89</f>
        <v>3.1428571428571431E-2</v>
      </c>
      <c r="K89" s="131">
        <f>G89/H89</f>
        <v>31.818181818181817</v>
      </c>
      <c r="L89" s="115">
        <f>K89/K$2</f>
        <v>15.018181818181816</v>
      </c>
    </row>
    <row r="90" spans="1:12">
      <c r="A90" s="109" t="s">
        <v>54</v>
      </c>
      <c r="B90" s="166" t="s">
        <v>445</v>
      </c>
      <c r="C90" s="177" t="s">
        <v>457</v>
      </c>
      <c r="D90" s="178" t="s">
        <v>461</v>
      </c>
      <c r="E90" s="179">
        <v>0</v>
      </c>
      <c r="F90" s="180">
        <v>0</v>
      </c>
      <c r="G90" s="181">
        <f t="shared" ref="G90:G91" si="42">E90+(F90*150)</f>
        <v>0</v>
      </c>
      <c r="H90" s="182">
        <f t="shared" ref="H90:H91" si="43">I90*10</f>
        <v>33000</v>
      </c>
      <c r="I90" s="183">
        <v>3300</v>
      </c>
      <c r="J90" s="184" t="e">
        <f t="shared" ref="J90:J91" si="44">H90/G90</f>
        <v>#DIV/0!</v>
      </c>
      <c r="K90" s="184">
        <f t="shared" ref="K90:K91" si="45">G90/H90</f>
        <v>0</v>
      </c>
      <c r="L90" s="143">
        <f t="shared" ref="L90:L91" si="46">K90/K$2</f>
        <v>0</v>
      </c>
    </row>
    <row r="91" spans="1:12">
      <c r="A91" s="109" t="s">
        <v>54</v>
      </c>
      <c r="B91" s="167" t="s">
        <v>465</v>
      </c>
      <c r="C91" s="177" t="s">
        <v>457</v>
      </c>
      <c r="D91" s="178" t="s">
        <v>462</v>
      </c>
      <c r="E91" s="179">
        <v>0</v>
      </c>
      <c r="F91" s="180">
        <v>0</v>
      </c>
      <c r="G91" s="181">
        <f t="shared" si="42"/>
        <v>0</v>
      </c>
      <c r="H91" s="182">
        <f t="shared" si="43"/>
        <v>33000</v>
      </c>
      <c r="I91" s="183">
        <v>3300</v>
      </c>
      <c r="J91" s="184" t="e">
        <f t="shared" si="44"/>
        <v>#DIV/0!</v>
      </c>
      <c r="K91" s="184">
        <f t="shared" si="45"/>
        <v>0</v>
      </c>
      <c r="L91" s="143">
        <f t="shared" si="46"/>
        <v>0</v>
      </c>
    </row>
    <row r="92" spans="1:12">
      <c r="A92" s="115"/>
    </row>
    <row r="93" spans="1:12">
      <c r="A93" s="115"/>
    </row>
    <row r="94" spans="1:12">
      <c r="A94" s="115"/>
    </row>
    <row r="95" spans="1:12">
      <c r="A95" s="115"/>
    </row>
    <row r="96" spans="1:12">
      <c r="A96" s="115"/>
    </row>
    <row r="97" spans="1:1">
      <c r="A97" s="115"/>
    </row>
    <row r="98" spans="1:1">
      <c r="A98" s="115"/>
    </row>
    <row r="99" spans="1:1">
      <c r="A99" s="115"/>
    </row>
    <row r="100" spans="1:1">
      <c r="A100" s="115"/>
    </row>
    <row r="101" spans="1:1">
      <c r="A101" s="115"/>
    </row>
    <row r="102" spans="1:1">
      <c r="A102" s="115"/>
    </row>
    <row r="103" spans="1:1">
      <c r="A103" s="115"/>
    </row>
    <row r="104" spans="1:1">
      <c r="A104" s="115"/>
    </row>
    <row r="105" spans="1:1">
      <c r="A105" s="115"/>
    </row>
    <row r="106" spans="1:1">
      <c r="A106" s="115"/>
    </row>
    <row r="107" spans="1:1">
      <c r="A107" s="115"/>
    </row>
    <row r="108" spans="1:1">
      <c r="A108" s="115"/>
    </row>
    <row r="109" spans="1:1">
      <c r="A109" s="115"/>
    </row>
    <row r="150" spans="3:12">
      <c r="C150" s="110"/>
      <c r="E150" s="111"/>
      <c r="F150" s="112"/>
      <c r="G150" s="113"/>
      <c r="L150" s="115"/>
    </row>
    <row r="158" spans="3:12">
      <c r="C158" s="110"/>
      <c r="D158" s="138"/>
      <c r="E158" s="139"/>
      <c r="F158" s="140"/>
      <c r="G158" s="141"/>
      <c r="H158" s="142"/>
      <c r="I158" s="142"/>
      <c r="J158" s="132"/>
      <c r="K158" s="132"/>
      <c r="L158" s="143"/>
    </row>
    <row r="174" spans="3:12">
      <c r="C174" s="110"/>
      <c r="D174" s="138"/>
      <c r="E174" s="139"/>
      <c r="F174" s="112"/>
      <c r="G174" s="113"/>
      <c r="L174" s="115"/>
    </row>
    <row r="182" spans="3:12">
      <c r="C182" s="110"/>
      <c r="D182" s="110"/>
      <c r="E182" s="111"/>
      <c r="F182" s="112"/>
      <c r="G182" s="113"/>
      <c r="L182" s="115"/>
    </row>
    <row r="201" spans="3:12">
      <c r="C201" s="110"/>
      <c r="E201" s="111"/>
      <c r="F201" s="112"/>
      <c r="G201" s="113"/>
      <c r="H201" s="149"/>
      <c r="L201" s="115"/>
    </row>
    <row r="202" spans="3:12">
      <c r="C202" s="110"/>
      <c r="E202" s="111"/>
      <c r="F202" s="133"/>
      <c r="G202" s="134"/>
      <c r="H202" s="150"/>
      <c r="I202" s="151"/>
      <c r="J202" s="114"/>
      <c r="K202" s="114"/>
      <c r="L202" s="115"/>
    </row>
    <row r="216" spans="13:16">
      <c r="M216" s="152"/>
      <c r="N216" s="152"/>
      <c r="O216" s="152"/>
      <c r="P216" s="152"/>
    </row>
  </sheetData>
  <phoneticPr fontId="1" type="noConversion"/>
  <conditionalFormatting sqref="L158 L174 L4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{DB17706B-4DEB-4245-8D8E-FBB07932462A}</x14:id>
        </ext>
      </extLst>
    </cfRule>
  </conditionalFormatting>
  <conditionalFormatting sqref="L201:L202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{2D59B4DF-E584-4828-B56C-767B2A02A913}</x14:id>
        </ext>
      </extLst>
    </cfRule>
  </conditionalFormatting>
  <conditionalFormatting sqref="L202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{F8E90992-DDF1-41BA-878B-C1E704105E18}</x14:id>
        </ext>
      </extLst>
    </cfRule>
  </conditionalFormatting>
  <conditionalFormatting sqref="L201:L202 L150 L158 A92:A109 L174 L182 L40 L4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{B7550ABD-8A8E-47A5-A368-059ED232202C}</x14:id>
        </ext>
      </extLst>
    </cfRule>
  </conditionalFormatting>
  <conditionalFormatting sqref="A92:A109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{F73BB876-225B-4C8F-939E-CDF0B0F67568}</x14:id>
        </ext>
      </extLst>
    </cfRule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{4706C846-477A-489D-85A5-0DFB0E74B247}</x14:id>
        </ext>
      </extLs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{DA914AA6-5F50-4345-94EF-354294E963AD}</x14:id>
        </ext>
      </extLst>
    </cfRule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{7EE6F15A-0660-4160-ACFA-CECD5B0393C9}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{0CE1A035-A97A-4475-8206-A7E09D36EF53}</x14:id>
        </ext>
      </extLst>
    </cfRule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{52AEB94D-FDE0-42B6-B274-211B4A1CD5F1}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{838BA070-0AE9-45C1-9F2C-E82DC98C45AD}</x14:id>
        </ext>
      </extLst>
    </cfRule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{8266A1B2-FE74-4667-94CA-D8DC86B3AFE8}</x14:id>
        </ext>
      </extLst>
    </cfRule>
  </conditionalFormatting>
  <conditionalFormatting sqref="L7:L21">
    <cfRule type="dataBar" priority="8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{42FDF175-EA14-4941-9D9D-83EDC3677A57}</x14:id>
        </ext>
      </extLst>
    </cfRule>
    <cfRule type="dataBar" priority="8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{67147B02-0B0C-41D1-A3AE-3589E89E5A6B}</x14:id>
        </ext>
      </extLst>
    </cfRule>
  </conditionalFormatting>
  <conditionalFormatting sqref="L25:L38">
    <cfRule type="dataBar" priority="8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{E1C32E80-0A6D-4DBD-B45C-9FC4D977ACB5}</x14:id>
        </ext>
      </extLst>
    </cfRule>
    <cfRule type="dataBar" priority="8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{99B03990-2A3A-494F-ADCB-A75CD182838B}</x14:id>
        </ext>
      </extLst>
    </cfRule>
  </conditionalFormatting>
  <conditionalFormatting sqref="L43:L56">
    <cfRule type="dataBar" priority="8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{2D5816DF-7A14-45CC-A981-25B20EF7792D}</x14:id>
        </ext>
      </extLst>
    </cfRule>
    <cfRule type="dataBar" priority="8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{3A308B3C-D763-4D36-A1D3-D57F640F9502}</x14:id>
        </ext>
      </extLst>
    </cfRule>
  </conditionalFormatting>
  <conditionalFormatting sqref="L61:L74">
    <cfRule type="dataBar" priority="8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{22384280-C58F-4EC7-BD5E-9313E385AEA3}</x14:id>
        </ext>
      </extLst>
    </cfRule>
    <cfRule type="dataBar" priority="8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{754EEC4C-73F0-4715-B908-99F60BC0681A}</x14:id>
        </ext>
      </extLst>
    </cfRule>
  </conditionalFormatting>
  <conditionalFormatting sqref="L78:L9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{2589446D-78F8-4879-9EFD-D656C10EC590}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{37CD9443-27B1-4627-B303-A594569E1C25}</x14:id>
        </ext>
      </extLst>
    </cfRule>
  </conditionalFormatting>
  <conditionalFormatting sqref="L2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{C7FF3A8F-4DD4-43EF-AAB2-FDAD462DA211}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{EA0707A5-A28A-40FF-9975-C14736154987}</x14:id>
        </ext>
      </extLst>
    </cfRule>
  </conditionalFormatting>
  <conditionalFormatting sqref="L4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{D0BDBF90-A3EA-4008-9AD8-2F3A8AA445D0}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{6C829BF6-6C53-499D-ADD4-0B32D4BC76F9}</x14:id>
        </ext>
      </extLst>
    </cfRule>
  </conditionalFormatting>
  <conditionalFormatting sqref="L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{98D724B4-29D8-4303-9EFF-5CF3C88FBF73}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{7CE4616F-7877-4783-9429-8F47D7EC7D61}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17706B-4DEB-4245-8D8E-FBB0793246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L158 L174 L40</xm:sqref>
        </x14:conditionalFormatting>
        <x14:conditionalFormatting xmlns:xm="http://schemas.microsoft.com/office/excel/2006/main">
          <x14:cfRule type="dataBar" id="{2D59B4DF-E584-4828-B56C-767B2A02A9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L201:L202</xm:sqref>
        </x14:conditionalFormatting>
        <x14:conditionalFormatting xmlns:xm="http://schemas.microsoft.com/office/excel/2006/main">
          <x14:cfRule type="dataBar" id="{F8E90992-DDF1-41BA-878B-C1E704105E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L202</xm:sqref>
        </x14:conditionalFormatting>
        <x14:conditionalFormatting xmlns:xm="http://schemas.microsoft.com/office/excel/2006/main">
          <x14:cfRule type="dataBar" id="{B7550ABD-8A8E-47A5-A368-059ED23220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L201:L202 L150 L158 A92:A109 L174 L182 L40 L4</xm:sqref>
        </x14:conditionalFormatting>
        <x14:conditionalFormatting xmlns:xm="http://schemas.microsoft.com/office/excel/2006/main">
          <x14:cfRule type="dataBar" id="{F73BB876-225B-4C8F-939E-CDF0B0F675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706C846-477A-489D-85A5-0DFB0E74B2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914AA6-5F50-4345-94EF-354294E96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6F15A-0660-4160-ACFA-CECD5B039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E1A035-A97A-4475-8206-A7E09D36EF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EB94D-FDE0-42B6-B274-211B4A1CD5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38BA070-0AE9-45C1-9F2C-E82DC98C45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266A1B2-FE74-4667-94CA-D8DC86B3AF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A92:A109</xm:sqref>
        </x14:conditionalFormatting>
        <x14:conditionalFormatting xmlns:xm="http://schemas.microsoft.com/office/excel/2006/main">
          <x14:cfRule type="dataBar" id="{42FDF175-EA14-4941-9D9D-83EDC3677A5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7147B02-0B0C-41D1-A3AE-3589E89E5A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L7:L21</xm:sqref>
        </x14:conditionalFormatting>
        <x14:conditionalFormatting xmlns:xm="http://schemas.microsoft.com/office/excel/2006/main">
          <x14:cfRule type="dataBar" id="{E1C32E80-0A6D-4DBD-B45C-9FC4D977AC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9B03990-2A3A-494F-ADCB-A75CD18283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L25:L38</xm:sqref>
        </x14:conditionalFormatting>
        <x14:conditionalFormatting xmlns:xm="http://schemas.microsoft.com/office/excel/2006/main">
          <x14:cfRule type="dataBar" id="{2D5816DF-7A14-45CC-A981-25B20EF779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A308B3C-D763-4D36-A1D3-D57F640F95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L43:L56</xm:sqref>
        </x14:conditionalFormatting>
        <x14:conditionalFormatting xmlns:xm="http://schemas.microsoft.com/office/excel/2006/main">
          <x14:cfRule type="dataBar" id="{22384280-C58F-4EC7-BD5E-9313E385AE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54EEC4C-73F0-4715-B908-99F60BC068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L61:L74</xm:sqref>
        </x14:conditionalFormatting>
        <x14:conditionalFormatting xmlns:xm="http://schemas.microsoft.com/office/excel/2006/main">
          <x14:cfRule type="dataBar" id="{2589446D-78F8-4879-9EFD-D656C10EC5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7CD9443-27B1-4627-B303-A594569E1C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L78:L91</xm:sqref>
        </x14:conditionalFormatting>
        <x14:conditionalFormatting xmlns:xm="http://schemas.microsoft.com/office/excel/2006/main">
          <x14:cfRule type="dataBar" id="{C7FF3A8F-4DD4-43EF-AAB2-FDAD462DA2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A0707A5-A28A-40FF-9975-C147361549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</xm:sqref>
        </x14:conditionalFormatting>
        <x14:conditionalFormatting xmlns:xm="http://schemas.microsoft.com/office/excel/2006/main">
          <x14:cfRule type="dataBar" id="{D0BDBF90-A3EA-4008-9AD8-2F3A8AA445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829BF6-6C53-499D-ADD4-0B32D4BC7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</xm:sqref>
        </x14:conditionalFormatting>
        <x14:conditionalFormatting xmlns:xm="http://schemas.microsoft.com/office/excel/2006/main">
          <x14:cfRule type="dataBar" id="{98D724B4-29D8-4303-9EFF-5CF3C88FBF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E4616F-7877-4783-9429-8F47D7EC7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재화 기준</vt:lpstr>
      <vt:lpstr>상품 구성</vt:lpstr>
      <vt:lpstr>극한 성장(구)</vt:lpstr>
      <vt:lpstr>돌발 상품</vt:lpstr>
      <vt:lpstr>암시장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2026-06-24T06:52:04Z</dcterms:modified>
  <cp:category/>
  <cp:contentStatus/>
</cp:coreProperties>
</file>