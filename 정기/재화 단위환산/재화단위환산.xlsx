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JJG\엑셀\정기\재화 단위환산\"/>
    </mc:Choice>
  </mc:AlternateContent>
  <xr:revisionPtr revIDLastSave="0" documentId="13_ncr:1_{7AA8B22F-CFC4-4F29-8233-FBA2D0CF2E55}" xr6:coauthVersionLast="47" xr6:coauthVersionMax="47" xr10:uidLastSave="{00000000-0000-0000-0000-000000000000}"/>
  <bookViews>
    <workbookView xWindow="2640" yWindow="15" windowWidth="19200" windowHeight="15480" activeTab="4" xr2:uid="{D5257295-4E87-4413-99C6-2C3BD5B1EB19}"/>
  </bookViews>
  <sheets>
    <sheet name="Sheet1" sheetId="1" r:id="rId1"/>
    <sheet name="Sheet2" sheetId="3" r:id="rId2"/>
    <sheet name="무기확율" sheetId="2" r:id="rId3"/>
    <sheet name="단위환산" sheetId="4" r:id="rId4"/>
    <sheet name="ㅇㅇ" sheetId="5" r:id="rId5"/>
    <sheet name="ㅇ" sheetId="8" r:id="rId6"/>
    <sheet name="ㄹㅇ" sheetId="6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5" l="1"/>
  <c r="E11" i="5"/>
  <c r="C12" i="5"/>
  <c r="C11" i="5"/>
  <c r="N17" i="5"/>
  <c r="C18" i="5"/>
  <c r="N18" i="5"/>
  <c r="C19" i="5"/>
  <c r="AE20" i="5"/>
  <c r="I20" i="8"/>
  <c r="K20" i="8" s="1"/>
  <c r="I19" i="8"/>
  <c r="K19" i="8" s="1"/>
  <c r="S40" i="8"/>
  <c r="S39" i="8"/>
  <c r="N46" i="8"/>
  <c r="O46" i="8"/>
  <c r="O45" i="8"/>
  <c r="N45" i="8"/>
  <c r="N44" i="8"/>
  <c r="O44" i="8"/>
  <c r="Q31" i="8"/>
  <c r="I15" i="8"/>
  <c r="I14" i="8"/>
  <c r="T17" i="8"/>
  <c r="T18" i="8" s="1"/>
  <c r="S17" i="8"/>
  <c r="S18" i="8" s="1"/>
  <c r="R17" i="8"/>
  <c r="R18" i="8" s="1"/>
  <c r="Q17" i="8"/>
  <c r="Q18" i="8" s="1"/>
  <c r="P17" i="8"/>
  <c r="P18" i="8" s="1"/>
  <c r="T13" i="8"/>
  <c r="T14" i="8" s="1"/>
  <c r="S13" i="8"/>
  <c r="S14" i="8" s="1"/>
  <c r="R13" i="8"/>
  <c r="R14" i="8" s="1"/>
  <c r="Q13" i="8"/>
  <c r="Q14" i="8" s="1"/>
  <c r="P13" i="8"/>
  <c r="P14" i="8" s="1"/>
  <c r="P7" i="8"/>
  <c r="Q7" i="8"/>
  <c r="R7" i="8"/>
  <c r="S7" i="8"/>
  <c r="T7" i="8"/>
  <c r="T8" i="8" s="1"/>
  <c r="S8" i="8"/>
  <c r="R8" i="8"/>
  <c r="Q8" i="8"/>
  <c r="P8" i="8"/>
  <c r="AV26" i="8"/>
  <c r="H5" i="8"/>
  <c r="H4" i="8"/>
  <c r="E7" i="8"/>
  <c r="H7" i="8" s="1"/>
  <c r="E6" i="8"/>
  <c r="H6" i="8" s="1"/>
  <c r="P33" i="8"/>
  <c r="Q33" i="8" s="1"/>
  <c r="P32" i="8"/>
  <c r="Q32" i="8" s="1"/>
  <c r="P31" i="8"/>
  <c r="T3" i="8"/>
  <c r="T4" i="8" s="1"/>
  <c r="S3" i="8"/>
  <c r="S4" i="8" s="1"/>
  <c r="R3" i="8"/>
  <c r="R4" i="8" s="1"/>
  <c r="Q3" i="8"/>
  <c r="Q4" i="8" s="1"/>
  <c r="P3" i="8"/>
  <c r="P4" i="8" s="1"/>
  <c r="C20" i="5"/>
  <c r="D20" i="5" s="1"/>
  <c r="Z5" i="5"/>
  <c r="AA5" i="5" s="1"/>
  <c r="Z4" i="5"/>
  <c r="AA4" i="5"/>
  <c r="C21" i="5"/>
  <c r="D21" i="5" s="1"/>
  <c r="AA3" i="5"/>
  <c r="Z3" i="5"/>
  <c r="O6" i="5"/>
  <c r="O7" i="5" s="1"/>
  <c r="P6" i="5"/>
  <c r="P7" i="5" s="1"/>
  <c r="Q6" i="5"/>
  <c r="Q7" i="5" s="1"/>
  <c r="R6" i="5"/>
  <c r="R7" i="5" s="1"/>
  <c r="S6" i="5"/>
  <c r="S7" i="5" s="1"/>
  <c r="P3" i="5"/>
  <c r="P4" i="5" s="1"/>
  <c r="Q3" i="5"/>
  <c r="Q4" i="5" s="1"/>
  <c r="R3" i="5"/>
  <c r="R4" i="5" s="1"/>
  <c r="S3" i="5"/>
  <c r="S4" i="5" s="1"/>
  <c r="O3" i="5"/>
  <c r="O4" i="5" s="1"/>
  <c r="K32" i="5"/>
  <c r="G39" i="5"/>
  <c r="H39" i="5" s="1"/>
  <c r="M39" i="5" s="1"/>
  <c r="G38" i="5"/>
  <c r="H38" i="5" s="1"/>
  <c r="J38" i="5" s="1"/>
  <c r="G37" i="5"/>
  <c r="H37" i="5" s="1"/>
  <c r="K37" i="5" s="1"/>
  <c r="G36" i="5"/>
  <c r="H36" i="5" s="1"/>
  <c r="G35" i="5"/>
  <c r="H35" i="5" s="1"/>
  <c r="G34" i="5"/>
  <c r="H34" i="5" s="1"/>
  <c r="N34" i="5" s="1"/>
  <c r="D47" i="6"/>
  <c r="D48" i="6"/>
  <c r="D49" i="6"/>
  <c r="D50" i="6"/>
  <c r="D51" i="6"/>
  <c r="H51" i="6" s="1"/>
  <c r="D46" i="6"/>
  <c r="D52" i="6"/>
  <c r="C52" i="6" s="1"/>
  <c r="H52" i="6"/>
  <c r="I52" i="6" s="1"/>
  <c r="C53" i="6"/>
  <c r="D53" i="6"/>
  <c r="G53" i="6"/>
  <c r="H53" i="6"/>
  <c r="I53" i="6" s="1"/>
  <c r="D54" i="6"/>
  <c r="C54" i="6" s="1"/>
  <c r="D55" i="6"/>
  <c r="C55" i="6" s="1"/>
  <c r="H55" i="6"/>
  <c r="I55" i="6" s="1"/>
  <c r="C56" i="6"/>
  <c r="D56" i="6"/>
  <c r="G56" i="6"/>
  <c r="H56" i="6"/>
  <c r="I56" i="6" s="1"/>
  <c r="D57" i="6"/>
  <c r="C57" i="6" s="1"/>
  <c r="D58" i="6"/>
  <c r="C58" i="6" s="1"/>
  <c r="H58" i="6"/>
  <c r="I58" i="6" s="1"/>
  <c r="C59" i="6"/>
  <c r="D59" i="6"/>
  <c r="G59" i="6"/>
  <c r="H59" i="6"/>
  <c r="I59" i="6" s="1"/>
  <c r="D60" i="6"/>
  <c r="C60" i="6" s="1"/>
  <c r="D61" i="6"/>
  <c r="C61" i="6" s="1"/>
  <c r="H61" i="6"/>
  <c r="I61" i="6" s="1"/>
  <c r="C62" i="6"/>
  <c r="D62" i="6"/>
  <c r="G62" i="6"/>
  <c r="H62" i="6"/>
  <c r="I62" i="6" s="1"/>
  <c r="D63" i="6"/>
  <c r="C63" i="6" s="1"/>
  <c r="D64" i="6"/>
  <c r="C64" i="6" s="1"/>
  <c r="H64" i="6"/>
  <c r="I64" i="6" s="1"/>
  <c r="C65" i="6"/>
  <c r="D65" i="6"/>
  <c r="G65" i="6"/>
  <c r="H65" i="6"/>
  <c r="I65" i="6" s="1"/>
  <c r="F98" i="6"/>
  <c r="I98" i="6" s="1"/>
  <c r="F97" i="6"/>
  <c r="I97" i="6" s="1"/>
  <c r="F96" i="6"/>
  <c r="I96" i="6" s="1"/>
  <c r="F95" i="6"/>
  <c r="H95" i="6" s="1"/>
  <c r="F94" i="6"/>
  <c r="H94" i="6" s="1"/>
  <c r="F93" i="6"/>
  <c r="H93" i="6" s="1"/>
  <c r="F92" i="6"/>
  <c r="H92" i="6" s="1"/>
  <c r="H91" i="6"/>
  <c r="F91" i="6"/>
  <c r="I91" i="6" s="1"/>
  <c r="H90" i="6"/>
  <c r="F90" i="6"/>
  <c r="I90" i="6" s="1"/>
  <c r="L90" i="6" s="1"/>
  <c r="H89" i="6"/>
  <c r="F89" i="6"/>
  <c r="I89" i="6" s="1"/>
  <c r="F88" i="6"/>
  <c r="I88" i="6" s="1"/>
  <c r="F87" i="6"/>
  <c r="I87" i="6" s="1"/>
  <c r="F86" i="6"/>
  <c r="I86" i="6" s="1"/>
  <c r="F85" i="6"/>
  <c r="I85" i="6" s="1"/>
  <c r="F84" i="6"/>
  <c r="I84" i="6" s="1"/>
  <c r="F83" i="6"/>
  <c r="H83" i="6" s="1"/>
  <c r="F82" i="6"/>
  <c r="H82" i="6" s="1"/>
  <c r="I81" i="6"/>
  <c r="L81" i="6" s="1"/>
  <c r="H81" i="6"/>
  <c r="F81" i="6"/>
  <c r="F80" i="6"/>
  <c r="H80" i="6" s="1"/>
  <c r="F79" i="6"/>
  <c r="I79" i="6" s="1"/>
  <c r="F75" i="6"/>
  <c r="F78" i="6" s="1"/>
  <c r="L72" i="6"/>
  <c r="H50" i="6"/>
  <c r="H49" i="6"/>
  <c r="H48" i="6"/>
  <c r="H47" i="6"/>
  <c r="H46" i="6"/>
  <c r="V44" i="6"/>
  <c r="L39" i="6" s="1"/>
  <c r="J44" i="6"/>
  <c r="L44" i="6" s="1"/>
  <c r="V42" i="6"/>
  <c r="R41" i="6" s="1"/>
  <c r="J39" i="6"/>
  <c r="L37" i="6"/>
  <c r="J37" i="6" a="1"/>
  <c r="J37" i="6" s="1"/>
  <c r="H30" i="6"/>
  <c r="E30" i="6"/>
  <c r="D30" i="6"/>
  <c r="H29" i="6"/>
  <c r="F29" i="6"/>
  <c r="E29" i="6"/>
  <c r="D29" i="6"/>
  <c r="H28" i="6"/>
  <c r="E28" i="6"/>
  <c r="D28" i="6"/>
  <c r="H27" i="6"/>
  <c r="F27" i="6"/>
  <c r="E27" i="6"/>
  <c r="D27" i="6"/>
  <c r="P24" i="6"/>
  <c r="Q24" i="6" s="1"/>
  <c r="H24" i="6"/>
  <c r="E24" i="6"/>
  <c r="D24" i="6"/>
  <c r="P23" i="6"/>
  <c r="Q23" i="6" s="1"/>
  <c r="H23" i="6"/>
  <c r="E23" i="6"/>
  <c r="D23" i="6"/>
  <c r="P22" i="6"/>
  <c r="Q22" i="6" s="1"/>
  <c r="H22" i="6"/>
  <c r="F22" i="6" s="1"/>
  <c r="E22" i="6"/>
  <c r="D22" i="6"/>
  <c r="P21" i="6"/>
  <c r="Q21" i="6" s="1"/>
  <c r="H21" i="6"/>
  <c r="E21" i="6"/>
  <c r="D21" i="6"/>
  <c r="P20" i="6"/>
  <c r="Q20" i="6" s="1"/>
  <c r="H20" i="6"/>
  <c r="E20" i="6"/>
  <c r="D20" i="6"/>
  <c r="P19" i="6"/>
  <c r="Q19" i="6" s="1"/>
  <c r="H19" i="6"/>
  <c r="F19" i="6" s="1"/>
  <c r="E19" i="6"/>
  <c r="D19" i="6"/>
  <c r="P18" i="6"/>
  <c r="Q18" i="6" s="1"/>
  <c r="H18" i="6"/>
  <c r="E18" i="6"/>
  <c r="D18" i="6"/>
  <c r="P17" i="6"/>
  <c r="Q17" i="6" s="1"/>
  <c r="H17" i="6"/>
  <c r="E17" i="6"/>
  <c r="D17" i="6"/>
  <c r="P16" i="6"/>
  <c r="Q16" i="6" s="1"/>
  <c r="H16" i="6"/>
  <c r="F16" i="6"/>
  <c r="E16" i="6"/>
  <c r="D16" i="6"/>
  <c r="P15" i="6"/>
  <c r="Q15" i="6" s="1"/>
  <c r="H15" i="6"/>
  <c r="G15" i="6" s="1"/>
  <c r="E15" i="6"/>
  <c r="D15" i="6"/>
  <c r="P14" i="6"/>
  <c r="Q14" i="6" s="1"/>
  <c r="H14" i="6"/>
  <c r="E14" i="6"/>
  <c r="D14" i="6"/>
  <c r="P13" i="6"/>
  <c r="Q13" i="6" s="1"/>
  <c r="H13" i="6"/>
  <c r="F13" i="6" s="1"/>
  <c r="E13" i="6"/>
  <c r="D13" i="6"/>
  <c r="P12" i="6"/>
  <c r="Q12" i="6" s="1"/>
  <c r="H12" i="6"/>
  <c r="E12" i="6"/>
  <c r="D12" i="6"/>
  <c r="P11" i="6"/>
  <c r="Q11" i="6" s="1"/>
  <c r="H11" i="6"/>
  <c r="G11" i="6" s="1"/>
  <c r="E11" i="6"/>
  <c r="D11" i="6"/>
  <c r="P10" i="6"/>
  <c r="Q10" i="6" s="1"/>
  <c r="H10" i="6"/>
  <c r="F10" i="6" s="1"/>
  <c r="E10" i="6"/>
  <c r="D10" i="6"/>
  <c r="P9" i="6"/>
  <c r="Q9" i="6" s="1"/>
  <c r="H9" i="6"/>
  <c r="E9" i="6"/>
  <c r="D9" i="6"/>
  <c r="P8" i="6"/>
  <c r="Q8" i="6" s="1"/>
  <c r="H8" i="6"/>
  <c r="E8" i="6"/>
  <c r="D8" i="6"/>
  <c r="P7" i="6"/>
  <c r="Q7" i="6" s="1"/>
  <c r="H7" i="6"/>
  <c r="F7" i="6"/>
  <c r="E7" i="6"/>
  <c r="D7" i="6"/>
  <c r="P6" i="6"/>
  <c r="Q6" i="6" s="1"/>
  <c r="H6" i="6"/>
  <c r="F6" i="6"/>
  <c r="E6" i="6"/>
  <c r="D6" i="6"/>
  <c r="J6" i="6" s="1"/>
  <c r="P5" i="6"/>
  <c r="Q5" i="6" s="1"/>
  <c r="H5" i="6"/>
  <c r="E5" i="6"/>
  <c r="E25" i="6" s="1"/>
  <c r="D5" i="6"/>
  <c r="G4" i="6"/>
  <c r="G6" i="6" s="1"/>
  <c r="S3" i="6"/>
  <c r="S2" i="6"/>
  <c r="M40" i="5" l="1"/>
  <c r="M41" i="5" s="1"/>
  <c r="M42" i="5" s="1"/>
  <c r="R29" i="5"/>
  <c r="S29" i="5" s="1"/>
  <c r="T29" i="5" s="1"/>
  <c r="L39" i="5"/>
  <c r="L40" i="5" s="1"/>
  <c r="L41" i="5" s="1"/>
  <c r="L42" i="5" s="1"/>
  <c r="J39" i="5"/>
  <c r="J40" i="5" s="1"/>
  <c r="J41" i="5" s="1"/>
  <c r="J42" i="5" s="1"/>
  <c r="N38" i="5"/>
  <c r="K39" i="5"/>
  <c r="K40" i="5" s="1"/>
  <c r="K41" i="5" s="1"/>
  <c r="K42" i="5" s="1"/>
  <c r="J37" i="5"/>
  <c r="M36" i="5"/>
  <c r="I36" i="5"/>
  <c r="L36" i="5"/>
  <c r="N36" i="5"/>
  <c r="J36" i="5"/>
  <c r="K36" i="5"/>
  <c r="J35" i="5"/>
  <c r="K35" i="5"/>
  <c r="L35" i="5"/>
  <c r="I35" i="5"/>
  <c r="M35" i="5"/>
  <c r="O35" i="5" s="1"/>
  <c r="N35" i="5"/>
  <c r="K34" i="5"/>
  <c r="I39" i="5"/>
  <c r="M38" i="5"/>
  <c r="M34" i="5"/>
  <c r="J34" i="5"/>
  <c r="I38" i="5"/>
  <c r="L38" i="5"/>
  <c r="I37" i="5"/>
  <c r="K38" i="5"/>
  <c r="N37" i="5"/>
  <c r="I34" i="5"/>
  <c r="M37" i="5"/>
  <c r="N39" i="5"/>
  <c r="N40" i="5" s="1"/>
  <c r="N41" i="5" s="1"/>
  <c r="N42" i="5" s="1"/>
  <c r="L37" i="5"/>
  <c r="L34" i="5"/>
  <c r="I83" i="6"/>
  <c r="M83" i="6" s="1"/>
  <c r="N83" i="6" s="1"/>
  <c r="I94" i="6"/>
  <c r="M94" i="6" s="1"/>
  <c r="N94" i="6" s="1"/>
  <c r="H63" i="6"/>
  <c r="H60" i="6"/>
  <c r="H57" i="6"/>
  <c r="H54" i="6"/>
  <c r="G28" i="6"/>
  <c r="L28" i="6" s="1"/>
  <c r="M28" i="6" s="1"/>
  <c r="K64" i="6"/>
  <c r="G63" i="6"/>
  <c r="K61" i="6"/>
  <c r="G60" i="6"/>
  <c r="K58" i="6"/>
  <c r="G57" i="6"/>
  <c r="K55" i="6"/>
  <c r="G54" i="6"/>
  <c r="K52" i="6"/>
  <c r="G9" i="6"/>
  <c r="G12" i="6"/>
  <c r="F15" i="6"/>
  <c r="J15" i="6" s="1"/>
  <c r="I80" i="6"/>
  <c r="L80" i="6" s="1"/>
  <c r="J64" i="6"/>
  <c r="J61" i="6"/>
  <c r="J58" i="6"/>
  <c r="J55" i="6"/>
  <c r="J52" i="6"/>
  <c r="G22" i="6"/>
  <c r="G18" i="6"/>
  <c r="G21" i="6"/>
  <c r="G24" i="6"/>
  <c r="K65" i="6"/>
  <c r="G64" i="6"/>
  <c r="K62" i="6"/>
  <c r="G61" i="6"/>
  <c r="K59" i="6"/>
  <c r="G58" i="6"/>
  <c r="K56" i="6"/>
  <c r="G55" i="6"/>
  <c r="K53" i="6"/>
  <c r="G52" i="6"/>
  <c r="J62" i="6"/>
  <c r="J59" i="6"/>
  <c r="J56" i="6"/>
  <c r="J53" i="6"/>
  <c r="I82" i="6"/>
  <c r="M82" i="6" s="1"/>
  <c r="N82" i="6" s="1"/>
  <c r="O82" i="6" s="1"/>
  <c r="I78" i="6"/>
  <c r="M78" i="6" s="1"/>
  <c r="N78" i="6" s="1"/>
  <c r="O78" i="6" s="1"/>
  <c r="H78" i="6"/>
  <c r="M87" i="6"/>
  <c r="N87" i="6" s="1"/>
  <c r="L87" i="6"/>
  <c r="F24" i="6"/>
  <c r="R43" i="6"/>
  <c r="H75" i="6"/>
  <c r="H87" i="6"/>
  <c r="I92" i="6"/>
  <c r="K6" i="6"/>
  <c r="T6" i="6" s="1"/>
  <c r="G8" i="6"/>
  <c r="L8" i="6" s="1"/>
  <c r="G17" i="6"/>
  <c r="I75" i="6"/>
  <c r="G29" i="6"/>
  <c r="F76" i="6"/>
  <c r="I76" i="6" s="1"/>
  <c r="L76" i="6" s="1"/>
  <c r="I93" i="6"/>
  <c r="L93" i="6" s="1"/>
  <c r="F77" i="6"/>
  <c r="F9" i="6"/>
  <c r="F18" i="6"/>
  <c r="G20" i="6"/>
  <c r="L20" i="6" s="1"/>
  <c r="O94" i="6"/>
  <c r="G30" i="6"/>
  <c r="L30" i="6" s="1"/>
  <c r="I95" i="6"/>
  <c r="M95" i="6" s="1"/>
  <c r="N95" i="6" s="1"/>
  <c r="O95" i="6" s="1"/>
  <c r="G23" i="6"/>
  <c r="G27" i="6"/>
  <c r="G5" i="6"/>
  <c r="F12" i="6"/>
  <c r="G14" i="6"/>
  <c r="F21" i="6"/>
  <c r="J21" i="6" s="1"/>
  <c r="K21" i="6" s="1"/>
  <c r="H79" i="6"/>
  <c r="K39" i="6"/>
  <c r="M90" i="6"/>
  <c r="N90" i="6" s="1"/>
  <c r="O90" i="6" s="1"/>
  <c r="L17" i="6"/>
  <c r="L29" i="6"/>
  <c r="M29" i="6" s="1"/>
  <c r="L11" i="6"/>
  <c r="K47" i="6"/>
  <c r="J47" i="6"/>
  <c r="I47" i="6"/>
  <c r="M76" i="6"/>
  <c r="N76" i="6" s="1"/>
  <c r="O76" i="6" s="1"/>
  <c r="M88" i="6"/>
  <c r="N88" i="6" s="1"/>
  <c r="O88" i="6" s="1"/>
  <c r="L88" i="6"/>
  <c r="K46" i="6"/>
  <c r="J46" i="6"/>
  <c r="I46" i="6"/>
  <c r="L22" i="6"/>
  <c r="M22" i="6" s="1"/>
  <c r="K48" i="6"/>
  <c r="J48" i="6"/>
  <c r="I48" i="6"/>
  <c r="L89" i="6"/>
  <c r="M89" i="6"/>
  <c r="N89" i="6" s="1"/>
  <c r="O89" i="6" s="1"/>
  <c r="K49" i="6"/>
  <c r="J49" i="6"/>
  <c r="I49" i="6"/>
  <c r="L23" i="6"/>
  <c r="L27" i="6"/>
  <c r="K50" i="6"/>
  <c r="J50" i="6"/>
  <c r="I50" i="6"/>
  <c r="L5" i="6"/>
  <c r="L14" i="6"/>
  <c r="M14" i="6" s="1"/>
  <c r="K51" i="6"/>
  <c r="J51" i="6"/>
  <c r="I51" i="6"/>
  <c r="M79" i="6"/>
  <c r="N79" i="6" s="1"/>
  <c r="O79" i="6" s="1"/>
  <c r="L79" i="6"/>
  <c r="M84" i="6"/>
  <c r="N84" i="6" s="1"/>
  <c r="O84" i="6" s="1"/>
  <c r="L84" i="6"/>
  <c r="M96" i="6"/>
  <c r="N96" i="6" s="1"/>
  <c r="O96" i="6" s="1"/>
  <c r="L96" i="6"/>
  <c r="M85" i="6"/>
  <c r="N85" i="6" s="1"/>
  <c r="O85" i="6" s="1"/>
  <c r="L85" i="6"/>
  <c r="M91" i="6"/>
  <c r="N91" i="6" s="1"/>
  <c r="O91" i="6" s="1"/>
  <c r="L91" i="6"/>
  <c r="M97" i="6"/>
  <c r="N97" i="6" s="1"/>
  <c r="O97" i="6" s="1"/>
  <c r="L97" i="6"/>
  <c r="M86" i="6"/>
  <c r="N86" i="6" s="1"/>
  <c r="O86" i="6" s="1"/>
  <c r="L86" i="6"/>
  <c r="M98" i="6"/>
  <c r="N98" i="6" s="1"/>
  <c r="O98" i="6" s="1"/>
  <c r="L98" i="6"/>
  <c r="J27" i="6"/>
  <c r="K27" i="6" s="1"/>
  <c r="R42" i="6"/>
  <c r="H86" i="6"/>
  <c r="H98" i="6"/>
  <c r="G48" i="6"/>
  <c r="G51" i="6"/>
  <c r="H76" i="6"/>
  <c r="H88" i="6"/>
  <c r="N71" i="6"/>
  <c r="F30" i="6"/>
  <c r="K44" i="6"/>
  <c r="M81" i="6"/>
  <c r="N81" i="6" s="1"/>
  <c r="O81" i="6" s="1"/>
  <c r="N72" i="6"/>
  <c r="L83" i="6"/>
  <c r="H85" i="6"/>
  <c r="H97" i="6"/>
  <c r="K37" i="6"/>
  <c r="R44" i="6"/>
  <c r="G47" i="6"/>
  <c r="G50" i="6"/>
  <c r="L6" i="6"/>
  <c r="M6" i="6" s="1"/>
  <c r="G7" i="6"/>
  <c r="L9" i="6"/>
  <c r="M9" i="6" s="1"/>
  <c r="G10" i="6"/>
  <c r="L12" i="6"/>
  <c r="G13" i="6"/>
  <c r="L15" i="6"/>
  <c r="G16" i="6"/>
  <c r="L18" i="6"/>
  <c r="M18" i="6" s="1"/>
  <c r="G19" i="6"/>
  <c r="L21" i="6"/>
  <c r="L24" i="6"/>
  <c r="M24" i="6" s="1"/>
  <c r="F28" i="6"/>
  <c r="J13" i="6"/>
  <c r="K13" i="6" s="1"/>
  <c r="J22" i="6"/>
  <c r="K22" i="6" s="1"/>
  <c r="J29" i="6"/>
  <c r="K29" i="6" s="1"/>
  <c r="J7" i="6"/>
  <c r="K7" i="6" s="1"/>
  <c r="J10" i="6"/>
  <c r="J16" i="6"/>
  <c r="K16" i="6" s="1"/>
  <c r="J19" i="6"/>
  <c r="F5" i="6"/>
  <c r="F8" i="6"/>
  <c r="F11" i="6"/>
  <c r="F14" i="6"/>
  <c r="F17" i="6"/>
  <c r="F20" i="6"/>
  <c r="F23" i="6"/>
  <c r="G46" i="6"/>
  <c r="G49" i="6"/>
  <c r="H84" i="6"/>
  <c r="H96" i="6"/>
  <c r="O34" i="5" l="1"/>
  <c r="O38" i="5"/>
  <c r="O37" i="5"/>
  <c r="O36" i="5"/>
  <c r="I40" i="5"/>
  <c r="O39" i="5"/>
  <c r="K15" i="6"/>
  <c r="T15" i="6" s="1"/>
  <c r="L94" i="6"/>
  <c r="I54" i="6"/>
  <c r="J54" i="6"/>
  <c r="K54" i="6"/>
  <c r="L95" i="6"/>
  <c r="I57" i="6"/>
  <c r="J57" i="6"/>
  <c r="J65" i="6" s="1"/>
  <c r="K57" i="6"/>
  <c r="L82" i="6"/>
  <c r="M80" i="6"/>
  <c r="N80" i="6" s="1"/>
  <c r="O80" i="6" s="1"/>
  <c r="I60" i="6"/>
  <c r="J60" i="6"/>
  <c r="K60" i="6"/>
  <c r="I63" i="6"/>
  <c r="J63" i="6"/>
  <c r="K63" i="6"/>
  <c r="M93" i="6"/>
  <c r="N93" i="6" s="1"/>
  <c r="O93" i="6" s="1"/>
  <c r="L78" i="6"/>
  <c r="M5" i="6"/>
  <c r="U5" i="6" s="1"/>
  <c r="L92" i="6"/>
  <c r="M92" i="6"/>
  <c r="N92" i="6" s="1"/>
  <c r="O92" i="6" s="1"/>
  <c r="J9" i="6"/>
  <c r="J12" i="6"/>
  <c r="K12" i="6" s="1"/>
  <c r="I77" i="6"/>
  <c r="H77" i="6"/>
  <c r="J24" i="6"/>
  <c r="M75" i="6"/>
  <c r="N75" i="6" s="1"/>
  <c r="O75" i="6" s="1"/>
  <c r="L75" i="6"/>
  <c r="O87" i="6"/>
  <c r="J18" i="6"/>
  <c r="O83" i="6"/>
  <c r="J8" i="6"/>
  <c r="T19" i="6"/>
  <c r="U9" i="6"/>
  <c r="K28" i="6"/>
  <c r="J28" i="6"/>
  <c r="U6" i="6"/>
  <c r="K19" i="6"/>
  <c r="I66" i="6"/>
  <c r="I67" i="6" s="1"/>
  <c r="N29" i="6"/>
  <c r="F25" i="6"/>
  <c r="J5" i="6"/>
  <c r="K5" i="6" s="1"/>
  <c r="T7" i="6"/>
  <c r="U24" i="6"/>
  <c r="K10" i="6"/>
  <c r="V10" i="6" s="1"/>
  <c r="W10" i="6" s="1"/>
  <c r="M20" i="6"/>
  <c r="U20" i="6" s="1"/>
  <c r="M17" i="6"/>
  <c r="U17" i="6" s="1"/>
  <c r="L10" i="6"/>
  <c r="M10" i="6"/>
  <c r="U22" i="6"/>
  <c r="G66" i="6"/>
  <c r="J23" i="6"/>
  <c r="K23" i="6" s="1"/>
  <c r="V22" i="6"/>
  <c r="W22" i="6" s="1"/>
  <c r="T22" i="6"/>
  <c r="L19" i="6"/>
  <c r="M19" i="6"/>
  <c r="J30" i="6"/>
  <c r="K30" i="6" s="1"/>
  <c r="N28" i="6"/>
  <c r="U14" i="6"/>
  <c r="L7" i="6"/>
  <c r="M7" i="6" s="1"/>
  <c r="V7" i="6" s="1"/>
  <c r="W7" i="6" s="1"/>
  <c r="J20" i="6"/>
  <c r="K20" i="6"/>
  <c r="T13" i="6"/>
  <c r="U18" i="6"/>
  <c r="V21" i="6"/>
  <c r="W21" i="6" s="1"/>
  <c r="T21" i="6"/>
  <c r="M11" i="6"/>
  <c r="U11" i="6" s="1"/>
  <c r="M8" i="6"/>
  <c r="U8" i="6" s="1"/>
  <c r="T16" i="6"/>
  <c r="J17" i="6"/>
  <c r="K17" i="6"/>
  <c r="L16" i="6"/>
  <c r="M16" i="6" s="1"/>
  <c r="M21" i="6"/>
  <c r="U21" i="6" s="1"/>
  <c r="M27" i="6"/>
  <c r="N27" i="6" s="1"/>
  <c r="J14" i="6"/>
  <c r="K14" i="6" s="1"/>
  <c r="M12" i="6"/>
  <c r="N30" i="6"/>
  <c r="J11" i="6"/>
  <c r="K11" i="6" s="1"/>
  <c r="L13" i="6"/>
  <c r="M13" i="6" s="1"/>
  <c r="V6" i="6"/>
  <c r="W6" i="6" s="1"/>
  <c r="G25" i="6"/>
  <c r="M23" i="6"/>
  <c r="U23" i="6" s="1"/>
  <c r="M30" i="6"/>
  <c r="M15" i="6"/>
  <c r="V15" i="6" s="1"/>
  <c r="W15" i="6" s="1"/>
  <c r="I41" i="5" l="1"/>
  <c r="O40" i="5"/>
  <c r="M54" i="6"/>
  <c r="M60" i="6"/>
  <c r="M53" i="6"/>
  <c r="M56" i="6"/>
  <c r="M59" i="6"/>
  <c r="M62" i="6"/>
  <c r="M57" i="6"/>
  <c r="M52" i="6"/>
  <c r="M55" i="6"/>
  <c r="M58" i="6"/>
  <c r="M61" i="6"/>
  <c r="M64" i="6"/>
  <c r="M63" i="6"/>
  <c r="T10" i="6"/>
  <c r="V12" i="6"/>
  <c r="W12" i="6" s="1"/>
  <c r="K24" i="6"/>
  <c r="T24" i="6" s="1"/>
  <c r="R35" i="6" s="1"/>
  <c r="M77" i="6"/>
  <c r="N77" i="6" s="1"/>
  <c r="O77" i="6" s="1"/>
  <c r="N99" i="6" s="1"/>
  <c r="H99" i="6"/>
  <c r="L77" i="6"/>
  <c r="K99" i="6" s="1"/>
  <c r="K101" i="6" s="1"/>
  <c r="K9" i="6"/>
  <c r="V9" i="6" s="1"/>
  <c r="W9" i="6" s="1"/>
  <c r="K18" i="6"/>
  <c r="V18" i="6" s="1"/>
  <c r="W18" i="6" s="1"/>
  <c r="T12" i="6"/>
  <c r="V13" i="6"/>
  <c r="W13" i="6" s="1"/>
  <c r="U10" i="6"/>
  <c r="V5" i="6"/>
  <c r="W5" i="6" s="1"/>
  <c r="T5" i="6"/>
  <c r="U16" i="6"/>
  <c r="U19" i="6"/>
  <c r="V19" i="6"/>
  <c r="W19" i="6" s="1"/>
  <c r="U28" i="6"/>
  <c r="R36" i="6" s="1"/>
  <c r="V17" i="6"/>
  <c r="W17" i="6" s="1"/>
  <c r="T17" i="6"/>
  <c r="U12" i="6"/>
  <c r="R12" i="6" s="1"/>
  <c r="V20" i="6"/>
  <c r="W20" i="6" s="1"/>
  <c r="T20" i="6"/>
  <c r="V23" i="6"/>
  <c r="W23" i="6" s="1"/>
  <c r="T23" i="6"/>
  <c r="U13" i="6"/>
  <c r="V16" i="6"/>
  <c r="W16" i="6" s="1"/>
  <c r="U7" i="6"/>
  <c r="R6" i="6"/>
  <c r="K8" i="6"/>
  <c r="V8" i="6" s="1"/>
  <c r="W8" i="6" s="1"/>
  <c r="V14" i="6"/>
  <c r="W14" i="6" s="1"/>
  <c r="T14" i="6"/>
  <c r="V11" i="6"/>
  <c r="W11" i="6" s="1"/>
  <c r="T11" i="6"/>
  <c r="U15" i="6"/>
  <c r="M50" i="6"/>
  <c r="M47" i="6"/>
  <c r="M51" i="6"/>
  <c r="M48" i="6"/>
  <c r="M49" i="6"/>
  <c r="M46" i="6"/>
  <c r="G67" i="6"/>
  <c r="O41" i="5" l="1"/>
  <c r="I42" i="5"/>
  <c r="O42" i="5" s="1"/>
  <c r="T9" i="6"/>
  <c r="M99" i="6"/>
  <c r="M101" i="6" s="1"/>
  <c r="R7" i="6"/>
  <c r="R16" i="6"/>
  <c r="R10" i="6"/>
  <c r="R24" i="6"/>
  <c r="V24" i="6"/>
  <c r="W24" i="6" s="1"/>
  <c r="R33" i="6"/>
  <c r="S33" i="6" s="1"/>
  <c r="T18" i="6"/>
  <c r="R9" i="6"/>
  <c r="R22" i="6"/>
  <c r="R21" i="6"/>
  <c r="R13" i="6"/>
  <c r="R5" i="6"/>
  <c r="R23" i="6"/>
  <c r="T8" i="6"/>
  <c r="R18" i="6"/>
  <c r="R20" i="6"/>
  <c r="R14" i="6"/>
  <c r="R11" i="6"/>
  <c r="R15" i="6"/>
  <c r="R17" i="6"/>
  <c r="R19" i="6"/>
  <c r="R8" i="6"/>
  <c r="B4" i="4" l="1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3" i="4"/>
  <c r="N24" i="3"/>
  <c r="P14" i="3"/>
  <c r="P15" i="3"/>
  <c r="P16" i="3"/>
  <c r="P17" i="3"/>
  <c r="P18" i="3"/>
  <c r="P19" i="3"/>
  <c r="P20" i="3"/>
  <c r="P21" i="3"/>
  <c r="P13" i="3"/>
  <c r="K14" i="3"/>
  <c r="K15" i="3"/>
  <c r="K16" i="3"/>
  <c r="K17" i="3"/>
  <c r="K18" i="3"/>
  <c r="K19" i="3"/>
  <c r="K20" i="3"/>
  <c r="K21" i="3"/>
  <c r="K13" i="3"/>
  <c r="I27" i="3"/>
  <c r="H24" i="3"/>
  <c r="I24" i="3" s="1"/>
  <c r="J24" i="3" s="1"/>
  <c r="M24" i="3" s="1"/>
  <c r="H23" i="3"/>
  <c r="N21" i="3"/>
  <c r="O21" i="3" s="1"/>
  <c r="H21" i="3"/>
  <c r="I21" i="3" s="1"/>
  <c r="N20" i="3"/>
  <c r="O20" i="3" s="1"/>
  <c r="H20" i="3"/>
  <c r="I20" i="3" s="1"/>
  <c r="N19" i="3"/>
  <c r="O19" i="3" s="1"/>
  <c r="H19" i="3"/>
  <c r="I19" i="3" s="1"/>
  <c r="N18" i="3"/>
  <c r="O18" i="3" s="1"/>
  <c r="H18" i="3"/>
  <c r="I18" i="3" s="1"/>
  <c r="N17" i="3"/>
  <c r="O17" i="3" s="1"/>
  <c r="H17" i="3"/>
  <c r="I17" i="3" s="1"/>
  <c r="N16" i="3"/>
  <c r="O16" i="3" s="1"/>
  <c r="H16" i="3"/>
  <c r="I16" i="3" s="1"/>
  <c r="N15" i="3"/>
  <c r="O15" i="3" s="1"/>
  <c r="H15" i="3"/>
  <c r="I15" i="3" s="1"/>
  <c r="N14" i="3"/>
  <c r="O14" i="3" s="1"/>
  <c r="H14" i="3"/>
  <c r="I14" i="3" s="1"/>
  <c r="N13" i="3"/>
  <c r="O13" i="3" s="1"/>
  <c r="H13" i="3"/>
  <c r="I13" i="3" s="1"/>
  <c r="N12" i="3"/>
  <c r="O12" i="3" s="1"/>
  <c r="H12" i="3"/>
  <c r="I12" i="3" s="1"/>
  <c r="M17" i="2"/>
  <c r="L17" i="2"/>
  <c r="K17" i="2"/>
  <c r="J17" i="2"/>
  <c r="I17" i="2"/>
  <c r="H17" i="2"/>
  <c r="G17" i="2"/>
  <c r="F17" i="2"/>
  <c r="E17" i="2"/>
  <c r="D17" i="2"/>
  <c r="M9" i="2"/>
  <c r="L9" i="2"/>
  <c r="K9" i="2"/>
  <c r="J9" i="2"/>
  <c r="I9" i="2"/>
  <c r="H9" i="2"/>
  <c r="G9" i="2"/>
  <c r="F9" i="2"/>
  <c r="E9" i="2"/>
  <c r="D9" i="2"/>
  <c r="E13" i="1"/>
  <c r="E14" i="1"/>
  <c r="E12" i="1"/>
  <c r="E6" i="1"/>
  <c r="E7" i="1"/>
  <c r="E8" i="1"/>
  <c r="E5" i="1"/>
  <c r="G3" i="1"/>
  <c r="AE3" i="5" l="1"/>
  <c r="W31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<sst xmlns="http://schemas.openxmlformats.org/spreadsheetml/2006/main" count="498" uniqueCount="289">
  <si>
    <t>다이아</t>
    <phoneticPr fontId="2" type="noConversion"/>
  </si>
  <si>
    <t>억</t>
    <phoneticPr fontId="2" type="noConversion"/>
  </si>
  <si>
    <t>천만</t>
    <phoneticPr fontId="2" type="noConversion"/>
  </si>
  <si>
    <t>백만</t>
    <phoneticPr fontId="2" type="noConversion"/>
  </si>
  <si>
    <t>십만</t>
    <phoneticPr fontId="2" type="noConversion"/>
  </si>
  <si>
    <t>1원당 다이아</t>
    <phoneticPr fontId="2" type="noConversion"/>
  </si>
  <si>
    <t>1다이아당 원</t>
    <phoneticPr fontId="2" type="noConversion"/>
  </si>
  <si>
    <t>원</t>
    <phoneticPr fontId="2" type="noConversion"/>
  </si>
  <si>
    <t>천만원</t>
    <phoneticPr fontId="2" type="noConversion"/>
  </si>
  <si>
    <t>백만원</t>
    <phoneticPr fontId="2" type="noConversion"/>
  </si>
  <si>
    <t>십만원</t>
    <phoneticPr fontId="2" type="noConversion"/>
  </si>
  <si>
    <t>Id(40/30/20/10)</t>
  </si>
  <si>
    <t>노말</t>
  </si>
  <si>
    <t>고급</t>
  </si>
  <si>
    <t>희귀</t>
  </si>
  <si>
    <t>영웅</t>
  </si>
  <si>
    <t>전설</t>
  </si>
  <si>
    <t>신화</t>
  </si>
  <si>
    <t>일반</t>
    <phoneticPr fontId="2" type="noConversion"/>
  </si>
  <si>
    <t>고급</t>
    <phoneticPr fontId="2" type="noConversion"/>
  </si>
  <si>
    <t>레어</t>
    <phoneticPr fontId="2" type="noConversion"/>
  </si>
  <si>
    <t>영웅</t>
    <phoneticPr fontId="2" type="noConversion"/>
  </si>
  <si>
    <t>전설</t>
    <phoneticPr fontId="2" type="noConversion"/>
  </si>
  <si>
    <t>신화</t>
    <phoneticPr fontId="2" type="noConversion"/>
  </si>
  <si>
    <t>4등급 40% 3둥급 30% 2둥급 20% 1등급 10 %</t>
    <phoneticPr fontId="2" type="noConversion"/>
  </si>
  <si>
    <t>무기</t>
    <phoneticPr fontId="2" type="noConversion"/>
  </si>
  <si>
    <t>우리</t>
    <phoneticPr fontId="2" type="noConversion"/>
  </si>
  <si>
    <t>슬키</t>
    <phoneticPr fontId="2" type="noConversion"/>
  </si>
  <si>
    <t>필요 소환 누적 횟수</t>
    <phoneticPr fontId="2" type="noConversion"/>
  </si>
  <si>
    <t>필요 다이아</t>
    <phoneticPr fontId="2" type="noConversion"/>
  </si>
  <si>
    <t>레어 2등급 4개</t>
  </si>
  <si>
    <t>영웅 2등급 4개</t>
  </si>
  <si>
    <t>전설 2등급 4개</t>
  </si>
  <si>
    <t>신화 4등급 2개</t>
  </si>
  <si>
    <t>신화 1등급 1개</t>
  </si>
  <si>
    <t>1개</t>
    <phoneticPr fontId="2" type="noConversion"/>
  </si>
  <si>
    <t>신화 1등급 2개</t>
  </si>
  <si>
    <t>2개</t>
    <phoneticPr fontId="2" type="noConversion"/>
  </si>
  <si>
    <t>신화 1등급 3개</t>
  </si>
  <si>
    <t>3개</t>
    <phoneticPr fontId="2" type="noConversion"/>
  </si>
  <si>
    <t>신화1 2개</t>
    <phoneticPr fontId="2" type="noConversion"/>
  </si>
  <si>
    <t>신화1 3개</t>
    <phoneticPr fontId="2" type="noConversion"/>
  </si>
  <si>
    <t>-</t>
  </si>
  <si>
    <t>필요 누적 현금</t>
    <phoneticPr fontId="2" type="noConversion"/>
  </si>
  <si>
    <t>신화4 x 2개</t>
    <phoneticPr fontId="2" type="noConversion"/>
  </si>
  <si>
    <t>신화1 1개</t>
    <phoneticPr fontId="2" type="noConversion"/>
  </si>
  <si>
    <t>1A   100만</t>
  </si>
  <si>
    <t>10A   1000만</t>
  </si>
  <si>
    <t>100A   1억</t>
  </si>
  <si>
    <t>1B   10억</t>
  </si>
  <si>
    <t>10B   100억</t>
  </si>
  <si>
    <t>100B   1000억</t>
  </si>
  <si>
    <t>1C   1조</t>
  </si>
  <si>
    <t>10C   10조</t>
  </si>
  <si>
    <t>100C   100조</t>
  </si>
  <si>
    <t>1D        1000조</t>
  </si>
  <si>
    <t>10D      1경</t>
  </si>
  <si>
    <t>100D    10경</t>
  </si>
  <si>
    <t>1E         100경</t>
  </si>
  <si>
    <t>10E       1000경</t>
  </si>
  <si>
    <t>100E     1해</t>
  </si>
  <si>
    <t>1F         10해</t>
  </si>
  <si>
    <t>10F       100해</t>
  </si>
  <si>
    <t>100F     1000해</t>
  </si>
  <si>
    <t>1G        1자</t>
  </si>
  <si>
    <t>10G      10자</t>
  </si>
  <si>
    <t>100G    100자</t>
  </si>
  <si>
    <t>1H        1000자</t>
  </si>
  <si>
    <t>10H      1양</t>
  </si>
  <si>
    <t>100H    10양</t>
  </si>
  <si>
    <t>1I          100양</t>
  </si>
  <si>
    <t>10I        1000양</t>
  </si>
  <si>
    <t>I00I       1구</t>
  </si>
  <si>
    <t>1J          10구</t>
  </si>
  <si>
    <t>10J        100구</t>
  </si>
  <si>
    <t>100J      1000구</t>
  </si>
  <si>
    <t>1K         1간</t>
  </si>
  <si>
    <t>10K       10간</t>
  </si>
  <si>
    <t>100K     100간</t>
  </si>
  <si>
    <t>1L         1000간</t>
  </si>
  <si>
    <t>10L       1정</t>
  </si>
  <si>
    <t>100L     10정</t>
  </si>
  <si>
    <t>1M       100정</t>
  </si>
  <si>
    <t>10M     1000정</t>
  </si>
  <si>
    <t>100M    1재</t>
  </si>
  <si>
    <t>1N        10재</t>
  </si>
  <si>
    <t>10N      100재</t>
  </si>
  <si>
    <t>100N    1000재</t>
  </si>
  <si>
    <t>1O        1극</t>
  </si>
  <si>
    <t>10O      10극</t>
  </si>
  <si>
    <t>100O    100극</t>
  </si>
  <si>
    <t>1P         1000극</t>
  </si>
  <si>
    <t>10P       1항하사</t>
  </si>
  <si>
    <t>100P     10항하사</t>
  </si>
  <si>
    <t>1Q        100항하사</t>
  </si>
  <si>
    <t>10Q      1000항하사</t>
  </si>
  <si>
    <t>100Q    1아승기</t>
  </si>
  <si>
    <t>1R         10아승기</t>
  </si>
  <si>
    <t>10R       100아승기</t>
  </si>
  <si>
    <t>100R     1000아승기</t>
  </si>
  <si>
    <t>1S         1나유타</t>
  </si>
  <si>
    <t>10S       10나유타</t>
  </si>
  <si>
    <t>100S     100나유타</t>
  </si>
  <si>
    <t>1T         1000나유타</t>
  </si>
  <si>
    <t>10T       1불가사의</t>
  </si>
  <si>
    <t>100T     10불가사의</t>
  </si>
  <si>
    <t>1U        100불가사의</t>
  </si>
  <si>
    <t>10U      1000불가사의</t>
  </si>
  <si>
    <t>100U    1무량수/무량대수</t>
  </si>
  <si>
    <t>1V        10무량수/무량대수</t>
  </si>
  <si>
    <t>10V      100무량수/무량대수</t>
  </si>
  <si>
    <t>100V    1000무량수/무량대수</t>
  </si>
  <si>
    <t>1W       1대수</t>
  </si>
  <si>
    <t>10W     10대수</t>
  </si>
  <si>
    <t>100W   100대수</t>
  </si>
  <si>
    <t>1X        1000대수     10의71승</t>
  </si>
  <si>
    <t>10X      1대수2         10의72승</t>
  </si>
  <si>
    <t>100X</t>
  </si>
  <si>
    <t>1Y</t>
  </si>
  <si>
    <t>10Y</t>
  </si>
  <si>
    <t>100Y</t>
  </si>
  <si>
    <t>1Z</t>
  </si>
  <si>
    <t>10Z</t>
  </si>
  <si>
    <t>100Z</t>
  </si>
  <si>
    <t>ID</t>
  </si>
  <si>
    <t>스탯이름</t>
  </si>
  <si>
    <t>고정값</t>
  </si>
  <si>
    <t>고정값조정</t>
  </si>
  <si>
    <t>상승값</t>
  </si>
  <si>
    <t>최대값</t>
  </si>
  <si>
    <t>예측(사용X)</t>
  </si>
  <si>
    <t>공격력</t>
  </si>
  <si>
    <t>52C_4만육성</t>
  </si>
  <si>
    <t>생명력</t>
  </si>
  <si>
    <t>회심타확률</t>
  </si>
  <si>
    <t>51C</t>
  </si>
  <si>
    <t>회심타데미지</t>
  </si>
  <si>
    <t>110C</t>
  </si>
  <si>
    <t>절멸타확률</t>
  </si>
  <si>
    <t>300C</t>
  </si>
  <si>
    <t>절멸타데미지</t>
  </si>
  <si>
    <t>600C</t>
  </si>
  <si>
    <t>250b</t>
    <phoneticPr fontId="2" type="noConversion"/>
  </si>
  <si>
    <t>100b</t>
    <phoneticPr fontId="2" type="noConversion"/>
  </si>
  <si>
    <t>노말</t>
    <phoneticPr fontId="2" type="noConversion"/>
  </si>
  <si>
    <t>희귀</t>
    <phoneticPr fontId="2" type="noConversion"/>
  </si>
  <si>
    <t>비용</t>
    <phoneticPr fontId="2" type="noConversion"/>
  </si>
  <si>
    <t>개수</t>
    <phoneticPr fontId="2" type="noConversion"/>
  </si>
  <si>
    <t xml:space="preserve">초기항 </t>
    <phoneticPr fontId="2" type="noConversion"/>
  </si>
  <si>
    <t xml:space="preserve"> </t>
    <phoneticPr fontId="2" type="noConversion"/>
  </si>
  <si>
    <t>a</t>
    <phoneticPr fontId="2" type="noConversion"/>
  </si>
  <si>
    <t>n</t>
    <phoneticPr fontId="2" type="noConversion"/>
  </si>
  <si>
    <t>s</t>
    <phoneticPr fontId="2" type="noConversion"/>
  </si>
  <si>
    <t>d</t>
    <phoneticPr fontId="2" type="noConversion"/>
  </si>
  <si>
    <t>단계</t>
    <phoneticPr fontId="2" type="noConversion"/>
  </si>
  <si>
    <t>스테이지</t>
    <phoneticPr fontId="2" type="noConversion"/>
  </si>
  <si>
    <t>보스체력</t>
    <phoneticPr fontId="2" type="noConversion"/>
  </si>
  <si>
    <t>세짐</t>
    <phoneticPr fontId="2" type="noConversion"/>
  </si>
  <si>
    <t>강화횟수</t>
    <phoneticPr fontId="2" type="noConversion"/>
  </si>
  <si>
    <t>확율선택</t>
    <phoneticPr fontId="2" type="noConversion"/>
  </si>
  <si>
    <t>돈</t>
    <phoneticPr fontId="2" type="noConversion"/>
  </si>
  <si>
    <t>장착효과</t>
    <phoneticPr fontId="2" type="noConversion"/>
  </si>
  <si>
    <t>보유효과</t>
    <phoneticPr fontId="2" type="noConversion"/>
  </si>
  <si>
    <t>썌짐비율</t>
    <phoneticPr fontId="2" type="noConversion"/>
  </si>
  <si>
    <t>뚫는 스테이지</t>
    <phoneticPr fontId="2" type="noConversion"/>
  </si>
  <si>
    <t>A1</t>
    <phoneticPr fontId="2" type="noConversion"/>
  </si>
  <si>
    <t>D1</t>
    <phoneticPr fontId="2" type="noConversion"/>
  </si>
  <si>
    <t>A2</t>
    <phoneticPr fontId="2" type="noConversion"/>
  </si>
  <si>
    <t>D2</t>
    <phoneticPr fontId="2" type="noConversion"/>
  </si>
  <si>
    <t>총강화석비용</t>
    <phoneticPr fontId="2" type="noConversion"/>
  </si>
  <si>
    <t>장착</t>
    <phoneticPr fontId="2" type="noConversion"/>
  </si>
  <si>
    <t>보유</t>
    <phoneticPr fontId="2" type="noConversion"/>
  </si>
  <si>
    <t>보유+장착</t>
    <phoneticPr fontId="2" type="noConversion"/>
  </si>
  <si>
    <t>장착 무기번호</t>
    <phoneticPr fontId="2" type="noConversion"/>
  </si>
  <si>
    <t>200 장착 고정</t>
    <phoneticPr fontId="2" type="noConversion"/>
  </si>
  <si>
    <t>토탈공격력</t>
    <phoneticPr fontId="2" type="noConversion"/>
  </si>
  <si>
    <t>장착공격력</t>
    <phoneticPr fontId="2" type="noConversion"/>
  </si>
  <si>
    <t>뽑음횟수</t>
    <phoneticPr fontId="2" type="noConversion"/>
  </si>
  <si>
    <t>현금슬키</t>
    <phoneticPr fontId="2" type="noConversion"/>
  </si>
  <si>
    <t>현금우리</t>
    <phoneticPr fontId="2" type="noConversion"/>
  </si>
  <si>
    <t>보유공격력</t>
    <phoneticPr fontId="2" type="noConversion"/>
  </si>
  <si>
    <t>처음</t>
    <phoneticPr fontId="2" type="noConversion"/>
  </si>
  <si>
    <t>각성공격력</t>
    <phoneticPr fontId="2" type="noConversion"/>
  </si>
  <si>
    <t>나중</t>
    <phoneticPr fontId="2" type="noConversion"/>
  </si>
  <si>
    <t>현금</t>
    <phoneticPr fontId="2" type="noConversion"/>
  </si>
  <si>
    <t>가격</t>
    <phoneticPr fontId="2" type="noConversion"/>
  </si>
  <si>
    <t>뽑음 횟수</t>
    <phoneticPr fontId="2" type="noConversion"/>
  </si>
  <si>
    <t>1회 가격</t>
    <phoneticPr fontId="2" type="noConversion"/>
  </si>
  <si>
    <t>선택</t>
    <phoneticPr fontId="2" type="noConversion"/>
  </si>
  <si>
    <t>단계</t>
  </si>
  <si>
    <t>확률(%)</t>
  </si>
  <si>
    <t>확률(소수)</t>
  </si>
  <si>
    <t>보상(원)</t>
  </si>
  <si>
    <t>기댓값 항</t>
  </si>
  <si>
    <t>뽑은  갯수</t>
    <phoneticPr fontId="2" type="noConversion"/>
  </si>
  <si>
    <t>값 치환</t>
    <phoneticPr fontId="2" type="noConversion"/>
  </si>
  <si>
    <t>목표치환</t>
    <phoneticPr fontId="2" type="noConversion"/>
  </si>
  <si>
    <t>무기 강</t>
    <phoneticPr fontId="2" type="noConversion"/>
  </si>
  <si>
    <t>뽑을 횟 수</t>
    <phoneticPr fontId="2" type="noConversion"/>
  </si>
  <si>
    <t>1안</t>
    <phoneticPr fontId="2" type="noConversion"/>
  </si>
  <si>
    <t>2안</t>
  </si>
  <si>
    <t>3안</t>
  </si>
  <si>
    <t>19강 뽑을횟수</t>
    <phoneticPr fontId="2" type="noConversion"/>
  </si>
  <si>
    <t>19강 뽑을개수</t>
    <phoneticPr fontId="2" type="noConversion"/>
  </si>
  <si>
    <t>1회비용</t>
    <phoneticPr fontId="2" type="noConversion"/>
  </si>
  <si>
    <t>목표무기</t>
    <phoneticPr fontId="2" type="noConversion"/>
  </si>
  <si>
    <t>확률</t>
    <phoneticPr fontId="2" type="noConversion"/>
  </si>
  <si>
    <t>값</t>
    <phoneticPr fontId="2" type="noConversion"/>
  </si>
  <si>
    <t>확률*값</t>
    <phoneticPr fontId="2" type="noConversion"/>
  </si>
  <si>
    <t>값치환</t>
    <phoneticPr fontId="2" type="noConversion"/>
  </si>
  <si>
    <t>단계치환</t>
    <phoneticPr fontId="2" type="noConversion"/>
  </si>
  <si>
    <t>기댓값</t>
    <phoneticPr fontId="2" type="noConversion"/>
  </si>
  <si>
    <t>24번 뽑을횟수</t>
    <phoneticPr fontId="2" type="noConversion"/>
  </si>
  <si>
    <t>24번 뽑음 개수</t>
    <phoneticPr fontId="2" type="noConversion"/>
  </si>
  <si>
    <t>다야</t>
    <phoneticPr fontId="2" type="noConversion"/>
  </si>
  <si>
    <t>어빌</t>
    <phoneticPr fontId="2" type="noConversion"/>
  </si>
  <si>
    <t>한번당 가격</t>
    <phoneticPr fontId="2" type="noConversion"/>
  </si>
  <si>
    <t>합</t>
    <phoneticPr fontId="2" type="noConversion"/>
  </si>
  <si>
    <t>공격력</t>
    <phoneticPr fontId="2" type="noConversion"/>
  </si>
  <si>
    <t>생명력</t>
    <phoneticPr fontId="2" type="noConversion"/>
  </si>
  <si>
    <t>근력증폭</t>
    <phoneticPr fontId="2" type="noConversion"/>
  </si>
  <si>
    <t>방어증폭</t>
    <phoneticPr fontId="2" type="noConversion"/>
  </si>
  <si>
    <t>공격숙련도</t>
    <phoneticPr fontId="2" type="noConversion"/>
  </si>
  <si>
    <t>스킬숙련도</t>
    <phoneticPr fontId="2" type="noConversion"/>
  </si>
  <si>
    <t>금화획득량</t>
    <phoneticPr fontId="2" type="noConversion"/>
  </si>
  <si>
    <t>강화석획득량</t>
    <phoneticPr fontId="2" type="noConversion"/>
  </si>
  <si>
    <t>경험치획등량</t>
    <phoneticPr fontId="2" type="noConversion"/>
  </si>
  <si>
    <t>랭킹2등</t>
    <phoneticPr fontId="2" type="noConversion"/>
  </si>
  <si>
    <t>강화석</t>
    <phoneticPr fontId="2" type="noConversion"/>
  </si>
  <si>
    <t>골드b</t>
    <phoneticPr fontId="2" type="noConversion"/>
  </si>
  <si>
    <t>회심타</t>
    <phoneticPr fontId="2" type="noConversion"/>
  </si>
  <si>
    <t>회심타데미지</t>
    <phoneticPr fontId="2" type="noConversion"/>
  </si>
  <si>
    <t>12시간</t>
    <phoneticPr fontId="2" type="noConversion"/>
  </si>
  <si>
    <t>노다지</t>
    <phoneticPr fontId="2" type="noConversion"/>
  </si>
  <si>
    <t>67b</t>
    <phoneticPr fontId="2" type="noConversion"/>
  </si>
  <si>
    <t>92b</t>
    <phoneticPr fontId="2" type="noConversion"/>
  </si>
  <si>
    <t>200b</t>
    <phoneticPr fontId="2" type="noConversion"/>
  </si>
  <si>
    <t>50b</t>
    <phoneticPr fontId="2" type="noConversion"/>
  </si>
  <si>
    <t>150b</t>
    <phoneticPr fontId="2" type="noConversion"/>
  </si>
  <si>
    <t>23b</t>
    <phoneticPr fontId="2" type="noConversion"/>
  </si>
  <si>
    <t>44b</t>
    <phoneticPr fontId="2" type="noConversion"/>
  </si>
  <si>
    <t>66b</t>
    <phoneticPr fontId="2" type="noConversion"/>
  </si>
  <si>
    <t>87b</t>
    <phoneticPr fontId="2" type="noConversion"/>
  </si>
  <si>
    <t>11b</t>
    <phoneticPr fontId="2" type="noConversion"/>
  </si>
  <si>
    <t>랭킹</t>
    <phoneticPr fontId="2" type="noConversion"/>
  </si>
  <si>
    <t>노다지5</t>
    <phoneticPr fontId="2" type="noConversion"/>
  </si>
  <si>
    <t>20시간</t>
    <phoneticPr fontId="2" type="noConversion"/>
  </si>
  <si>
    <t>950b</t>
    <phoneticPr fontId="2" type="noConversion"/>
  </si>
  <si>
    <t>51C</t>
    <phoneticPr fontId="2" type="noConversion"/>
  </si>
  <si>
    <t>125c</t>
    <phoneticPr fontId="2" type="noConversion"/>
  </si>
  <si>
    <t>272c</t>
    <phoneticPr fontId="2" type="noConversion"/>
  </si>
  <si>
    <t>376c</t>
    <phoneticPr fontId="2" type="noConversion"/>
  </si>
  <si>
    <t>810c</t>
    <phoneticPr fontId="2" type="noConversion"/>
  </si>
  <si>
    <t>188c</t>
    <phoneticPr fontId="2" type="noConversion"/>
  </si>
  <si>
    <t>11a</t>
    <phoneticPr fontId="2" type="noConversion"/>
  </si>
  <si>
    <t>강화석소탕</t>
    <phoneticPr fontId="2" type="noConversion"/>
  </si>
  <si>
    <t>흑천검</t>
    <phoneticPr fontId="2" type="noConversion"/>
  </si>
  <si>
    <t>누적금액</t>
    <phoneticPr fontId="2" type="noConversion"/>
  </si>
  <si>
    <t>진행율</t>
    <phoneticPr fontId="2" type="noConversion"/>
  </si>
  <si>
    <t>금화감소후</t>
    <phoneticPr fontId="2" type="noConversion"/>
  </si>
  <si>
    <t>횟수</t>
    <phoneticPr fontId="2" type="noConversion"/>
  </si>
  <si>
    <t>절멸타</t>
    <phoneticPr fontId="2" type="noConversion"/>
  </si>
  <si>
    <t>400b</t>
    <phoneticPr fontId="2" type="noConversion"/>
  </si>
  <si>
    <t>550b</t>
    <phoneticPr fontId="2" type="noConversion"/>
  </si>
  <si>
    <t>700b</t>
    <phoneticPr fontId="2" type="noConversion"/>
  </si>
  <si>
    <t>853b</t>
    <phoneticPr fontId="2" type="noConversion"/>
  </si>
  <si>
    <t>1000b</t>
    <phoneticPr fontId="2" type="noConversion"/>
  </si>
  <si>
    <t>한번업글가격</t>
    <phoneticPr fontId="2" type="noConversion"/>
  </si>
  <si>
    <t>데미지</t>
    <phoneticPr fontId="2" type="noConversion"/>
  </si>
  <si>
    <t>152b</t>
    <phoneticPr fontId="2" type="noConversion"/>
  </si>
  <si>
    <t>195b</t>
    <phoneticPr fontId="2" type="noConversion"/>
  </si>
  <si>
    <t>238b</t>
    <phoneticPr fontId="2" type="noConversion"/>
  </si>
  <si>
    <t>281b</t>
    <phoneticPr fontId="2" type="noConversion"/>
  </si>
  <si>
    <t>324b</t>
    <phoneticPr fontId="2" type="noConversion"/>
  </si>
  <si>
    <t>110b</t>
    <phoneticPr fontId="2" type="noConversion"/>
  </si>
  <si>
    <t>62c</t>
    <phoneticPr fontId="2" type="noConversion"/>
  </si>
  <si>
    <t>136c</t>
    <phoneticPr fontId="2" type="noConversion"/>
  </si>
  <si>
    <t>405c</t>
    <phoneticPr fontId="2" type="noConversion"/>
  </si>
  <si>
    <t>골드증강량</t>
    <phoneticPr fontId="2" type="noConversion"/>
  </si>
  <si>
    <t>강화석증강량</t>
    <phoneticPr fontId="2" type="noConversion"/>
  </si>
  <si>
    <t>하루 총금화</t>
    <phoneticPr fontId="2" type="noConversion"/>
  </si>
  <si>
    <t>증강량</t>
    <phoneticPr fontId="2" type="noConversion"/>
  </si>
  <si>
    <t>11각성</t>
    <phoneticPr fontId="2" type="noConversion"/>
  </si>
  <si>
    <t>12각성</t>
    <phoneticPr fontId="2" type="noConversion"/>
  </si>
  <si>
    <t>13각성</t>
    <phoneticPr fontId="2" type="noConversion"/>
  </si>
  <si>
    <t>합공식</t>
    <phoneticPr fontId="2" type="noConversion"/>
  </si>
  <si>
    <t>n=</t>
    <phoneticPr fontId="2" type="noConversion"/>
  </si>
  <si>
    <t>등차수열항</t>
    <phoneticPr fontId="2" type="noConversion"/>
  </si>
  <si>
    <t>등차합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</si>
</sst>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43" formatCode="_-* #,##0.00_-;\-* #,##0.00_-;_-* &quot;-&quot;??_-;_-@_-"/>
    <numFmt numFmtId="176" formatCode="_-* #,##0_-;\-* #,##0_-;_-* &quot;-&quot;??_-;_-@_-"/>
    <numFmt numFmtId="177" formatCode="0.0"/>
    <numFmt numFmtId="178" formatCode="0.0000"/>
    <numFmt numFmtId="179" formatCode="0.00_ "/>
    <numFmt numFmtId="180" formatCode="0.000"/>
    <numFmt numFmtId="181" formatCode="0.00_);[Red]\(0.00\)"/>
    <numFmt numFmtId="182" formatCode="0.0000000"/>
    <numFmt numFmtId="183" formatCode="0.000%"/>
  </numFmts>
  <fonts count="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E0E0E0"/>
      <name val="Noto Sans KR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2D2F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ADA2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5">
    <xf numFmtId="0" fontId="0" fillId="0" borderId="0" xfId="0">
      <alignment vertical="center"/>
    </xf>
    <xf numFmtId="41" fontId="0" fillId="0" borderId="0" xfId="1" applyFont="1">
      <alignment vertical="center"/>
    </xf>
    <xf numFmtId="41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43" fontId="0" fillId="0" borderId="0" xfId="0" applyNumberFormat="1">
      <alignment vertical="center"/>
    </xf>
    <xf numFmtId="3" fontId="3" fillId="2" borderId="1" xfId="0" applyNumberFormat="1" applyFont="1" applyFill="1" applyBorder="1" applyAlignment="1">
      <alignment horizontal="center" vertical="center" wrapText="1"/>
    </xf>
    <xf numFmtId="41" fontId="0" fillId="3" borderId="0" xfId="1" applyFont="1" applyFill="1">
      <alignment vertical="center"/>
    </xf>
    <xf numFmtId="3" fontId="0" fillId="0" borderId="0" xfId="0" applyNumberFormat="1">
      <alignment vertical="center"/>
    </xf>
    <xf numFmtId="0" fontId="0" fillId="2" borderId="0" xfId="0" applyFill="1">
      <alignment vertical="center"/>
    </xf>
    <xf numFmtId="1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3" borderId="0" xfId="2" applyNumberFormat="1" applyFont="1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0" fillId="7" borderId="0" xfId="0" applyFill="1">
      <alignment vertical="center"/>
    </xf>
    <xf numFmtId="2" fontId="0" fillId="7" borderId="0" xfId="0" applyNumberFormat="1" applyFill="1">
      <alignment vertical="center"/>
    </xf>
    <xf numFmtId="177" fontId="0" fillId="7" borderId="0" xfId="0" applyNumberFormat="1" applyFill="1">
      <alignment vertical="center"/>
    </xf>
    <xf numFmtId="2" fontId="0" fillId="8" borderId="0" xfId="0" applyNumberFormat="1" applyFill="1">
      <alignment vertical="center"/>
    </xf>
    <xf numFmtId="0" fontId="0" fillId="7" borderId="0" xfId="2" applyNumberFormat="1" applyFont="1" applyFill="1">
      <alignment vertical="center"/>
    </xf>
    <xf numFmtId="178" fontId="0" fillId="7" borderId="0" xfId="0" applyNumberFormat="1" applyFill="1">
      <alignment vertical="center"/>
    </xf>
    <xf numFmtId="179" fontId="0" fillId="7" borderId="0" xfId="0" applyNumberFormat="1" applyFill="1">
      <alignment vertical="center"/>
    </xf>
    <xf numFmtId="178" fontId="0" fillId="8" borderId="0" xfId="0" applyNumberFormat="1" applyFill="1">
      <alignment vertical="center"/>
    </xf>
    <xf numFmtId="9" fontId="0" fillId="0" borderId="0" xfId="2" applyFont="1">
      <alignment vertical="center"/>
    </xf>
    <xf numFmtId="0" fontId="0" fillId="9" borderId="0" xfId="0" applyFill="1">
      <alignment vertical="center"/>
    </xf>
    <xf numFmtId="2" fontId="0" fillId="9" borderId="0" xfId="0" applyNumberFormat="1" applyFill="1">
      <alignment vertical="center"/>
    </xf>
    <xf numFmtId="177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0" borderId="0" xfId="2" applyNumberFormat="1" applyFont="1" applyFill="1">
      <alignment vertical="center"/>
    </xf>
    <xf numFmtId="178" fontId="0" fillId="10" borderId="0" xfId="0" applyNumberFormat="1" applyFill="1">
      <alignment vertical="center"/>
    </xf>
    <xf numFmtId="179" fontId="0" fillId="10" borderId="0" xfId="0" applyNumberFormat="1" applyFill="1">
      <alignment vertical="center"/>
    </xf>
    <xf numFmtId="0" fontId="0" fillId="11" borderId="0" xfId="0" applyFill="1">
      <alignment vertical="center"/>
    </xf>
    <xf numFmtId="2" fontId="0" fillId="11" borderId="0" xfId="0" applyNumberFormat="1" applyFill="1">
      <alignment vertical="center"/>
    </xf>
    <xf numFmtId="177" fontId="0" fillId="11" borderId="0" xfId="0" applyNumberFormat="1" applyFill="1">
      <alignment vertical="center"/>
    </xf>
    <xf numFmtId="0" fontId="0" fillId="11" borderId="0" xfId="2" applyNumberFormat="1" applyFont="1" applyFill="1">
      <alignment vertical="center"/>
    </xf>
    <xf numFmtId="178" fontId="0" fillId="11" borderId="0" xfId="0" applyNumberFormat="1" applyFill="1">
      <alignment vertical="center"/>
    </xf>
    <xf numFmtId="179" fontId="0" fillId="11" borderId="0" xfId="0" applyNumberFormat="1" applyFill="1">
      <alignment vertical="center"/>
    </xf>
    <xf numFmtId="0" fontId="0" fillId="12" borderId="0" xfId="0" applyFill="1">
      <alignment vertical="center"/>
    </xf>
    <xf numFmtId="2" fontId="0" fillId="12" borderId="0" xfId="0" applyNumberFormat="1" applyFill="1">
      <alignment vertical="center"/>
    </xf>
    <xf numFmtId="177" fontId="0" fillId="12" borderId="0" xfId="0" applyNumberFormat="1" applyFill="1">
      <alignment vertical="center"/>
    </xf>
    <xf numFmtId="0" fontId="0" fillId="12" borderId="0" xfId="2" applyNumberFormat="1" applyFont="1" applyFill="1">
      <alignment vertical="center"/>
    </xf>
    <xf numFmtId="178" fontId="0" fillId="12" borderId="0" xfId="0" applyNumberFormat="1" applyFill="1">
      <alignment vertical="center"/>
    </xf>
    <xf numFmtId="179" fontId="0" fillId="12" borderId="0" xfId="0" applyNumberFormat="1" applyFill="1">
      <alignment vertical="center"/>
    </xf>
    <xf numFmtId="0" fontId="0" fillId="13" borderId="0" xfId="0" applyFill="1">
      <alignment vertical="center"/>
    </xf>
    <xf numFmtId="2" fontId="0" fillId="13" borderId="0" xfId="0" applyNumberFormat="1" applyFill="1">
      <alignment vertical="center"/>
    </xf>
    <xf numFmtId="177" fontId="0" fillId="13" borderId="0" xfId="0" applyNumberFormat="1" applyFill="1">
      <alignment vertical="center"/>
    </xf>
    <xf numFmtId="0" fontId="0" fillId="13" borderId="0" xfId="2" applyNumberFormat="1" applyFont="1" applyFill="1">
      <alignment vertical="center"/>
    </xf>
    <xf numFmtId="178" fontId="0" fillId="13" borderId="0" xfId="0" applyNumberFormat="1" applyFill="1">
      <alignment vertical="center"/>
    </xf>
    <xf numFmtId="179" fontId="0" fillId="13" borderId="0" xfId="0" applyNumberFormat="1" applyFill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0" fillId="14" borderId="0" xfId="0" applyFill="1">
      <alignment vertical="center"/>
    </xf>
    <xf numFmtId="2" fontId="0" fillId="14" borderId="0" xfId="0" applyNumberFormat="1" applyFill="1">
      <alignment vertical="center"/>
    </xf>
    <xf numFmtId="177" fontId="0" fillId="14" borderId="0" xfId="0" applyNumberFormat="1" applyFill="1">
      <alignment vertical="center"/>
    </xf>
    <xf numFmtId="0" fontId="0" fillId="14" borderId="0" xfId="2" applyNumberFormat="1" applyFont="1" applyFill="1">
      <alignment vertical="center"/>
    </xf>
    <xf numFmtId="178" fontId="0" fillId="14" borderId="0" xfId="0" applyNumberFormat="1" applyFill="1">
      <alignment vertical="center"/>
    </xf>
    <xf numFmtId="179" fontId="0" fillId="14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15" borderId="2" xfId="0" applyFill="1" applyBorder="1">
      <alignment vertical="center"/>
    </xf>
    <xf numFmtId="0" fontId="0" fillId="15" borderId="3" xfId="0" applyFill="1" applyBorder="1">
      <alignment vertical="center"/>
    </xf>
    <xf numFmtId="0" fontId="0" fillId="6" borderId="2" xfId="0" applyFill="1" applyBorder="1">
      <alignment vertical="center"/>
    </xf>
    <xf numFmtId="41" fontId="0" fillId="15" borderId="2" xfId="1" applyFont="1" applyFill="1" applyBorder="1">
      <alignment vertical="center"/>
    </xf>
    <xf numFmtId="1" fontId="0" fillId="15" borderId="2" xfId="0" applyNumberFormat="1" applyFill="1" applyBorder="1">
      <alignment vertical="center"/>
    </xf>
    <xf numFmtId="176" fontId="0" fillId="6" borderId="2" xfId="0" applyNumberFormat="1" applyFill="1" applyBorder="1">
      <alignment vertical="center"/>
    </xf>
    <xf numFmtId="43" fontId="0" fillId="6" borderId="2" xfId="0" applyNumberFormat="1" applyFill="1" applyBorder="1">
      <alignment vertical="center"/>
    </xf>
    <xf numFmtId="41" fontId="0" fillId="15" borderId="0" xfId="1" applyFont="1" applyFill="1">
      <alignment vertical="center"/>
    </xf>
    <xf numFmtId="1" fontId="0" fillId="15" borderId="0" xfId="0" applyNumberFormat="1" applyFill="1">
      <alignment vertical="center"/>
    </xf>
    <xf numFmtId="176" fontId="0" fillId="6" borderId="0" xfId="0" applyNumberFormat="1" applyFill="1">
      <alignment vertical="center"/>
    </xf>
    <xf numFmtId="43" fontId="0" fillId="6" borderId="0" xfId="0" applyNumberFormat="1" applyFill="1">
      <alignment vertical="center"/>
    </xf>
    <xf numFmtId="0" fontId="0" fillId="16" borderId="0" xfId="0" applyFill="1">
      <alignment vertical="center"/>
    </xf>
    <xf numFmtId="41" fontId="0" fillId="16" borderId="0" xfId="1" applyFont="1" applyFill="1">
      <alignment vertical="center"/>
    </xf>
    <xf numFmtId="0" fontId="0" fillId="17" borderId="0" xfId="0" applyFill="1" applyAlignment="1">
      <alignment horizontal="center" vertical="center"/>
    </xf>
    <xf numFmtId="41" fontId="0" fillId="17" borderId="0" xfId="1" applyFont="1" applyFill="1" applyAlignment="1">
      <alignment horizontal="center" vertical="center"/>
    </xf>
    <xf numFmtId="176" fontId="0" fillId="17" borderId="0" xfId="0" applyNumberFormat="1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0" fillId="7" borderId="0" xfId="0" applyFill="1" applyAlignment="1">
      <alignment vertical="center" wrapText="1"/>
    </xf>
    <xf numFmtId="181" fontId="0" fillId="7" borderId="0" xfId="0" applyNumberFormat="1" applyFill="1">
      <alignment vertical="center"/>
    </xf>
    <xf numFmtId="0" fontId="0" fillId="18" borderId="2" xfId="0" applyFill="1" applyBorder="1">
      <alignment vertical="center"/>
    </xf>
    <xf numFmtId="177" fontId="0" fillId="18" borderId="2" xfId="0" applyNumberFormat="1" applyFill="1" applyBorder="1">
      <alignment vertical="center"/>
    </xf>
    <xf numFmtId="0" fontId="0" fillId="7" borderId="4" xfId="0" applyFill="1" applyBorder="1">
      <alignment vertical="center"/>
    </xf>
    <xf numFmtId="0" fontId="0" fillId="7" borderId="5" xfId="0" applyFill="1" applyBorder="1">
      <alignment vertical="center"/>
    </xf>
    <xf numFmtId="0" fontId="0" fillId="7" borderId="6" xfId="0" applyFill="1" applyBorder="1">
      <alignment vertical="center"/>
    </xf>
    <xf numFmtId="0" fontId="0" fillId="7" borderId="7" xfId="0" applyFill="1" applyBorder="1">
      <alignment vertical="center"/>
    </xf>
    <xf numFmtId="0" fontId="0" fillId="19" borderId="0" xfId="0" applyFill="1" applyAlignment="1">
      <alignment vertical="center" wrapText="1"/>
    </xf>
    <xf numFmtId="181" fontId="0" fillId="19" borderId="0" xfId="0" applyNumberFormat="1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7" borderId="6" xfId="0" applyFill="1" applyBorder="1">
      <alignment vertical="center"/>
    </xf>
    <xf numFmtId="0" fontId="0" fillId="17" borderId="7" xfId="0" applyFill="1" applyBorder="1">
      <alignment vertical="center"/>
    </xf>
    <xf numFmtId="4" fontId="0" fillId="19" borderId="0" xfId="0" applyNumberFormat="1" applyFill="1" applyAlignment="1">
      <alignment vertical="center" wrapText="1"/>
    </xf>
    <xf numFmtId="0" fontId="0" fillId="11" borderId="0" xfId="0" applyFill="1" applyAlignment="1">
      <alignment vertical="center" wrapText="1"/>
    </xf>
    <xf numFmtId="4" fontId="0" fillId="11" borderId="0" xfId="0" applyNumberFormat="1" applyFill="1" applyAlignment="1">
      <alignment vertical="center" wrapText="1"/>
    </xf>
    <xf numFmtId="181" fontId="0" fillId="11" borderId="0" xfId="0" applyNumberFormat="1" applyFill="1">
      <alignment vertical="center"/>
    </xf>
    <xf numFmtId="0" fontId="0" fillId="11" borderId="6" xfId="0" applyFill="1" applyBorder="1">
      <alignment vertical="center"/>
    </xf>
    <xf numFmtId="0" fontId="0" fillId="11" borderId="7" xfId="0" applyFill="1" applyBorder="1">
      <alignment vertical="center"/>
    </xf>
    <xf numFmtId="0" fontId="0" fillId="12" borderId="0" xfId="0" applyFill="1" applyAlignment="1">
      <alignment vertical="center" wrapText="1"/>
    </xf>
    <xf numFmtId="3" fontId="0" fillId="12" borderId="0" xfId="0" applyNumberFormat="1" applyFill="1" applyAlignment="1">
      <alignment vertical="center" wrapText="1"/>
    </xf>
    <xf numFmtId="181" fontId="0" fillId="12" borderId="0" xfId="0" applyNumberFormat="1" applyFill="1">
      <alignment vertical="center"/>
    </xf>
    <xf numFmtId="0" fontId="0" fillId="20" borderId="0" xfId="0" applyFill="1">
      <alignment vertical="center"/>
    </xf>
    <xf numFmtId="0" fontId="0" fillId="20" borderId="6" xfId="0" applyFill="1" applyBorder="1">
      <alignment vertical="center"/>
    </xf>
    <xf numFmtId="0" fontId="0" fillId="20" borderId="7" xfId="0" applyFill="1" applyBorder="1">
      <alignment vertical="center"/>
    </xf>
    <xf numFmtId="4" fontId="0" fillId="12" borderId="0" xfId="0" applyNumberFormat="1" applyFill="1" applyAlignment="1">
      <alignment vertical="center" wrapText="1"/>
    </xf>
    <xf numFmtId="1" fontId="0" fillId="18" borderId="2" xfId="0" applyNumberFormat="1" applyFill="1" applyBorder="1">
      <alignment vertical="center"/>
    </xf>
    <xf numFmtId="0" fontId="0" fillId="13" borderId="0" xfId="0" applyFill="1" applyAlignment="1">
      <alignment vertical="center" wrapText="1"/>
    </xf>
    <xf numFmtId="4" fontId="0" fillId="13" borderId="0" xfId="0" applyNumberFormat="1" applyFill="1" applyAlignment="1">
      <alignment vertical="center" wrapText="1"/>
    </xf>
    <xf numFmtId="181" fontId="0" fillId="13" borderId="0" xfId="0" applyNumberFormat="1" applyFill="1">
      <alignment vertical="center"/>
    </xf>
    <xf numFmtId="0" fontId="0" fillId="21" borderId="0" xfId="0" applyFill="1">
      <alignment vertical="center"/>
    </xf>
    <xf numFmtId="0" fontId="0" fillId="21" borderId="6" xfId="0" applyFill="1" applyBorder="1">
      <alignment vertical="center"/>
    </xf>
    <xf numFmtId="0" fontId="0" fillId="21" borderId="7" xfId="0" applyFill="1" applyBorder="1">
      <alignment vertical="center"/>
    </xf>
    <xf numFmtId="0" fontId="0" fillId="21" borderId="8" xfId="0" applyFill="1" applyBorder="1">
      <alignment vertical="center"/>
    </xf>
    <xf numFmtId="0" fontId="0" fillId="21" borderId="9" xfId="0" applyFill="1" applyBorder="1">
      <alignment vertical="center"/>
    </xf>
    <xf numFmtId="0" fontId="0" fillId="0" borderId="0" xfId="0" applyAlignment="1">
      <alignment vertical="center" wrapText="1"/>
    </xf>
    <xf numFmtId="0" fontId="0" fillId="15" borderId="0" xfId="0" applyFill="1" applyAlignment="1">
      <alignment vertical="center" wrapText="1"/>
    </xf>
    <xf numFmtId="0" fontId="0" fillId="15" borderId="0" xfId="0" applyFill="1">
      <alignment vertical="center"/>
    </xf>
    <xf numFmtId="180" fontId="0" fillId="15" borderId="0" xfId="0" applyNumberFormat="1" applyFill="1">
      <alignment vertical="center"/>
    </xf>
    <xf numFmtId="0" fontId="0" fillId="17" borderId="2" xfId="0" applyFill="1" applyBorder="1">
      <alignment vertical="center"/>
    </xf>
    <xf numFmtId="41" fontId="0" fillId="17" borderId="2" xfId="1" applyFont="1" applyFill="1" applyBorder="1">
      <alignment vertical="center"/>
    </xf>
    <xf numFmtId="0" fontId="0" fillId="17" borderId="0" xfId="0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6" borderId="0" xfId="2" applyNumberFormat="1" applyFont="1" applyFill="1">
      <alignment vertical="center"/>
    </xf>
    <xf numFmtId="0" fontId="0" fillId="13" borderId="0" xfId="0" applyFill="1" applyAlignment="1">
      <alignment horizontal="center" vertical="center"/>
    </xf>
    <xf numFmtId="0" fontId="0" fillId="17" borderId="0" xfId="2" applyNumberFormat="1" applyFont="1" applyFill="1">
      <alignment vertical="center"/>
    </xf>
    <xf numFmtId="0" fontId="0" fillId="0" borderId="0" xfId="2" applyNumberFormat="1" applyFont="1">
      <alignment vertical="center"/>
    </xf>
    <xf numFmtId="1" fontId="0" fillId="16" borderId="0" xfId="0" applyNumberFormat="1" applyFill="1">
      <alignment vertical="center"/>
    </xf>
    <xf numFmtId="43" fontId="0" fillId="16" borderId="0" xfId="0" applyNumberFormat="1" applyFill="1">
      <alignment vertical="center"/>
    </xf>
    <xf numFmtId="182" fontId="0" fillId="0" borderId="0" xfId="0" applyNumberFormat="1">
      <alignment vertical="center"/>
    </xf>
    <xf numFmtId="183" fontId="0" fillId="7" borderId="0" xfId="2" applyNumberFormat="1" applyFont="1" applyFill="1" applyAlignment="1">
      <alignment vertical="center" wrapText="1"/>
    </xf>
    <xf numFmtId="0" fontId="0" fillId="4" borderId="4" xfId="0" applyFill="1" applyBorder="1">
      <alignment vertical="center"/>
    </xf>
    <xf numFmtId="0" fontId="0" fillId="4" borderId="10" xfId="0" applyFill="1" applyBorder="1">
      <alignment vertical="center"/>
    </xf>
    <xf numFmtId="0" fontId="0" fillId="4" borderId="5" xfId="0" applyFill="1" applyBorder="1">
      <alignment vertical="center"/>
    </xf>
    <xf numFmtId="0" fontId="0" fillId="4" borderId="0" xfId="2" applyNumberFormat="1" applyFont="1" applyFill="1" applyBorder="1">
      <alignment vertical="center"/>
    </xf>
    <xf numFmtId="0" fontId="0" fillId="4" borderId="7" xfId="0" applyFill="1" applyBorder="1">
      <alignment vertical="center"/>
    </xf>
    <xf numFmtId="0" fontId="0" fillId="4" borderId="6" xfId="0" applyFill="1" applyBorder="1">
      <alignment vertical="center"/>
    </xf>
    <xf numFmtId="0" fontId="0" fillId="4" borderId="8" xfId="0" applyFill="1" applyBorder="1">
      <alignment vertical="center"/>
    </xf>
    <xf numFmtId="0" fontId="0" fillId="4" borderId="11" xfId="0" applyFill="1" applyBorder="1">
      <alignment vertical="center"/>
    </xf>
    <xf numFmtId="0" fontId="0" fillId="4" borderId="9" xfId="0" applyFill="1" applyBorder="1">
      <alignment vertical="center"/>
    </xf>
    <xf numFmtId="9" fontId="0" fillId="4" borderId="10" xfId="2" applyFont="1" applyFill="1" applyBorder="1">
      <alignment vertical="center"/>
    </xf>
    <xf numFmtId="9" fontId="0" fillId="4" borderId="5" xfId="2" applyFont="1" applyFill="1" applyBorder="1">
      <alignment vertical="center"/>
    </xf>
    <xf numFmtId="0" fontId="0" fillId="4" borderId="0" xfId="0" applyFill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6" xfId="2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9" fontId="0" fillId="4" borderId="9" xfId="0" applyNumberFormat="1" applyFill="1" applyBorder="1" applyAlignment="1">
      <alignment horizontal="center" vertical="center"/>
    </xf>
    <xf numFmtId="9" fontId="0" fillId="4" borderId="7" xfId="0" applyNumberFormat="1" applyFill="1" applyBorder="1" applyAlignment="1">
      <alignment horizontal="center" vertical="center"/>
    </xf>
    <xf numFmtId="41" fontId="0" fillId="4" borderId="5" xfId="1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11" borderId="0" xfId="0" applyFill="1" applyAlignment="1">
      <alignment horizontal="right" vertical="center" wrapText="1"/>
    </xf>
    <xf numFmtId="0" fontId="0" fillId="19" borderId="0" xfId="0" applyFill="1" applyAlignment="1">
      <alignment horizontal="right" vertical="center" wrapText="1"/>
    </xf>
    <xf numFmtId="3" fontId="0" fillId="11" borderId="0" xfId="0" applyNumberFormat="1" applyFill="1" applyAlignment="1">
      <alignment horizontal="right" vertical="center" wrapText="1"/>
    </xf>
    <xf numFmtId="3" fontId="0" fillId="12" borderId="0" xfId="0" applyNumberFormat="1" applyFill="1" applyAlignment="1">
      <alignment horizontal="right" vertical="center" wrapText="1"/>
    </xf>
    <xf numFmtId="3" fontId="0" fillId="13" borderId="0" xfId="0" applyNumberFormat="1" applyFill="1" applyAlignment="1">
      <alignment horizontal="right" vertical="center" wrapText="1"/>
    </xf>
    <xf numFmtId="0" fontId="0" fillId="13" borderId="0" xfId="0" applyFill="1" applyAlignment="1">
      <alignment horizontal="right" vertical="center"/>
    </xf>
    <xf numFmtId="0" fontId="0" fillId="7" borderId="0" xfId="0" applyFill="1" applyAlignment="1">
      <alignment horizontal="right" vertical="center" wrapText="1"/>
    </xf>
    <xf numFmtId="0" fontId="0" fillId="16" borderId="0" xfId="0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JJG\&#50641;&#49472;\&#51221;&#44592;\BM\&#50500;&#50864;&#46972;\&#50629;&#50500;&#50864;&#46972;BackUp.xlsx" TargetMode="External"/><Relationship Id="rId1" Type="http://schemas.openxmlformats.org/officeDocument/2006/relationships/externalLinkPath" Target="/JJG/&#50641;&#49472;/&#51221;&#44592;/BM/&#50500;&#50864;&#46972;/&#50629;&#50500;&#50864;&#46972;Back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비교 "/>
      <sheetName val="능력치"/>
      <sheetName val="확율계산"/>
      <sheetName val="소환횟수"/>
      <sheetName val="슬키 비용"/>
    </sheetNames>
    <sheetDataSet>
      <sheetData sheetId="0" refreshError="1"/>
      <sheetData sheetId="1" refreshError="1"/>
      <sheetData sheetId="2" refreshError="1"/>
      <sheetData sheetId="3">
        <row r="1">
          <cell r="A1">
            <v>1</v>
          </cell>
          <cell r="B1">
            <v>11</v>
          </cell>
          <cell r="C1">
            <v>11</v>
          </cell>
          <cell r="D1">
            <v>3000</v>
          </cell>
        </row>
        <row r="2">
          <cell r="A2">
            <v>2</v>
          </cell>
          <cell r="B2">
            <v>11</v>
          </cell>
          <cell r="C2">
            <v>22</v>
          </cell>
          <cell r="D2">
            <v>6000</v>
          </cell>
        </row>
        <row r="3">
          <cell r="A3">
            <v>3</v>
          </cell>
          <cell r="B3">
            <v>11</v>
          </cell>
          <cell r="C3">
            <v>33</v>
          </cell>
          <cell r="D3">
            <v>9000</v>
          </cell>
        </row>
        <row r="4">
          <cell r="A4">
            <v>4</v>
          </cell>
          <cell r="B4">
            <v>11</v>
          </cell>
          <cell r="C4">
            <v>44</v>
          </cell>
          <cell r="D4">
            <v>12000</v>
          </cell>
        </row>
        <row r="5">
          <cell r="A5">
            <v>5</v>
          </cell>
          <cell r="B5">
            <v>11</v>
          </cell>
          <cell r="C5">
            <v>55</v>
          </cell>
          <cell r="D5">
            <v>15000</v>
          </cell>
        </row>
        <row r="6">
          <cell r="A6">
            <v>6</v>
          </cell>
          <cell r="B6">
            <v>11</v>
          </cell>
          <cell r="C6">
            <v>66</v>
          </cell>
          <cell r="D6">
            <v>18000</v>
          </cell>
        </row>
        <row r="7">
          <cell r="A7">
            <v>7</v>
          </cell>
          <cell r="B7">
            <v>11</v>
          </cell>
          <cell r="C7">
            <v>77</v>
          </cell>
          <cell r="D7">
            <v>21000</v>
          </cell>
        </row>
        <row r="8">
          <cell r="A8">
            <v>8</v>
          </cell>
          <cell r="B8">
            <v>11</v>
          </cell>
          <cell r="C8">
            <v>88</v>
          </cell>
          <cell r="D8">
            <v>24000</v>
          </cell>
        </row>
        <row r="9">
          <cell r="A9">
            <v>9</v>
          </cell>
          <cell r="B9">
            <v>11</v>
          </cell>
          <cell r="C9">
            <v>99</v>
          </cell>
          <cell r="D9">
            <v>27000</v>
          </cell>
        </row>
        <row r="10">
          <cell r="A10">
            <v>10</v>
          </cell>
          <cell r="B10">
            <v>12</v>
          </cell>
          <cell r="C10">
            <v>111</v>
          </cell>
          <cell r="D10">
            <v>30000</v>
          </cell>
        </row>
        <row r="11">
          <cell r="A11">
            <v>11</v>
          </cell>
          <cell r="B11">
            <v>12</v>
          </cell>
          <cell r="C11">
            <v>123</v>
          </cell>
          <cell r="D11">
            <v>33000</v>
          </cell>
        </row>
        <row r="12">
          <cell r="A12">
            <v>12</v>
          </cell>
          <cell r="B12">
            <v>12</v>
          </cell>
          <cell r="C12">
            <v>135</v>
          </cell>
          <cell r="D12">
            <v>36000</v>
          </cell>
        </row>
        <row r="13">
          <cell r="A13">
            <v>13</v>
          </cell>
          <cell r="B13">
            <v>12</v>
          </cell>
          <cell r="C13">
            <v>147</v>
          </cell>
          <cell r="D13">
            <v>39000</v>
          </cell>
        </row>
        <row r="14">
          <cell r="A14">
            <v>14</v>
          </cell>
          <cell r="B14">
            <v>12</v>
          </cell>
          <cell r="C14">
            <v>159</v>
          </cell>
          <cell r="D14">
            <v>42000</v>
          </cell>
        </row>
        <row r="15">
          <cell r="A15">
            <v>15</v>
          </cell>
          <cell r="B15">
            <v>12</v>
          </cell>
          <cell r="C15">
            <v>171</v>
          </cell>
          <cell r="D15">
            <v>45000</v>
          </cell>
        </row>
        <row r="16">
          <cell r="A16">
            <v>16</v>
          </cell>
          <cell r="B16">
            <v>12</v>
          </cell>
          <cell r="C16">
            <v>183</v>
          </cell>
          <cell r="D16">
            <v>48000</v>
          </cell>
        </row>
        <row r="17">
          <cell r="A17">
            <v>17</v>
          </cell>
          <cell r="B17">
            <v>12</v>
          </cell>
          <cell r="C17">
            <v>195</v>
          </cell>
          <cell r="D17">
            <v>51000</v>
          </cell>
        </row>
        <row r="18">
          <cell r="A18">
            <v>18</v>
          </cell>
          <cell r="B18">
            <v>12</v>
          </cell>
          <cell r="C18">
            <v>207</v>
          </cell>
          <cell r="D18">
            <v>54000</v>
          </cell>
        </row>
        <row r="19">
          <cell r="A19">
            <v>19</v>
          </cell>
          <cell r="B19">
            <v>13</v>
          </cell>
          <cell r="C19">
            <v>220</v>
          </cell>
          <cell r="D19">
            <v>57000</v>
          </cell>
        </row>
        <row r="20">
          <cell r="A20">
            <v>20</v>
          </cell>
          <cell r="B20">
            <v>13</v>
          </cell>
          <cell r="C20">
            <v>233</v>
          </cell>
          <cell r="D20">
            <v>60000</v>
          </cell>
        </row>
        <row r="21">
          <cell r="A21">
            <v>21</v>
          </cell>
          <cell r="B21">
            <v>13</v>
          </cell>
          <cell r="C21">
            <v>246</v>
          </cell>
          <cell r="D21">
            <v>63000</v>
          </cell>
        </row>
        <row r="22">
          <cell r="A22">
            <v>22</v>
          </cell>
          <cell r="B22">
            <v>13</v>
          </cell>
          <cell r="C22">
            <v>259</v>
          </cell>
          <cell r="D22">
            <v>66000</v>
          </cell>
        </row>
        <row r="23">
          <cell r="A23">
            <v>23</v>
          </cell>
          <cell r="B23">
            <v>13</v>
          </cell>
          <cell r="C23">
            <v>272</v>
          </cell>
          <cell r="D23">
            <v>69000</v>
          </cell>
        </row>
        <row r="24">
          <cell r="A24">
            <v>24</v>
          </cell>
          <cell r="B24">
            <v>13</v>
          </cell>
          <cell r="C24">
            <v>285</v>
          </cell>
          <cell r="D24">
            <v>72000</v>
          </cell>
        </row>
        <row r="25">
          <cell r="A25">
            <v>25</v>
          </cell>
          <cell r="B25">
            <v>13</v>
          </cell>
          <cell r="C25">
            <v>298</v>
          </cell>
          <cell r="D25">
            <v>75000</v>
          </cell>
        </row>
        <row r="26">
          <cell r="A26">
            <v>26</v>
          </cell>
          <cell r="B26">
            <v>13</v>
          </cell>
          <cell r="C26">
            <v>311</v>
          </cell>
          <cell r="D26">
            <v>78000</v>
          </cell>
        </row>
        <row r="27">
          <cell r="A27">
            <v>27</v>
          </cell>
          <cell r="B27">
            <v>13</v>
          </cell>
          <cell r="C27">
            <v>324</v>
          </cell>
          <cell r="D27">
            <v>81000</v>
          </cell>
        </row>
        <row r="28">
          <cell r="A28">
            <v>28</v>
          </cell>
          <cell r="B28">
            <v>13</v>
          </cell>
          <cell r="C28">
            <v>337</v>
          </cell>
          <cell r="D28">
            <v>84000</v>
          </cell>
        </row>
        <row r="29">
          <cell r="A29">
            <v>29</v>
          </cell>
          <cell r="B29">
            <v>13</v>
          </cell>
          <cell r="C29">
            <v>350</v>
          </cell>
          <cell r="D29">
            <v>87000</v>
          </cell>
        </row>
        <row r="30">
          <cell r="A30">
            <v>30</v>
          </cell>
          <cell r="B30">
            <v>13</v>
          </cell>
          <cell r="C30">
            <v>363</v>
          </cell>
          <cell r="D30">
            <v>90000</v>
          </cell>
        </row>
        <row r="31">
          <cell r="A31">
            <v>31</v>
          </cell>
          <cell r="B31">
            <v>13</v>
          </cell>
          <cell r="C31">
            <v>376</v>
          </cell>
          <cell r="D31">
            <v>93000</v>
          </cell>
        </row>
        <row r="32">
          <cell r="A32">
            <v>32</v>
          </cell>
          <cell r="B32">
            <v>13</v>
          </cell>
          <cell r="C32">
            <v>389</v>
          </cell>
          <cell r="D32">
            <v>96000</v>
          </cell>
        </row>
        <row r="33">
          <cell r="A33">
            <v>33</v>
          </cell>
          <cell r="B33">
            <v>13</v>
          </cell>
          <cell r="C33">
            <v>402</v>
          </cell>
          <cell r="D33">
            <v>99000</v>
          </cell>
        </row>
        <row r="34">
          <cell r="A34">
            <v>34</v>
          </cell>
          <cell r="B34">
            <v>13</v>
          </cell>
          <cell r="C34">
            <v>415</v>
          </cell>
          <cell r="D34">
            <v>102000</v>
          </cell>
        </row>
        <row r="35">
          <cell r="A35">
            <v>35</v>
          </cell>
          <cell r="B35">
            <v>13</v>
          </cell>
          <cell r="C35">
            <v>428</v>
          </cell>
          <cell r="D35">
            <v>105000</v>
          </cell>
        </row>
        <row r="36">
          <cell r="A36">
            <v>36</v>
          </cell>
          <cell r="B36">
            <v>13</v>
          </cell>
          <cell r="C36">
            <v>441</v>
          </cell>
          <cell r="D36">
            <v>108000</v>
          </cell>
        </row>
        <row r="37">
          <cell r="A37">
            <v>37</v>
          </cell>
          <cell r="B37">
            <v>13</v>
          </cell>
          <cell r="C37">
            <v>454</v>
          </cell>
          <cell r="D37">
            <v>111000</v>
          </cell>
        </row>
        <row r="38">
          <cell r="A38">
            <v>38</v>
          </cell>
          <cell r="B38">
            <v>13</v>
          </cell>
          <cell r="C38">
            <v>467</v>
          </cell>
          <cell r="D38">
            <v>114000</v>
          </cell>
        </row>
        <row r="39">
          <cell r="A39">
            <v>39</v>
          </cell>
          <cell r="B39">
            <v>13</v>
          </cell>
          <cell r="C39">
            <v>480</v>
          </cell>
          <cell r="D39">
            <v>117000</v>
          </cell>
        </row>
        <row r="40">
          <cell r="A40">
            <v>40</v>
          </cell>
          <cell r="B40">
            <v>13</v>
          </cell>
          <cell r="C40">
            <v>493</v>
          </cell>
          <cell r="D40">
            <v>120000</v>
          </cell>
        </row>
        <row r="41">
          <cell r="A41">
            <v>41</v>
          </cell>
          <cell r="B41">
            <v>13</v>
          </cell>
          <cell r="C41">
            <v>506</v>
          </cell>
          <cell r="D41">
            <v>123000</v>
          </cell>
        </row>
        <row r="42">
          <cell r="A42">
            <v>42</v>
          </cell>
          <cell r="B42">
            <v>13</v>
          </cell>
          <cell r="C42">
            <v>519</v>
          </cell>
          <cell r="D42">
            <v>126000</v>
          </cell>
        </row>
        <row r="43">
          <cell r="A43">
            <v>43</v>
          </cell>
          <cell r="B43">
            <v>13</v>
          </cell>
          <cell r="C43">
            <v>532</v>
          </cell>
          <cell r="D43">
            <v>129000</v>
          </cell>
        </row>
        <row r="44">
          <cell r="A44">
            <v>44</v>
          </cell>
          <cell r="B44">
            <v>13</v>
          </cell>
          <cell r="C44">
            <v>545</v>
          </cell>
          <cell r="D44">
            <v>132000</v>
          </cell>
        </row>
        <row r="45">
          <cell r="A45">
            <v>45</v>
          </cell>
          <cell r="B45">
            <v>13</v>
          </cell>
          <cell r="C45">
            <v>558</v>
          </cell>
          <cell r="D45">
            <v>135000</v>
          </cell>
        </row>
        <row r="46">
          <cell r="A46">
            <v>46</v>
          </cell>
          <cell r="B46">
            <v>13</v>
          </cell>
          <cell r="C46">
            <v>571</v>
          </cell>
          <cell r="D46">
            <v>138000</v>
          </cell>
        </row>
        <row r="47">
          <cell r="A47">
            <v>47</v>
          </cell>
          <cell r="B47">
            <v>13</v>
          </cell>
          <cell r="C47">
            <v>584</v>
          </cell>
          <cell r="D47">
            <v>141000</v>
          </cell>
        </row>
        <row r="48">
          <cell r="A48">
            <v>48</v>
          </cell>
          <cell r="B48">
            <v>13</v>
          </cell>
          <cell r="C48">
            <v>597</v>
          </cell>
          <cell r="D48">
            <v>144000</v>
          </cell>
        </row>
        <row r="49">
          <cell r="A49">
            <v>49</v>
          </cell>
          <cell r="B49">
            <v>14</v>
          </cell>
          <cell r="C49">
            <v>611</v>
          </cell>
          <cell r="D49">
            <v>147000</v>
          </cell>
        </row>
        <row r="50">
          <cell r="A50">
            <v>50</v>
          </cell>
          <cell r="B50">
            <v>14</v>
          </cell>
          <cell r="C50">
            <v>625</v>
          </cell>
          <cell r="D50">
            <v>150000</v>
          </cell>
        </row>
        <row r="51">
          <cell r="A51">
            <v>51</v>
          </cell>
          <cell r="B51">
            <v>14</v>
          </cell>
          <cell r="C51">
            <v>639</v>
          </cell>
          <cell r="D51">
            <v>153000</v>
          </cell>
        </row>
        <row r="52">
          <cell r="A52">
            <v>52</v>
          </cell>
          <cell r="B52">
            <v>14</v>
          </cell>
          <cell r="C52">
            <v>653</v>
          </cell>
          <cell r="D52">
            <v>156000</v>
          </cell>
        </row>
        <row r="53">
          <cell r="A53">
            <v>53</v>
          </cell>
          <cell r="B53">
            <v>14</v>
          </cell>
          <cell r="C53">
            <v>667</v>
          </cell>
          <cell r="D53">
            <v>159000</v>
          </cell>
        </row>
        <row r="54">
          <cell r="A54">
            <v>54</v>
          </cell>
          <cell r="B54">
            <v>14</v>
          </cell>
          <cell r="C54">
            <v>681</v>
          </cell>
          <cell r="D54">
            <v>162000</v>
          </cell>
        </row>
        <row r="55">
          <cell r="A55">
            <v>55</v>
          </cell>
          <cell r="B55">
            <v>14</v>
          </cell>
          <cell r="C55">
            <v>695</v>
          </cell>
          <cell r="D55">
            <v>165000</v>
          </cell>
        </row>
        <row r="56">
          <cell r="A56">
            <v>56</v>
          </cell>
          <cell r="B56">
            <v>14</v>
          </cell>
          <cell r="C56">
            <v>709</v>
          </cell>
          <cell r="D56">
            <v>168000</v>
          </cell>
        </row>
        <row r="57">
          <cell r="A57">
            <v>57</v>
          </cell>
          <cell r="B57">
            <v>14</v>
          </cell>
          <cell r="C57">
            <v>723</v>
          </cell>
          <cell r="D57">
            <v>171000</v>
          </cell>
        </row>
        <row r="58">
          <cell r="A58">
            <v>58</v>
          </cell>
          <cell r="B58">
            <v>14</v>
          </cell>
          <cell r="C58">
            <v>737</v>
          </cell>
          <cell r="D58">
            <v>174000</v>
          </cell>
        </row>
        <row r="59">
          <cell r="A59">
            <v>59</v>
          </cell>
          <cell r="B59">
            <v>14</v>
          </cell>
          <cell r="C59">
            <v>751</v>
          </cell>
          <cell r="D59">
            <v>177000</v>
          </cell>
        </row>
        <row r="60">
          <cell r="A60">
            <v>60</v>
          </cell>
          <cell r="B60">
            <v>14</v>
          </cell>
          <cell r="C60">
            <v>765</v>
          </cell>
          <cell r="D60">
            <v>180000</v>
          </cell>
        </row>
        <row r="61">
          <cell r="A61">
            <v>61</v>
          </cell>
          <cell r="B61">
            <v>14</v>
          </cell>
          <cell r="C61">
            <v>779</v>
          </cell>
          <cell r="D61">
            <v>183000</v>
          </cell>
        </row>
        <row r="62">
          <cell r="A62">
            <v>62</v>
          </cell>
          <cell r="B62">
            <v>14</v>
          </cell>
          <cell r="C62">
            <v>793</v>
          </cell>
          <cell r="D62">
            <v>186000</v>
          </cell>
        </row>
        <row r="63">
          <cell r="A63">
            <v>63</v>
          </cell>
          <cell r="B63">
            <v>14</v>
          </cell>
          <cell r="C63">
            <v>807</v>
          </cell>
          <cell r="D63">
            <v>189000</v>
          </cell>
        </row>
        <row r="64">
          <cell r="A64">
            <v>64</v>
          </cell>
          <cell r="B64">
            <v>14</v>
          </cell>
          <cell r="C64">
            <v>821</v>
          </cell>
          <cell r="D64">
            <v>192000</v>
          </cell>
        </row>
        <row r="65">
          <cell r="A65">
            <v>65</v>
          </cell>
          <cell r="B65">
            <v>14</v>
          </cell>
          <cell r="C65">
            <v>835</v>
          </cell>
          <cell r="D65">
            <v>195000</v>
          </cell>
        </row>
        <row r="66">
          <cell r="A66">
            <v>66</v>
          </cell>
          <cell r="B66">
            <v>14</v>
          </cell>
          <cell r="C66">
            <v>849</v>
          </cell>
          <cell r="D66">
            <v>198000</v>
          </cell>
        </row>
        <row r="67">
          <cell r="A67">
            <v>67</v>
          </cell>
          <cell r="B67">
            <v>14</v>
          </cell>
          <cell r="C67">
            <v>863</v>
          </cell>
          <cell r="D67">
            <v>201000</v>
          </cell>
        </row>
        <row r="68">
          <cell r="A68">
            <v>68</v>
          </cell>
          <cell r="B68">
            <v>14</v>
          </cell>
          <cell r="C68">
            <v>877</v>
          </cell>
          <cell r="D68">
            <v>204000</v>
          </cell>
        </row>
        <row r="69">
          <cell r="A69">
            <v>69</v>
          </cell>
          <cell r="B69">
            <v>14</v>
          </cell>
          <cell r="C69">
            <v>891</v>
          </cell>
          <cell r="D69">
            <v>207000</v>
          </cell>
        </row>
        <row r="70">
          <cell r="A70">
            <v>70</v>
          </cell>
          <cell r="B70">
            <v>14</v>
          </cell>
          <cell r="C70">
            <v>905</v>
          </cell>
          <cell r="D70">
            <v>210000</v>
          </cell>
        </row>
        <row r="71">
          <cell r="A71">
            <v>71</v>
          </cell>
          <cell r="B71">
            <v>14</v>
          </cell>
          <cell r="C71">
            <v>919</v>
          </cell>
          <cell r="D71">
            <v>213000</v>
          </cell>
        </row>
        <row r="72">
          <cell r="A72">
            <v>72</v>
          </cell>
          <cell r="B72">
            <v>14</v>
          </cell>
          <cell r="C72">
            <v>933</v>
          </cell>
          <cell r="D72">
            <v>216000</v>
          </cell>
        </row>
        <row r="73">
          <cell r="A73">
            <v>73</v>
          </cell>
          <cell r="B73">
            <v>14</v>
          </cell>
          <cell r="C73">
            <v>947</v>
          </cell>
          <cell r="D73">
            <v>219000</v>
          </cell>
        </row>
        <row r="74">
          <cell r="A74">
            <v>74</v>
          </cell>
          <cell r="B74">
            <v>14</v>
          </cell>
          <cell r="C74">
            <v>961</v>
          </cell>
          <cell r="D74">
            <v>222000</v>
          </cell>
        </row>
        <row r="75">
          <cell r="A75">
            <v>75</v>
          </cell>
          <cell r="B75">
            <v>14</v>
          </cell>
          <cell r="C75">
            <v>975</v>
          </cell>
          <cell r="D75">
            <v>225000</v>
          </cell>
        </row>
        <row r="76">
          <cell r="A76">
            <v>76</v>
          </cell>
          <cell r="B76">
            <v>14</v>
          </cell>
          <cell r="C76">
            <v>989</v>
          </cell>
          <cell r="D76">
            <v>228000</v>
          </cell>
        </row>
        <row r="77">
          <cell r="A77">
            <v>77</v>
          </cell>
          <cell r="B77">
            <v>15</v>
          </cell>
          <cell r="C77">
            <v>1004</v>
          </cell>
          <cell r="D77">
            <v>231000</v>
          </cell>
        </row>
        <row r="78">
          <cell r="A78">
            <v>78</v>
          </cell>
          <cell r="B78">
            <v>15</v>
          </cell>
          <cell r="C78">
            <v>1019</v>
          </cell>
          <cell r="D78">
            <v>234000</v>
          </cell>
        </row>
        <row r="79">
          <cell r="A79">
            <v>79</v>
          </cell>
          <cell r="B79">
            <v>15</v>
          </cell>
          <cell r="C79">
            <v>1034</v>
          </cell>
          <cell r="D79">
            <v>237000</v>
          </cell>
        </row>
        <row r="80">
          <cell r="A80">
            <v>80</v>
          </cell>
          <cell r="B80">
            <v>15</v>
          </cell>
          <cell r="C80">
            <v>1049</v>
          </cell>
          <cell r="D80">
            <v>240000</v>
          </cell>
        </row>
        <row r="81">
          <cell r="A81">
            <v>81</v>
          </cell>
          <cell r="B81">
            <v>15</v>
          </cell>
          <cell r="C81">
            <v>1064</v>
          </cell>
          <cell r="D81">
            <v>243000</v>
          </cell>
        </row>
        <row r="82">
          <cell r="A82">
            <v>82</v>
          </cell>
          <cell r="B82">
            <v>15</v>
          </cell>
          <cell r="C82">
            <v>1079</v>
          </cell>
          <cell r="D82">
            <v>246000</v>
          </cell>
        </row>
        <row r="83">
          <cell r="A83">
            <v>83</v>
          </cell>
          <cell r="B83">
            <v>15</v>
          </cell>
          <cell r="C83">
            <v>1094</v>
          </cell>
          <cell r="D83">
            <v>249000</v>
          </cell>
        </row>
        <row r="84">
          <cell r="A84">
            <v>84</v>
          </cell>
          <cell r="B84">
            <v>15</v>
          </cell>
          <cell r="C84">
            <v>1109</v>
          </cell>
          <cell r="D84">
            <v>252000</v>
          </cell>
        </row>
        <row r="85">
          <cell r="A85">
            <v>85</v>
          </cell>
          <cell r="B85">
            <v>15</v>
          </cell>
          <cell r="C85">
            <v>1124</v>
          </cell>
          <cell r="D85">
            <v>255000</v>
          </cell>
        </row>
        <row r="86">
          <cell r="A86">
            <v>86</v>
          </cell>
          <cell r="B86">
            <v>15</v>
          </cell>
          <cell r="C86">
            <v>1139</v>
          </cell>
          <cell r="D86">
            <v>258000</v>
          </cell>
        </row>
        <row r="87">
          <cell r="A87">
            <v>87</v>
          </cell>
          <cell r="B87">
            <v>15</v>
          </cell>
          <cell r="C87">
            <v>1154</v>
          </cell>
          <cell r="D87">
            <v>261000</v>
          </cell>
        </row>
        <row r="88">
          <cell r="A88">
            <v>88</v>
          </cell>
          <cell r="B88">
            <v>15</v>
          </cell>
          <cell r="C88">
            <v>1169</v>
          </cell>
          <cell r="D88">
            <v>264000</v>
          </cell>
        </row>
        <row r="89">
          <cell r="A89">
            <v>89</v>
          </cell>
          <cell r="B89">
            <v>15</v>
          </cell>
          <cell r="C89">
            <v>1184</v>
          </cell>
          <cell r="D89">
            <v>267000</v>
          </cell>
        </row>
        <row r="90">
          <cell r="A90">
            <v>90</v>
          </cell>
          <cell r="B90">
            <v>15</v>
          </cell>
          <cell r="C90">
            <v>1199</v>
          </cell>
          <cell r="D90">
            <v>270000</v>
          </cell>
        </row>
        <row r="91">
          <cell r="A91">
            <v>91</v>
          </cell>
          <cell r="B91">
            <v>15</v>
          </cell>
          <cell r="C91">
            <v>1214</v>
          </cell>
          <cell r="D91">
            <v>273000</v>
          </cell>
        </row>
        <row r="92">
          <cell r="A92">
            <v>92</v>
          </cell>
          <cell r="B92">
            <v>15</v>
          </cell>
          <cell r="C92">
            <v>1229</v>
          </cell>
          <cell r="D92">
            <v>276000</v>
          </cell>
        </row>
        <row r="93">
          <cell r="A93">
            <v>93</v>
          </cell>
          <cell r="B93">
            <v>15</v>
          </cell>
          <cell r="C93">
            <v>1244</v>
          </cell>
          <cell r="D93">
            <v>279000</v>
          </cell>
        </row>
        <row r="94">
          <cell r="A94">
            <v>94</v>
          </cell>
          <cell r="B94">
            <v>15</v>
          </cell>
          <cell r="C94">
            <v>1259</v>
          </cell>
          <cell r="D94">
            <v>282000</v>
          </cell>
        </row>
        <row r="95">
          <cell r="A95">
            <v>95</v>
          </cell>
          <cell r="B95">
            <v>15</v>
          </cell>
          <cell r="C95">
            <v>1274</v>
          </cell>
          <cell r="D95">
            <v>285000</v>
          </cell>
        </row>
        <row r="96">
          <cell r="A96">
            <v>96</v>
          </cell>
          <cell r="B96">
            <v>15</v>
          </cell>
          <cell r="C96">
            <v>1289</v>
          </cell>
          <cell r="D96">
            <v>288000</v>
          </cell>
        </row>
        <row r="97">
          <cell r="A97">
            <v>97</v>
          </cell>
          <cell r="B97">
            <v>15</v>
          </cell>
          <cell r="C97">
            <v>1304</v>
          </cell>
          <cell r="D97">
            <v>291000</v>
          </cell>
        </row>
        <row r="98">
          <cell r="A98">
            <v>98</v>
          </cell>
          <cell r="B98">
            <v>15</v>
          </cell>
          <cell r="C98">
            <v>1319</v>
          </cell>
          <cell r="D98">
            <v>294000</v>
          </cell>
        </row>
        <row r="99">
          <cell r="A99">
            <v>99</v>
          </cell>
          <cell r="B99">
            <v>15</v>
          </cell>
          <cell r="C99">
            <v>1334</v>
          </cell>
          <cell r="D99">
            <v>297000</v>
          </cell>
        </row>
        <row r="100">
          <cell r="A100">
            <v>100</v>
          </cell>
          <cell r="B100">
            <v>15</v>
          </cell>
          <cell r="C100">
            <v>1349</v>
          </cell>
          <cell r="D100">
            <v>300000</v>
          </cell>
        </row>
        <row r="101">
          <cell r="A101">
            <v>101</v>
          </cell>
          <cell r="B101">
            <v>15</v>
          </cell>
          <cell r="C101">
            <v>1364</v>
          </cell>
          <cell r="D101">
            <v>303000</v>
          </cell>
        </row>
        <row r="102">
          <cell r="A102">
            <v>102</v>
          </cell>
          <cell r="B102">
            <v>15</v>
          </cell>
          <cell r="C102">
            <v>1379</v>
          </cell>
          <cell r="D102">
            <v>306000</v>
          </cell>
        </row>
        <row r="103">
          <cell r="A103">
            <v>103</v>
          </cell>
          <cell r="B103">
            <v>15</v>
          </cell>
          <cell r="C103">
            <v>1394</v>
          </cell>
          <cell r="D103">
            <v>309000</v>
          </cell>
        </row>
        <row r="104">
          <cell r="A104">
            <v>104</v>
          </cell>
          <cell r="B104">
            <v>15</v>
          </cell>
          <cell r="C104">
            <v>1409</v>
          </cell>
          <cell r="D104">
            <v>312000</v>
          </cell>
        </row>
        <row r="105">
          <cell r="A105">
            <v>105</v>
          </cell>
          <cell r="B105">
            <v>15</v>
          </cell>
          <cell r="C105">
            <v>1424</v>
          </cell>
          <cell r="D105">
            <v>315000</v>
          </cell>
        </row>
        <row r="106">
          <cell r="A106">
            <v>106</v>
          </cell>
          <cell r="B106">
            <v>15</v>
          </cell>
          <cell r="C106">
            <v>1439</v>
          </cell>
          <cell r="D106">
            <v>318000</v>
          </cell>
        </row>
        <row r="107">
          <cell r="A107">
            <v>107</v>
          </cell>
          <cell r="B107">
            <v>15</v>
          </cell>
          <cell r="C107">
            <v>1454</v>
          </cell>
          <cell r="D107">
            <v>321000</v>
          </cell>
        </row>
        <row r="108">
          <cell r="A108">
            <v>108</v>
          </cell>
          <cell r="B108">
            <v>15</v>
          </cell>
          <cell r="C108">
            <v>1469</v>
          </cell>
          <cell r="D108">
            <v>324000</v>
          </cell>
        </row>
        <row r="109">
          <cell r="A109">
            <v>109</v>
          </cell>
          <cell r="B109">
            <v>15</v>
          </cell>
          <cell r="C109">
            <v>1484</v>
          </cell>
          <cell r="D109">
            <v>327000</v>
          </cell>
        </row>
        <row r="110">
          <cell r="A110">
            <v>110</v>
          </cell>
          <cell r="B110">
            <v>15</v>
          </cell>
          <cell r="C110">
            <v>1499</v>
          </cell>
          <cell r="D110">
            <v>330000</v>
          </cell>
        </row>
        <row r="111">
          <cell r="A111">
            <v>111</v>
          </cell>
          <cell r="B111">
            <v>16</v>
          </cell>
          <cell r="C111">
            <v>1515</v>
          </cell>
          <cell r="D111">
            <v>333000</v>
          </cell>
        </row>
        <row r="112">
          <cell r="A112">
            <v>112</v>
          </cell>
          <cell r="B112">
            <v>16</v>
          </cell>
          <cell r="C112">
            <v>1531</v>
          </cell>
          <cell r="D112">
            <v>336000</v>
          </cell>
        </row>
        <row r="113">
          <cell r="A113">
            <v>113</v>
          </cell>
          <cell r="B113">
            <v>16</v>
          </cell>
          <cell r="C113">
            <v>1547</v>
          </cell>
          <cell r="D113">
            <v>339000</v>
          </cell>
        </row>
        <row r="114">
          <cell r="A114">
            <v>114</v>
          </cell>
          <cell r="B114">
            <v>16</v>
          </cell>
          <cell r="C114">
            <v>1563</v>
          </cell>
          <cell r="D114">
            <v>342000</v>
          </cell>
        </row>
        <row r="115">
          <cell r="A115">
            <v>115</v>
          </cell>
          <cell r="B115">
            <v>16</v>
          </cell>
          <cell r="C115">
            <v>1579</v>
          </cell>
          <cell r="D115">
            <v>345000</v>
          </cell>
        </row>
        <row r="116">
          <cell r="A116">
            <v>116</v>
          </cell>
          <cell r="B116">
            <v>16</v>
          </cell>
          <cell r="C116">
            <v>1595</v>
          </cell>
          <cell r="D116">
            <v>348000</v>
          </cell>
        </row>
        <row r="117">
          <cell r="A117">
            <v>117</v>
          </cell>
          <cell r="B117">
            <v>16</v>
          </cell>
          <cell r="C117">
            <v>1611</v>
          </cell>
          <cell r="D117">
            <v>351000</v>
          </cell>
        </row>
        <row r="118">
          <cell r="A118">
            <v>118</v>
          </cell>
          <cell r="B118">
            <v>16</v>
          </cell>
          <cell r="C118">
            <v>1627</v>
          </cell>
          <cell r="D118">
            <v>354000</v>
          </cell>
        </row>
        <row r="119">
          <cell r="A119">
            <v>119</v>
          </cell>
          <cell r="B119">
            <v>16</v>
          </cell>
          <cell r="C119">
            <v>1643</v>
          </cell>
          <cell r="D119">
            <v>357000</v>
          </cell>
        </row>
        <row r="120">
          <cell r="A120">
            <v>120</v>
          </cell>
          <cell r="B120">
            <v>16</v>
          </cell>
          <cell r="C120">
            <v>1659</v>
          </cell>
          <cell r="D120">
            <v>360000</v>
          </cell>
        </row>
        <row r="121">
          <cell r="A121">
            <v>121</v>
          </cell>
          <cell r="B121">
            <v>16</v>
          </cell>
          <cell r="C121">
            <v>1675</v>
          </cell>
          <cell r="D121">
            <v>363000</v>
          </cell>
        </row>
        <row r="122">
          <cell r="A122">
            <v>122</v>
          </cell>
          <cell r="B122">
            <v>16</v>
          </cell>
          <cell r="C122">
            <v>1691</v>
          </cell>
          <cell r="D122">
            <v>366000</v>
          </cell>
        </row>
        <row r="123">
          <cell r="A123">
            <v>123</v>
          </cell>
          <cell r="B123">
            <v>16</v>
          </cell>
          <cell r="C123">
            <v>1707</v>
          </cell>
          <cell r="D123">
            <v>369000</v>
          </cell>
        </row>
        <row r="124">
          <cell r="A124">
            <v>124</v>
          </cell>
          <cell r="B124">
            <v>16</v>
          </cell>
          <cell r="C124">
            <v>1723</v>
          </cell>
          <cell r="D124">
            <v>372000</v>
          </cell>
        </row>
        <row r="125">
          <cell r="A125">
            <v>125</v>
          </cell>
          <cell r="B125">
            <v>16</v>
          </cell>
          <cell r="C125">
            <v>1739</v>
          </cell>
          <cell r="D125">
            <v>375000</v>
          </cell>
        </row>
        <row r="126">
          <cell r="A126">
            <v>126</v>
          </cell>
          <cell r="B126">
            <v>16</v>
          </cell>
          <cell r="C126">
            <v>1755</v>
          </cell>
          <cell r="D126">
            <v>378000</v>
          </cell>
        </row>
        <row r="127">
          <cell r="A127">
            <v>127</v>
          </cell>
          <cell r="B127">
            <v>16</v>
          </cell>
          <cell r="C127">
            <v>1771</v>
          </cell>
          <cell r="D127">
            <v>381000</v>
          </cell>
        </row>
        <row r="128">
          <cell r="A128">
            <v>128</v>
          </cell>
          <cell r="B128">
            <v>16</v>
          </cell>
          <cell r="C128">
            <v>1787</v>
          </cell>
          <cell r="D128">
            <v>384000</v>
          </cell>
        </row>
        <row r="129">
          <cell r="A129">
            <v>129</v>
          </cell>
          <cell r="B129">
            <v>16</v>
          </cell>
          <cell r="C129">
            <v>1803</v>
          </cell>
          <cell r="D129">
            <v>387000</v>
          </cell>
        </row>
        <row r="130">
          <cell r="A130">
            <v>130</v>
          </cell>
          <cell r="B130">
            <v>16</v>
          </cell>
          <cell r="C130">
            <v>1819</v>
          </cell>
          <cell r="D130">
            <v>390000</v>
          </cell>
        </row>
        <row r="131">
          <cell r="A131">
            <v>131</v>
          </cell>
          <cell r="B131">
            <v>16</v>
          </cell>
          <cell r="C131">
            <v>1835</v>
          </cell>
          <cell r="D131">
            <v>393000</v>
          </cell>
        </row>
        <row r="132">
          <cell r="A132">
            <v>132</v>
          </cell>
          <cell r="B132">
            <v>16</v>
          </cell>
          <cell r="C132">
            <v>1851</v>
          </cell>
          <cell r="D132">
            <v>396000</v>
          </cell>
        </row>
        <row r="133">
          <cell r="A133">
            <v>133</v>
          </cell>
          <cell r="B133">
            <v>16</v>
          </cell>
          <cell r="C133">
            <v>1867</v>
          </cell>
          <cell r="D133">
            <v>399000</v>
          </cell>
        </row>
        <row r="134">
          <cell r="A134">
            <v>134</v>
          </cell>
          <cell r="B134">
            <v>16</v>
          </cell>
          <cell r="C134">
            <v>1883</v>
          </cell>
          <cell r="D134">
            <v>402000</v>
          </cell>
        </row>
        <row r="135">
          <cell r="A135">
            <v>135</v>
          </cell>
          <cell r="B135">
            <v>16</v>
          </cell>
          <cell r="C135">
            <v>1899</v>
          </cell>
          <cell r="D135">
            <v>405000</v>
          </cell>
        </row>
        <row r="136">
          <cell r="A136">
            <v>136</v>
          </cell>
          <cell r="B136">
            <v>16</v>
          </cell>
          <cell r="C136">
            <v>1915</v>
          </cell>
          <cell r="D136">
            <v>408000</v>
          </cell>
        </row>
        <row r="137">
          <cell r="A137">
            <v>137</v>
          </cell>
          <cell r="B137">
            <v>16</v>
          </cell>
          <cell r="C137">
            <v>1931</v>
          </cell>
          <cell r="D137">
            <v>411000</v>
          </cell>
        </row>
        <row r="138">
          <cell r="A138">
            <v>138</v>
          </cell>
          <cell r="B138">
            <v>16</v>
          </cell>
          <cell r="C138">
            <v>1947</v>
          </cell>
          <cell r="D138">
            <v>414000</v>
          </cell>
        </row>
        <row r="139">
          <cell r="A139">
            <v>139</v>
          </cell>
          <cell r="B139">
            <v>16</v>
          </cell>
          <cell r="C139">
            <v>1963</v>
          </cell>
          <cell r="D139">
            <v>417000</v>
          </cell>
        </row>
        <row r="140">
          <cell r="A140">
            <v>140</v>
          </cell>
          <cell r="B140">
            <v>16</v>
          </cell>
          <cell r="C140">
            <v>1979</v>
          </cell>
          <cell r="D140">
            <v>420000</v>
          </cell>
        </row>
        <row r="141">
          <cell r="A141">
            <v>141</v>
          </cell>
          <cell r="B141">
            <v>16</v>
          </cell>
          <cell r="C141">
            <v>1995</v>
          </cell>
          <cell r="D141">
            <v>423000</v>
          </cell>
        </row>
        <row r="142">
          <cell r="A142">
            <v>142</v>
          </cell>
          <cell r="B142">
            <v>16</v>
          </cell>
          <cell r="C142">
            <v>2011</v>
          </cell>
          <cell r="D142">
            <v>426000</v>
          </cell>
        </row>
        <row r="143">
          <cell r="A143">
            <v>143</v>
          </cell>
          <cell r="B143">
            <v>16</v>
          </cell>
          <cell r="C143">
            <v>2027</v>
          </cell>
          <cell r="D143">
            <v>429000</v>
          </cell>
        </row>
        <row r="144">
          <cell r="A144">
            <v>144</v>
          </cell>
          <cell r="B144">
            <v>16</v>
          </cell>
          <cell r="C144">
            <v>2043</v>
          </cell>
          <cell r="D144">
            <v>432000</v>
          </cell>
        </row>
        <row r="145">
          <cell r="A145">
            <v>145</v>
          </cell>
          <cell r="B145">
            <v>16</v>
          </cell>
          <cell r="C145">
            <v>2059</v>
          </cell>
          <cell r="D145">
            <v>435000</v>
          </cell>
        </row>
        <row r="146">
          <cell r="A146">
            <v>146</v>
          </cell>
          <cell r="B146">
            <v>16</v>
          </cell>
          <cell r="C146">
            <v>2075</v>
          </cell>
          <cell r="D146">
            <v>438000</v>
          </cell>
        </row>
        <row r="147">
          <cell r="A147">
            <v>147</v>
          </cell>
          <cell r="B147">
            <v>16</v>
          </cell>
          <cell r="C147">
            <v>2091</v>
          </cell>
          <cell r="D147">
            <v>441000</v>
          </cell>
        </row>
        <row r="148">
          <cell r="A148">
            <v>148</v>
          </cell>
          <cell r="B148">
            <v>16</v>
          </cell>
          <cell r="C148">
            <v>2107</v>
          </cell>
          <cell r="D148">
            <v>444000</v>
          </cell>
        </row>
        <row r="149">
          <cell r="A149">
            <v>149</v>
          </cell>
          <cell r="B149">
            <v>16</v>
          </cell>
          <cell r="C149">
            <v>2123</v>
          </cell>
          <cell r="D149">
            <v>447000</v>
          </cell>
        </row>
        <row r="150">
          <cell r="A150">
            <v>150</v>
          </cell>
          <cell r="B150">
            <v>16</v>
          </cell>
          <cell r="C150">
            <v>2139</v>
          </cell>
          <cell r="D150">
            <v>450000</v>
          </cell>
        </row>
        <row r="151">
          <cell r="A151">
            <v>151</v>
          </cell>
          <cell r="B151">
            <v>16</v>
          </cell>
          <cell r="C151">
            <v>2155</v>
          </cell>
          <cell r="D151">
            <v>453000</v>
          </cell>
        </row>
        <row r="152">
          <cell r="A152">
            <v>152</v>
          </cell>
          <cell r="B152">
            <v>16</v>
          </cell>
          <cell r="C152">
            <v>2171</v>
          </cell>
          <cell r="D152">
            <v>456000</v>
          </cell>
        </row>
        <row r="153">
          <cell r="A153">
            <v>153</v>
          </cell>
          <cell r="B153">
            <v>16</v>
          </cell>
          <cell r="C153">
            <v>2187</v>
          </cell>
          <cell r="D153">
            <v>459000</v>
          </cell>
        </row>
        <row r="154">
          <cell r="A154">
            <v>154</v>
          </cell>
          <cell r="B154">
            <v>16</v>
          </cell>
          <cell r="C154">
            <v>2203</v>
          </cell>
          <cell r="D154">
            <v>462000</v>
          </cell>
        </row>
        <row r="155">
          <cell r="A155">
            <v>155</v>
          </cell>
          <cell r="B155">
            <v>16</v>
          </cell>
          <cell r="C155">
            <v>2219</v>
          </cell>
          <cell r="D155">
            <v>465000</v>
          </cell>
        </row>
        <row r="156">
          <cell r="A156">
            <v>156</v>
          </cell>
          <cell r="B156">
            <v>16</v>
          </cell>
          <cell r="C156">
            <v>2235</v>
          </cell>
          <cell r="D156">
            <v>468000</v>
          </cell>
        </row>
        <row r="157">
          <cell r="A157">
            <v>157</v>
          </cell>
          <cell r="B157">
            <v>16</v>
          </cell>
          <cell r="C157">
            <v>2251</v>
          </cell>
          <cell r="D157">
            <v>471000</v>
          </cell>
        </row>
        <row r="158">
          <cell r="A158">
            <v>158</v>
          </cell>
          <cell r="B158">
            <v>16</v>
          </cell>
          <cell r="C158">
            <v>2267</v>
          </cell>
          <cell r="D158">
            <v>474000</v>
          </cell>
        </row>
        <row r="159">
          <cell r="A159">
            <v>159</v>
          </cell>
          <cell r="B159">
            <v>16</v>
          </cell>
          <cell r="C159">
            <v>2283</v>
          </cell>
          <cell r="D159">
            <v>477000</v>
          </cell>
        </row>
        <row r="160">
          <cell r="A160">
            <v>160</v>
          </cell>
          <cell r="B160">
            <v>16</v>
          </cell>
          <cell r="C160">
            <v>2299</v>
          </cell>
          <cell r="D160">
            <v>480000</v>
          </cell>
        </row>
        <row r="161">
          <cell r="A161">
            <v>161</v>
          </cell>
          <cell r="B161">
            <v>17</v>
          </cell>
          <cell r="C161">
            <v>2316</v>
          </cell>
          <cell r="D161">
            <v>483000</v>
          </cell>
        </row>
        <row r="162">
          <cell r="A162">
            <v>162</v>
          </cell>
          <cell r="B162">
            <v>17</v>
          </cell>
          <cell r="C162">
            <v>2333</v>
          </cell>
          <cell r="D162">
            <v>486000</v>
          </cell>
        </row>
        <row r="163">
          <cell r="A163">
            <v>163</v>
          </cell>
          <cell r="B163">
            <v>17</v>
          </cell>
          <cell r="C163">
            <v>2350</v>
          </cell>
          <cell r="D163">
            <v>489000</v>
          </cell>
        </row>
        <row r="164">
          <cell r="A164">
            <v>164</v>
          </cell>
          <cell r="B164">
            <v>17</v>
          </cell>
          <cell r="C164">
            <v>2367</v>
          </cell>
          <cell r="D164">
            <v>492000</v>
          </cell>
        </row>
        <row r="165">
          <cell r="A165">
            <v>165</v>
          </cell>
          <cell r="B165">
            <v>17</v>
          </cell>
          <cell r="C165">
            <v>2384</v>
          </cell>
          <cell r="D165">
            <v>495000</v>
          </cell>
        </row>
        <row r="166">
          <cell r="A166">
            <v>166</v>
          </cell>
          <cell r="B166">
            <v>17</v>
          </cell>
          <cell r="C166">
            <v>2401</v>
          </cell>
          <cell r="D166">
            <v>498000</v>
          </cell>
        </row>
        <row r="167">
          <cell r="A167">
            <v>167</v>
          </cell>
          <cell r="B167">
            <v>17</v>
          </cell>
          <cell r="C167">
            <v>2418</v>
          </cell>
          <cell r="D167">
            <v>501000</v>
          </cell>
        </row>
        <row r="168">
          <cell r="A168">
            <v>168</v>
          </cell>
          <cell r="B168">
            <v>17</v>
          </cell>
          <cell r="C168">
            <v>2435</v>
          </cell>
          <cell r="D168">
            <v>504000</v>
          </cell>
        </row>
        <row r="169">
          <cell r="A169">
            <v>169</v>
          </cell>
          <cell r="B169">
            <v>17</v>
          </cell>
          <cell r="C169">
            <v>2452</v>
          </cell>
          <cell r="D169">
            <v>507000</v>
          </cell>
        </row>
        <row r="170">
          <cell r="A170">
            <v>170</v>
          </cell>
          <cell r="B170">
            <v>17</v>
          </cell>
          <cell r="C170">
            <v>2469</v>
          </cell>
          <cell r="D170">
            <v>510000</v>
          </cell>
        </row>
        <row r="171">
          <cell r="A171">
            <v>171</v>
          </cell>
          <cell r="B171">
            <v>17</v>
          </cell>
          <cell r="C171">
            <v>2486</v>
          </cell>
          <cell r="D171">
            <v>513000</v>
          </cell>
        </row>
        <row r="172">
          <cell r="A172">
            <v>172</v>
          </cell>
          <cell r="B172">
            <v>17</v>
          </cell>
          <cell r="C172">
            <v>2503</v>
          </cell>
          <cell r="D172">
            <v>516000</v>
          </cell>
        </row>
        <row r="173">
          <cell r="A173">
            <v>173</v>
          </cell>
          <cell r="B173">
            <v>17</v>
          </cell>
          <cell r="C173">
            <v>2520</v>
          </cell>
          <cell r="D173">
            <v>519000</v>
          </cell>
        </row>
        <row r="174">
          <cell r="A174">
            <v>174</v>
          </cell>
          <cell r="B174">
            <v>17</v>
          </cell>
          <cell r="C174">
            <v>2537</v>
          </cell>
          <cell r="D174">
            <v>522000</v>
          </cell>
        </row>
        <row r="175">
          <cell r="A175">
            <v>175</v>
          </cell>
          <cell r="B175">
            <v>17</v>
          </cell>
          <cell r="C175">
            <v>2554</v>
          </cell>
          <cell r="D175">
            <v>525000</v>
          </cell>
        </row>
        <row r="176">
          <cell r="A176">
            <v>176</v>
          </cell>
          <cell r="B176">
            <v>17</v>
          </cell>
          <cell r="C176">
            <v>2571</v>
          </cell>
          <cell r="D176">
            <v>528000</v>
          </cell>
        </row>
        <row r="177">
          <cell r="A177">
            <v>177</v>
          </cell>
          <cell r="B177">
            <v>17</v>
          </cell>
          <cell r="C177">
            <v>2588</v>
          </cell>
          <cell r="D177">
            <v>531000</v>
          </cell>
        </row>
        <row r="178">
          <cell r="A178">
            <v>178</v>
          </cell>
          <cell r="B178">
            <v>17</v>
          </cell>
          <cell r="C178">
            <v>2605</v>
          </cell>
          <cell r="D178">
            <v>534000</v>
          </cell>
        </row>
        <row r="179">
          <cell r="A179">
            <v>179</v>
          </cell>
          <cell r="B179">
            <v>17</v>
          </cell>
          <cell r="C179">
            <v>2622</v>
          </cell>
          <cell r="D179">
            <v>537000</v>
          </cell>
        </row>
        <row r="180">
          <cell r="A180">
            <v>180</v>
          </cell>
          <cell r="B180">
            <v>17</v>
          </cell>
          <cell r="C180">
            <v>2639</v>
          </cell>
          <cell r="D180">
            <v>540000</v>
          </cell>
        </row>
        <row r="181">
          <cell r="A181">
            <v>181</v>
          </cell>
          <cell r="B181">
            <v>17</v>
          </cell>
          <cell r="C181">
            <v>2656</v>
          </cell>
          <cell r="D181">
            <v>543000</v>
          </cell>
        </row>
        <row r="182">
          <cell r="A182">
            <v>182</v>
          </cell>
          <cell r="B182">
            <v>17</v>
          </cell>
          <cell r="C182">
            <v>2673</v>
          </cell>
          <cell r="D182">
            <v>546000</v>
          </cell>
        </row>
        <row r="183">
          <cell r="A183">
            <v>183</v>
          </cell>
          <cell r="B183">
            <v>17</v>
          </cell>
          <cell r="C183">
            <v>2690</v>
          </cell>
          <cell r="D183">
            <v>549000</v>
          </cell>
        </row>
        <row r="184">
          <cell r="A184">
            <v>184</v>
          </cell>
          <cell r="B184">
            <v>17</v>
          </cell>
          <cell r="C184">
            <v>2707</v>
          </cell>
          <cell r="D184">
            <v>552000</v>
          </cell>
        </row>
        <row r="185">
          <cell r="A185">
            <v>185</v>
          </cell>
          <cell r="B185">
            <v>17</v>
          </cell>
          <cell r="C185">
            <v>2724</v>
          </cell>
          <cell r="D185">
            <v>555000</v>
          </cell>
        </row>
        <row r="186">
          <cell r="A186">
            <v>186</v>
          </cell>
          <cell r="B186">
            <v>17</v>
          </cell>
          <cell r="C186">
            <v>2741</v>
          </cell>
          <cell r="D186">
            <v>558000</v>
          </cell>
        </row>
        <row r="187">
          <cell r="A187">
            <v>187</v>
          </cell>
          <cell r="B187">
            <v>17</v>
          </cell>
          <cell r="C187">
            <v>2758</v>
          </cell>
          <cell r="D187">
            <v>561000</v>
          </cell>
        </row>
        <row r="188">
          <cell r="A188">
            <v>188</v>
          </cell>
          <cell r="B188">
            <v>17</v>
          </cell>
          <cell r="C188">
            <v>2775</v>
          </cell>
          <cell r="D188">
            <v>564000</v>
          </cell>
        </row>
        <row r="189">
          <cell r="A189">
            <v>189</v>
          </cell>
          <cell r="B189">
            <v>17</v>
          </cell>
          <cell r="C189">
            <v>2792</v>
          </cell>
          <cell r="D189">
            <v>567000</v>
          </cell>
        </row>
        <row r="190">
          <cell r="A190">
            <v>190</v>
          </cell>
          <cell r="B190">
            <v>17</v>
          </cell>
          <cell r="C190">
            <v>2809</v>
          </cell>
          <cell r="D190">
            <v>570000</v>
          </cell>
        </row>
        <row r="191">
          <cell r="A191">
            <v>191</v>
          </cell>
          <cell r="B191">
            <v>17</v>
          </cell>
          <cell r="C191">
            <v>2826</v>
          </cell>
          <cell r="D191">
            <v>573000</v>
          </cell>
        </row>
        <row r="192">
          <cell r="A192">
            <v>192</v>
          </cell>
          <cell r="B192">
            <v>17</v>
          </cell>
          <cell r="C192">
            <v>2843</v>
          </cell>
          <cell r="D192">
            <v>576000</v>
          </cell>
        </row>
        <row r="193">
          <cell r="A193">
            <v>193</v>
          </cell>
          <cell r="B193">
            <v>17</v>
          </cell>
          <cell r="C193">
            <v>2860</v>
          </cell>
          <cell r="D193">
            <v>579000</v>
          </cell>
        </row>
        <row r="194">
          <cell r="A194">
            <v>194</v>
          </cell>
          <cell r="B194">
            <v>17</v>
          </cell>
          <cell r="C194">
            <v>2877</v>
          </cell>
          <cell r="D194">
            <v>582000</v>
          </cell>
        </row>
        <row r="195">
          <cell r="A195">
            <v>195</v>
          </cell>
          <cell r="B195">
            <v>17</v>
          </cell>
          <cell r="C195">
            <v>2894</v>
          </cell>
          <cell r="D195">
            <v>585000</v>
          </cell>
        </row>
        <row r="196">
          <cell r="A196">
            <v>196</v>
          </cell>
          <cell r="B196">
            <v>17</v>
          </cell>
          <cell r="C196">
            <v>2911</v>
          </cell>
          <cell r="D196">
            <v>588000</v>
          </cell>
        </row>
        <row r="197">
          <cell r="A197">
            <v>197</v>
          </cell>
          <cell r="B197">
            <v>17</v>
          </cell>
          <cell r="C197">
            <v>2928</v>
          </cell>
          <cell r="D197">
            <v>591000</v>
          </cell>
        </row>
        <row r="198">
          <cell r="A198">
            <v>198</v>
          </cell>
          <cell r="B198">
            <v>17</v>
          </cell>
          <cell r="C198">
            <v>2945</v>
          </cell>
          <cell r="D198">
            <v>594000</v>
          </cell>
        </row>
        <row r="199">
          <cell r="A199">
            <v>199</v>
          </cell>
          <cell r="B199">
            <v>17</v>
          </cell>
          <cell r="C199">
            <v>2962</v>
          </cell>
          <cell r="D199">
            <v>597000</v>
          </cell>
        </row>
        <row r="200">
          <cell r="A200">
            <v>200</v>
          </cell>
          <cell r="B200">
            <v>17</v>
          </cell>
          <cell r="C200">
            <v>2979</v>
          </cell>
          <cell r="D200">
            <v>600000</v>
          </cell>
        </row>
        <row r="201">
          <cell r="A201">
            <v>201</v>
          </cell>
          <cell r="B201">
            <v>17</v>
          </cell>
          <cell r="C201">
            <v>2996</v>
          </cell>
          <cell r="D201">
            <v>603000</v>
          </cell>
        </row>
        <row r="202">
          <cell r="A202">
            <v>202</v>
          </cell>
          <cell r="B202">
            <v>17</v>
          </cell>
          <cell r="C202">
            <v>3013</v>
          </cell>
          <cell r="D202">
            <v>606000</v>
          </cell>
        </row>
        <row r="203">
          <cell r="A203">
            <v>203</v>
          </cell>
          <cell r="B203">
            <v>17</v>
          </cell>
          <cell r="C203">
            <v>3030</v>
          </cell>
          <cell r="D203">
            <v>609000</v>
          </cell>
        </row>
        <row r="204">
          <cell r="A204">
            <v>204</v>
          </cell>
          <cell r="B204">
            <v>17</v>
          </cell>
          <cell r="C204">
            <v>3047</v>
          </cell>
          <cell r="D204">
            <v>612000</v>
          </cell>
        </row>
        <row r="205">
          <cell r="A205">
            <v>205</v>
          </cell>
          <cell r="B205">
            <v>17</v>
          </cell>
          <cell r="C205">
            <v>3064</v>
          </cell>
          <cell r="D205">
            <v>615000</v>
          </cell>
        </row>
        <row r="206">
          <cell r="A206">
            <v>206</v>
          </cell>
          <cell r="B206">
            <v>17</v>
          </cell>
          <cell r="C206">
            <v>3081</v>
          </cell>
          <cell r="D206">
            <v>618000</v>
          </cell>
        </row>
        <row r="207">
          <cell r="A207">
            <v>207</v>
          </cell>
          <cell r="B207">
            <v>17</v>
          </cell>
          <cell r="C207">
            <v>3098</v>
          </cell>
          <cell r="D207">
            <v>621000</v>
          </cell>
        </row>
        <row r="208">
          <cell r="A208">
            <v>208</v>
          </cell>
          <cell r="B208">
            <v>17</v>
          </cell>
          <cell r="C208">
            <v>3115</v>
          </cell>
          <cell r="D208">
            <v>624000</v>
          </cell>
        </row>
        <row r="209">
          <cell r="A209">
            <v>209</v>
          </cell>
          <cell r="B209">
            <v>17</v>
          </cell>
          <cell r="C209">
            <v>3132</v>
          </cell>
          <cell r="D209">
            <v>627000</v>
          </cell>
        </row>
        <row r="210">
          <cell r="A210">
            <v>210</v>
          </cell>
          <cell r="B210">
            <v>17</v>
          </cell>
          <cell r="C210">
            <v>3149</v>
          </cell>
          <cell r="D210">
            <v>630000</v>
          </cell>
        </row>
        <row r="211">
          <cell r="A211">
            <v>211</v>
          </cell>
          <cell r="B211">
            <v>17</v>
          </cell>
          <cell r="C211">
            <v>3166</v>
          </cell>
          <cell r="D211">
            <v>633000</v>
          </cell>
        </row>
        <row r="212">
          <cell r="A212">
            <v>212</v>
          </cell>
          <cell r="B212">
            <v>17</v>
          </cell>
          <cell r="C212">
            <v>3183</v>
          </cell>
          <cell r="D212">
            <v>636000</v>
          </cell>
        </row>
        <row r="213">
          <cell r="A213">
            <v>213</v>
          </cell>
          <cell r="B213">
            <v>17</v>
          </cell>
          <cell r="C213">
            <v>3200</v>
          </cell>
          <cell r="D213">
            <v>639000</v>
          </cell>
        </row>
        <row r="214">
          <cell r="A214">
            <v>214</v>
          </cell>
          <cell r="B214">
            <v>17</v>
          </cell>
          <cell r="C214">
            <v>3217</v>
          </cell>
          <cell r="D214">
            <v>642000</v>
          </cell>
        </row>
        <row r="215">
          <cell r="A215">
            <v>215</v>
          </cell>
          <cell r="B215">
            <v>17</v>
          </cell>
          <cell r="C215">
            <v>3234</v>
          </cell>
          <cell r="D215">
            <v>645000</v>
          </cell>
        </row>
        <row r="216">
          <cell r="A216">
            <v>216</v>
          </cell>
          <cell r="B216">
            <v>17</v>
          </cell>
          <cell r="C216">
            <v>3251</v>
          </cell>
          <cell r="D216">
            <v>648000</v>
          </cell>
        </row>
        <row r="217">
          <cell r="A217">
            <v>217</v>
          </cell>
          <cell r="B217">
            <v>17</v>
          </cell>
          <cell r="C217">
            <v>3268</v>
          </cell>
          <cell r="D217">
            <v>651000</v>
          </cell>
        </row>
        <row r="218">
          <cell r="A218">
            <v>218</v>
          </cell>
          <cell r="B218">
            <v>17</v>
          </cell>
          <cell r="C218">
            <v>3285</v>
          </cell>
          <cell r="D218">
            <v>654000</v>
          </cell>
        </row>
        <row r="219">
          <cell r="A219">
            <v>219</v>
          </cell>
          <cell r="B219">
            <v>17</v>
          </cell>
          <cell r="C219">
            <v>3302</v>
          </cell>
          <cell r="D219">
            <v>657000</v>
          </cell>
        </row>
        <row r="220">
          <cell r="A220">
            <v>220</v>
          </cell>
          <cell r="B220">
            <v>17</v>
          </cell>
          <cell r="C220">
            <v>3319</v>
          </cell>
          <cell r="D220">
            <v>660000</v>
          </cell>
        </row>
        <row r="221">
          <cell r="A221">
            <v>221</v>
          </cell>
          <cell r="B221">
            <v>17</v>
          </cell>
          <cell r="C221">
            <v>3336</v>
          </cell>
          <cell r="D221">
            <v>663000</v>
          </cell>
        </row>
        <row r="222">
          <cell r="A222">
            <v>222</v>
          </cell>
          <cell r="B222">
            <v>17</v>
          </cell>
          <cell r="C222">
            <v>3353</v>
          </cell>
          <cell r="D222">
            <v>666000</v>
          </cell>
        </row>
        <row r="223">
          <cell r="A223">
            <v>223</v>
          </cell>
          <cell r="B223">
            <v>17</v>
          </cell>
          <cell r="C223">
            <v>3370</v>
          </cell>
          <cell r="D223">
            <v>669000</v>
          </cell>
        </row>
        <row r="224">
          <cell r="A224">
            <v>224</v>
          </cell>
          <cell r="B224">
            <v>17</v>
          </cell>
          <cell r="C224">
            <v>3387</v>
          </cell>
          <cell r="D224">
            <v>672000</v>
          </cell>
        </row>
        <row r="225">
          <cell r="A225">
            <v>225</v>
          </cell>
          <cell r="B225">
            <v>18</v>
          </cell>
          <cell r="C225">
            <v>3405</v>
          </cell>
          <cell r="D225">
            <v>675000</v>
          </cell>
        </row>
        <row r="226">
          <cell r="A226">
            <v>226</v>
          </cell>
          <cell r="B226">
            <v>18</v>
          </cell>
          <cell r="C226">
            <v>3423</v>
          </cell>
          <cell r="D226">
            <v>678000</v>
          </cell>
        </row>
        <row r="227">
          <cell r="A227">
            <v>227</v>
          </cell>
          <cell r="B227">
            <v>18</v>
          </cell>
          <cell r="C227">
            <v>3441</v>
          </cell>
          <cell r="D227">
            <v>681000</v>
          </cell>
        </row>
        <row r="228">
          <cell r="A228">
            <v>228</v>
          </cell>
          <cell r="B228">
            <v>18</v>
          </cell>
          <cell r="C228">
            <v>3459</v>
          </cell>
          <cell r="D228">
            <v>684000</v>
          </cell>
        </row>
        <row r="229">
          <cell r="A229">
            <v>229</v>
          </cell>
          <cell r="B229">
            <v>18</v>
          </cell>
          <cell r="C229">
            <v>3477</v>
          </cell>
          <cell r="D229">
            <v>687000</v>
          </cell>
        </row>
        <row r="230">
          <cell r="A230">
            <v>230</v>
          </cell>
          <cell r="B230">
            <v>18</v>
          </cell>
          <cell r="C230">
            <v>3495</v>
          </cell>
          <cell r="D230">
            <v>690000</v>
          </cell>
        </row>
        <row r="231">
          <cell r="A231">
            <v>231</v>
          </cell>
          <cell r="B231">
            <v>18</v>
          </cell>
          <cell r="C231">
            <v>3513</v>
          </cell>
          <cell r="D231">
            <v>693000</v>
          </cell>
        </row>
        <row r="232">
          <cell r="A232">
            <v>232</v>
          </cell>
          <cell r="B232">
            <v>18</v>
          </cell>
          <cell r="C232">
            <v>3531</v>
          </cell>
          <cell r="D232">
            <v>696000</v>
          </cell>
        </row>
        <row r="233">
          <cell r="A233">
            <v>233</v>
          </cell>
          <cell r="B233">
            <v>18</v>
          </cell>
          <cell r="C233">
            <v>3549</v>
          </cell>
          <cell r="D233">
            <v>699000</v>
          </cell>
        </row>
        <row r="234">
          <cell r="A234">
            <v>234</v>
          </cell>
          <cell r="B234">
            <v>18</v>
          </cell>
          <cell r="C234">
            <v>3567</v>
          </cell>
          <cell r="D234">
            <v>702000</v>
          </cell>
        </row>
        <row r="235">
          <cell r="A235">
            <v>235</v>
          </cell>
          <cell r="B235">
            <v>18</v>
          </cell>
          <cell r="C235">
            <v>3585</v>
          </cell>
          <cell r="D235">
            <v>705000</v>
          </cell>
        </row>
        <row r="236">
          <cell r="A236">
            <v>236</v>
          </cell>
          <cell r="B236">
            <v>18</v>
          </cell>
          <cell r="C236">
            <v>3603</v>
          </cell>
          <cell r="D236">
            <v>708000</v>
          </cell>
        </row>
        <row r="237">
          <cell r="A237">
            <v>237</v>
          </cell>
          <cell r="B237">
            <v>18</v>
          </cell>
          <cell r="C237">
            <v>3621</v>
          </cell>
          <cell r="D237">
            <v>711000</v>
          </cell>
        </row>
        <row r="238">
          <cell r="A238">
            <v>238</v>
          </cell>
          <cell r="B238">
            <v>18</v>
          </cell>
          <cell r="C238">
            <v>3639</v>
          </cell>
          <cell r="D238">
            <v>714000</v>
          </cell>
        </row>
        <row r="239">
          <cell r="A239">
            <v>239</v>
          </cell>
          <cell r="B239">
            <v>18</v>
          </cell>
          <cell r="C239">
            <v>3657</v>
          </cell>
          <cell r="D239">
            <v>717000</v>
          </cell>
        </row>
        <row r="240">
          <cell r="A240">
            <v>240</v>
          </cell>
          <cell r="B240">
            <v>18</v>
          </cell>
          <cell r="C240">
            <v>3675</v>
          </cell>
          <cell r="D240">
            <v>720000</v>
          </cell>
        </row>
        <row r="241">
          <cell r="A241">
            <v>241</v>
          </cell>
          <cell r="B241">
            <v>18</v>
          </cell>
          <cell r="C241">
            <v>3693</v>
          </cell>
          <cell r="D241">
            <v>723000</v>
          </cell>
        </row>
        <row r="242">
          <cell r="A242">
            <v>242</v>
          </cell>
          <cell r="B242">
            <v>18</v>
          </cell>
          <cell r="C242">
            <v>3711</v>
          </cell>
          <cell r="D242">
            <v>726000</v>
          </cell>
        </row>
        <row r="243">
          <cell r="A243">
            <v>243</v>
          </cell>
          <cell r="B243">
            <v>18</v>
          </cell>
          <cell r="C243">
            <v>3729</v>
          </cell>
          <cell r="D243">
            <v>729000</v>
          </cell>
        </row>
        <row r="244">
          <cell r="A244">
            <v>244</v>
          </cell>
          <cell r="B244">
            <v>18</v>
          </cell>
          <cell r="C244">
            <v>3747</v>
          </cell>
          <cell r="D244">
            <v>732000</v>
          </cell>
        </row>
        <row r="245">
          <cell r="A245">
            <v>245</v>
          </cell>
          <cell r="B245">
            <v>18</v>
          </cell>
          <cell r="C245">
            <v>3765</v>
          </cell>
          <cell r="D245">
            <v>735000</v>
          </cell>
        </row>
        <row r="246">
          <cell r="A246">
            <v>246</v>
          </cell>
          <cell r="B246">
            <v>18</v>
          </cell>
          <cell r="C246">
            <v>3783</v>
          </cell>
          <cell r="D246">
            <v>738000</v>
          </cell>
        </row>
        <row r="247">
          <cell r="A247">
            <v>247</v>
          </cell>
          <cell r="B247">
            <v>18</v>
          </cell>
          <cell r="C247">
            <v>3801</v>
          </cell>
          <cell r="D247">
            <v>741000</v>
          </cell>
        </row>
        <row r="248">
          <cell r="A248">
            <v>248</v>
          </cell>
          <cell r="B248">
            <v>18</v>
          </cell>
          <cell r="C248">
            <v>3819</v>
          </cell>
          <cell r="D248">
            <v>744000</v>
          </cell>
        </row>
        <row r="249">
          <cell r="A249">
            <v>249</v>
          </cell>
          <cell r="B249">
            <v>18</v>
          </cell>
          <cell r="C249">
            <v>3837</v>
          </cell>
          <cell r="D249">
            <v>747000</v>
          </cell>
        </row>
        <row r="250">
          <cell r="A250">
            <v>250</v>
          </cell>
          <cell r="B250">
            <v>18</v>
          </cell>
          <cell r="C250">
            <v>3855</v>
          </cell>
          <cell r="D250">
            <v>750000</v>
          </cell>
        </row>
        <row r="251">
          <cell r="A251">
            <v>251</v>
          </cell>
          <cell r="B251">
            <v>18</v>
          </cell>
          <cell r="C251">
            <v>3873</v>
          </cell>
          <cell r="D251">
            <v>753000</v>
          </cell>
        </row>
        <row r="252">
          <cell r="A252">
            <v>252</v>
          </cell>
          <cell r="B252">
            <v>18</v>
          </cell>
          <cell r="C252">
            <v>3891</v>
          </cell>
          <cell r="D252">
            <v>756000</v>
          </cell>
        </row>
        <row r="253">
          <cell r="A253">
            <v>253</v>
          </cell>
          <cell r="B253">
            <v>18</v>
          </cell>
          <cell r="C253">
            <v>3909</v>
          </cell>
          <cell r="D253">
            <v>759000</v>
          </cell>
        </row>
        <row r="254">
          <cell r="A254">
            <v>254</v>
          </cell>
          <cell r="B254">
            <v>18</v>
          </cell>
          <cell r="C254">
            <v>3927</v>
          </cell>
          <cell r="D254">
            <v>762000</v>
          </cell>
        </row>
        <row r="255">
          <cell r="A255">
            <v>255</v>
          </cell>
          <cell r="B255">
            <v>18</v>
          </cell>
          <cell r="C255">
            <v>3945</v>
          </cell>
          <cell r="D255">
            <v>765000</v>
          </cell>
        </row>
        <row r="256">
          <cell r="A256">
            <v>256</v>
          </cell>
          <cell r="B256">
            <v>18</v>
          </cell>
          <cell r="C256">
            <v>3963</v>
          </cell>
          <cell r="D256">
            <v>768000</v>
          </cell>
        </row>
        <row r="257">
          <cell r="A257">
            <v>257</v>
          </cell>
          <cell r="B257">
            <v>18</v>
          </cell>
          <cell r="C257">
            <v>3981</v>
          </cell>
          <cell r="D257">
            <v>771000</v>
          </cell>
        </row>
        <row r="258">
          <cell r="A258">
            <v>258</v>
          </cell>
          <cell r="B258">
            <v>18</v>
          </cell>
          <cell r="C258">
            <v>3999</v>
          </cell>
          <cell r="D258">
            <v>774000</v>
          </cell>
        </row>
        <row r="259">
          <cell r="A259">
            <v>259</v>
          </cell>
          <cell r="B259">
            <v>18</v>
          </cell>
          <cell r="C259">
            <v>4017</v>
          </cell>
          <cell r="D259">
            <v>777000</v>
          </cell>
        </row>
        <row r="260">
          <cell r="A260">
            <v>260</v>
          </cell>
          <cell r="B260">
            <v>18</v>
          </cell>
          <cell r="C260">
            <v>4035</v>
          </cell>
          <cell r="D260">
            <v>780000</v>
          </cell>
        </row>
        <row r="261">
          <cell r="A261">
            <v>261</v>
          </cell>
          <cell r="B261">
            <v>18</v>
          </cell>
          <cell r="C261">
            <v>4053</v>
          </cell>
          <cell r="D261">
            <v>783000</v>
          </cell>
        </row>
        <row r="262">
          <cell r="A262">
            <v>262</v>
          </cell>
          <cell r="B262">
            <v>18</v>
          </cell>
          <cell r="C262">
            <v>4071</v>
          </cell>
          <cell r="D262">
            <v>786000</v>
          </cell>
        </row>
        <row r="263">
          <cell r="A263">
            <v>263</v>
          </cell>
          <cell r="B263">
            <v>18</v>
          </cell>
          <cell r="C263">
            <v>4089</v>
          </cell>
          <cell r="D263">
            <v>789000</v>
          </cell>
        </row>
        <row r="264">
          <cell r="A264">
            <v>264</v>
          </cell>
          <cell r="B264">
            <v>18</v>
          </cell>
          <cell r="C264">
            <v>4107</v>
          </cell>
          <cell r="D264">
            <v>792000</v>
          </cell>
        </row>
        <row r="265">
          <cell r="A265">
            <v>265</v>
          </cell>
          <cell r="B265">
            <v>18</v>
          </cell>
          <cell r="C265">
            <v>4125</v>
          </cell>
          <cell r="D265">
            <v>795000</v>
          </cell>
        </row>
        <row r="266">
          <cell r="A266">
            <v>266</v>
          </cell>
          <cell r="B266">
            <v>18</v>
          </cell>
          <cell r="C266">
            <v>4143</v>
          </cell>
          <cell r="D266">
            <v>798000</v>
          </cell>
        </row>
        <row r="267">
          <cell r="A267">
            <v>267</v>
          </cell>
          <cell r="B267">
            <v>18</v>
          </cell>
          <cell r="C267">
            <v>4161</v>
          </cell>
          <cell r="D267">
            <v>801000</v>
          </cell>
        </row>
        <row r="268">
          <cell r="A268">
            <v>268</v>
          </cell>
          <cell r="B268">
            <v>18</v>
          </cell>
          <cell r="C268">
            <v>4179</v>
          </cell>
          <cell r="D268">
            <v>804000</v>
          </cell>
        </row>
        <row r="269">
          <cell r="A269">
            <v>269</v>
          </cell>
          <cell r="B269">
            <v>18</v>
          </cell>
          <cell r="C269">
            <v>4197</v>
          </cell>
          <cell r="D269">
            <v>807000</v>
          </cell>
        </row>
        <row r="270">
          <cell r="A270">
            <v>270</v>
          </cell>
          <cell r="B270">
            <v>18</v>
          </cell>
          <cell r="C270">
            <v>4215</v>
          </cell>
          <cell r="D270">
            <v>810000</v>
          </cell>
        </row>
        <row r="271">
          <cell r="A271">
            <v>271</v>
          </cell>
          <cell r="B271">
            <v>18</v>
          </cell>
          <cell r="C271">
            <v>4233</v>
          </cell>
          <cell r="D271">
            <v>813000</v>
          </cell>
        </row>
        <row r="272">
          <cell r="A272">
            <v>272</v>
          </cell>
          <cell r="B272">
            <v>18</v>
          </cell>
          <cell r="C272">
            <v>4251</v>
          </cell>
          <cell r="D272">
            <v>816000</v>
          </cell>
        </row>
        <row r="273">
          <cell r="A273">
            <v>273</v>
          </cell>
          <cell r="B273">
            <v>18</v>
          </cell>
          <cell r="C273">
            <v>4269</v>
          </cell>
          <cell r="D273">
            <v>819000</v>
          </cell>
        </row>
        <row r="274">
          <cell r="A274">
            <v>274</v>
          </cell>
          <cell r="B274">
            <v>18</v>
          </cell>
          <cell r="C274">
            <v>4287</v>
          </cell>
          <cell r="D274">
            <v>822000</v>
          </cell>
        </row>
        <row r="275">
          <cell r="A275">
            <v>275</v>
          </cell>
          <cell r="B275">
            <v>18</v>
          </cell>
          <cell r="C275">
            <v>4305</v>
          </cell>
          <cell r="D275">
            <v>825000</v>
          </cell>
        </row>
        <row r="276">
          <cell r="A276">
            <v>276</v>
          </cell>
          <cell r="B276">
            <v>18</v>
          </cell>
          <cell r="C276">
            <v>4323</v>
          </cell>
          <cell r="D276">
            <v>828000</v>
          </cell>
        </row>
        <row r="277">
          <cell r="A277">
            <v>277</v>
          </cell>
          <cell r="B277">
            <v>18</v>
          </cell>
          <cell r="C277">
            <v>4341</v>
          </cell>
          <cell r="D277">
            <v>831000</v>
          </cell>
        </row>
        <row r="278">
          <cell r="A278">
            <v>278</v>
          </cell>
          <cell r="B278">
            <v>18</v>
          </cell>
          <cell r="C278">
            <v>4359</v>
          </cell>
          <cell r="D278">
            <v>834000</v>
          </cell>
        </row>
        <row r="279">
          <cell r="A279">
            <v>279</v>
          </cell>
          <cell r="B279">
            <v>18</v>
          </cell>
          <cell r="C279">
            <v>4377</v>
          </cell>
          <cell r="D279">
            <v>837000</v>
          </cell>
        </row>
        <row r="280">
          <cell r="A280">
            <v>280</v>
          </cell>
          <cell r="B280">
            <v>18</v>
          </cell>
          <cell r="C280">
            <v>4395</v>
          </cell>
          <cell r="D280">
            <v>840000</v>
          </cell>
        </row>
        <row r="281">
          <cell r="A281">
            <v>281</v>
          </cell>
          <cell r="B281">
            <v>18</v>
          </cell>
          <cell r="C281">
            <v>4413</v>
          </cell>
          <cell r="D281">
            <v>843000</v>
          </cell>
        </row>
        <row r="282">
          <cell r="A282">
            <v>282</v>
          </cell>
          <cell r="B282">
            <v>18</v>
          </cell>
          <cell r="C282">
            <v>4431</v>
          </cell>
          <cell r="D282">
            <v>846000</v>
          </cell>
        </row>
        <row r="283">
          <cell r="A283">
            <v>283</v>
          </cell>
          <cell r="B283">
            <v>18</v>
          </cell>
          <cell r="C283">
            <v>4449</v>
          </cell>
          <cell r="D283">
            <v>849000</v>
          </cell>
        </row>
        <row r="284">
          <cell r="A284">
            <v>284</v>
          </cell>
          <cell r="B284">
            <v>18</v>
          </cell>
          <cell r="C284">
            <v>4467</v>
          </cell>
          <cell r="D284">
            <v>852000</v>
          </cell>
        </row>
        <row r="285">
          <cell r="A285">
            <v>285</v>
          </cell>
          <cell r="B285">
            <v>18</v>
          </cell>
          <cell r="C285">
            <v>4485</v>
          </cell>
          <cell r="D285">
            <v>855000</v>
          </cell>
        </row>
        <row r="286">
          <cell r="A286">
            <v>286</v>
          </cell>
          <cell r="B286">
            <v>18</v>
          </cell>
          <cell r="C286">
            <v>4503</v>
          </cell>
          <cell r="D286">
            <v>858000</v>
          </cell>
        </row>
        <row r="287">
          <cell r="A287">
            <v>287</v>
          </cell>
          <cell r="B287">
            <v>18</v>
          </cell>
          <cell r="C287">
            <v>4521</v>
          </cell>
          <cell r="D287">
            <v>861000</v>
          </cell>
        </row>
        <row r="288">
          <cell r="A288">
            <v>288</v>
          </cell>
          <cell r="B288">
            <v>18</v>
          </cell>
          <cell r="C288">
            <v>4539</v>
          </cell>
          <cell r="D288">
            <v>864000</v>
          </cell>
        </row>
        <row r="289">
          <cell r="A289">
            <v>289</v>
          </cell>
          <cell r="B289">
            <v>18</v>
          </cell>
          <cell r="C289">
            <v>4557</v>
          </cell>
          <cell r="D289">
            <v>867000</v>
          </cell>
        </row>
        <row r="290">
          <cell r="A290">
            <v>290</v>
          </cell>
          <cell r="B290">
            <v>18</v>
          </cell>
          <cell r="C290">
            <v>4575</v>
          </cell>
          <cell r="D290">
            <v>870000</v>
          </cell>
        </row>
        <row r="291">
          <cell r="A291">
            <v>291</v>
          </cell>
          <cell r="B291">
            <v>18</v>
          </cell>
          <cell r="C291">
            <v>4593</v>
          </cell>
          <cell r="D291">
            <v>873000</v>
          </cell>
        </row>
        <row r="292">
          <cell r="A292">
            <v>292</v>
          </cell>
          <cell r="B292">
            <v>18</v>
          </cell>
          <cell r="C292">
            <v>4611</v>
          </cell>
          <cell r="D292">
            <v>876000</v>
          </cell>
        </row>
        <row r="293">
          <cell r="A293">
            <v>293</v>
          </cell>
          <cell r="B293">
            <v>18</v>
          </cell>
          <cell r="C293">
            <v>4629</v>
          </cell>
          <cell r="D293">
            <v>879000</v>
          </cell>
        </row>
        <row r="294">
          <cell r="A294">
            <v>294</v>
          </cell>
          <cell r="B294">
            <v>18</v>
          </cell>
          <cell r="C294">
            <v>4647</v>
          </cell>
          <cell r="D294">
            <v>882000</v>
          </cell>
        </row>
        <row r="295">
          <cell r="A295">
            <v>295</v>
          </cell>
          <cell r="B295">
            <v>18</v>
          </cell>
          <cell r="C295">
            <v>4665</v>
          </cell>
          <cell r="D295">
            <v>885000</v>
          </cell>
        </row>
        <row r="296">
          <cell r="A296">
            <v>296</v>
          </cell>
          <cell r="B296">
            <v>18</v>
          </cell>
          <cell r="C296">
            <v>4683</v>
          </cell>
          <cell r="D296">
            <v>888000</v>
          </cell>
        </row>
        <row r="297">
          <cell r="A297">
            <v>297</v>
          </cell>
          <cell r="B297">
            <v>18</v>
          </cell>
          <cell r="C297">
            <v>4701</v>
          </cell>
          <cell r="D297">
            <v>891000</v>
          </cell>
        </row>
        <row r="298">
          <cell r="A298">
            <v>298</v>
          </cell>
          <cell r="B298">
            <v>18</v>
          </cell>
          <cell r="C298">
            <v>4719</v>
          </cell>
          <cell r="D298">
            <v>894000</v>
          </cell>
        </row>
        <row r="299">
          <cell r="A299">
            <v>299</v>
          </cell>
          <cell r="B299">
            <v>18</v>
          </cell>
          <cell r="C299">
            <v>4737</v>
          </cell>
          <cell r="D299">
            <v>897000</v>
          </cell>
        </row>
        <row r="300">
          <cell r="A300">
            <v>300</v>
          </cell>
          <cell r="B300">
            <v>18</v>
          </cell>
          <cell r="C300">
            <v>4755</v>
          </cell>
          <cell r="D300">
            <v>900000</v>
          </cell>
        </row>
        <row r="301">
          <cell r="A301">
            <v>301</v>
          </cell>
          <cell r="B301">
            <v>18</v>
          </cell>
          <cell r="C301">
            <v>4773</v>
          </cell>
          <cell r="D301">
            <v>903000</v>
          </cell>
        </row>
        <row r="302">
          <cell r="A302">
            <v>302</v>
          </cell>
          <cell r="B302">
            <v>18</v>
          </cell>
          <cell r="C302">
            <v>4791</v>
          </cell>
          <cell r="D302">
            <v>906000</v>
          </cell>
        </row>
        <row r="303">
          <cell r="A303">
            <v>303</v>
          </cell>
          <cell r="B303">
            <v>18</v>
          </cell>
          <cell r="C303">
            <v>4809</v>
          </cell>
          <cell r="D303">
            <v>909000</v>
          </cell>
        </row>
        <row r="304">
          <cell r="A304">
            <v>304</v>
          </cell>
          <cell r="B304">
            <v>18</v>
          </cell>
          <cell r="C304">
            <v>4827</v>
          </cell>
          <cell r="D304">
            <v>912000</v>
          </cell>
        </row>
        <row r="305">
          <cell r="A305">
            <v>305</v>
          </cell>
          <cell r="B305">
            <v>18</v>
          </cell>
          <cell r="C305">
            <v>4845</v>
          </cell>
          <cell r="D305">
            <v>915000</v>
          </cell>
        </row>
        <row r="306">
          <cell r="A306">
            <v>306</v>
          </cell>
          <cell r="B306">
            <v>18</v>
          </cell>
          <cell r="C306">
            <v>4863</v>
          </cell>
          <cell r="D306">
            <v>918000</v>
          </cell>
        </row>
        <row r="307">
          <cell r="A307">
            <v>307</v>
          </cell>
          <cell r="B307">
            <v>18</v>
          </cell>
          <cell r="C307">
            <v>4881</v>
          </cell>
          <cell r="D307">
            <v>921000</v>
          </cell>
        </row>
        <row r="308">
          <cell r="A308">
            <v>308</v>
          </cell>
          <cell r="B308">
            <v>18</v>
          </cell>
          <cell r="C308">
            <v>4899</v>
          </cell>
          <cell r="D308">
            <v>924000</v>
          </cell>
        </row>
        <row r="309">
          <cell r="A309">
            <v>309</v>
          </cell>
          <cell r="B309">
            <v>19</v>
          </cell>
          <cell r="C309">
            <v>4918</v>
          </cell>
          <cell r="D309">
            <v>927000</v>
          </cell>
        </row>
        <row r="310">
          <cell r="A310">
            <v>310</v>
          </cell>
          <cell r="B310">
            <v>19</v>
          </cell>
          <cell r="C310">
            <v>4937</v>
          </cell>
          <cell r="D310">
            <v>930000</v>
          </cell>
        </row>
        <row r="311">
          <cell r="A311">
            <v>311</v>
          </cell>
          <cell r="B311">
            <v>19</v>
          </cell>
          <cell r="C311">
            <v>4956</v>
          </cell>
          <cell r="D311">
            <v>933000</v>
          </cell>
        </row>
        <row r="312">
          <cell r="A312">
            <v>312</v>
          </cell>
          <cell r="B312">
            <v>19</v>
          </cell>
          <cell r="C312">
            <v>4975</v>
          </cell>
          <cell r="D312">
            <v>936000</v>
          </cell>
        </row>
        <row r="313">
          <cell r="A313">
            <v>313</v>
          </cell>
          <cell r="B313">
            <v>19</v>
          </cell>
          <cell r="C313">
            <v>4994</v>
          </cell>
          <cell r="D313">
            <v>939000</v>
          </cell>
        </row>
        <row r="314">
          <cell r="A314">
            <v>314</v>
          </cell>
          <cell r="B314">
            <v>19</v>
          </cell>
          <cell r="C314">
            <v>5013</v>
          </cell>
          <cell r="D314">
            <v>942000</v>
          </cell>
        </row>
        <row r="315">
          <cell r="A315">
            <v>315</v>
          </cell>
          <cell r="B315">
            <v>19</v>
          </cell>
          <cell r="C315">
            <v>5032</v>
          </cell>
          <cell r="D315">
            <v>945000</v>
          </cell>
        </row>
        <row r="316">
          <cell r="A316">
            <v>316</v>
          </cell>
          <cell r="B316">
            <v>19</v>
          </cell>
          <cell r="C316">
            <v>5051</v>
          </cell>
          <cell r="D316">
            <v>948000</v>
          </cell>
        </row>
        <row r="317">
          <cell r="A317">
            <v>317</v>
          </cell>
          <cell r="B317">
            <v>19</v>
          </cell>
          <cell r="C317">
            <v>5070</v>
          </cell>
          <cell r="D317">
            <v>951000</v>
          </cell>
        </row>
        <row r="318">
          <cell r="A318">
            <v>318</v>
          </cell>
          <cell r="B318">
            <v>19</v>
          </cell>
          <cell r="C318">
            <v>5089</v>
          </cell>
          <cell r="D318">
            <v>954000</v>
          </cell>
        </row>
        <row r="319">
          <cell r="A319">
            <v>319</v>
          </cell>
          <cell r="B319">
            <v>19</v>
          </cell>
          <cell r="C319">
            <v>5108</v>
          </cell>
          <cell r="D319">
            <v>957000</v>
          </cell>
        </row>
        <row r="320">
          <cell r="A320">
            <v>320</v>
          </cell>
          <cell r="B320">
            <v>19</v>
          </cell>
          <cell r="C320">
            <v>5127</v>
          </cell>
          <cell r="D320">
            <v>960000</v>
          </cell>
        </row>
        <row r="321">
          <cell r="A321">
            <v>321</v>
          </cell>
          <cell r="B321">
            <v>19</v>
          </cell>
          <cell r="C321">
            <v>5146</v>
          </cell>
          <cell r="D321">
            <v>963000</v>
          </cell>
        </row>
        <row r="322">
          <cell r="A322">
            <v>322</v>
          </cell>
          <cell r="B322">
            <v>19</v>
          </cell>
          <cell r="C322">
            <v>5165</v>
          </cell>
          <cell r="D322">
            <v>966000</v>
          </cell>
        </row>
        <row r="323">
          <cell r="A323">
            <v>323</v>
          </cell>
          <cell r="B323">
            <v>19</v>
          </cell>
          <cell r="C323">
            <v>5184</v>
          </cell>
          <cell r="D323">
            <v>969000</v>
          </cell>
        </row>
        <row r="324">
          <cell r="A324">
            <v>324</v>
          </cell>
          <cell r="B324">
            <v>19</v>
          </cell>
          <cell r="C324">
            <v>5203</v>
          </cell>
          <cell r="D324">
            <v>972000</v>
          </cell>
        </row>
        <row r="325">
          <cell r="A325">
            <v>325</v>
          </cell>
          <cell r="B325">
            <v>19</v>
          </cell>
          <cell r="C325">
            <v>5222</v>
          </cell>
          <cell r="D325">
            <v>975000</v>
          </cell>
        </row>
        <row r="326">
          <cell r="A326">
            <v>326</v>
          </cell>
          <cell r="B326">
            <v>19</v>
          </cell>
          <cell r="C326">
            <v>5241</v>
          </cell>
          <cell r="D326">
            <v>978000</v>
          </cell>
        </row>
        <row r="327">
          <cell r="A327">
            <v>327</v>
          </cell>
          <cell r="B327">
            <v>19</v>
          </cell>
          <cell r="C327">
            <v>5260</v>
          </cell>
          <cell r="D327">
            <v>981000</v>
          </cell>
        </row>
        <row r="328">
          <cell r="A328">
            <v>328</v>
          </cell>
          <cell r="B328">
            <v>19</v>
          </cell>
          <cell r="C328">
            <v>5279</v>
          </cell>
          <cell r="D328">
            <v>984000</v>
          </cell>
        </row>
        <row r="329">
          <cell r="A329">
            <v>329</v>
          </cell>
          <cell r="B329">
            <v>19</v>
          </cell>
          <cell r="C329">
            <v>5298</v>
          </cell>
          <cell r="D329">
            <v>987000</v>
          </cell>
        </row>
        <row r="330">
          <cell r="A330">
            <v>330</v>
          </cell>
          <cell r="B330">
            <v>19</v>
          </cell>
          <cell r="C330">
            <v>5317</v>
          </cell>
          <cell r="D330">
            <v>990000</v>
          </cell>
        </row>
        <row r="331">
          <cell r="A331">
            <v>331</v>
          </cell>
          <cell r="B331">
            <v>19</v>
          </cell>
          <cell r="C331">
            <v>5336</v>
          </cell>
          <cell r="D331">
            <v>993000</v>
          </cell>
        </row>
        <row r="332">
          <cell r="A332">
            <v>332</v>
          </cell>
          <cell r="B332">
            <v>19</v>
          </cell>
          <cell r="C332">
            <v>5355</v>
          </cell>
          <cell r="D332">
            <v>996000</v>
          </cell>
        </row>
        <row r="333">
          <cell r="A333">
            <v>333</v>
          </cell>
          <cell r="B333">
            <v>19</v>
          </cell>
          <cell r="C333">
            <v>5374</v>
          </cell>
          <cell r="D333">
            <v>999000</v>
          </cell>
        </row>
        <row r="334">
          <cell r="A334">
            <v>334</v>
          </cell>
          <cell r="B334">
            <v>19</v>
          </cell>
          <cell r="C334">
            <v>5393</v>
          </cell>
          <cell r="D334">
            <v>1002000</v>
          </cell>
        </row>
        <row r="335">
          <cell r="A335">
            <v>335</v>
          </cell>
          <cell r="B335">
            <v>19</v>
          </cell>
          <cell r="C335">
            <v>5412</v>
          </cell>
          <cell r="D335">
            <v>1005000</v>
          </cell>
        </row>
        <row r="336">
          <cell r="A336">
            <v>336</v>
          </cell>
          <cell r="B336">
            <v>19</v>
          </cell>
          <cell r="C336">
            <v>5431</v>
          </cell>
          <cell r="D336">
            <v>1008000</v>
          </cell>
        </row>
        <row r="337">
          <cell r="A337">
            <v>337</v>
          </cell>
          <cell r="B337">
            <v>19</v>
          </cell>
          <cell r="C337">
            <v>5450</v>
          </cell>
          <cell r="D337">
            <v>1011000</v>
          </cell>
        </row>
        <row r="338">
          <cell r="A338">
            <v>338</v>
          </cell>
          <cell r="B338">
            <v>19</v>
          </cell>
          <cell r="C338">
            <v>5469</v>
          </cell>
          <cell r="D338">
            <v>1014000</v>
          </cell>
        </row>
        <row r="339">
          <cell r="A339">
            <v>339</v>
          </cell>
          <cell r="B339">
            <v>19</v>
          </cell>
          <cell r="C339">
            <v>5488</v>
          </cell>
          <cell r="D339">
            <v>1017000</v>
          </cell>
        </row>
        <row r="340">
          <cell r="A340">
            <v>340</v>
          </cell>
          <cell r="B340">
            <v>19</v>
          </cell>
          <cell r="C340">
            <v>5507</v>
          </cell>
          <cell r="D340">
            <v>1020000</v>
          </cell>
        </row>
        <row r="341">
          <cell r="A341">
            <v>341</v>
          </cell>
          <cell r="B341">
            <v>19</v>
          </cell>
          <cell r="C341">
            <v>5526</v>
          </cell>
          <cell r="D341">
            <v>1023000</v>
          </cell>
        </row>
        <row r="342">
          <cell r="A342">
            <v>342</v>
          </cell>
          <cell r="B342">
            <v>19</v>
          </cell>
          <cell r="C342">
            <v>5545</v>
          </cell>
          <cell r="D342">
            <v>1026000</v>
          </cell>
        </row>
        <row r="343">
          <cell r="A343">
            <v>343</v>
          </cell>
          <cell r="B343">
            <v>19</v>
          </cell>
          <cell r="C343">
            <v>5564</v>
          </cell>
          <cell r="D343">
            <v>1029000</v>
          </cell>
        </row>
        <row r="344">
          <cell r="A344">
            <v>344</v>
          </cell>
          <cell r="B344">
            <v>19</v>
          </cell>
          <cell r="C344">
            <v>5583</v>
          </cell>
          <cell r="D344">
            <v>1032000</v>
          </cell>
        </row>
        <row r="345">
          <cell r="A345">
            <v>345</v>
          </cell>
          <cell r="B345">
            <v>19</v>
          </cell>
          <cell r="C345">
            <v>5602</v>
          </cell>
          <cell r="D345">
            <v>1035000</v>
          </cell>
        </row>
        <row r="346">
          <cell r="A346">
            <v>346</v>
          </cell>
          <cell r="B346">
            <v>19</v>
          </cell>
          <cell r="C346">
            <v>5621</v>
          </cell>
          <cell r="D346">
            <v>1038000</v>
          </cell>
        </row>
        <row r="347">
          <cell r="A347">
            <v>347</v>
          </cell>
          <cell r="B347">
            <v>19</v>
          </cell>
          <cell r="C347">
            <v>5640</v>
          </cell>
          <cell r="D347">
            <v>1041000</v>
          </cell>
        </row>
        <row r="348">
          <cell r="A348">
            <v>348</v>
          </cell>
          <cell r="B348">
            <v>19</v>
          </cell>
          <cell r="C348">
            <v>5659</v>
          </cell>
          <cell r="D348">
            <v>1044000</v>
          </cell>
        </row>
        <row r="349">
          <cell r="A349">
            <v>349</v>
          </cell>
          <cell r="B349">
            <v>19</v>
          </cell>
          <cell r="C349">
            <v>5678</v>
          </cell>
          <cell r="D349">
            <v>1047000</v>
          </cell>
        </row>
        <row r="350">
          <cell r="A350">
            <v>350</v>
          </cell>
          <cell r="B350">
            <v>19</v>
          </cell>
          <cell r="C350">
            <v>5697</v>
          </cell>
          <cell r="D350">
            <v>1050000</v>
          </cell>
        </row>
        <row r="351">
          <cell r="A351">
            <v>351</v>
          </cell>
          <cell r="B351">
            <v>19</v>
          </cell>
          <cell r="C351">
            <v>5716</v>
          </cell>
          <cell r="D351">
            <v>1053000</v>
          </cell>
        </row>
        <row r="352">
          <cell r="A352">
            <v>352</v>
          </cell>
          <cell r="B352">
            <v>19</v>
          </cell>
          <cell r="C352">
            <v>5735</v>
          </cell>
          <cell r="D352">
            <v>1056000</v>
          </cell>
        </row>
        <row r="353">
          <cell r="A353">
            <v>353</v>
          </cell>
          <cell r="B353">
            <v>19</v>
          </cell>
          <cell r="C353">
            <v>5754</v>
          </cell>
          <cell r="D353">
            <v>1059000</v>
          </cell>
        </row>
        <row r="354">
          <cell r="A354">
            <v>354</v>
          </cell>
          <cell r="B354">
            <v>19</v>
          </cell>
          <cell r="C354">
            <v>5773</v>
          </cell>
          <cell r="D354">
            <v>1062000</v>
          </cell>
        </row>
        <row r="355">
          <cell r="A355">
            <v>355</v>
          </cell>
          <cell r="B355">
            <v>19</v>
          </cell>
          <cell r="C355">
            <v>5792</v>
          </cell>
          <cell r="D355">
            <v>1065000</v>
          </cell>
        </row>
        <row r="356">
          <cell r="A356">
            <v>356</v>
          </cell>
          <cell r="B356">
            <v>19</v>
          </cell>
          <cell r="C356">
            <v>5811</v>
          </cell>
          <cell r="D356">
            <v>1068000</v>
          </cell>
        </row>
        <row r="357">
          <cell r="A357">
            <v>357</v>
          </cell>
          <cell r="B357">
            <v>19</v>
          </cell>
          <cell r="C357">
            <v>5830</v>
          </cell>
          <cell r="D357">
            <v>1071000</v>
          </cell>
        </row>
        <row r="358">
          <cell r="A358">
            <v>358</v>
          </cell>
          <cell r="B358">
            <v>19</v>
          </cell>
          <cell r="C358">
            <v>5849</v>
          </cell>
          <cell r="D358">
            <v>1074000</v>
          </cell>
        </row>
        <row r="359">
          <cell r="A359">
            <v>359</v>
          </cell>
          <cell r="B359">
            <v>19</v>
          </cell>
          <cell r="C359">
            <v>5868</v>
          </cell>
          <cell r="D359">
            <v>1077000</v>
          </cell>
        </row>
        <row r="360">
          <cell r="A360">
            <v>360</v>
          </cell>
          <cell r="B360">
            <v>19</v>
          </cell>
          <cell r="C360">
            <v>5887</v>
          </cell>
          <cell r="D360">
            <v>1080000</v>
          </cell>
        </row>
        <row r="361">
          <cell r="A361">
            <v>361</v>
          </cell>
          <cell r="B361">
            <v>19</v>
          </cell>
          <cell r="C361">
            <v>5906</v>
          </cell>
          <cell r="D361">
            <v>1083000</v>
          </cell>
        </row>
        <row r="362">
          <cell r="A362">
            <v>362</v>
          </cell>
          <cell r="B362">
            <v>19</v>
          </cell>
          <cell r="C362">
            <v>5925</v>
          </cell>
          <cell r="D362">
            <v>1086000</v>
          </cell>
        </row>
        <row r="363">
          <cell r="A363">
            <v>363</v>
          </cell>
          <cell r="B363">
            <v>19</v>
          </cell>
          <cell r="C363">
            <v>5944</v>
          </cell>
          <cell r="D363">
            <v>1089000</v>
          </cell>
        </row>
        <row r="364">
          <cell r="A364">
            <v>364</v>
          </cell>
          <cell r="B364">
            <v>19</v>
          </cell>
          <cell r="C364">
            <v>5963</v>
          </cell>
          <cell r="D364">
            <v>1092000</v>
          </cell>
        </row>
        <row r="365">
          <cell r="A365">
            <v>365</v>
          </cell>
          <cell r="B365">
            <v>19</v>
          </cell>
          <cell r="C365">
            <v>5982</v>
          </cell>
          <cell r="D365">
            <v>1095000</v>
          </cell>
        </row>
        <row r="366">
          <cell r="A366">
            <v>366</v>
          </cell>
          <cell r="B366">
            <v>19</v>
          </cell>
          <cell r="C366">
            <v>6001</v>
          </cell>
          <cell r="D366">
            <v>1098000</v>
          </cell>
        </row>
        <row r="367">
          <cell r="A367">
            <v>367</v>
          </cell>
          <cell r="B367">
            <v>19</v>
          </cell>
          <cell r="C367">
            <v>6020</v>
          </cell>
          <cell r="D367">
            <v>1101000</v>
          </cell>
        </row>
        <row r="368">
          <cell r="A368">
            <v>368</v>
          </cell>
          <cell r="B368">
            <v>19</v>
          </cell>
          <cell r="C368">
            <v>6039</v>
          </cell>
          <cell r="D368">
            <v>1104000</v>
          </cell>
        </row>
        <row r="369">
          <cell r="A369">
            <v>369</v>
          </cell>
          <cell r="B369">
            <v>19</v>
          </cell>
          <cell r="C369">
            <v>6058</v>
          </cell>
          <cell r="D369">
            <v>1107000</v>
          </cell>
        </row>
        <row r="370">
          <cell r="A370">
            <v>370</v>
          </cell>
          <cell r="B370">
            <v>19</v>
          </cell>
          <cell r="C370">
            <v>6077</v>
          </cell>
          <cell r="D370">
            <v>1110000</v>
          </cell>
        </row>
        <row r="371">
          <cell r="A371">
            <v>371</v>
          </cell>
          <cell r="B371">
            <v>19</v>
          </cell>
          <cell r="C371">
            <v>6096</v>
          </cell>
          <cell r="D371">
            <v>1113000</v>
          </cell>
        </row>
        <row r="372">
          <cell r="A372">
            <v>372</v>
          </cell>
          <cell r="B372">
            <v>19</v>
          </cell>
          <cell r="C372">
            <v>6115</v>
          </cell>
          <cell r="D372">
            <v>1116000</v>
          </cell>
        </row>
        <row r="373">
          <cell r="A373">
            <v>373</v>
          </cell>
          <cell r="B373">
            <v>19</v>
          </cell>
          <cell r="C373">
            <v>6134</v>
          </cell>
          <cell r="D373">
            <v>1119000</v>
          </cell>
        </row>
        <row r="374">
          <cell r="A374">
            <v>374</v>
          </cell>
          <cell r="B374">
            <v>19</v>
          </cell>
          <cell r="C374">
            <v>6153</v>
          </cell>
          <cell r="D374">
            <v>1122000</v>
          </cell>
        </row>
        <row r="375">
          <cell r="A375">
            <v>375</v>
          </cell>
          <cell r="B375">
            <v>19</v>
          </cell>
          <cell r="C375">
            <v>6172</v>
          </cell>
          <cell r="D375">
            <v>1125000</v>
          </cell>
        </row>
        <row r="376">
          <cell r="A376">
            <v>376</v>
          </cell>
          <cell r="B376">
            <v>19</v>
          </cell>
          <cell r="C376">
            <v>6191</v>
          </cell>
          <cell r="D376">
            <v>1128000</v>
          </cell>
        </row>
        <row r="377">
          <cell r="A377">
            <v>377</v>
          </cell>
          <cell r="B377">
            <v>19</v>
          </cell>
          <cell r="C377">
            <v>6210</v>
          </cell>
          <cell r="D377">
            <v>1131000</v>
          </cell>
        </row>
        <row r="378">
          <cell r="A378">
            <v>378</v>
          </cell>
          <cell r="B378">
            <v>19</v>
          </cell>
          <cell r="C378">
            <v>6229</v>
          </cell>
          <cell r="D378">
            <v>1134000</v>
          </cell>
        </row>
        <row r="379">
          <cell r="A379">
            <v>379</v>
          </cell>
          <cell r="B379">
            <v>19</v>
          </cell>
          <cell r="C379">
            <v>6248</v>
          </cell>
          <cell r="D379">
            <v>1137000</v>
          </cell>
        </row>
        <row r="380">
          <cell r="A380">
            <v>380</v>
          </cell>
          <cell r="B380">
            <v>19</v>
          </cell>
          <cell r="C380">
            <v>6267</v>
          </cell>
          <cell r="D380">
            <v>1140000</v>
          </cell>
        </row>
        <row r="381">
          <cell r="A381">
            <v>381</v>
          </cell>
          <cell r="B381">
            <v>19</v>
          </cell>
          <cell r="C381">
            <v>6286</v>
          </cell>
          <cell r="D381">
            <v>1143000</v>
          </cell>
        </row>
        <row r="382">
          <cell r="A382">
            <v>382</v>
          </cell>
          <cell r="B382">
            <v>19</v>
          </cell>
          <cell r="C382">
            <v>6305</v>
          </cell>
          <cell r="D382">
            <v>1146000</v>
          </cell>
        </row>
        <row r="383">
          <cell r="A383">
            <v>383</v>
          </cell>
          <cell r="B383">
            <v>19</v>
          </cell>
          <cell r="C383">
            <v>6324</v>
          </cell>
          <cell r="D383">
            <v>1149000</v>
          </cell>
        </row>
        <row r="384">
          <cell r="A384">
            <v>384</v>
          </cell>
          <cell r="B384">
            <v>19</v>
          </cell>
          <cell r="C384">
            <v>6343</v>
          </cell>
          <cell r="D384">
            <v>1152000</v>
          </cell>
        </row>
        <row r="385">
          <cell r="A385">
            <v>385</v>
          </cell>
          <cell r="B385">
            <v>19</v>
          </cell>
          <cell r="C385">
            <v>6362</v>
          </cell>
          <cell r="D385">
            <v>1155000</v>
          </cell>
        </row>
        <row r="386">
          <cell r="A386">
            <v>386</v>
          </cell>
          <cell r="B386">
            <v>19</v>
          </cell>
          <cell r="C386">
            <v>6381</v>
          </cell>
          <cell r="D386">
            <v>1158000</v>
          </cell>
        </row>
        <row r="387">
          <cell r="A387">
            <v>387</v>
          </cell>
          <cell r="B387">
            <v>19</v>
          </cell>
          <cell r="C387">
            <v>6400</v>
          </cell>
          <cell r="D387">
            <v>1161000</v>
          </cell>
        </row>
        <row r="388">
          <cell r="A388">
            <v>388</v>
          </cell>
          <cell r="B388">
            <v>19</v>
          </cell>
          <cell r="C388">
            <v>6419</v>
          </cell>
          <cell r="D388">
            <v>1164000</v>
          </cell>
        </row>
        <row r="389">
          <cell r="A389">
            <v>389</v>
          </cell>
          <cell r="B389">
            <v>19</v>
          </cell>
          <cell r="C389">
            <v>6438</v>
          </cell>
          <cell r="D389">
            <v>1167000</v>
          </cell>
        </row>
        <row r="390">
          <cell r="A390">
            <v>390</v>
          </cell>
          <cell r="B390">
            <v>19</v>
          </cell>
          <cell r="C390">
            <v>6457</v>
          </cell>
          <cell r="D390">
            <v>1170000</v>
          </cell>
        </row>
        <row r="391">
          <cell r="A391">
            <v>391</v>
          </cell>
          <cell r="B391">
            <v>19</v>
          </cell>
          <cell r="C391">
            <v>6476</v>
          </cell>
          <cell r="D391">
            <v>1173000</v>
          </cell>
        </row>
        <row r="392">
          <cell r="A392">
            <v>392</v>
          </cell>
          <cell r="B392">
            <v>19</v>
          </cell>
          <cell r="C392">
            <v>6495</v>
          </cell>
          <cell r="D392">
            <v>1176000</v>
          </cell>
        </row>
        <row r="393">
          <cell r="A393">
            <v>393</v>
          </cell>
          <cell r="B393">
            <v>19</v>
          </cell>
          <cell r="C393">
            <v>6514</v>
          </cell>
          <cell r="D393">
            <v>1179000</v>
          </cell>
        </row>
        <row r="394">
          <cell r="A394">
            <v>394</v>
          </cell>
          <cell r="B394">
            <v>19</v>
          </cell>
          <cell r="C394">
            <v>6533</v>
          </cell>
          <cell r="D394">
            <v>1182000</v>
          </cell>
        </row>
        <row r="395">
          <cell r="A395">
            <v>395</v>
          </cell>
          <cell r="B395">
            <v>19</v>
          </cell>
          <cell r="C395">
            <v>6552</v>
          </cell>
          <cell r="D395">
            <v>1185000</v>
          </cell>
        </row>
        <row r="396">
          <cell r="A396">
            <v>396</v>
          </cell>
          <cell r="B396">
            <v>19</v>
          </cell>
          <cell r="C396">
            <v>6571</v>
          </cell>
          <cell r="D396">
            <v>1188000</v>
          </cell>
        </row>
        <row r="397">
          <cell r="A397">
            <v>397</v>
          </cell>
          <cell r="B397">
            <v>19</v>
          </cell>
          <cell r="C397">
            <v>6590</v>
          </cell>
          <cell r="D397">
            <v>1191000</v>
          </cell>
        </row>
        <row r="398">
          <cell r="A398">
            <v>398</v>
          </cell>
          <cell r="B398">
            <v>19</v>
          </cell>
          <cell r="C398">
            <v>6609</v>
          </cell>
          <cell r="D398">
            <v>1194000</v>
          </cell>
        </row>
        <row r="399">
          <cell r="A399">
            <v>399</v>
          </cell>
          <cell r="B399">
            <v>19</v>
          </cell>
          <cell r="C399">
            <v>6628</v>
          </cell>
          <cell r="D399">
            <v>1197000</v>
          </cell>
        </row>
        <row r="400">
          <cell r="A400">
            <v>400</v>
          </cell>
          <cell r="B400">
            <v>19</v>
          </cell>
          <cell r="C400">
            <v>6647</v>
          </cell>
          <cell r="D400">
            <v>1200000</v>
          </cell>
        </row>
        <row r="401">
          <cell r="A401">
            <v>401</v>
          </cell>
          <cell r="B401">
            <v>19</v>
          </cell>
          <cell r="C401">
            <v>6666</v>
          </cell>
          <cell r="D401">
            <v>1203000</v>
          </cell>
        </row>
        <row r="402">
          <cell r="A402">
            <v>402</v>
          </cell>
          <cell r="B402">
            <v>19</v>
          </cell>
          <cell r="C402">
            <v>6685</v>
          </cell>
          <cell r="D402">
            <v>1206000</v>
          </cell>
        </row>
        <row r="403">
          <cell r="A403">
            <v>403</v>
          </cell>
          <cell r="B403">
            <v>19</v>
          </cell>
          <cell r="C403">
            <v>6704</v>
          </cell>
          <cell r="D403">
            <v>1209000</v>
          </cell>
        </row>
        <row r="404">
          <cell r="A404">
            <v>404</v>
          </cell>
          <cell r="B404">
            <v>19</v>
          </cell>
          <cell r="C404">
            <v>6723</v>
          </cell>
          <cell r="D404">
            <v>1212000</v>
          </cell>
        </row>
        <row r="405">
          <cell r="A405">
            <v>405</v>
          </cell>
          <cell r="B405">
            <v>19</v>
          </cell>
          <cell r="C405">
            <v>6742</v>
          </cell>
          <cell r="D405">
            <v>1215000</v>
          </cell>
        </row>
        <row r="406">
          <cell r="A406">
            <v>406</v>
          </cell>
          <cell r="B406">
            <v>19</v>
          </cell>
          <cell r="C406">
            <v>6761</v>
          </cell>
          <cell r="D406">
            <v>1218000</v>
          </cell>
        </row>
        <row r="407">
          <cell r="A407">
            <v>407</v>
          </cell>
          <cell r="B407">
            <v>19</v>
          </cell>
          <cell r="C407">
            <v>6780</v>
          </cell>
          <cell r="D407">
            <v>1221000</v>
          </cell>
        </row>
        <row r="408">
          <cell r="A408">
            <v>408</v>
          </cell>
          <cell r="B408">
            <v>19</v>
          </cell>
          <cell r="C408">
            <v>6799</v>
          </cell>
          <cell r="D408">
            <v>1224000</v>
          </cell>
        </row>
        <row r="409">
          <cell r="A409">
            <v>409</v>
          </cell>
          <cell r="B409">
            <v>19</v>
          </cell>
          <cell r="C409">
            <v>6818</v>
          </cell>
          <cell r="D409">
            <v>1227000</v>
          </cell>
        </row>
        <row r="410">
          <cell r="A410">
            <v>410</v>
          </cell>
          <cell r="B410">
            <v>19</v>
          </cell>
          <cell r="C410">
            <v>6837</v>
          </cell>
          <cell r="D410">
            <v>1230000</v>
          </cell>
        </row>
        <row r="411">
          <cell r="A411">
            <v>411</v>
          </cell>
          <cell r="B411">
            <v>19</v>
          </cell>
          <cell r="C411">
            <v>6856</v>
          </cell>
          <cell r="D411">
            <v>1233000</v>
          </cell>
        </row>
        <row r="412">
          <cell r="A412">
            <v>412</v>
          </cell>
          <cell r="B412">
            <v>19</v>
          </cell>
          <cell r="C412">
            <v>6875</v>
          </cell>
          <cell r="D412">
            <v>1236000</v>
          </cell>
        </row>
        <row r="413">
          <cell r="A413">
            <v>413</v>
          </cell>
          <cell r="B413">
            <v>19</v>
          </cell>
          <cell r="C413">
            <v>6894</v>
          </cell>
          <cell r="D413">
            <v>1239000</v>
          </cell>
        </row>
        <row r="414">
          <cell r="A414">
            <v>414</v>
          </cell>
          <cell r="B414">
            <v>19</v>
          </cell>
          <cell r="C414">
            <v>6913</v>
          </cell>
          <cell r="D414">
            <v>1242000</v>
          </cell>
        </row>
        <row r="415">
          <cell r="A415">
            <v>415</v>
          </cell>
          <cell r="B415">
            <v>19</v>
          </cell>
          <cell r="C415">
            <v>6932</v>
          </cell>
          <cell r="D415">
            <v>1245000</v>
          </cell>
        </row>
        <row r="416">
          <cell r="A416">
            <v>416</v>
          </cell>
          <cell r="B416">
            <v>20</v>
          </cell>
          <cell r="C416">
            <v>6952</v>
          </cell>
          <cell r="D416">
            <v>1248000</v>
          </cell>
        </row>
        <row r="417">
          <cell r="A417">
            <v>417</v>
          </cell>
          <cell r="B417">
            <v>20</v>
          </cell>
          <cell r="C417">
            <v>6972</v>
          </cell>
          <cell r="D417">
            <v>1251000</v>
          </cell>
        </row>
        <row r="418">
          <cell r="A418">
            <v>418</v>
          </cell>
          <cell r="B418">
            <v>20</v>
          </cell>
          <cell r="C418">
            <v>6992</v>
          </cell>
          <cell r="D418">
            <v>1254000</v>
          </cell>
        </row>
        <row r="419">
          <cell r="A419">
            <v>419</v>
          </cell>
          <cell r="B419">
            <v>20</v>
          </cell>
          <cell r="C419">
            <v>7012</v>
          </cell>
          <cell r="D419">
            <v>1257000</v>
          </cell>
        </row>
        <row r="420">
          <cell r="A420">
            <v>420</v>
          </cell>
          <cell r="B420">
            <v>20</v>
          </cell>
          <cell r="C420">
            <v>7032</v>
          </cell>
          <cell r="D420">
            <v>1260000</v>
          </cell>
        </row>
        <row r="421">
          <cell r="A421">
            <v>421</v>
          </cell>
          <cell r="B421">
            <v>20</v>
          </cell>
          <cell r="C421">
            <v>7052</v>
          </cell>
          <cell r="D421">
            <v>1263000</v>
          </cell>
        </row>
        <row r="422">
          <cell r="A422">
            <v>422</v>
          </cell>
          <cell r="B422">
            <v>20</v>
          </cell>
          <cell r="C422">
            <v>7072</v>
          </cell>
          <cell r="D422">
            <v>1266000</v>
          </cell>
        </row>
        <row r="423">
          <cell r="A423">
            <v>423</v>
          </cell>
          <cell r="B423">
            <v>20</v>
          </cell>
          <cell r="C423">
            <v>7092</v>
          </cell>
          <cell r="D423">
            <v>1269000</v>
          </cell>
        </row>
        <row r="424">
          <cell r="A424">
            <v>424</v>
          </cell>
          <cell r="B424">
            <v>20</v>
          </cell>
          <cell r="C424">
            <v>7112</v>
          </cell>
          <cell r="D424">
            <v>1272000</v>
          </cell>
        </row>
        <row r="425">
          <cell r="A425">
            <v>425</v>
          </cell>
          <cell r="B425">
            <v>20</v>
          </cell>
          <cell r="C425">
            <v>7132</v>
          </cell>
          <cell r="D425">
            <v>1275000</v>
          </cell>
        </row>
        <row r="426">
          <cell r="A426">
            <v>426</v>
          </cell>
          <cell r="B426">
            <v>20</v>
          </cell>
          <cell r="C426">
            <v>7152</v>
          </cell>
          <cell r="D426">
            <v>1278000</v>
          </cell>
        </row>
        <row r="427">
          <cell r="A427">
            <v>427</v>
          </cell>
          <cell r="B427">
            <v>20</v>
          </cell>
          <cell r="C427">
            <v>7172</v>
          </cell>
          <cell r="D427">
            <v>1281000</v>
          </cell>
        </row>
        <row r="428">
          <cell r="A428">
            <v>428</v>
          </cell>
          <cell r="B428">
            <v>20</v>
          </cell>
          <cell r="C428">
            <v>7192</v>
          </cell>
          <cell r="D428">
            <v>1284000</v>
          </cell>
        </row>
        <row r="429">
          <cell r="A429">
            <v>429</v>
          </cell>
          <cell r="B429">
            <v>20</v>
          </cell>
          <cell r="C429">
            <v>7212</v>
          </cell>
          <cell r="D429">
            <v>1287000</v>
          </cell>
        </row>
        <row r="430">
          <cell r="A430">
            <v>430</v>
          </cell>
          <cell r="B430">
            <v>20</v>
          </cell>
          <cell r="C430">
            <v>7232</v>
          </cell>
          <cell r="D430">
            <v>1290000</v>
          </cell>
        </row>
        <row r="431">
          <cell r="A431">
            <v>431</v>
          </cell>
          <cell r="B431">
            <v>20</v>
          </cell>
          <cell r="C431">
            <v>7252</v>
          </cell>
          <cell r="D431">
            <v>1293000</v>
          </cell>
        </row>
        <row r="432">
          <cell r="A432">
            <v>432</v>
          </cell>
          <cell r="B432">
            <v>20</v>
          </cell>
          <cell r="C432">
            <v>7272</v>
          </cell>
          <cell r="D432">
            <v>1296000</v>
          </cell>
        </row>
        <row r="433">
          <cell r="A433">
            <v>433</v>
          </cell>
          <cell r="B433">
            <v>20</v>
          </cell>
          <cell r="C433">
            <v>7292</v>
          </cell>
          <cell r="D433">
            <v>1299000</v>
          </cell>
        </row>
        <row r="434">
          <cell r="A434">
            <v>434</v>
          </cell>
          <cell r="B434">
            <v>20</v>
          </cell>
          <cell r="C434">
            <v>7312</v>
          </cell>
          <cell r="D434">
            <v>1302000</v>
          </cell>
        </row>
        <row r="435">
          <cell r="A435">
            <v>435</v>
          </cell>
          <cell r="B435">
            <v>20</v>
          </cell>
          <cell r="C435">
            <v>7332</v>
          </cell>
          <cell r="D435">
            <v>1305000</v>
          </cell>
        </row>
        <row r="436">
          <cell r="A436">
            <v>436</v>
          </cell>
          <cell r="B436">
            <v>20</v>
          </cell>
          <cell r="C436">
            <v>7352</v>
          </cell>
          <cell r="D436">
            <v>1308000</v>
          </cell>
        </row>
        <row r="437">
          <cell r="A437">
            <v>437</v>
          </cell>
          <cell r="B437">
            <v>20</v>
          </cell>
          <cell r="C437">
            <v>7372</v>
          </cell>
          <cell r="D437">
            <v>1311000</v>
          </cell>
        </row>
        <row r="438">
          <cell r="A438">
            <v>438</v>
          </cell>
          <cell r="B438">
            <v>20</v>
          </cell>
          <cell r="C438">
            <v>7392</v>
          </cell>
          <cell r="D438">
            <v>1314000</v>
          </cell>
        </row>
        <row r="439">
          <cell r="A439">
            <v>439</v>
          </cell>
          <cell r="B439">
            <v>20</v>
          </cell>
          <cell r="C439">
            <v>7412</v>
          </cell>
          <cell r="D439">
            <v>1317000</v>
          </cell>
        </row>
        <row r="440">
          <cell r="A440">
            <v>440</v>
          </cell>
          <cell r="B440">
            <v>20</v>
          </cell>
          <cell r="C440">
            <v>7432</v>
          </cell>
          <cell r="D440">
            <v>1320000</v>
          </cell>
        </row>
        <row r="441">
          <cell r="A441">
            <v>441</v>
          </cell>
          <cell r="B441">
            <v>20</v>
          </cell>
          <cell r="C441">
            <v>7452</v>
          </cell>
          <cell r="D441">
            <v>1323000</v>
          </cell>
        </row>
        <row r="442">
          <cell r="A442">
            <v>442</v>
          </cell>
          <cell r="B442">
            <v>20</v>
          </cell>
          <cell r="C442">
            <v>7472</v>
          </cell>
          <cell r="D442">
            <v>1326000</v>
          </cell>
        </row>
        <row r="443">
          <cell r="A443">
            <v>443</v>
          </cell>
          <cell r="B443">
            <v>20</v>
          </cell>
          <cell r="C443">
            <v>7492</v>
          </cell>
          <cell r="D443">
            <v>1329000</v>
          </cell>
        </row>
        <row r="444">
          <cell r="A444">
            <v>444</v>
          </cell>
          <cell r="B444">
            <v>20</v>
          </cell>
          <cell r="C444">
            <v>7512</v>
          </cell>
          <cell r="D444">
            <v>1332000</v>
          </cell>
        </row>
        <row r="445">
          <cell r="A445">
            <v>445</v>
          </cell>
          <cell r="B445">
            <v>20</v>
          </cell>
          <cell r="C445">
            <v>7532</v>
          </cell>
          <cell r="D445">
            <v>1335000</v>
          </cell>
        </row>
        <row r="446">
          <cell r="A446">
            <v>446</v>
          </cell>
          <cell r="B446">
            <v>20</v>
          </cell>
          <cell r="C446">
            <v>7552</v>
          </cell>
          <cell r="D446">
            <v>1338000</v>
          </cell>
        </row>
        <row r="447">
          <cell r="A447">
            <v>447</v>
          </cell>
          <cell r="B447">
            <v>20</v>
          </cell>
          <cell r="C447">
            <v>7572</v>
          </cell>
          <cell r="D447">
            <v>1341000</v>
          </cell>
        </row>
        <row r="448">
          <cell r="A448">
            <v>448</v>
          </cell>
          <cell r="B448">
            <v>20</v>
          </cell>
          <cell r="C448">
            <v>7592</v>
          </cell>
          <cell r="D448">
            <v>1344000</v>
          </cell>
        </row>
        <row r="449">
          <cell r="A449">
            <v>449</v>
          </cell>
          <cell r="B449">
            <v>20</v>
          </cell>
          <cell r="C449">
            <v>7612</v>
          </cell>
          <cell r="D449">
            <v>1347000</v>
          </cell>
        </row>
        <row r="450">
          <cell r="A450">
            <v>450</v>
          </cell>
          <cell r="B450">
            <v>20</v>
          </cell>
          <cell r="C450">
            <v>7632</v>
          </cell>
          <cell r="D450">
            <v>1350000</v>
          </cell>
        </row>
        <row r="451">
          <cell r="A451">
            <v>451</v>
          </cell>
          <cell r="B451">
            <v>20</v>
          </cell>
          <cell r="C451">
            <v>7652</v>
          </cell>
          <cell r="D451">
            <v>1353000</v>
          </cell>
        </row>
        <row r="452">
          <cell r="A452">
            <v>452</v>
          </cell>
          <cell r="B452">
            <v>20</v>
          </cell>
          <cell r="C452">
            <v>7672</v>
          </cell>
          <cell r="D452">
            <v>1356000</v>
          </cell>
        </row>
        <row r="453">
          <cell r="A453">
            <v>453</v>
          </cell>
          <cell r="B453">
            <v>20</v>
          </cell>
          <cell r="C453">
            <v>7692</v>
          </cell>
          <cell r="D453">
            <v>1359000</v>
          </cell>
        </row>
        <row r="454">
          <cell r="A454">
            <v>454</v>
          </cell>
          <cell r="B454">
            <v>20</v>
          </cell>
          <cell r="C454">
            <v>7712</v>
          </cell>
          <cell r="D454">
            <v>1362000</v>
          </cell>
        </row>
        <row r="455">
          <cell r="A455">
            <v>455</v>
          </cell>
          <cell r="B455">
            <v>20</v>
          </cell>
          <cell r="C455">
            <v>7732</v>
          </cell>
          <cell r="D455">
            <v>1365000</v>
          </cell>
        </row>
        <row r="456">
          <cell r="A456">
            <v>456</v>
          </cell>
          <cell r="B456">
            <v>20</v>
          </cell>
          <cell r="C456">
            <v>7752</v>
          </cell>
          <cell r="D456">
            <v>1368000</v>
          </cell>
        </row>
        <row r="457">
          <cell r="A457">
            <v>457</v>
          </cell>
          <cell r="B457">
            <v>20</v>
          </cell>
          <cell r="C457">
            <v>7772</v>
          </cell>
          <cell r="D457">
            <v>1371000</v>
          </cell>
        </row>
        <row r="458">
          <cell r="A458">
            <v>458</v>
          </cell>
          <cell r="B458">
            <v>20</v>
          </cell>
          <cell r="C458">
            <v>7792</v>
          </cell>
          <cell r="D458">
            <v>1374000</v>
          </cell>
        </row>
        <row r="459">
          <cell r="A459">
            <v>459</v>
          </cell>
          <cell r="B459">
            <v>20</v>
          </cell>
          <cell r="C459">
            <v>7812</v>
          </cell>
          <cell r="D459">
            <v>1377000</v>
          </cell>
        </row>
        <row r="460">
          <cell r="A460">
            <v>460</v>
          </cell>
          <cell r="B460">
            <v>20</v>
          </cell>
          <cell r="C460">
            <v>7832</v>
          </cell>
          <cell r="D460">
            <v>1380000</v>
          </cell>
        </row>
        <row r="461">
          <cell r="A461">
            <v>461</v>
          </cell>
          <cell r="B461">
            <v>20</v>
          </cell>
          <cell r="C461">
            <v>7852</v>
          </cell>
          <cell r="D461">
            <v>1383000</v>
          </cell>
        </row>
        <row r="462">
          <cell r="A462">
            <v>462</v>
          </cell>
          <cell r="B462">
            <v>20</v>
          </cell>
          <cell r="C462">
            <v>7872</v>
          </cell>
          <cell r="D462">
            <v>1386000</v>
          </cell>
        </row>
        <row r="463">
          <cell r="A463">
            <v>463</v>
          </cell>
          <cell r="B463">
            <v>20</v>
          </cell>
          <cell r="C463">
            <v>7892</v>
          </cell>
          <cell r="D463">
            <v>1389000</v>
          </cell>
        </row>
        <row r="464">
          <cell r="A464">
            <v>464</v>
          </cell>
          <cell r="B464">
            <v>20</v>
          </cell>
          <cell r="C464">
            <v>7912</v>
          </cell>
          <cell r="D464">
            <v>1392000</v>
          </cell>
        </row>
        <row r="465">
          <cell r="A465">
            <v>465</v>
          </cell>
          <cell r="B465">
            <v>20</v>
          </cell>
          <cell r="C465">
            <v>7932</v>
          </cell>
          <cell r="D465">
            <v>1395000</v>
          </cell>
        </row>
        <row r="466">
          <cell r="A466">
            <v>466</v>
          </cell>
          <cell r="B466">
            <v>20</v>
          </cell>
          <cell r="C466">
            <v>7952</v>
          </cell>
          <cell r="D466">
            <v>1398000</v>
          </cell>
        </row>
        <row r="467">
          <cell r="A467">
            <v>467</v>
          </cell>
          <cell r="B467">
            <v>20</v>
          </cell>
          <cell r="C467">
            <v>7972</v>
          </cell>
          <cell r="D467">
            <v>1401000</v>
          </cell>
        </row>
        <row r="468">
          <cell r="A468">
            <v>468</v>
          </cell>
          <cell r="B468">
            <v>20</v>
          </cell>
          <cell r="C468">
            <v>7992</v>
          </cell>
          <cell r="D468">
            <v>1404000</v>
          </cell>
        </row>
        <row r="469">
          <cell r="A469">
            <v>469</v>
          </cell>
          <cell r="B469">
            <v>20</v>
          </cell>
          <cell r="C469">
            <v>8012</v>
          </cell>
          <cell r="D469">
            <v>1407000</v>
          </cell>
        </row>
        <row r="470">
          <cell r="A470">
            <v>470</v>
          </cell>
          <cell r="B470">
            <v>20</v>
          </cell>
          <cell r="C470">
            <v>8032</v>
          </cell>
          <cell r="D470">
            <v>1410000</v>
          </cell>
        </row>
        <row r="471">
          <cell r="A471">
            <v>471</v>
          </cell>
          <cell r="B471">
            <v>20</v>
          </cell>
          <cell r="C471">
            <v>8052</v>
          </cell>
          <cell r="D471">
            <v>1413000</v>
          </cell>
        </row>
        <row r="472">
          <cell r="A472">
            <v>472</v>
          </cell>
          <cell r="B472">
            <v>20</v>
          </cell>
          <cell r="C472">
            <v>8072</v>
          </cell>
          <cell r="D472">
            <v>1416000</v>
          </cell>
        </row>
        <row r="473">
          <cell r="A473">
            <v>473</v>
          </cell>
          <cell r="B473">
            <v>20</v>
          </cell>
          <cell r="C473">
            <v>8092</v>
          </cell>
          <cell r="D473">
            <v>1419000</v>
          </cell>
        </row>
        <row r="474">
          <cell r="A474">
            <v>474</v>
          </cell>
          <cell r="B474">
            <v>20</v>
          </cell>
          <cell r="C474">
            <v>8112</v>
          </cell>
          <cell r="D474">
            <v>1422000</v>
          </cell>
        </row>
        <row r="475">
          <cell r="A475">
            <v>475</v>
          </cell>
          <cell r="B475">
            <v>20</v>
          </cell>
          <cell r="C475">
            <v>8132</v>
          </cell>
          <cell r="D475">
            <v>1425000</v>
          </cell>
        </row>
        <row r="476">
          <cell r="A476">
            <v>476</v>
          </cell>
          <cell r="B476">
            <v>20</v>
          </cell>
          <cell r="C476">
            <v>8152</v>
          </cell>
          <cell r="D476">
            <v>1428000</v>
          </cell>
        </row>
        <row r="477">
          <cell r="A477">
            <v>477</v>
          </cell>
          <cell r="B477">
            <v>20</v>
          </cell>
          <cell r="C477">
            <v>8172</v>
          </cell>
          <cell r="D477">
            <v>1431000</v>
          </cell>
        </row>
        <row r="478">
          <cell r="A478">
            <v>478</v>
          </cell>
          <cell r="B478">
            <v>20</v>
          </cell>
          <cell r="C478">
            <v>8192</v>
          </cell>
          <cell r="D478">
            <v>1434000</v>
          </cell>
        </row>
        <row r="479">
          <cell r="A479">
            <v>479</v>
          </cell>
          <cell r="B479">
            <v>20</v>
          </cell>
          <cell r="C479">
            <v>8212</v>
          </cell>
          <cell r="D479">
            <v>1437000</v>
          </cell>
        </row>
        <row r="480">
          <cell r="A480">
            <v>480</v>
          </cell>
          <cell r="B480">
            <v>20</v>
          </cell>
          <cell r="C480">
            <v>8232</v>
          </cell>
          <cell r="D480">
            <v>1440000</v>
          </cell>
        </row>
        <row r="481">
          <cell r="A481">
            <v>481</v>
          </cell>
          <cell r="B481">
            <v>20</v>
          </cell>
          <cell r="C481">
            <v>8252</v>
          </cell>
          <cell r="D481">
            <v>1443000</v>
          </cell>
        </row>
        <row r="482">
          <cell r="A482">
            <v>482</v>
          </cell>
          <cell r="B482">
            <v>20</v>
          </cell>
          <cell r="C482">
            <v>8272</v>
          </cell>
          <cell r="D482">
            <v>1446000</v>
          </cell>
        </row>
        <row r="483">
          <cell r="A483">
            <v>483</v>
          </cell>
          <cell r="B483">
            <v>20</v>
          </cell>
          <cell r="C483">
            <v>8292</v>
          </cell>
          <cell r="D483">
            <v>1449000</v>
          </cell>
        </row>
        <row r="484">
          <cell r="A484">
            <v>484</v>
          </cell>
          <cell r="B484">
            <v>20</v>
          </cell>
          <cell r="C484">
            <v>8312</v>
          </cell>
          <cell r="D484">
            <v>1452000</v>
          </cell>
        </row>
        <row r="485">
          <cell r="A485">
            <v>485</v>
          </cell>
          <cell r="B485">
            <v>20</v>
          </cell>
          <cell r="C485">
            <v>8332</v>
          </cell>
          <cell r="D485">
            <v>1455000</v>
          </cell>
        </row>
        <row r="486">
          <cell r="A486">
            <v>486</v>
          </cell>
          <cell r="B486">
            <v>20</v>
          </cell>
          <cell r="C486">
            <v>8352</v>
          </cell>
          <cell r="D486">
            <v>1458000</v>
          </cell>
        </row>
        <row r="487">
          <cell r="A487">
            <v>487</v>
          </cell>
          <cell r="B487">
            <v>20</v>
          </cell>
          <cell r="C487">
            <v>8372</v>
          </cell>
          <cell r="D487">
            <v>1461000</v>
          </cell>
        </row>
        <row r="488">
          <cell r="A488">
            <v>488</v>
          </cell>
          <cell r="B488">
            <v>20</v>
          </cell>
          <cell r="C488">
            <v>8392</v>
          </cell>
          <cell r="D488">
            <v>1464000</v>
          </cell>
        </row>
        <row r="489">
          <cell r="A489">
            <v>489</v>
          </cell>
          <cell r="B489">
            <v>20</v>
          </cell>
          <cell r="C489">
            <v>8412</v>
          </cell>
          <cell r="D489">
            <v>1467000</v>
          </cell>
        </row>
        <row r="490">
          <cell r="A490">
            <v>490</v>
          </cell>
          <cell r="B490">
            <v>20</v>
          </cell>
          <cell r="C490">
            <v>8432</v>
          </cell>
          <cell r="D490">
            <v>1470000</v>
          </cell>
        </row>
        <row r="491">
          <cell r="A491">
            <v>491</v>
          </cell>
          <cell r="B491">
            <v>20</v>
          </cell>
          <cell r="C491">
            <v>8452</v>
          </cell>
          <cell r="D491">
            <v>1473000</v>
          </cell>
        </row>
        <row r="492">
          <cell r="A492">
            <v>492</v>
          </cell>
          <cell r="B492">
            <v>20</v>
          </cell>
          <cell r="C492">
            <v>8472</v>
          </cell>
          <cell r="D492">
            <v>1476000</v>
          </cell>
        </row>
        <row r="493">
          <cell r="A493">
            <v>493</v>
          </cell>
          <cell r="B493">
            <v>20</v>
          </cell>
          <cell r="C493">
            <v>8492</v>
          </cell>
          <cell r="D493">
            <v>1479000</v>
          </cell>
        </row>
        <row r="494">
          <cell r="A494">
            <v>494</v>
          </cell>
          <cell r="B494">
            <v>20</v>
          </cell>
          <cell r="C494">
            <v>8512</v>
          </cell>
          <cell r="D494">
            <v>1482000</v>
          </cell>
        </row>
        <row r="495">
          <cell r="A495">
            <v>495</v>
          </cell>
          <cell r="B495">
            <v>20</v>
          </cell>
          <cell r="C495">
            <v>8532</v>
          </cell>
          <cell r="D495">
            <v>1485000</v>
          </cell>
        </row>
        <row r="496">
          <cell r="A496">
            <v>496</v>
          </cell>
          <cell r="B496">
            <v>20</v>
          </cell>
          <cell r="C496">
            <v>8552</v>
          </cell>
          <cell r="D496">
            <v>1488000</v>
          </cell>
        </row>
        <row r="497">
          <cell r="A497">
            <v>497</v>
          </cell>
          <cell r="B497">
            <v>20</v>
          </cell>
          <cell r="C497">
            <v>8572</v>
          </cell>
          <cell r="D497">
            <v>1491000</v>
          </cell>
        </row>
        <row r="498">
          <cell r="A498">
            <v>498</v>
          </cell>
          <cell r="B498">
            <v>20</v>
          </cell>
          <cell r="C498">
            <v>8592</v>
          </cell>
          <cell r="D498">
            <v>1494000</v>
          </cell>
        </row>
        <row r="499">
          <cell r="A499">
            <v>499</v>
          </cell>
          <cell r="B499">
            <v>20</v>
          </cell>
          <cell r="C499">
            <v>8612</v>
          </cell>
          <cell r="D499">
            <v>1497000</v>
          </cell>
        </row>
        <row r="500">
          <cell r="A500">
            <v>500</v>
          </cell>
          <cell r="B500">
            <v>20</v>
          </cell>
          <cell r="C500">
            <v>8632</v>
          </cell>
          <cell r="D500">
            <v>1500000</v>
          </cell>
        </row>
        <row r="501">
          <cell r="A501">
            <v>501</v>
          </cell>
          <cell r="B501">
            <v>20</v>
          </cell>
          <cell r="C501">
            <v>8652</v>
          </cell>
          <cell r="D501">
            <v>1503000</v>
          </cell>
        </row>
        <row r="502">
          <cell r="A502">
            <v>502</v>
          </cell>
          <cell r="B502">
            <v>20</v>
          </cell>
          <cell r="C502">
            <v>8672</v>
          </cell>
          <cell r="D502">
            <v>1506000</v>
          </cell>
        </row>
        <row r="503">
          <cell r="A503">
            <v>503</v>
          </cell>
          <cell r="B503">
            <v>20</v>
          </cell>
          <cell r="C503">
            <v>8692</v>
          </cell>
          <cell r="D503">
            <v>1509000</v>
          </cell>
        </row>
        <row r="504">
          <cell r="A504">
            <v>504</v>
          </cell>
          <cell r="B504">
            <v>20</v>
          </cell>
          <cell r="C504">
            <v>8712</v>
          </cell>
          <cell r="D504">
            <v>1512000</v>
          </cell>
        </row>
        <row r="505">
          <cell r="A505">
            <v>505</v>
          </cell>
          <cell r="B505">
            <v>20</v>
          </cell>
          <cell r="C505">
            <v>8732</v>
          </cell>
          <cell r="D505">
            <v>1515000</v>
          </cell>
        </row>
        <row r="506">
          <cell r="A506">
            <v>506</v>
          </cell>
          <cell r="B506">
            <v>20</v>
          </cell>
          <cell r="C506">
            <v>8752</v>
          </cell>
          <cell r="D506">
            <v>1518000</v>
          </cell>
        </row>
        <row r="507">
          <cell r="A507">
            <v>507</v>
          </cell>
          <cell r="B507">
            <v>20</v>
          </cell>
          <cell r="C507">
            <v>8772</v>
          </cell>
          <cell r="D507">
            <v>1521000</v>
          </cell>
        </row>
        <row r="508">
          <cell r="A508">
            <v>508</v>
          </cell>
          <cell r="B508">
            <v>20</v>
          </cell>
          <cell r="C508">
            <v>8792</v>
          </cell>
          <cell r="D508">
            <v>1524000</v>
          </cell>
        </row>
        <row r="509">
          <cell r="A509">
            <v>509</v>
          </cell>
          <cell r="B509">
            <v>20</v>
          </cell>
          <cell r="C509">
            <v>8812</v>
          </cell>
          <cell r="D509">
            <v>1527000</v>
          </cell>
        </row>
        <row r="510">
          <cell r="A510">
            <v>510</v>
          </cell>
          <cell r="B510">
            <v>20</v>
          </cell>
          <cell r="C510">
            <v>8832</v>
          </cell>
          <cell r="D510">
            <v>1530000</v>
          </cell>
        </row>
        <row r="511">
          <cell r="A511">
            <v>511</v>
          </cell>
          <cell r="B511">
            <v>20</v>
          </cell>
          <cell r="C511">
            <v>8852</v>
          </cell>
          <cell r="D511">
            <v>1533000</v>
          </cell>
        </row>
        <row r="512">
          <cell r="A512">
            <v>512</v>
          </cell>
          <cell r="B512">
            <v>20</v>
          </cell>
          <cell r="C512">
            <v>8872</v>
          </cell>
          <cell r="D512">
            <v>1536000</v>
          </cell>
        </row>
        <row r="513">
          <cell r="A513">
            <v>513</v>
          </cell>
          <cell r="B513">
            <v>20</v>
          </cell>
          <cell r="C513">
            <v>8892</v>
          </cell>
          <cell r="D513">
            <v>1539000</v>
          </cell>
        </row>
        <row r="514">
          <cell r="A514">
            <v>514</v>
          </cell>
          <cell r="B514">
            <v>20</v>
          </cell>
          <cell r="C514">
            <v>8912</v>
          </cell>
          <cell r="D514">
            <v>1542000</v>
          </cell>
        </row>
        <row r="515">
          <cell r="A515">
            <v>515</v>
          </cell>
          <cell r="B515">
            <v>20</v>
          </cell>
          <cell r="C515">
            <v>8932</v>
          </cell>
          <cell r="D515">
            <v>1545000</v>
          </cell>
        </row>
        <row r="516">
          <cell r="A516">
            <v>516</v>
          </cell>
          <cell r="B516">
            <v>20</v>
          </cell>
          <cell r="C516">
            <v>8952</v>
          </cell>
          <cell r="D516">
            <v>1548000</v>
          </cell>
        </row>
        <row r="517">
          <cell r="A517">
            <v>517</v>
          </cell>
          <cell r="B517">
            <v>20</v>
          </cell>
          <cell r="C517">
            <v>8972</v>
          </cell>
          <cell r="D517">
            <v>1551000</v>
          </cell>
        </row>
        <row r="518">
          <cell r="A518">
            <v>518</v>
          </cell>
          <cell r="B518">
            <v>20</v>
          </cell>
          <cell r="C518">
            <v>8992</v>
          </cell>
          <cell r="D518">
            <v>1554000</v>
          </cell>
        </row>
        <row r="519">
          <cell r="A519">
            <v>519</v>
          </cell>
          <cell r="B519">
            <v>20</v>
          </cell>
          <cell r="C519">
            <v>9012</v>
          </cell>
          <cell r="D519">
            <v>1557000</v>
          </cell>
        </row>
        <row r="520">
          <cell r="A520">
            <v>520</v>
          </cell>
          <cell r="B520">
            <v>20</v>
          </cell>
          <cell r="C520">
            <v>9032</v>
          </cell>
          <cell r="D520">
            <v>1560000</v>
          </cell>
        </row>
        <row r="521">
          <cell r="A521">
            <v>521</v>
          </cell>
          <cell r="B521">
            <v>20</v>
          </cell>
          <cell r="C521">
            <v>9052</v>
          </cell>
          <cell r="D521">
            <v>1563000</v>
          </cell>
        </row>
        <row r="522">
          <cell r="A522">
            <v>522</v>
          </cell>
          <cell r="B522">
            <v>20</v>
          </cell>
          <cell r="C522">
            <v>9072</v>
          </cell>
          <cell r="D522">
            <v>1566000</v>
          </cell>
        </row>
        <row r="523">
          <cell r="A523">
            <v>523</v>
          </cell>
          <cell r="B523">
            <v>20</v>
          </cell>
          <cell r="C523">
            <v>9092</v>
          </cell>
          <cell r="D523">
            <v>1569000</v>
          </cell>
        </row>
        <row r="524">
          <cell r="A524">
            <v>524</v>
          </cell>
          <cell r="B524">
            <v>20</v>
          </cell>
          <cell r="C524">
            <v>9112</v>
          </cell>
          <cell r="D524">
            <v>1572000</v>
          </cell>
        </row>
        <row r="525">
          <cell r="A525">
            <v>525</v>
          </cell>
          <cell r="B525">
            <v>20</v>
          </cell>
          <cell r="C525">
            <v>9132</v>
          </cell>
          <cell r="D525">
            <v>1575000</v>
          </cell>
        </row>
        <row r="526">
          <cell r="A526">
            <v>526</v>
          </cell>
          <cell r="B526">
            <v>20</v>
          </cell>
          <cell r="C526">
            <v>9152</v>
          </cell>
          <cell r="D526">
            <v>1578000</v>
          </cell>
        </row>
        <row r="527">
          <cell r="A527">
            <v>527</v>
          </cell>
          <cell r="B527">
            <v>20</v>
          </cell>
          <cell r="C527">
            <v>9172</v>
          </cell>
          <cell r="D527">
            <v>1581000</v>
          </cell>
        </row>
        <row r="528">
          <cell r="A528">
            <v>528</v>
          </cell>
          <cell r="B528">
            <v>20</v>
          </cell>
          <cell r="C528">
            <v>9192</v>
          </cell>
          <cell r="D528">
            <v>1584000</v>
          </cell>
        </row>
        <row r="529">
          <cell r="A529">
            <v>529</v>
          </cell>
          <cell r="B529">
            <v>20</v>
          </cell>
          <cell r="C529">
            <v>9212</v>
          </cell>
          <cell r="D529">
            <v>1587000</v>
          </cell>
        </row>
        <row r="530">
          <cell r="A530">
            <v>530</v>
          </cell>
          <cell r="B530">
            <v>20</v>
          </cell>
          <cell r="C530">
            <v>9232</v>
          </cell>
          <cell r="D530">
            <v>1590000</v>
          </cell>
        </row>
        <row r="531">
          <cell r="A531">
            <v>531</v>
          </cell>
          <cell r="B531">
            <v>20</v>
          </cell>
          <cell r="C531">
            <v>9252</v>
          </cell>
          <cell r="D531">
            <v>1593000</v>
          </cell>
        </row>
        <row r="532">
          <cell r="A532">
            <v>532</v>
          </cell>
          <cell r="B532">
            <v>20</v>
          </cell>
          <cell r="C532">
            <v>9272</v>
          </cell>
          <cell r="D532">
            <v>1596000</v>
          </cell>
        </row>
        <row r="533">
          <cell r="A533">
            <v>533</v>
          </cell>
          <cell r="B533">
            <v>20</v>
          </cell>
          <cell r="C533">
            <v>9292</v>
          </cell>
          <cell r="D533">
            <v>1599000</v>
          </cell>
        </row>
        <row r="534">
          <cell r="A534">
            <v>534</v>
          </cell>
          <cell r="B534">
            <v>20</v>
          </cell>
          <cell r="C534">
            <v>9312</v>
          </cell>
          <cell r="D534">
            <v>1602000</v>
          </cell>
        </row>
        <row r="535">
          <cell r="A535">
            <v>535</v>
          </cell>
          <cell r="B535">
            <v>20</v>
          </cell>
          <cell r="C535">
            <v>9332</v>
          </cell>
          <cell r="D535">
            <v>1605000</v>
          </cell>
        </row>
        <row r="536">
          <cell r="A536">
            <v>536</v>
          </cell>
          <cell r="B536">
            <v>20</v>
          </cell>
          <cell r="C536">
            <v>9352</v>
          </cell>
          <cell r="D536">
            <v>1608000</v>
          </cell>
        </row>
        <row r="537">
          <cell r="A537">
            <v>537</v>
          </cell>
          <cell r="B537">
            <v>20</v>
          </cell>
          <cell r="C537">
            <v>9372</v>
          </cell>
          <cell r="D537">
            <v>1611000</v>
          </cell>
        </row>
        <row r="538">
          <cell r="A538">
            <v>538</v>
          </cell>
          <cell r="B538">
            <v>20</v>
          </cell>
          <cell r="C538">
            <v>9392</v>
          </cell>
          <cell r="D538">
            <v>1614000</v>
          </cell>
        </row>
        <row r="539">
          <cell r="A539">
            <v>539</v>
          </cell>
          <cell r="B539">
            <v>20</v>
          </cell>
          <cell r="C539">
            <v>9412</v>
          </cell>
          <cell r="D539">
            <v>1617000</v>
          </cell>
        </row>
        <row r="540">
          <cell r="A540">
            <v>540</v>
          </cell>
          <cell r="B540">
            <v>20</v>
          </cell>
          <cell r="C540">
            <v>9432</v>
          </cell>
          <cell r="D540">
            <v>1620000</v>
          </cell>
        </row>
        <row r="541">
          <cell r="A541">
            <v>541</v>
          </cell>
          <cell r="B541">
            <v>20</v>
          </cell>
          <cell r="C541">
            <v>9452</v>
          </cell>
          <cell r="D541">
            <v>1623000</v>
          </cell>
        </row>
        <row r="542">
          <cell r="A542">
            <v>542</v>
          </cell>
          <cell r="B542">
            <v>20</v>
          </cell>
          <cell r="C542">
            <v>9472</v>
          </cell>
          <cell r="D542">
            <v>1626000</v>
          </cell>
        </row>
        <row r="543">
          <cell r="A543">
            <v>543</v>
          </cell>
          <cell r="B543">
            <v>20</v>
          </cell>
          <cell r="C543">
            <v>9492</v>
          </cell>
          <cell r="D543">
            <v>1629000</v>
          </cell>
        </row>
        <row r="544">
          <cell r="A544">
            <v>544</v>
          </cell>
          <cell r="B544">
            <v>20</v>
          </cell>
          <cell r="C544">
            <v>9512</v>
          </cell>
          <cell r="D544">
            <v>1632000</v>
          </cell>
        </row>
        <row r="545">
          <cell r="A545">
            <v>545</v>
          </cell>
          <cell r="B545">
            <v>20</v>
          </cell>
          <cell r="C545">
            <v>9532</v>
          </cell>
          <cell r="D545">
            <v>1635000</v>
          </cell>
        </row>
        <row r="546">
          <cell r="A546">
            <v>546</v>
          </cell>
          <cell r="B546">
            <v>20</v>
          </cell>
          <cell r="C546">
            <v>9552</v>
          </cell>
          <cell r="D546">
            <v>1638000</v>
          </cell>
        </row>
        <row r="547">
          <cell r="A547">
            <v>547</v>
          </cell>
          <cell r="B547">
            <v>20</v>
          </cell>
          <cell r="C547">
            <v>9572</v>
          </cell>
          <cell r="D547">
            <v>1641000</v>
          </cell>
        </row>
        <row r="548">
          <cell r="A548">
            <v>548</v>
          </cell>
          <cell r="B548">
            <v>20</v>
          </cell>
          <cell r="C548">
            <v>9592</v>
          </cell>
          <cell r="D548">
            <v>1644000</v>
          </cell>
        </row>
        <row r="549">
          <cell r="A549">
            <v>549</v>
          </cell>
          <cell r="B549">
            <v>20</v>
          </cell>
          <cell r="C549">
            <v>9612</v>
          </cell>
          <cell r="D549">
            <v>1647000</v>
          </cell>
        </row>
        <row r="550">
          <cell r="A550">
            <v>550</v>
          </cell>
          <cell r="B550">
            <v>20</v>
          </cell>
          <cell r="C550">
            <v>9632</v>
          </cell>
          <cell r="D550">
            <v>1650000</v>
          </cell>
        </row>
        <row r="551">
          <cell r="A551">
            <v>551</v>
          </cell>
          <cell r="B551">
            <v>20</v>
          </cell>
          <cell r="C551">
            <v>9652</v>
          </cell>
          <cell r="D551">
            <v>1653000</v>
          </cell>
        </row>
        <row r="552">
          <cell r="A552">
            <v>552</v>
          </cell>
          <cell r="B552">
            <v>20</v>
          </cell>
          <cell r="C552">
            <v>9672</v>
          </cell>
          <cell r="D552">
            <v>1656000</v>
          </cell>
        </row>
        <row r="553">
          <cell r="A553">
            <v>553</v>
          </cell>
          <cell r="B553">
            <v>20</v>
          </cell>
          <cell r="C553">
            <v>9692</v>
          </cell>
          <cell r="D553">
            <v>1659000</v>
          </cell>
        </row>
        <row r="554">
          <cell r="A554">
            <v>554</v>
          </cell>
          <cell r="B554">
            <v>20</v>
          </cell>
          <cell r="C554">
            <v>9712</v>
          </cell>
          <cell r="D554">
            <v>1662000</v>
          </cell>
        </row>
        <row r="555">
          <cell r="A555">
            <v>555</v>
          </cell>
          <cell r="B555">
            <v>20</v>
          </cell>
          <cell r="C555">
            <v>9732</v>
          </cell>
          <cell r="D555">
            <v>1665000</v>
          </cell>
        </row>
        <row r="556">
          <cell r="A556">
            <v>556</v>
          </cell>
          <cell r="B556">
            <v>20</v>
          </cell>
          <cell r="C556">
            <v>9752</v>
          </cell>
          <cell r="D556">
            <v>1668000</v>
          </cell>
        </row>
        <row r="557">
          <cell r="A557">
            <v>557</v>
          </cell>
          <cell r="B557">
            <v>20</v>
          </cell>
          <cell r="C557">
            <v>9772</v>
          </cell>
          <cell r="D557">
            <v>1671000</v>
          </cell>
        </row>
        <row r="558">
          <cell r="A558">
            <v>558</v>
          </cell>
          <cell r="B558">
            <v>20</v>
          </cell>
          <cell r="C558">
            <v>9792</v>
          </cell>
          <cell r="D558">
            <v>1674000</v>
          </cell>
        </row>
        <row r="559">
          <cell r="A559">
            <v>559</v>
          </cell>
          <cell r="B559">
            <v>20</v>
          </cell>
          <cell r="C559">
            <v>9812</v>
          </cell>
          <cell r="D559">
            <v>1677000</v>
          </cell>
        </row>
        <row r="560">
          <cell r="A560">
            <v>560</v>
          </cell>
          <cell r="B560">
            <v>20</v>
          </cell>
          <cell r="C560">
            <v>9832</v>
          </cell>
          <cell r="D560">
            <v>1680000</v>
          </cell>
        </row>
        <row r="561">
          <cell r="A561">
            <v>561</v>
          </cell>
          <cell r="B561">
            <v>20</v>
          </cell>
          <cell r="C561">
            <v>9852</v>
          </cell>
          <cell r="D561">
            <v>1683000</v>
          </cell>
        </row>
        <row r="562">
          <cell r="A562">
            <v>562</v>
          </cell>
          <cell r="B562">
            <v>20</v>
          </cell>
          <cell r="C562">
            <v>9872</v>
          </cell>
          <cell r="D562">
            <v>1686000</v>
          </cell>
        </row>
        <row r="563">
          <cell r="A563">
            <v>563</v>
          </cell>
          <cell r="B563">
            <v>20</v>
          </cell>
          <cell r="C563">
            <v>9892</v>
          </cell>
          <cell r="D563">
            <v>1689000</v>
          </cell>
        </row>
        <row r="564">
          <cell r="A564">
            <v>564</v>
          </cell>
          <cell r="B564">
            <v>20</v>
          </cell>
          <cell r="C564">
            <v>9912</v>
          </cell>
          <cell r="D564">
            <v>1692000</v>
          </cell>
        </row>
        <row r="565">
          <cell r="A565">
            <v>565</v>
          </cell>
          <cell r="B565">
            <v>20</v>
          </cell>
          <cell r="C565">
            <v>9932</v>
          </cell>
          <cell r="D565">
            <v>1695000</v>
          </cell>
        </row>
        <row r="566">
          <cell r="A566">
            <v>566</v>
          </cell>
          <cell r="B566">
            <v>20</v>
          </cell>
          <cell r="C566">
            <v>9952</v>
          </cell>
          <cell r="D566">
            <v>1698000</v>
          </cell>
        </row>
        <row r="567">
          <cell r="A567">
            <v>567</v>
          </cell>
          <cell r="B567">
            <v>20</v>
          </cell>
          <cell r="C567">
            <v>9972</v>
          </cell>
          <cell r="D567">
            <v>1701000</v>
          </cell>
        </row>
        <row r="568">
          <cell r="A568">
            <v>568</v>
          </cell>
          <cell r="B568">
            <v>20</v>
          </cell>
          <cell r="C568">
            <v>9992</v>
          </cell>
          <cell r="D568">
            <v>1704000</v>
          </cell>
        </row>
        <row r="569">
          <cell r="A569">
            <v>569</v>
          </cell>
          <cell r="B569">
            <v>21</v>
          </cell>
          <cell r="C569">
            <v>10013</v>
          </cell>
          <cell r="D569">
            <v>1707000</v>
          </cell>
        </row>
        <row r="570">
          <cell r="A570">
            <v>570</v>
          </cell>
          <cell r="B570">
            <v>21</v>
          </cell>
          <cell r="C570">
            <v>10034</v>
          </cell>
          <cell r="D570">
            <v>1710000</v>
          </cell>
        </row>
        <row r="571">
          <cell r="A571">
            <v>571</v>
          </cell>
          <cell r="B571">
            <v>21</v>
          </cell>
          <cell r="C571">
            <v>10055</v>
          </cell>
          <cell r="D571">
            <v>1713000</v>
          </cell>
        </row>
        <row r="572">
          <cell r="A572">
            <v>572</v>
          </cell>
          <cell r="B572">
            <v>21</v>
          </cell>
          <cell r="C572">
            <v>10076</v>
          </cell>
          <cell r="D572">
            <v>1716000</v>
          </cell>
        </row>
        <row r="573">
          <cell r="A573">
            <v>573</v>
          </cell>
          <cell r="B573">
            <v>21</v>
          </cell>
          <cell r="C573">
            <v>10097</v>
          </cell>
          <cell r="D573">
            <v>1719000</v>
          </cell>
        </row>
        <row r="574">
          <cell r="A574">
            <v>574</v>
          </cell>
          <cell r="B574">
            <v>21</v>
          </cell>
          <cell r="C574">
            <v>10118</v>
          </cell>
          <cell r="D574">
            <v>1722000</v>
          </cell>
        </row>
        <row r="575">
          <cell r="A575">
            <v>575</v>
          </cell>
          <cell r="B575">
            <v>21</v>
          </cell>
          <cell r="C575">
            <v>10139</v>
          </cell>
          <cell r="D575">
            <v>1725000</v>
          </cell>
        </row>
        <row r="576">
          <cell r="A576">
            <v>576</v>
          </cell>
          <cell r="B576">
            <v>21</v>
          </cell>
          <cell r="C576">
            <v>10160</v>
          </cell>
          <cell r="D576">
            <v>1728000</v>
          </cell>
        </row>
        <row r="577">
          <cell r="A577">
            <v>577</v>
          </cell>
          <cell r="B577">
            <v>21</v>
          </cell>
          <cell r="C577">
            <v>10181</v>
          </cell>
          <cell r="D577">
            <v>1731000</v>
          </cell>
        </row>
        <row r="578">
          <cell r="A578">
            <v>578</v>
          </cell>
          <cell r="B578">
            <v>21</v>
          </cell>
          <cell r="C578">
            <v>10202</v>
          </cell>
          <cell r="D578">
            <v>1734000</v>
          </cell>
        </row>
        <row r="579">
          <cell r="A579">
            <v>579</v>
          </cell>
          <cell r="B579">
            <v>21</v>
          </cell>
          <cell r="C579">
            <v>10223</v>
          </cell>
          <cell r="D579">
            <v>1737000</v>
          </cell>
        </row>
        <row r="580">
          <cell r="A580">
            <v>580</v>
          </cell>
          <cell r="B580">
            <v>21</v>
          </cell>
          <cell r="C580">
            <v>10244</v>
          </cell>
          <cell r="D580">
            <v>1740000</v>
          </cell>
        </row>
        <row r="581">
          <cell r="A581">
            <v>581</v>
          </cell>
          <cell r="B581">
            <v>21</v>
          </cell>
          <cell r="C581">
            <v>10265</v>
          </cell>
          <cell r="D581">
            <v>1743000</v>
          </cell>
        </row>
        <row r="582">
          <cell r="A582">
            <v>582</v>
          </cell>
          <cell r="B582">
            <v>21</v>
          </cell>
          <cell r="C582">
            <v>10286</v>
          </cell>
          <cell r="D582">
            <v>1746000</v>
          </cell>
        </row>
        <row r="583">
          <cell r="A583">
            <v>583</v>
          </cell>
          <cell r="B583">
            <v>21</v>
          </cell>
          <cell r="C583">
            <v>10307</v>
          </cell>
          <cell r="D583">
            <v>1749000</v>
          </cell>
        </row>
        <row r="584">
          <cell r="A584">
            <v>584</v>
          </cell>
          <cell r="B584">
            <v>21</v>
          </cell>
          <cell r="C584">
            <v>10328</v>
          </cell>
          <cell r="D584">
            <v>1752000</v>
          </cell>
        </row>
        <row r="585">
          <cell r="A585">
            <v>585</v>
          </cell>
          <cell r="B585">
            <v>21</v>
          </cell>
          <cell r="C585">
            <v>10349</v>
          </cell>
          <cell r="D585">
            <v>1755000</v>
          </cell>
        </row>
        <row r="586">
          <cell r="A586">
            <v>586</v>
          </cell>
          <cell r="B586">
            <v>21</v>
          </cell>
          <cell r="C586">
            <v>10370</v>
          </cell>
          <cell r="D586">
            <v>1758000</v>
          </cell>
        </row>
        <row r="587">
          <cell r="A587">
            <v>587</v>
          </cell>
          <cell r="B587">
            <v>21</v>
          </cell>
          <cell r="C587">
            <v>10391</v>
          </cell>
          <cell r="D587">
            <v>1761000</v>
          </cell>
        </row>
        <row r="588">
          <cell r="A588">
            <v>588</v>
          </cell>
          <cell r="B588">
            <v>21</v>
          </cell>
          <cell r="C588">
            <v>10412</v>
          </cell>
          <cell r="D588">
            <v>1764000</v>
          </cell>
        </row>
        <row r="589">
          <cell r="A589">
            <v>589</v>
          </cell>
          <cell r="B589">
            <v>21</v>
          </cell>
          <cell r="C589">
            <v>10433</v>
          </cell>
          <cell r="D589">
            <v>1767000</v>
          </cell>
        </row>
        <row r="590">
          <cell r="A590">
            <v>590</v>
          </cell>
          <cell r="B590">
            <v>21</v>
          </cell>
          <cell r="C590">
            <v>10454</v>
          </cell>
          <cell r="D590">
            <v>1770000</v>
          </cell>
        </row>
        <row r="591">
          <cell r="A591">
            <v>591</v>
          </cell>
          <cell r="B591">
            <v>21</v>
          </cell>
          <cell r="C591">
            <v>10475</v>
          </cell>
          <cell r="D591">
            <v>1773000</v>
          </cell>
        </row>
        <row r="592">
          <cell r="A592">
            <v>592</v>
          </cell>
          <cell r="B592">
            <v>21</v>
          </cell>
          <cell r="C592">
            <v>10496</v>
          </cell>
          <cell r="D592">
            <v>1776000</v>
          </cell>
        </row>
        <row r="593">
          <cell r="A593">
            <v>593</v>
          </cell>
          <cell r="B593">
            <v>21</v>
          </cell>
          <cell r="C593">
            <v>10517</v>
          </cell>
          <cell r="D593">
            <v>1779000</v>
          </cell>
        </row>
        <row r="594">
          <cell r="A594">
            <v>594</v>
          </cell>
          <cell r="B594">
            <v>21</v>
          </cell>
          <cell r="C594">
            <v>10538</v>
          </cell>
          <cell r="D594">
            <v>1782000</v>
          </cell>
        </row>
        <row r="595">
          <cell r="A595">
            <v>595</v>
          </cell>
          <cell r="B595">
            <v>21</v>
          </cell>
          <cell r="C595">
            <v>10559</v>
          </cell>
          <cell r="D595">
            <v>1785000</v>
          </cell>
        </row>
        <row r="596">
          <cell r="A596">
            <v>596</v>
          </cell>
          <cell r="B596">
            <v>21</v>
          </cell>
          <cell r="C596">
            <v>10580</v>
          </cell>
          <cell r="D596">
            <v>1788000</v>
          </cell>
        </row>
        <row r="597">
          <cell r="A597">
            <v>597</v>
          </cell>
          <cell r="B597">
            <v>21</v>
          </cell>
          <cell r="C597">
            <v>10601</v>
          </cell>
          <cell r="D597">
            <v>1791000</v>
          </cell>
        </row>
        <row r="598">
          <cell r="A598">
            <v>598</v>
          </cell>
          <cell r="B598">
            <v>21</v>
          </cell>
          <cell r="C598">
            <v>10622</v>
          </cell>
          <cell r="D598">
            <v>1794000</v>
          </cell>
        </row>
        <row r="599">
          <cell r="A599">
            <v>599</v>
          </cell>
          <cell r="B599">
            <v>21</v>
          </cell>
          <cell r="C599">
            <v>10643</v>
          </cell>
          <cell r="D599">
            <v>1797000</v>
          </cell>
        </row>
        <row r="600">
          <cell r="A600">
            <v>600</v>
          </cell>
          <cell r="B600">
            <v>21</v>
          </cell>
          <cell r="C600">
            <v>10664</v>
          </cell>
          <cell r="D600">
            <v>1800000</v>
          </cell>
        </row>
        <row r="601">
          <cell r="A601">
            <v>601</v>
          </cell>
          <cell r="B601">
            <v>21</v>
          </cell>
          <cell r="C601">
            <v>10685</v>
          </cell>
          <cell r="D601">
            <v>1803000</v>
          </cell>
        </row>
        <row r="602">
          <cell r="A602">
            <v>602</v>
          </cell>
          <cell r="B602">
            <v>21</v>
          </cell>
          <cell r="C602">
            <v>10706</v>
          </cell>
          <cell r="D602">
            <v>1806000</v>
          </cell>
        </row>
        <row r="603">
          <cell r="A603">
            <v>603</v>
          </cell>
          <cell r="B603">
            <v>21</v>
          </cell>
          <cell r="C603">
            <v>10727</v>
          </cell>
          <cell r="D603">
            <v>1809000</v>
          </cell>
        </row>
        <row r="604">
          <cell r="A604">
            <v>604</v>
          </cell>
          <cell r="B604">
            <v>21</v>
          </cell>
          <cell r="C604">
            <v>10748</v>
          </cell>
          <cell r="D604">
            <v>1812000</v>
          </cell>
        </row>
        <row r="605">
          <cell r="A605">
            <v>605</v>
          </cell>
          <cell r="B605">
            <v>21</v>
          </cell>
          <cell r="C605">
            <v>10769</v>
          </cell>
          <cell r="D605">
            <v>1815000</v>
          </cell>
        </row>
        <row r="606">
          <cell r="A606">
            <v>606</v>
          </cell>
          <cell r="B606">
            <v>21</v>
          </cell>
          <cell r="C606">
            <v>10790</v>
          </cell>
          <cell r="D606">
            <v>1818000</v>
          </cell>
        </row>
        <row r="607">
          <cell r="A607">
            <v>607</v>
          </cell>
          <cell r="B607">
            <v>21</v>
          </cell>
          <cell r="C607">
            <v>10811</v>
          </cell>
          <cell r="D607">
            <v>1821000</v>
          </cell>
        </row>
        <row r="608">
          <cell r="A608">
            <v>608</v>
          </cell>
          <cell r="B608">
            <v>21</v>
          </cell>
          <cell r="C608">
            <v>10832</v>
          </cell>
          <cell r="D608">
            <v>1824000</v>
          </cell>
        </row>
        <row r="609">
          <cell r="A609">
            <v>609</v>
          </cell>
          <cell r="B609">
            <v>21</v>
          </cell>
          <cell r="C609">
            <v>10853</v>
          </cell>
          <cell r="D609">
            <v>1827000</v>
          </cell>
        </row>
        <row r="610">
          <cell r="A610">
            <v>610</v>
          </cell>
          <cell r="B610">
            <v>21</v>
          </cell>
          <cell r="C610">
            <v>10874</v>
          </cell>
          <cell r="D610">
            <v>1830000</v>
          </cell>
        </row>
        <row r="611">
          <cell r="A611">
            <v>611</v>
          </cell>
          <cell r="B611">
            <v>21</v>
          </cell>
          <cell r="C611">
            <v>10895</v>
          </cell>
          <cell r="D611">
            <v>1833000</v>
          </cell>
        </row>
        <row r="612">
          <cell r="A612">
            <v>612</v>
          </cell>
          <cell r="B612">
            <v>21</v>
          </cell>
          <cell r="C612">
            <v>10916</v>
          </cell>
          <cell r="D612">
            <v>1836000</v>
          </cell>
        </row>
        <row r="613">
          <cell r="A613">
            <v>613</v>
          </cell>
          <cell r="B613">
            <v>21</v>
          </cell>
          <cell r="C613">
            <v>10937</v>
          </cell>
          <cell r="D613">
            <v>1839000</v>
          </cell>
        </row>
        <row r="614">
          <cell r="A614">
            <v>614</v>
          </cell>
          <cell r="B614">
            <v>21</v>
          </cell>
          <cell r="C614">
            <v>10958</v>
          </cell>
          <cell r="D614">
            <v>1842000</v>
          </cell>
        </row>
        <row r="615">
          <cell r="A615">
            <v>615</v>
          </cell>
          <cell r="B615">
            <v>21</v>
          </cell>
          <cell r="C615">
            <v>10979</v>
          </cell>
          <cell r="D615">
            <v>1845000</v>
          </cell>
        </row>
        <row r="616">
          <cell r="A616">
            <v>616</v>
          </cell>
          <cell r="B616">
            <v>21</v>
          </cell>
          <cell r="C616">
            <v>11000</v>
          </cell>
          <cell r="D616">
            <v>1848000</v>
          </cell>
        </row>
        <row r="617">
          <cell r="A617">
            <v>617</v>
          </cell>
          <cell r="B617">
            <v>21</v>
          </cell>
          <cell r="C617">
            <v>11021</v>
          </cell>
          <cell r="D617">
            <v>1851000</v>
          </cell>
        </row>
        <row r="618">
          <cell r="A618">
            <v>618</v>
          </cell>
          <cell r="B618">
            <v>21</v>
          </cell>
          <cell r="C618">
            <v>11042</v>
          </cell>
          <cell r="D618">
            <v>1854000</v>
          </cell>
        </row>
        <row r="619">
          <cell r="A619">
            <v>619</v>
          </cell>
          <cell r="B619">
            <v>21</v>
          </cell>
          <cell r="C619">
            <v>11063</v>
          </cell>
          <cell r="D619">
            <v>1857000</v>
          </cell>
        </row>
        <row r="620">
          <cell r="A620">
            <v>620</v>
          </cell>
          <cell r="B620">
            <v>21</v>
          </cell>
          <cell r="C620">
            <v>11084</v>
          </cell>
          <cell r="D620">
            <v>1860000</v>
          </cell>
        </row>
        <row r="621">
          <cell r="A621">
            <v>621</v>
          </cell>
          <cell r="B621">
            <v>21</v>
          </cell>
          <cell r="C621">
            <v>11105</v>
          </cell>
          <cell r="D621">
            <v>1863000</v>
          </cell>
        </row>
        <row r="622">
          <cell r="A622">
            <v>622</v>
          </cell>
          <cell r="B622">
            <v>21</v>
          </cell>
          <cell r="C622">
            <v>11126</v>
          </cell>
          <cell r="D622">
            <v>1866000</v>
          </cell>
        </row>
        <row r="623">
          <cell r="A623">
            <v>623</v>
          </cell>
          <cell r="B623">
            <v>21</v>
          </cell>
          <cell r="C623">
            <v>11147</v>
          </cell>
          <cell r="D623">
            <v>1869000</v>
          </cell>
        </row>
        <row r="624">
          <cell r="A624">
            <v>624</v>
          </cell>
          <cell r="B624">
            <v>21</v>
          </cell>
          <cell r="C624">
            <v>11168</v>
          </cell>
          <cell r="D624">
            <v>1872000</v>
          </cell>
        </row>
        <row r="625">
          <cell r="A625">
            <v>625</v>
          </cell>
          <cell r="B625">
            <v>21</v>
          </cell>
          <cell r="C625">
            <v>11189</v>
          </cell>
          <cell r="D625">
            <v>1875000</v>
          </cell>
        </row>
        <row r="626">
          <cell r="A626">
            <v>626</v>
          </cell>
          <cell r="B626">
            <v>21</v>
          </cell>
          <cell r="C626">
            <v>11210</v>
          </cell>
          <cell r="D626">
            <v>1878000</v>
          </cell>
        </row>
        <row r="627">
          <cell r="A627">
            <v>627</v>
          </cell>
          <cell r="B627">
            <v>21</v>
          </cell>
          <cell r="C627">
            <v>11231</v>
          </cell>
          <cell r="D627">
            <v>1881000</v>
          </cell>
        </row>
        <row r="628">
          <cell r="A628">
            <v>628</v>
          </cell>
          <cell r="B628">
            <v>21</v>
          </cell>
          <cell r="C628">
            <v>11252</v>
          </cell>
          <cell r="D628">
            <v>1884000</v>
          </cell>
        </row>
        <row r="629">
          <cell r="A629">
            <v>629</v>
          </cell>
          <cell r="B629">
            <v>21</v>
          </cell>
          <cell r="C629">
            <v>11273</v>
          </cell>
          <cell r="D629">
            <v>1887000</v>
          </cell>
        </row>
        <row r="630">
          <cell r="A630">
            <v>630</v>
          </cell>
          <cell r="B630">
            <v>21</v>
          </cell>
          <cell r="C630">
            <v>11294</v>
          </cell>
          <cell r="D630">
            <v>1890000</v>
          </cell>
        </row>
        <row r="631">
          <cell r="A631">
            <v>631</v>
          </cell>
          <cell r="B631">
            <v>21</v>
          </cell>
          <cell r="C631">
            <v>11315</v>
          </cell>
          <cell r="D631">
            <v>1893000</v>
          </cell>
        </row>
        <row r="632">
          <cell r="A632">
            <v>632</v>
          </cell>
          <cell r="B632">
            <v>21</v>
          </cell>
          <cell r="C632">
            <v>11336</v>
          </cell>
          <cell r="D632">
            <v>1896000</v>
          </cell>
        </row>
        <row r="633">
          <cell r="A633">
            <v>633</v>
          </cell>
          <cell r="B633">
            <v>21</v>
          </cell>
          <cell r="C633">
            <v>11357</v>
          </cell>
          <cell r="D633">
            <v>1899000</v>
          </cell>
        </row>
        <row r="634">
          <cell r="A634">
            <v>634</v>
          </cell>
          <cell r="B634">
            <v>21</v>
          </cell>
          <cell r="C634">
            <v>11378</v>
          </cell>
          <cell r="D634">
            <v>1902000</v>
          </cell>
        </row>
        <row r="635">
          <cell r="A635">
            <v>635</v>
          </cell>
          <cell r="B635">
            <v>21</v>
          </cell>
          <cell r="C635">
            <v>11399</v>
          </cell>
          <cell r="D635">
            <v>1905000</v>
          </cell>
        </row>
        <row r="636">
          <cell r="A636">
            <v>636</v>
          </cell>
          <cell r="B636">
            <v>21</v>
          </cell>
          <cell r="C636">
            <v>11420</v>
          </cell>
          <cell r="D636">
            <v>1908000</v>
          </cell>
        </row>
        <row r="637">
          <cell r="A637">
            <v>637</v>
          </cell>
          <cell r="B637">
            <v>21</v>
          </cell>
          <cell r="C637">
            <v>11441</v>
          </cell>
          <cell r="D637">
            <v>1911000</v>
          </cell>
        </row>
        <row r="638">
          <cell r="A638">
            <v>638</v>
          </cell>
          <cell r="B638">
            <v>21</v>
          </cell>
          <cell r="C638">
            <v>11462</v>
          </cell>
          <cell r="D638">
            <v>1914000</v>
          </cell>
        </row>
        <row r="639">
          <cell r="A639">
            <v>639</v>
          </cell>
          <cell r="B639">
            <v>21</v>
          </cell>
          <cell r="C639">
            <v>11483</v>
          </cell>
          <cell r="D639">
            <v>1917000</v>
          </cell>
        </row>
        <row r="640">
          <cell r="A640">
            <v>640</v>
          </cell>
          <cell r="B640">
            <v>21</v>
          </cell>
          <cell r="C640">
            <v>11504</v>
          </cell>
          <cell r="D640">
            <v>1920000</v>
          </cell>
        </row>
        <row r="641">
          <cell r="A641">
            <v>641</v>
          </cell>
          <cell r="B641">
            <v>21</v>
          </cell>
          <cell r="C641">
            <v>11525</v>
          </cell>
          <cell r="D641">
            <v>1923000</v>
          </cell>
        </row>
        <row r="642">
          <cell r="A642">
            <v>642</v>
          </cell>
          <cell r="B642">
            <v>21</v>
          </cell>
          <cell r="C642">
            <v>11546</v>
          </cell>
          <cell r="D642">
            <v>1926000</v>
          </cell>
        </row>
        <row r="643">
          <cell r="A643">
            <v>643</v>
          </cell>
          <cell r="B643">
            <v>21</v>
          </cell>
          <cell r="C643">
            <v>11567</v>
          </cell>
          <cell r="D643">
            <v>1929000</v>
          </cell>
        </row>
        <row r="644">
          <cell r="A644">
            <v>644</v>
          </cell>
          <cell r="B644">
            <v>21</v>
          </cell>
          <cell r="C644">
            <v>11588</v>
          </cell>
          <cell r="D644">
            <v>1932000</v>
          </cell>
        </row>
        <row r="645">
          <cell r="A645">
            <v>645</v>
          </cell>
          <cell r="B645">
            <v>21</v>
          </cell>
          <cell r="C645">
            <v>11609</v>
          </cell>
          <cell r="D645">
            <v>1935000</v>
          </cell>
        </row>
        <row r="646">
          <cell r="A646">
            <v>646</v>
          </cell>
          <cell r="B646">
            <v>21</v>
          </cell>
          <cell r="C646">
            <v>11630</v>
          </cell>
          <cell r="D646">
            <v>1938000</v>
          </cell>
        </row>
        <row r="647">
          <cell r="A647">
            <v>647</v>
          </cell>
          <cell r="B647">
            <v>21</v>
          </cell>
          <cell r="C647">
            <v>11651</v>
          </cell>
          <cell r="D647">
            <v>1941000</v>
          </cell>
        </row>
        <row r="648">
          <cell r="A648">
            <v>648</v>
          </cell>
          <cell r="B648">
            <v>21</v>
          </cell>
          <cell r="C648">
            <v>11672</v>
          </cell>
          <cell r="D648">
            <v>1944000</v>
          </cell>
        </row>
        <row r="649">
          <cell r="A649">
            <v>649</v>
          </cell>
          <cell r="B649">
            <v>21</v>
          </cell>
          <cell r="C649">
            <v>11693</v>
          </cell>
          <cell r="D649">
            <v>1947000</v>
          </cell>
        </row>
        <row r="650">
          <cell r="A650">
            <v>650</v>
          </cell>
          <cell r="B650">
            <v>21</v>
          </cell>
          <cell r="C650">
            <v>11714</v>
          </cell>
          <cell r="D650">
            <v>1950000</v>
          </cell>
        </row>
        <row r="651">
          <cell r="A651">
            <v>651</v>
          </cell>
          <cell r="B651">
            <v>21</v>
          </cell>
          <cell r="C651">
            <v>11735</v>
          </cell>
          <cell r="D651">
            <v>1953000</v>
          </cell>
        </row>
        <row r="652">
          <cell r="A652">
            <v>652</v>
          </cell>
          <cell r="B652">
            <v>21</v>
          </cell>
          <cell r="C652">
            <v>11756</v>
          </cell>
          <cell r="D652">
            <v>1956000</v>
          </cell>
        </row>
        <row r="653">
          <cell r="A653">
            <v>653</v>
          </cell>
          <cell r="B653">
            <v>21</v>
          </cell>
          <cell r="C653">
            <v>11777</v>
          </cell>
          <cell r="D653">
            <v>1959000</v>
          </cell>
        </row>
        <row r="654">
          <cell r="A654">
            <v>654</v>
          </cell>
          <cell r="B654">
            <v>21</v>
          </cell>
          <cell r="C654">
            <v>11798</v>
          </cell>
          <cell r="D654">
            <v>1962000</v>
          </cell>
        </row>
        <row r="655">
          <cell r="A655">
            <v>655</v>
          </cell>
          <cell r="B655">
            <v>21</v>
          </cell>
          <cell r="C655">
            <v>11819</v>
          </cell>
          <cell r="D655">
            <v>1965000</v>
          </cell>
        </row>
        <row r="656">
          <cell r="A656">
            <v>656</v>
          </cell>
          <cell r="B656">
            <v>21</v>
          </cell>
          <cell r="C656">
            <v>11840</v>
          </cell>
          <cell r="D656">
            <v>1968000</v>
          </cell>
        </row>
        <row r="657">
          <cell r="A657">
            <v>657</v>
          </cell>
          <cell r="B657">
            <v>21</v>
          </cell>
          <cell r="C657">
            <v>11861</v>
          </cell>
          <cell r="D657">
            <v>1971000</v>
          </cell>
        </row>
        <row r="658">
          <cell r="A658">
            <v>658</v>
          </cell>
          <cell r="B658">
            <v>21</v>
          </cell>
          <cell r="C658">
            <v>11882</v>
          </cell>
          <cell r="D658">
            <v>1974000</v>
          </cell>
        </row>
        <row r="659">
          <cell r="A659">
            <v>659</v>
          </cell>
          <cell r="B659">
            <v>21</v>
          </cell>
          <cell r="C659">
            <v>11903</v>
          </cell>
          <cell r="D659">
            <v>1977000</v>
          </cell>
        </row>
        <row r="660">
          <cell r="A660">
            <v>660</v>
          </cell>
          <cell r="B660">
            <v>21</v>
          </cell>
          <cell r="C660">
            <v>11924</v>
          </cell>
          <cell r="D660">
            <v>1980000</v>
          </cell>
        </row>
        <row r="661">
          <cell r="A661">
            <v>661</v>
          </cell>
          <cell r="B661">
            <v>21</v>
          </cell>
          <cell r="C661">
            <v>11945</v>
          </cell>
          <cell r="D661">
            <v>1983000</v>
          </cell>
        </row>
        <row r="662">
          <cell r="A662">
            <v>662</v>
          </cell>
          <cell r="B662">
            <v>21</v>
          </cell>
          <cell r="C662">
            <v>11966</v>
          </cell>
          <cell r="D662">
            <v>1986000</v>
          </cell>
        </row>
        <row r="663">
          <cell r="A663">
            <v>663</v>
          </cell>
          <cell r="B663">
            <v>21</v>
          </cell>
          <cell r="C663">
            <v>11987</v>
          </cell>
          <cell r="D663">
            <v>1989000</v>
          </cell>
        </row>
        <row r="664">
          <cell r="A664">
            <v>664</v>
          </cell>
          <cell r="B664">
            <v>21</v>
          </cell>
          <cell r="C664">
            <v>12008</v>
          </cell>
          <cell r="D664">
            <v>1992000</v>
          </cell>
        </row>
        <row r="665">
          <cell r="A665">
            <v>665</v>
          </cell>
          <cell r="B665">
            <v>21</v>
          </cell>
          <cell r="C665">
            <v>12029</v>
          </cell>
          <cell r="D665">
            <v>1995000</v>
          </cell>
        </row>
        <row r="666">
          <cell r="A666">
            <v>666</v>
          </cell>
          <cell r="B666">
            <v>21</v>
          </cell>
          <cell r="C666">
            <v>12050</v>
          </cell>
          <cell r="D666">
            <v>1998000</v>
          </cell>
        </row>
        <row r="667">
          <cell r="A667">
            <v>667</v>
          </cell>
          <cell r="B667">
            <v>21</v>
          </cell>
          <cell r="C667">
            <v>12071</v>
          </cell>
          <cell r="D667">
            <v>2001000</v>
          </cell>
        </row>
        <row r="668">
          <cell r="A668">
            <v>668</v>
          </cell>
          <cell r="B668">
            <v>21</v>
          </cell>
          <cell r="C668">
            <v>12092</v>
          </cell>
          <cell r="D668">
            <v>2004000</v>
          </cell>
        </row>
        <row r="669">
          <cell r="A669">
            <v>669</v>
          </cell>
          <cell r="B669">
            <v>21</v>
          </cell>
          <cell r="C669">
            <v>12113</v>
          </cell>
          <cell r="D669">
            <v>2007000</v>
          </cell>
        </row>
        <row r="670">
          <cell r="A670">
            <v>670</v>
          </cell>
          <cell r="B670">
            <v>21</v>
          </cell>
          <cell r="C670">
            <v>12134</v>
          </cell>
          <cell r="D670">
            <v>2010000</v>
          </cell>
        </row>
        <row r="671">
          <cell r="A671">
            <v>671</v>
          </cell>
          <cell r="B671">
            <v>21</v>
          </cell>
          <cell r="C671">
            <v>12155</v>
          </cell>
          <cell r="D671">
            <v>2013000</v>
          </cell>
        </row>
        <row r="672">
          <cell r="A672">
            <v>672</v>
          </cell>
          <cell r="B672">
            <v>21</v>
          </cell>
          <cell r="C672">
            <v>12176</v>
          </cell>
          <cell r="D672">
            <v>2016000</v>
          </cell>
        </row>
        <row r="673">
          <cell r="A673">
            <v>673</v>
          </cell>
          <cell r="B673">
            <v>21</v>
          </cell>
          <cell r="C673">
            <v>12197</v>
          </cell>
          <cell r="D673">
            <v>2019000</v>
          </cell>
        </row>
        <row r="674">
          <cell r="A674">
            <v>674</v>
          </cell>
          <cell r="B674">
            <v>21</v>
          </cell>
          <cell r="C674">
            <v>12218</v>
          </cell>
          <cell r="D674">
            <v>2022000</v>
          </cell>
        </row>
        <row r="675">
          <cell r="A675">
            <v>675</v>
          </cell>
          <cell r="B675">
            <v>21</v>
          </cell>
          <cell r="C675">
            <v>12239</v>
          </cell>
          <cell r="D675">
            <v>2025000</v>
          </cell>
        </row>
        <row r="676">
          <cell r="A676">
            <v>676</v>
          </cell>
          <cell r="B676">
            <v>21</v>
          </cell>
          <cell r="C676">
            <v>12260</v>
          </cell>
          <cell r="D676">
            <v>2028000</v>
          </cell>
        </row>
        <row r="677">
          <cell r="A677">
            <v>677</v>
          </cell>
          <cell r="B677">
            <v>21</v>
          </cell>
          <cell r="C677">
            <v>12281</v>
          </cell>
          <cell r="D677">
            <v>2031000</v>
          </cell>
        </row>
        <row r="678">
          <cell r="A678">
            <v>678</v>
          </cell>
          <cell r="B678">
            <v>21</v>
          </cell>
          <cell r="C678">
            <v>12302</v>
          </cell>
          <cell r="D678">
            <v>2034000</v>
          </cell>
        </row>
        <row r="679">
          <cell r="A679">
            <v>679</v>
          </cell>
          <cell r="B679">
            <v>21</v>
          </cell>
          <cell r="C679">
            <v>12323</v>
          </cell>
          <cell r="D679">
            <v>2037000</v>
          </cell>
        </row>
        <row r="680">
          <cell r="A680">
            <v>680</v>
          </cell>
          <cell r="B680">
            <v>21</v>
          </cell>
          <cell r="C680">
            <v>12344</v>
          </cell>
          <cell r="D680">
            <v>2040000</v>
          </cell>
        </row>
        <row r="681">
          <cell r="A681">
            <v>681</v>
          </cell>
          <cell r="B681">
            <v>21</v>
          </cell>
          <cell r="C681">
            <v>12365</v>
          </cell>
          <cell r="D681">
            <v>2043000</v>
          </cell>
        </row>
        <row r="682">
          <cell r="A682">
            <v>682</v>
          </cell>
          <cell r="B682">
            <v>21</v>
          </cell>
          <cell r="C682">
            <v>12386</v>
          </cell>
          <cell r="D682">
            <v>2046000</v>
          </cell>
        </row>
        <row r="683">
          <cell r="A683">
            <v>683</v>
          </cell>
          <cell r="B683">
            <v>21</v>
          </cell>
          <cell r="C683">
            <v>12407</v>
          </cell>
          <cell r="D683">
            <v>2049000</v>
          </cell>
        </row>
        <row r="684">
          <cell r="A684">
            <v>684</v>
          </cell>
          <cell r="B684">
            <v>21</v>
          </cell>
          <cell r="C684">
            <v>12428</v>
          </cell>
          <cell r="D684">
            <v>2052000</v>
          </cell>
        </row>
        <row r="685">
          <cell r="A685">
            <v>685</v>
          </cell>
          <cell r="B685">
            <v>21</v>
          </cell>
          <cell r="C685">
            <v>12449</v>
          </cell>
          <cell r="D685">
            <v>2055000</v>
          </cell>
        </row>
        <row r="686">
          <cell r="A686">
            <v>686</v>
          </cell>
          <cell r="B686">
            <v>21</v>
          </cell>
          <cell r="C686">
            <v>12470</v>
          </cell>
          <cell r="D686">
            <v>2058000</v>
          </cell>
        </row>
        <row r="687">
          <cell r="A687">
            <v>687</v>
          </cell>
          <cell r="B687">
            <v>21</v>
          </cell>
          <cell r="C687">
            <v>12491</v>
          </cell>
          <cell r="D687">
            <v>2061000</v>
          </cell>
        </row>
        <row r="688">
          <cell r="A688">
            <v>688</v>
          </cell>
          <cell r="B688">
            <v>21</v>
          </cell>
          <cell r="C688">
            <v>12512</v>
          </cell>
          <cell r="D688">
            <v>2064000</v>
          </cell>
        </row>
        <row r="689">
          <cell r="A689">
            <v>689</v>
          </cell>
          <cell r="B689">
            <v>21</v>
          </cell>
          <cell r="C689">
            <v>12533</v>
          </cell>
          <cell r="D689">
            <v>2067000</v>
          </cell>
        </row>
        <row r="690">
          <cell r="A690">
            <v>690</v>
          </cell>
          <cell r="B690">
            <v>21</v>
          </cell>
          <cell r="C690">
            <v>12554</v>
          </cell>
          <cell r="D690">
            <v>2070000</v>
          </cell>
        </row>
        <row r="691">
          <cell r="A691">
            <v>691</v>
          </cell>
          <cell r="B691">
            <v>21</v>
          </cell>
          <cell r="C691">
            <v>12575</v>
          </cell>
          <cell r="D691">
            <v>2073000</v>
          </cell>
        </row>
        <row r="692">
          <cell r="A692">
            <v>692</v>
          </cell>
          <cell r="B692">
            <v>21</v>
          </cell>
          <cell r="C692">
            <v>12596</v>
          </cell>
          <cell r="D692">
            <v>2076000</v>
          </cell>
        </row>
        <row r="693">
          <cell r="A693">
            <v>693</v>
          </cell>
          <cell r="B693">
            <v>21</v>
          </cell>
          <cell r="C693">
            <v>12617</v>
          </cell>
          <cell r="D693">
            <v>2079000</v>
          </cell>
        </row>
        <row r="694">
          <cell r="A694">
            <v>694</v>
          </cell>
          <cell r="B694">
            <v>21</v>
          </cell>
          <cell r="C694">
            <v>12638</v>
          </cell>
          <cell r="D694">
            <v>2082000</v>
          </cell>
        </row>
        <row r="695">
          <cell r="A695">
            <v>695</v>
          </cell>
          <cell r="B695">
            <v>21</v>
          </cell>
          <cell r="C695">
            <v>12659</v>
          </cell>
          <cell r="D695">
            <v>2085000</v>
          </cell>
        </row>
        <row r="696">
          <cell r="A696">
            <v>696</v>
          </cell>
          <cell r="B696">
            <v>21</v>
          </cell>
          <cell r="C696">
            <v>12680</v>
          </cell>
          <cell r="D696">
            <v>2088000</v>
          </cell>
        </row>
        <row r="697">
          <cell r="A697">
            <v>697</v>
          </cell>
          <cell r="B697">
            <v>21</v>
          </cell>
          <cell r="C697">
            <v>12701</v>
          </cell>
          <cell r="D697">
            <v>2091000</v>
          </cell>
        </row>
        <row r="698">
          <cell r="A698">
            <v>698</v>
          </cell>
          <cell r="B698">
            <v>21</v>
          </cell>
          <cell r="C698">
            <v>12722</v>
          </cell>
          <cell r="D698">
            <v>2094000</v>
          </cell>
        </row>
        <row r="699">
          <cell r="A699">
            <v>699</v>
          </cell>
          <cell r="B699">
            <v>21</v>
          </cell>
          <cell r="C699">
            <v>12743</v>
          </cell>
          <cell r="D699">
            <v>2097000</v>
          </cell>
        </row>
        <row r="700">
          <cell r="A700">
            <v>700</v>
          </cell>
          <cell r="B700">
            <v>21</v>
          </cell>
          <cell r="C700">
            <v>12764</v>
          </cell>
          <cell r="D700">
            <v>2100000</v>
          </cell>
        </row>
        <row r="701">
          <cell r="A701">
            <v>701</v>
          </cell>
          <cell r="B701">
            <v>21</v>
          </cell>
          <cell r="C701">
            <v>12785</v>
          </cell>
          <cell r="D701">
            <v>2103000</v>
          </cell>
        </row>
        <row r="702">
          <cell r="A702">
            <v>702</v>
          </cell>
          <cell r="B702">
            <v>21</v>
          </cell>
          <cell r="C702">
            <v>12806</v>
          </cell>
          <cell r="D702">
            <v>2106000</v>
          </cell>
        </row>
        <row r="703">
          <cell r="A703">
            <v>703</v>
          </cell>
          <cell r="B703">
            <v>21</v>
          </cell>
          <cell r="C703">
            <v>12827</v>
          </cell>
          <cell r="D703">
            <v>2109000</v>
          </cell>
        </row>
        <row r="704">
          <cell r="A704">
            <v>704</v>
          </cell>
          <cell r="B704">
            <v>21</v>
          </cell>
          <cell r="C704">
            <v>12848</v>
          </cell>
          <cell r="D704">
            <v>2112000</v>
          </cell>
        </row>
        <row r="705">
          <cell r="A705">
            <v>705</v>
          </cell>
          <cell r="B705">
            <v>21</v>
          </cell>
          <cell r="C705">
            <v>12869</v>
          </cell>
          <cell r="D705">
            <v>2115000</v>
          </cell>
        </row>
        <row r="706">
          <cell r="A706">
            <v>706</v>
          </cell>
          <cell r="B706">
            <v>21</v>
          </cell>
          <cell r="C706">
            <v>12890</v>
          </cell>
          <cell r="D706">
            <v>2118000</v>
          </cell>
        </row>
        <row r="707">
          <cell r="A707">
            <v>707</v>
          </cell>
          <cell r="B707">
            <v>21</v>
          </cell>
          <cell r="C707">
            <v>12911</v>
          </cell>
          <cell r="D707">
            <v>2121000</v>
          </cell>
        </row>
        <row r="708">
          <cell r="A708">
            <v>708</v>
          </cell>
          <cell r="B708">
            <v>21</v>
          </cell>
          <cell r="C708">
            <v>12932</v>
          </cell>
          <cell r="D708">
            <v>2124000</v>
          </cell>
        </row>
        <row r="709">
          <cell r="A709">
            <v>709</v>
          </cell>
          <cell r="B709">
            <v>21</v>
          </cell>
          <cell r="C709">
            <v>12953</v>
          </cell>
          <cell r="D709">
            <v>2127000</v>
          </cell>
        </row>
        <row r="710">
          <cell r="A710">
            <v>710</v>
          </cell>
          <cell r="B710">
            <v>21</v>
          </cell>
          <cell r="C710">
            <v>12974</v>
          </cell>
          <cell r="D710">
            <v>2130000</v>
          </cell>
        </row>
        <row r="711">
          <cell r="A711">
            <v>711</v>
          </cell>
          <cell r="B711">
            <v>21</v>
          </cell>
          <cell r="C711">
            <v>12995</v>
          </cell>
          <cell r="D711">
            <v>2133000</v>
          </cell>
        </row>
        <row r="712">
          <cell r="A712">
            <v>712</v>
          </cell>
          <cell r="B712">
            <v>21</v>
          </cell>
          <cell r="C712">
            <v>13016</v>
          </cell>
          <cell r="D712">
            <v>2136000</v>
          </cell>
        </row>
        <row r="713">
          <cell r="A713">
            <v>713</v>
          </cell>
          <cell r="B713">
            <v>21</v>
          </cell>
          <cell r="C713">
            <v>13037</v>
          </cell>
          <cell r="D713">
            <v>2139000</v>
          </cell>
        </row>
        <row r="714">
          <cell r="A714">
            <v>714</v>
          </cell>
          <cell r="B714">
            <v>21</v>
          </cell>
          <cell r="C714">
            <v>13058</v>
          </cell>
          <cell r="D714">
            <v>2142000</v>
          </cell>
        </row>
        <row r="715">
          <cell r="A715">
            <v>715</v>
          </cell>
          <cell r="B715">
            <v>21</v>
          </cell>
          <cell r="C715">
            <v>13079</v>
          </cell>
          <cell r="D715">
            <v>2145000</v>
          </cell>
        </row>
        <row r="716">
          <cell r="A716">
            <v>716</v>
          </cell>
          <cell r="B716">
            <v>21</v>
          </cell>
          <cell r="C716">
            <v>13100</v>
          </cell>
          <cell r="D716">
            <v>2148000</v>
          </cell>
        </row>
        <row r="717">
          <cell r="A717">
            <v>717</v>
          </cell>
          <cell r="B717">
            <v>21</v>
          </cell>
          <cell r="C717">
            <v>13121</v>
          </cell>
          <cell r="D717">
            <v>2151000</v>
          </cell>
        </row>
        <row r="718">
          <cell r="A718">
            <v>718</v>
          </cell>
          <cell r="B718">
            <v>21</v>
          </cell>
          <cell r="C718">
            <v>13142</v>
          </cell>
          <cell r="D718">
            <v>2154000</v>
          </cell>
        </row>
        <row r="719">
          <cell r="A719">
            <v>719</v>
          </cell>
          <cell r="B719">
            <v>21</v>
          </cell>
          <cell r="C719">
            <v>13163</v>
          </cell>
          <cell r="D719">
            <v>2157000</v>
          </cell>
        </row>
        <row r="720">
          <cell r="A720">
            <v>720</v>
          </cell>
          <cell r="B720">
            <v>21</v>
          </cell>
          <cell r="C720">
            <v>13184</v>
          </cell>
          <cell r="D720">
            <v>2160000</v>
          </cell>
        </row>
        <row r="721">
          <cell r="A721">
            <v>721</v>
          </cell>
          <cell r="B721">
            <v>21</v>
          </cell>
          <cell r="C721">
            <v>13205</v>
          </cell>
          <cell r="D721">
            <v>2163000</v>
          </cell>
        </row>
        <row r="722">
          <cell r="A722">
            <v>722</v>
          </cell>
          <cell r="B722">
            <v>21</v>
          </cell>
          <cell r="C722">
            <v>13226</v>
          </cell>
          <cell r="D722">
            <v>2166000</v>
          </cell>
        </row>
        <row r="723">
          <cell r="A723">
            <v>723</v>
          </cell>
          <cell r="B723">
            <v>21</v>
          </cell>
          <cell r="C723">
            <v>13247</v>
          </cell>
          <cell r="D723">
            <v>2169000</v>
          </cell>
        </row>
        <row r="724">
          <cell r="A724">
            <v>724</v>
          </cell>
          <cell r="B724">
            <v>21</v>
          </cell>
          <cell r="C724">
            <v>13268</v>
          </cell>
          <cell r="D724">
            <v>2172000</v>
          </cell>
        </row>
        <row r="725">
          <cell r="A725">
            <v>725</v>
          </cell>
          <cell r="B725">
            <v>21</v>
          </cell>
          <cell r="C725">
            <v>13289</v>
          </cell>
          <cell r="D725">
            <v>2175000</v>
          </cell>
        </row>
        <row r="726">
          <cell r="A726">
            <v>726</v>
          </cell>
          <cell r="B726">
            <v>21</v>
          </cell>
          <cell r="C726">
            <v>13310</v>
          </cell>
          <cell r="D726">
            <v>2178000</v>
          </cell>
        </row>
        <row r="727">
          <cell r="A727">
            <v>727</v>
          </cell>
          <cell r="B727">
            <v>21</v>
          </cell>
          <cell r="C727">
            <v>13331</v>
          </cell>
          <cell r="D727">
            <v>2181000</v>
          </cell>
        </row>
        <row r="728">
          <cell r="A728">
            <v>728</v>
          </cell>
          <cell r="B728">
            <v>21</v>
          </cell>
          <cell r="C728">
            <v>13352</v>
          </cell>
          <cell r="D728">
            <v>2184000</v>
          </cell>
        </row>
        <row r="729">
          <cell r="A729">
            <v>729</v>
          </cell>
          <cell r="B729">
            <v>21</v>
          </cell>
          <cell r="C729">
            <v>13373</v>
          </cell>
          <cell r="D729">
            <v>2187000</v>
          </cell>
        </row>
        <row r="730">
          <cell r="A730">
            <v>730</v>
          </cell>
          <cell r="B730">
            <v>21</v>
          </cell>
          <cell r="C730">
            <v>13394</v>
          </cell>
          <cell r="D730">
            <v>2190000</v>
          </cell>
        </row>
        <row r="731">
          <cell r="A731">
            <v>731</v>
          </cell>
          <cell r="B731">
            <v>21</v>
          </cell>
          <cell r="C731">
            <v>13415</v>
          </cell>
          <cell r="D731">
            <v>2193000</v>
          </cell>
        </row>
        <row r="732">
          <cell r="A732">
            <v>732</v>
          </cell>
          <cell r="B732">
            <v>21</v>
          </cell>
          <cell r="C732">
            <v>13436</v>
          </cell>
          <cell r="D732">
            <v>2196000</v>
          </cell>
        </row>
        <row r="733">
          <cell r="A733">
            <v>733</v>
          </cell>
          <cell r="B733">
            <v>21</v>
          </cell>
          <cell r="C733">
            <v>13457</v>
          </cell>
          <cell r="D733">
            <v>2199000</v>
          </cell>
        </row>
        <row r="734">
          <cell r="A734">
            <v>734</v>
          </cell>
          <cell r="B734">
            <v>21</v>
          </cell>
          <cell r="C734">
            <v>13478</v>
          </cell>
          <cell r="D734">
            <v>2202000</v>
          </cell>
        </row>
        <row r="735">
          <cell r="A735">
            <v>735</v>
          </cell>
          <cell r="B735">
            <v>21</v>
          </cell>
          <cell r="C735">
            <v>13499</v>
          </cell>
          <cell r="D735">
            <v>2205000</v>
          </cell>
        </row>
        <row r="736">
          <cell r="A736">
            <v>736</v>
          </cell>
          <cell r="B736">
            <v>21</v>
          </cell>
          <cell r="C736">
            <v>13520</v>
          </cell>
          <cell r="D736">
            <v>2208000</v>
          </cell>
        </row>
        <row r="737">
          <cell r="A737">
            <v>737</v>
          </cell>
          <cell r="B737">
            <v>21</v>
          </cell>
          <cell r="C737">
            <v>13541</v>
          </cell>
          <cell r="D737">
            <v>2211000</v>
          </cell>
        </row>
        <row r="738">
          <cell r="A738">
            <v>738</v>
          </cell>
          <cell r="B738">
            <v>21</v>
          </cell>
          <cell r="C738">
            <v>13562</v>
          </cell>
          <cell r="D738">
            <v>2214000</v>
          </cell>
        </row>
        <row r="739">
          <cell r="A739">
            <v>739</v>
          </cell>
          <cell r="B739">
            <v>21</v>
          </cell>
          <cell r="C739">
            <v>13583</v>
          </cell>
          <cell r="D739">
            <v>2217000</v>
          </cell>
        </row>
        <row r="740">
          <cell r="A740">
            <v>740</v>
          </cell>
          <cell r="B740">
            <v>21</v>
          </cell>
          <cell r="C740">
            <v>13604</v>
          </cell>
          <cell r="D740">
            <v>2220000</v>
          </cell>
        </row>
        <row r="741">
          <cell r="A741">
            <v>741</v>
          </cell>
          <cell r="B741">
            <v>21</v>
          </cell>
          <cell r="C741">
            <v>13625</v>
          </cell>
          <cell r="D741">
            <v>2223000</v>
          </cell>
        </row>
        <row r="742">
          <cell r="A742">
            <v>742</v>
          </cell>
          <cell r="B742">
            <v>21</v>
          </cell>
          <cell r="C742">
            <v>13646</v>
          </cell>
          <cell r="D742">
            <v>2226000</v>
          </cell>
        </row>
        <row r="743">
          <cell r="A743">
            <v>743</v>
          </cell>
          <cell r="B743">
            <v>21</v>
          </cell>
          <cell r="C743">
            <v>13667</v>
          </cell>
          <cell r="D743">
            <v>2229000</v>
          </cell>
        </row>
        <row r="744">
          <cell r="A744">
            <v>744</v>
          </cell>
          <cell r="B744">
            <v>21</v>
          </cell>
          <cell r="C744">
            <v>13688</v>
          </cell>
          <cell r="D744">
            <v>2232000</v>
          </cell>
        </row>
        <row r="745">
          <cell r="A745">
            <v>745</v>
          </cell>
          <cell r="B745">
            <v>21</v>
          </cell>
          <cell r="C745">
            <v>13709</v>
          </cell>
          <cell r="D745">
            <v>2235000</v>
          </cell>
        </row>
        <row r="746">
          <cell r="A746">
            <v>746</v>
          </cell>
          <cell r="B746">
            <v>21</v>
          </cell>
          <cell r="C746">
            <v>13730</v>
          </cell>
          <cell r="D746">
            <v>2238000</v>
          </cell>
        </row>
        <row r="747">
          <cell r="A747">
            <v>747</v>
          </cell>
          <cell r="B747">
            <v>21</v>
          </cell>
          <cell r="C747">
            <v>13751</v>
          </cell>
          <cell r="D747">
            <v>2241000</v>
          </cell>
        </row>
        <row r="748">
          <cell r="A748">
            <v>748</v>
          </cell>
          <cell r="B748">
            <v>21</v>
          </cell>
          <cell r="C748">
            <v>13772</v>
          </cell>
          <cell r="D748">
            <v>2244000</v>
          </cell>
        </row>
        <row r="749">
          <cell r="A749">
            <v>749</v>
          </cell>
          <cell r="B749">
            <v>21</v>
          </cell>
          <cell r="C749">
            <v>13793</v>
          </cell>
          <cell r="D749">
            <v>2247000</v>
          </cell>
        </row>
        <row r="750">
          <cell r="A750">
            <v>750</v>
          </cell>
          <cell r="B750">
            <v>21</v>
          </cell>
          <cell r="C750">
            <v>13814</v>
          </cell>
          <cell r="D750">
            <v>2250000</v>
          </cell>
        </row>
        <row r="751">
          <cell r="A751">
            <v>751</v>
          </cell>
          <cell r="B751">
            <v>21</v>
          </cell>
          <cell r="C751">
            <v>13835</v>
          </cell>
          <cell r="D751">
            <v>2253000</v>
          </cell>
        </row>
        <row r="752">
          <cell r="A752">
            <v>752</v>
          </cell>
          <cell r="B752">
            <v>21</v>
          </cell>
          <cell r="C752">
            <v>13856</v>
          </cell>
          <cell r="D752">
            <v>2256000</v>
          </cell>
        </row>
        <row r="753">
          <cell r="A753">
            <v>753</v>
          </cell>
          <cell r="B753">
            <v>21</v>
          </cell>
          <cell r="C753">
            <v>13877</v>
          </cell>
          <cell r="D753">
            <v>2259000</v>
          </cell>
        </row>
        <row r="754">
          <cell r="A754">
            <v>754</v>
          </cell>
          <cell r="B754">
            <v>21</v>
          </cell>
          <cell r="C754">
            <v>13898</v>
          </cell>
          <cell r="D754">
            <v>2262000</v>
          </cell>
        </row>
        <row r="755">
          <cell r="A755">
            <v>755</v>
          </cell>
          <cell r="B755">
            <v>21</v>
          </cell>
          <cell r="C755">
            <v>13919</v>
          </cell>
          <cell r="D755">
            <v>2265000</v>
          </cell>
        </row>
        <row r="756">
          <cell r="A756">
            <v>756</v>
          </cell>
          <cell r="B756">
            <v>21</v>
          </cell>
          <cell r="C756">
            <v>13940</v>
          </cell>
          <cell r="D756">
            <v>2268000</v>
          </cell>
        </row>
        <row r="757">
          <cell r="A757">
            <v>757</v>
          </cell>
          <cell r="B757">
            <v>21</v>
          </cell>
          <cell r="C757">
            <v>13961</v>
          </cell>
          <cell r="D757">
            <v>2271000</v>
          </cell>
        </row>
        <row r="758">
          <cell r="A758">
            <v>758</v>
          </cell>
          <cell r="B758">
            <v>21</v>
          </cell>
          <cell r="C758">
            <v>13982</v>
          </cell>
          <cell r="D758">
            <v>2274000</v>
          </cell>
        </row>
        <row r="759">
          <cell r="A759">
            <v>759</v>
          </cell>
          <cell r="B759">
            <v>21</v>
          </cell>
          <cell r="C759">
            <v>14003</v>
          </cell>
          <cell r="D759">
            <v>2277000</v>
          </cell>
        </row>
        <row r="760">
          <cell r="A760">
            <v>760</v>
          </cell>
          <cell r="B760">
            <v>21</v>
          </cell>
          <cell r="C760">
            <v>14024</v>
          </cell>
          <cell r="D760">
            <v>2280000</v>
          </cell>
        </row>
        <row r="761">
          <cell r="A761">
            <v>761</v>
          </cell>
          <cell r="B761">
            <v>21</v>
          </cell>
          <cell r="C761">
            <v>14045</v>
          </cell>
          <cell r="D761">
            <v>2283000</v>
          </cell>
        </row>
        <row r="762">
          <cell r="A762">
            <v>762</v>
          </cell>
          <cell r="B762">
            <v>21</v>
          </cell>
          <cell r="C762">
            <v>14066</v>
          </cell>
          <cell r="D762">
            <v>2286000</v>
          </cell>
        </row>
        <row r="763">
          <cell r="A763">
            <v>763</v>
          </cell>
          <cell r="B763">
            <v>21</v>
          </cell>
          <cell r="C763">
            <v>14087</v>
          </cell>
          <cell r="D763">
            <v>2289000</v>
          </cell>
        </row>
        <row r="764">
          <cell r="A764">
            <v>764</v>
          </cell>
          <cell r="B764">
            <v>21</v>
          </cell>
          <cell r="C764">
            <v>14108</v>
          </cell>
          <cell r="D764">
            <v>2292000</v>
          </cell>
        </row>
        <row r="765">
          <cell r="A765">
            <v>765</v>
          </cell>
          <cell r="B765">
            <v>21</v>
          </cell>
          <cell r="C765">
            <v>14129</v>
          </cell>
          <cell r="D765">
            <v>2295000</v>
          </cell>
        </row>
        <row r="766">
          <cell r="A766">
            <v>766</v>
          </cell>
          <cell r="B766">
            <v>21</v>
          </cell>
          <cell r="C766">
            <v>14150</v>
          </cell>
          <cell r="D766">
            <v>2298000</v>
          </cell>
        </row>
        <row r="767">
          <cell r="A767">
            <v>767</v>
          </cell>
          <cell r="B767">
            <v>21</v>
          </cell>
          <cell r="C767">
            <v>14171</v>
          </cell>
          <cell r="D767">
            <v>2301000</v>
          </cell>
        </row>
        <row r="768">
          <cell r="A768">
            <v>768</v>
          </cell>
          <cell r="B768">
            <v>21</v>
          </cell>
          <cell r="C768">
            <v>14192</v>
          </cell>
          <cell r="D768">
            <v>2304000</v>
          </cell>
        </row>
        <row r="769">
          <cell r="A769">
            <v>769</v>
          </cell>
          <cell r="B769">
            <v>21</v>
          </cell>
          <cell r="C769">
            <v>14213</v>
          </cell>
          <cell r="D769">
            <v>2307000</v>
          </cell>
        </row>
        <row r="770">
          <cell r="A770">
            <v>770</v>
          </cell>
          <cell r="B770">
            <v>21</v>
          </cell>
          <cell r="C770">
            <v>14234</v>
          </cell>
          <cell r="D770">
            <v>2310000</v>
          </cell>
        </row>
        <row r="771">
          <cell r="A771">
            <v>771</v>
          </cell>
          <cell r="B771">
            <v>21</v>
          </cell>
          <cell r="C771">
            <v>14255</v>
          </cell>
          <cell r="D771">
            <v>2313000</v>
          </cell>
        </row>
        <row r="772">
          <cell r="A772">
            <v>772</v>
          </cell>
          <cell r="B772">
            <v>21</v>
          </cell>
          <cell r="C772">
            <v>14276</v>
          </cell>
          <cell r="D772">
            <v>2316000</v>
          </cell>
        </row>
        <row r="773">
          <cell r="A773">
            <v>773</v>
          </cell>
          <cell r="B773">
            <v>21</v>
          </cell>
          <cell r="C773">
            <v>14297</v>
          </cell>
          <cell r="D773">
            <v>2319000</v>
          </cell>
        </row>
        <row r="774">
          <cell r="A774">
            <v>774</v>
          </cell>
          <cell r="B774">
            <v>21</v>
          </cell>
          <cell r="C774">
            <v>14318</v>
          </cell>
          <cell r="D774">
            <v>2322000</v>
          </cell>
        </row>
        <row r="775">
          <cell r="A775">
            <v>775</v>
          </cell>
          <cell r="B775">
            <v>21</v>
          </cell>
          <cell r="C775">
            <v>14339</v>
          </cell>
          <cell r="D775">
            <v>2325000</v>
          </cell>
        </row>
        <row r="776">
          <cell r="A776">
            <v>776</v>
          </cell>
          <cell r="B776">
            <v>21</v>
          </cell>
          <cell r="C776">
            <v>14360</v>
          </cell>
          <cell r="D776">
            <v>2328000</v>
          </cell>
        </row>
        <row r="777">
          <cell r="A777">
            <v>777</v>
          </cell>
          <cell r="B777">
            <v>21</v>
          </cell>
          <cell r="C777">
            <v>14381</v>
          </cell>
          <cell r="D777">
            <v>2331000</v>
          </cell>
        </row>
        <row r="778">
          <cell r="A778">
            <v>778</v>
          </cell>
          <cell r="B778">
            <v>21</v>
          </cell>
          <cell r="C778">
            <v>14402</v>
          </cell>
          <cell r="D778">
            <v>2334000</v>
          </cell>
        </row>
        <row r="779">
          <cell r="A779">
            <v>779</v>
          </cell>
          <cell r="B779">
            <v>21</v>
          </cell>
          <cell r="C779">
            <v>14423</v>
          </cell>
          <cell r="D779">
            <v>2337000</v>
          </cell>
        </row>
        <row r="780">
          <cell r="A780">
            <v>780</v>
          </cell>
          <cell r="B780">
            <v>21</v>
          </cell>
          <cell r="C780">
            <v>14444</v>
          </cell>
          <cell r="D780">
            <v>2340000</v>
          </cell>
        </row>
        <row r="781">
          <cell r="A781">
            <v>781</v>
          </cell>
          <cell r="B781">
            <v>21</v>
          </cell>
          <cell r="C781">
            <v>14465</v>
          </cell>
          <cell r="D781">
            <v>2343000</v>
          </cell>
        </row>
        <row r="782">
          <cell r="A782">
            <v>782</v>
          </cell>
          <cell r="B782">
            <v>21</v>
          </cell>
          <cell r="C782">
            <v>14486</v>
          </cell>
          <cell r="D782">
            <v>2346000</v>
          </cell>
        </row>
        <row r="783">
          <cell r="A783">
            <v>783</v>
          </cell>
          <cell r="B783">
            <v>21</v>
          </cell>
          <cell r="C783">
            <v>14507</v>
          </cell>
          <cell r="D783">
            <v>2349000</v>
          </cell>
        </row>
        <row r="784">
          <cell r="A784">
            <v>784</v>
          </cell>
          <cell r="B784">
            <v>21</v>
          </cell>
          <cell r="C784">
            <v>14528</v>
          </cell>
          <cell r="D784">
            <v>2352000</v>
          </cell>
        </row>
        <row r="785">
          <cell r="A785">
            <v>785</v>
          </cell>
          <cell r="B785">
            <v>21</v>
          </cell>
          <cell r="C785">
            <v>14549</v>
          </cell>
          <cell r="D785">
            <v>2355000</v>
          </cell>
        </row>
        <row r="786">
          <cell r="A786">
            <v>786</v>
          </cell>
          <cell r="B786">
            <v>21</v>
          </cell>
          <cell r="C786">
            <v>14570</v>
          </cell>
          <cell r="D786">
            <v>2358000</v>
          </cell>
        </row>
        <row r="787">
          <cell r="A787">
            <v>787</v>
          </cell>
          <cell r="B787">
            <v>21</v>
          </cell>
          <cell r="C787">
            <v>14591</v>
          </cell>
          <cell r="D787">
            <v>2361000</v>
          </cell>
        </row>
        <row r="788">
          <cell r="A788">
            <v>788</v>
          </cell>
          <cell r="B788">
            <v>21</v>
          </cell>
          <cell r="C788">
            <v>14612</v>
          </cell>
          <cell r="D788">
            <v>2364000</v>
          </cell>
        </row>
        <row r="789">
          <cell r="A789">
            <v>789</v>
          </cell>
          <cell r="B789">
            <v>21</v>
          </cell>
          <cell r="C789">
            <v>14633</v>
          </cell>
          <cell r="D789">
            <v>2367000</v>
          </cell>
        </row>
        <row r="790">
          <cell r="A790">
            <v>790</v>
          </cell>
          <cell r="B790">
            <v>21</v>
          </cell>
          <cell r="C790">
            <v>14654</v>
          </cell>
          <cell r="D790">
            <v>2370000</v>
          </cell>
        </row>
        <row r="791">
          <cell r="A791">
            <v>791</v>
          </cell>
          <cell r="B791">
            <v>21</v>
          </cell>
          <cell r="C791">
            <v>14675</v>
          </cell>
          <cell r="D791">
            <v>2373000</v>
          </cell>
        </row>
        <row r="792">
          <cell r="A792">
            <v>792</v>
          </cell>
          <cell r="B792">
            <v>21</v>
          </cell>
          <cell r="C792">
            <v>14696</v>
          </cell>
          <cell r="D792">
            <v>2376000</v>
          </cell>
        </row>
        <row r="793">
          <cell r="A793">
            <v>793</v>
          </cell>
          <cell r="B793">
            <v>21</v>
          </cell>
          <cell r="C793">
            <v>14717</v>
          </cell>
          <cell r="D793">
            <v>2379000</v>
          </cell>
        </row>
        <row r="794">
          <cell r="A794">
            <v>794</v>
          </cell>
          <cell r="B794">
            <v>21</v>
          </cell>
          <cell r="C794">
            <v>14738</v>
          </cell>
          <cell r="D794">
            <v>2382000</v>
          </cell>
        </row>
        <row r="795">
          <cell r="A795">
            <v>795</v>
          </cell>
          <cell r="B795">
            <v>21</v>
          </cell>
          <cell r="C795">
            <v>14759</v>
          </cell>
          <cell r="D795">
            <v>2385000</v>
          </cell>
        </row>
        <row r="796">
          <cell r="A796">
            <v>796</v>
          </cell>
          <cell r="B796">
            <v>21</v>
          </cell>
          <cell r="C796">
            <v>14780</v>
          </cell>
          <cell r="D796">
            <v>2388000</v>
          </cell>
        </row>
        <row r="797">
          <cell r="A797">
            <v>797</v>
          </cell>
          <cell r="B797">
            <v>21</v>
          </cell>
          <cell r="C797">
            <v>14801</v>
          </cell>
          <cell r="D797">
            <v>2391000</v>
          </cell>
        </row>
        <row r="798">
          <cell r="A798">
            <v>798</v>
          </cell>
          <cell r="B798">
            <v>21</v>
          </cell>
          <cell r="C798">
            <v>14822</v>
          </cell>
          <cell r="D798">
            <v>2394000</v>
          </cell>
        </row>
        <row r="799">
          <cell r="A799">
            <v>799</v>
          </cell>
          <cell r="B799">
            <v>21</v>
          </cell>
          <cell r="C799">
            <v>14843</v>
          </cell>
          <cell r="D799">
            <v>2397000</v>
          </cell>
        </row>
        <row r="800">
          <cell r="A800">
            <v>800</v>
          </cell>
          <cell r="B800">
            <v>21</v>
          </cell>
          <cell r="C800">
            <v>14864</v>
          </cell>
          <cell r="D800">
            <v>2400000</v>
          </cell>
        </row>
        <row r="801">
          <cell r="A801">
            <v>801</v>
          </cell>
          <cell r="B801">
            <v>21</v>
          </cell>
          <cell r="C801">
            <v>14885</v>
          </cell>
          <cell r="D801">
            <v>2403000</v>
          </cell>
        </row>
        <row r="802">
          <cell r="A802">
            <v>802</v>
          </cell>
          <cell r="B802">
            <v>21</v>
          </cell>
          <cell r="C802">
            <v>14906</v>
          </cell>
          <cell r="D802">
            <v>2406000</v>
          </cell>
        </row>
        <row r="803">
          <cell r="A803">
            <v>803</v>
          </cell>
          <cell r="B803">
            <v>21</v>
          </cell>
          <cell r="C803">
            <v>14927</v>
          </cell>
          <cell r="D803">
            <v>2409000</v>
          </cell>
        </row>
        <row r="804">
          <cell r="A804">
            <v>804</v>
          </cell>
          <cell r="B804">
            <v>21</v>
          </cell>
          <cell r="C804">
            <v>14948</v>
          </cell>
          <cell r="D804">
            <v>2412000</v>
          </cell>
        </row>
        <row r="805">
          <cell r="A805">
            <v>805</v>
          </cell>
          <cell r="B805">
            <v>21</v>
          </cell>
          <cell r="C805">
            <v>14969</v>
          </cell>
          <cell r="D805">
            <v>2415000</v>
          </cell>
        </row>
        <row r="806">
          <cell r="A806">
            <v>806</v>
          </cell>
          <cell r="B806">
            <v>21</v>
          </cell>
          <cell r="C806">
            <v>14990</v>
          </cell>
          <cell r="D806">
            <v>2418000</v>
          </cell>
        </row>
        <row r="807">
          <cell r="A807">
            <v>807</v>
          </cell>
          <cell r="B807">
            <v>21</v>
          </cell>
          <cell r="C807">
            <v>15011</v>
          </cell>
          <cell r="D807">
            <v>2421000</v>
          </cell>
        </row>
        <row r="808">
          <cell r="A808">
            <v>808</v>
          </cell>
          <cell r="B808">
            <v>21</v>
          </cell>
          <cell r="C808">
            <v>15032</v>
          </cell>
          <cell r="D808">
            <v>2424000</v>
          </cell>
        </row>
        <row r="809">
          <cell r="A809">
            <v>809</v>
          </cell>
          <cell r="B809">
            <v>21</v>
          </cell>
          <cell r="C809">
            <v>15053</v>
          </cell>
          <cell r="D809">
            <v>2427000</v>
          </cell>
        </row>
        <row r="810">
          <cell r="A810">
            <v>810</v>
          </cell>
          <cell r="B810">
            <v>21</v>
          </cell>
          <cell r="C810">
            <v>15074</v>
          </cell>
          <cell r="D810">
            <v>2430000</v>
          </cell>
        </row>
        <row r="811">
          <cell r="A811">
            <v>811</v>
          </cell>
          <cell r="B811">
            <v>21</v>
          </cell>
          <cell r="C811">
            <v>15095</v>
          </cell>
          <cell r="D811">
            <v>2433000</v>
          </cell>
        </row>
        <row r="812">
          <cell r="A812">
            <v>812</v>
          </cell>
          <cell r="B812">
            <v>21</v>
          </cell>
          <cell r="C812">
            <v>15116</v>
          </cell>
          <cell r="D812">
            <v>2436000</v>
          </cell>
        </row>
        <row r="813">
          <cell r="A813">
            <v>813</v>
          </cell>
          <cell r="B813">
            <v>21</v>
          </cell>
          <cell r="C813">
            <v>15137</v>
          </cell>
          <cell r="D813">
            <v>2439000</v>
          </cell>
        </row>
        <row r="814">
          <cell r="A814">
            <v>814</v>
          </cell>
          <cell r="B814">
            <v>21</v>
          </cell>
          <cell r="C814">
            <v>15158</v>
          </cell>
          <cell r="D814">
            <v>2442000</v>
          </cell>
        </row>
        <row r="815">
          <cell r="A815">
            <v>815</v>
          </cell>
          <cell r="B815">
            <v>21</v>
          </cell>
          <cell r="C815">
            <v>15179</v>
          </cell>
          <cell r="D815">
            <v>2445000</v>
          </cell>
        </row>
        <row r="816">
          <cell r="A816">
            <v>816</v>
          </cell>
          <cell r="B816">
            <v>21</v>
          </cell>
          <cell r="C816">
            <v>15200</v>
          </cell>
          <cell r="D816">
            <v>2448000</v>
          </cell>
        </row>
        <row r="817">
          <cell r="A817">
            <v>817</v>
          </cell>
          <cell r="B817">
            <v>21</v>
          </cell>
          <cell r="C817">
            <v>15221</v>
          </cell>
          <cell r="D817">
            <v>2451000</v>
          </cell>
        </row>
        <row r="818">
          <cell r="A818">
            <v>818</v>
          </cell>
          <cell r="B818">
            <v>21</v>
          </cell>
          <cell r="C818">
            <v>15242</v>
          </cell>
          <cell r="D818">
            <v>2454000</v>
          </cell>
        </row>
        <row r="819">
          <cell r="A819">
            <v>819</v>
          </cell>
          <cell r="B819">
            <v>21</v>
          </cell>
          <cell r="C819">
            <v>15263</v>
          </cell>
          <cell r="D819">
            <v>2457000</v>
          </cell>
        </row>
        <row r="820">
          <cell r="A820">
            <v>820</v>
          </cell>
          <cell r="B820">
            <v>21</v>
          </cell>
          <cell r="C820">
            <v>15284</v>
          </cell>
          <cell r="D820">
            <v>2460000</v>
          </cell>
        </row>
        <row r="821">
          <cell r="A821">
            <v>821</v>
          </cell>
          <cell r="B821">
            <v>21</v>
          </cell>
          <cell r="C821">
            <v>15305</v>
          </cell>
          <cell r="D821">
            <v>2463000</v>
          </cell>
        </row>
        <row r="822">
          <cell r="A822">
            <v>822</v>
          </cell>
          <cell r="B822">
            <v>21</v>
          </cell>
          <cell r="C822">
            <v>15326</v>
          </cell>
          <cell r="D822">
            <v>2466000</v>
          </cell>
        </row>
        <row r="823">
          <cell r="A823">
            <v>823</v>
          </cell>
          <cell r="B823">
            <v>21</v>
          </cell>
          <cell r="C823">
            <v>15347</v>
          </cell>
          <cell r="D823">
            <v>2469000</v>
          </cell>
        </row>
        <row r="824">
          <cell r="A824">
            <v>824</v>
          </cell>
          <cell r="B824">
            <v>21</v>
          </cell>
          <cell r="C824">
            <v>15368</v>
          </cell>
          <cell r="D824">
            <v>2472000</v>
          </cell>
        </row>
        <row r="825">
          <cell r="A825">
            <v>825</v>
          </cell>
          <cell r="B825">
            <v>21</v>
          </cell>
          <cell r="C825">
            <v>15389</v>
          </cell>
          <cell r="D825">
            <v>2475000</v>
          </cell>
        </row>
        <row r="826">
          <cell r="A826">
            <v>826</v>
          </cell>
          <cell r="B826">
            <v>21</v>
          </cell>
          <cell r="C826">
            <v>15410</v>
          </cell>
          <cell r="D826">
            <v>2478000</v>
          </cell>
        </row>
        <row r="827">
          <cell r="A827">
            <v>827</v>
          </cell>
          <cell r="B827">
            <v>21</v>
          </cell>
          <cell r="C827">
            <v>15431</v>
          </cell>
          <cell r="D827">
            <v>2481000</v>
          </cell>
        </row>
        <row r="828">
          <cell r="A828">
            <v>828</v>
          </cell>
          <cell r="B828">
            <v>21</v>
          </cell>
          <cell r="C828">
            <v>15452</v>
          </cell>
          <cell r="D828">
            <v>2484000</v>
          </cell>
        </row>
        <row r="829">
          <cell r="A829">
            <v>829</v>
          </cell>
          <cell r="B829">
            <v>21</v>
          </cell>
          <cell r="C829">
            <v>15473</v>
          </cell>
          <cell r="D829">
            <v>2487000</v>
          </cell>
        </row>
        <row r="830">
          <cell r="A830">
            <v>830</v>
          </cell>
          <cell r="B830">
            <v>21</v>
          </cell>
          <cell r="C830">
            <v>15494</v>
          </cell>
          <cell r="D830">
            <v>2490000</v>
          </cell>
        </row>
        <row r="831">
          <cell r="A831">
            <v>831</v>
          </cell>
          <cell r="B831">
            <v>21</v>
          </cell>
          <cell r="C831">
            <v>15515</v>
          </cell>
          <cell r="D831">
            <v>2493000</v>
          </cell>
        </row>
        <row r="832">
          <cell r="A832">
            <v>832</v>
          </cell>
          <cell r="B832">
            <v>21</v>
          </cell>
          <cell r="C832">
            <v>15536</v>
          </cell>
          <cell r="D832">
            <v>2496000</v>
          </cell>
        </row>
        <row r="833">
          <cell r="A833">
            <v>833</v>
          </cell>
          <cell r="B833">
            <v>21</v>
          </cell>
          <cell r="C833">
            <v>15557</v>
          </cell>
          <cell r="D833">
            <v>2499000</v>
          </cell>
        </row>
        <row r="834">
          <cell r="A834">
            <v>834</v>
          </cell>
          <cell r="B834">
            <v>21</v>
          </cell>
          <cell r="C834">
            <v>15578</v>
          </cell>
          <cell r="D834">
            <v>2502000</v>
          </cell>
        </row>
        <row r="835">
          <cell r="A835">
            <v>835</v>
          </cell>
          <cell r="B835">
            <v>21</v>
          </cell>
          <cell r="C835">
            <v>15599</v>
          </cell>
          <cell r="D835">
            <v>2505000</v>
          </cell>
        </row>
        <row r="836">
          <cell r="A836">
            <v>836</v>
          </cell>
          <cell r="B836">
            <v>21</v>
          </cell>
          <cell r="C836">
            <v>15620</v>
          </cell>
          <cell r="D836">
            <v>2508000</v>
          </cell>
        </row>
        <row r="837">
          <cell r="A837">
            <v>837</v>
          </cell>
          <cell r="B837">
            <v>21</v>
          </cell>
          <cell r="C837">
            <v>15641</v>
          </cell>
          <cell r="D837">
            <v>2511000</v>
          </cell>
        </row>
        <row r="838">
          <cell r="A838">
            <v>838</v>
          </cell>
          <cell r="B838">
            <v>21</v>
          </cell>
          <cell r="C838">
            <v>15662</v>
          </cell>
          <cell r="D838">
            <v>2514000</v>
          </cell>
        </row>
        <row r="839">
          <cell r="A839">
            <v>839</v>
          </cell>
          <cell r="B839">
            <v>21</v>
          </cell>
          <cell r="C839">
            <v>15683</v>
          </cell>
          <cell r="D839">
            <v>2517000</v>
          </cell>
        </row>
        <row r="840">
          <cell r="A840">
            <v>840</v>
          </cell>
          <cell r="B840">
            <v>21</v>
          </cell>
          <cell r="C840">
            <v>15704</v>
          </cell>
          <cell r="D840">
            <v>2520000</v>
          </cell>
        </row>
        <row r="841">
          <cell r="A841">
            <v>841</v>
          </cell>
          <cell r="B841">
            <v>21</v>
          </cell>
          <cell r="C841">
            <v>15725</v>
          </cell>
          <cell r="D841">
            <v>2523000</v>
          </cell>
        </row>
        <row r="842">
          <cell r="A842">
            <v>842</v>
          </cell>
          <cell r="B842">
            <v>21</v>
          </cell>
          <cell r="C842">
            <v>15746</v>
          </cell>
          <cell r="D842">
            <v>2526000</v>
          </cell>
        </row>
        <row r="843">
          <cell r="A843">
            <v>843</v>
          </cell>
          <cell r="B843">
            <v>21</v>
          </cell>
          <cell r="C843">
            <v>15767</v>
          </cell>
          <cell r="D843">
            <v>2529000</v>
          </cell>
        </row>
        <row r="844">
          <cell r="A844">
            <v>844</v>
          </cell>
          <cell r="B844">
            <v>21</v>
          </cell>
          <cell r="C844">
            <v>15788</v>
          </cell>
          <cell r="D844">
            <v>2532000</v>
          </cell>
        </row>
        <row r="845">
          <cell r="A845">
            <v>845</v>
          </cell>
          <cell r="B845">
            <v>21</v>
          </cell>
          <cell r="C845">
            <v>15809</v>
          </cell>
          <cell r="D845">
            <v>2535000</v>
          </cell>
        </row>
        <row r="846">
          <cell r="A846">
            <v>846</v>
          </cell>
          <cell r="B846">
            <v>21</v>
          </cell>
          <cell r="C846">
            <v>15830</v>
          </cell>
          <cell r="D846">
            <v>2538000</v>
          </cell>
        </row>
        <row r="847">
          <cell r="A847">
            <v>847</v>
          </cell>
          <cell r="B847">
            <v>21</v>
          </cell>
          <cell r="C847">
            <v>15851</v>
          </cell>
          <cell r="D847">
            <v>2541000</v>
          </cell>
        </row>
        <row r="848">
          <cell r="A848">
            <v>848</v>
          </cell>
          <cell r="B848">
            <v>21</v>
          </cell>
          <cell r="C848">
            <v>15872</v>
          </cell>
          <cell r="D848">
            <v>2544000</v>
          </cell>
        </row>
        <row r="849">
          <cell r="A849">
            <v>849</v>
          </cell>
          <cell r="B849">
            <v>21</v>
          </cell>
          <cell r="C849">
            <v>15893</v>
          </cell>
          <cell r="D849">
            <v>2547000</v>
          </cell>
        </row>
        <row r="850">
          <cell r="A850">
            <v>850</v>
          </cell>
          <cell r="B850">
            <v>21</v>
          </cell>
          <cell r="C850">
            <v>15914</v>
          </cell>
          <cell r="D850">
            <v>2550000</v>
          </cell>
        </row>
        <row r="851">
          <cell r="A851">
            <v>851</v>
          </cell>
          <cell r="B851">
            <v>21</v>
          </cell>
          <cell r="C851">
            <v>15935</v>
          </cell>
          <cell r="D851">
            <v>2553000</v>
          </cell>
        </row>
        <row r="852">
          <cell r="A852">
            <v>852</v>
          </cell>
          <cell r="B852">
            <v>21</v>
          </cell>
          <cell r="C852">
            <v>15956</v>
          </cell>
          <cell r="D852">
            <v>2556000</v>
          </cell>
        </row>
        <row r="853">
          <cell r="A853">
            <v>853</v>
          </cell>
          <cell r="B853">
            <v>21</v>
          </cell>
          <cell r="C853">
            <v>15977</v>
          </cell>
          <cell r="D853">
            <v>2559000</v>
          </cell>
        </row>
        <row r="854">
          <cell r="A854">
            <v>854</v>
          </cell>
          <cell r="B854">
            <v>21</v>
          </cell>
          <cell r="C854">
            <v>15998</v>
          </cell>
          <cell r="D854">
            <v>2562000</v>
          </cell>
        </row>
        <row r="855">
          <cell r="A855">
            <v>855</v>
          </cell>
          <cell r="B855">
            <v>21</v>
          </cell>
          <cell r="C855">
            <v>16019</v>
          </cell>
          <cell r="D855">
            <v>2565000</v>
          </cell>
        </row>
        <row r="856">
          <cell r="A856">
            <v>856</v>
          </cell>
          <cell r="B856">
            <v>21</v>
          </cell>
          <cell r="C856">
            <v>16040</v>
          </cell>
          <cell r="D856">
            <v>2568000</v>
          </cell>
        </row>
        <row r="857">
          <cell r="A857">
            <v>857</v>
          </cell>
          <cell r="B857">
            <v>21</v>
          </cell>
          <cell r="C857">
            <v>16061</v>
          </cell>
          <cell r="D857">
            <v>2571000</v>
          </cell>
        </row>
        <row r="858">
          <cell r="A858">
            <v>858</v>
          </cell>
          <cell r="B858">
            <v>21</v>
          </cell>
          <cell r="C858">
            <v>16082</v>
          </cell>
          <cell r="D858">
            <v>2574000</v>
          </cell>
        </row>
        <row r="859">
          <cell r="A859">
            <v>859</v>
          </cell>
          <cell r="B859">
            <v>21</v>
          </cell>
          <cell r="C859">
            <v>16103</v>
          </cell>
          <cell r="D859">
            <v>2577000</v>
          </cell>
        </row>
        <row r="860">
          <cell r="A860">
            <v>860</v>
          </cell>
          <cell r="B860">
            <v>21</v>
          </cell>
          <cell r="C860">
            <v>16124</v>
          </cell>
          <cell r="D860">
            <v>2580000</v>
          </cell>
        </row>
        <row r="861">
          <cell r="A861">
            <v>861</v>
          </cell>
          <cell r="B861">
            <v>21</v>
          </cell>
          <cell r="C861">
            <v>16145</v>
          </cell>
          <cell r="D861">
            <v>2583000</v>
          </cell>
        </row>
        <row r="862">
          <cell r="A862">
            <v>862</v>
          </cell>
          <cell r="B862">
            <v>21</v>
          </cell>
          <cell r="C862">
            <v>16166</v>
          </cell>
          <cell r="D862">
            <v>2586000</v>
          </cell>
        </row>
        <row r="863">
          <cell r="A863">
            <v>863</v>
          </cell>
          <cell r="B863">
            <v>21</v>
          </cell>
          <cell r="C863">
            <v>16187</v>
          </cell>
          <cell r="D863">
            <v>2589000</v>
          </cell>
        </row>
        <row r="864">
          <cell r="A864">
            <v>864</v>
          </cell>
          <cell r="B864">
            <v>21</v>
          </cell>
          <cell r="C864">
            <v>16208</v>
          </cell>
          <cell r="D864">
            <v>2592000</v>
          </cell>
        </row>
        <row r="865">
          <cell r="A865">
            <v>865</v>
          </cell>
          <cell r="B865">
            <v>21</v>
          </cell>
          <cell r="C865">
            <v>16229</v>
          </cell>
          <cell r="D865">
            <v>2595000</v>
          </cell>
        </row>
        <row r="866">
          <cell r="A866">
            <v>866</v>
          </cell>
          <cell r="B866">
            <v>21</v>
          </cell>
          <cell r="C866">
            <v>16250</v>
          </cell>
          <cell r="D866">
            <v>2598000</v>
          </cell>
        </row>
        <row r="867">
          <cell r="A867">
            <v>867</v>
          </cell>
          <cell r="B867">
            <v>21</v>
          </cell>
          <cell r="C867">
            <v>16271</v>
          </cell>
          <cell r="D867">
            <v>2601000</v>
          </cell>
        </row>
        <row r="868">
          <cell r="A868">
            <v>868</v>
          </cell>
          <cell r="B868">
            <v>21</v>
          </cell>
          <cell r="C868">
            <v>16292</v>
          </cell>
          <cell r="D868">
            <v>2604000</v>
          </cell>
        </row>
        <row r="869">
          <cell r="A869">
            <v>869</v>
          </cell>
          <cell r="B869">
            <v>21</v>
          </cell>
          <cell r="C869">
            <v>16313</v>
          </cell>
          <cell r="D869">
            <v>2607000</v>
          </cell>
        </row>
        <row r="870">
          <cell r="A870">
            <v>870</v>
          </cell>
          <cell r="B870">
            <v>21</v>
          </cell>
          <cell r="C870">
            <v>16334</v>
          </cell>
          <cell r="D870">
            <v>2610000</v>
          </cell>
        </row>
        <row r="871">
          <cell r="A871">
            <v>871</v>
          </cell>
          <cell r="B871">
            <v>21</v>
          </cell>
          <cell r="C871">
            <v>16355</v>
          </cell>
          <cell r="D871">
            <v>2613000</v>
          </cell>
        </row>
        <row r="872">
          <cell r="A872">
            <v>872</v>
          </cell>
          <cell r="B872">
            <v>21</v>
          </cell>
          <cell r="C872">
            <v>16376</v>
          </cell>
          <cell r="D872">
            <v>2616000</v>
          </cell>
        </row>
        <row r="873">
          <cell r="A873">
            <v>873</v>
          </cell>
          <cell r="B873">
            <v>21</v>
          </cell>
          <cell r="C873">
            <v>16397</v>
          </cell>
          <cell r="D873">
            <v>2619000</v>
          </cell>
        </row>
        <row r="874">
          <cell r="A874">
            <v>874</v>
          </cell>
          <cell r="B874">
            <v>21</v>
          </cell>
          <cell r="C874">
            <v>16418</v>
          </cell>
          <cell r="D874">
            <v>2622000</v>
          </cell>
        </row>
        <row r="875">
          <cell r="A875">
            <v>875</v>
          </cell>
          <cell r="B875">
            <v>21</v>
          </cell>
          <cell r="C875">
            <v>16439</v>
          </cell>
          <cell r="D875">
            <v>2625000</v>
          </cell>
        </row>
        <row r="876">
          <cell r="A876">
            <v>876</v>
          </cell>
          <cell r="B876">
            <v>21</v>
          </cell>
          <cell r="C876">
            <v>16460</v>
          </cell>
          <cell r="D876">
            <v>2628000</v>
          </cell>
        </row>
        <row r="877">
          <cell r="A877">
            <v>877</v>
          </cell>
          <cell r="B877">
            <v>21</v>
          </cell>
          <cell r="C877">
            <v>16481</v>
          </cell>
          <cell r="D877">
            <v>2631000</v>
          </cell>
        </row>
        <row r="878">
          <cell r="A878">
            <v>878</v>
          </cell>
          <cell r="B878">
            <v>21</v>
          </cell>
          <cell r="C878">
            <v>16502</v>
          </cell>
          <cell r="D878">
            <v>2634000</v>
          </cell>
        </row>
        <row r="879">
          <cell r="A879">
            <v>879</v>
          </cell>
          <cell r="B879">
            <v>21</v>
          </cell>
          <cell r="C879">
            <v>16523</v>
          </cell>
          <cell r="D879">
            <v>2637000</v>
          </cell>
        </row>
        <row r="880">
          <cell r="A880">
            <v>880</v>
          </cell>
          <cell r="B880">
            <v>21</v>
          </cell>
          <cell r="C880">
            <v>16544</v>
          </cell>
          <cell r="D880">
            <v>2640000</v>
          </cell>
        </row>
        <row r="881">
          <cell r="A881">
            <v>881</v>
          </cell>
          <cell r="B881">
            <v>21</v>
          </cell>
          <cell r="C881">
            <v>16565</v>
          </cell>
          <cell r="D881">
            <v>2643000</v>
          </cell>
        </row>
        <row r="882">
          <cell r="A882">
            <v>882</v>
          </cell>
          <cell r="B882">
            <v>21</v>
          </cell>
          <cell r="C882">
            <v>16586</v>
          </cell>
          <cell r="D882">
            <v>2646000</v>
          </cell>
        </row>
        <row r="883">
          <cell r="A883">
            <v>883</v>
          </cell>
          <cell r="B883">
            <v>21</v>
          </cell>
          <cell r="C883">
            <v>16607</v>
          </cell>
          <cell r="D883">
            <v>2649000</v>
          </cell>
        </row>
        <row r="884">
          <cell r="A884">
            <v>884</v>
          </cell>
          <cell r="B884">
            <v>21</v>
          </cell>
          <cell r="C884">
            <v>16628</v>
          </cell>
          <cell r="D884">
            <v>2652000</v>
          </cell>
        </row>
        <row r="885">
          <cell r="A885">
            <v>885</v>
          </cell>
          <cell r="B885">
            <v>21</v>
          </cell>
          <cell r="C885">
            <v>16649</v>
          </cell>
          <cell r="D885">
            <v>2655000</v>
          </cell>
        </row>
        <row r="886">
          <cell r="A886">
            <v>886</v>
          </cell>
          <cell r="B886">
            <v>21</v>
          </cell>
          <cell r="C886">
            <v>16670</v>
          </cell>
          <cell r="D886">
            <v>2658000</v>
          </cell>
        </row>
        <row r="887">
          <cell r="A887">
            <v>887</v>
          </cell>
          <cell r="B887">
            <v>21</v>
          </cell>
          <cell r="C887">
            <v>16691</v>
          </cell>
          <cell r="D887">
            <v>2661000</v>
          </cell>
        </row>
        <row r="888">
          <cell r="A888">
            <v>888</v>
          </cell>
          <cell r="B888">
            <v>21</v>
          </cell>
          <cell r="C888">
            <v>16712</v>
          </cell>
          <cell r="D888">
            <v>2664000</v>
          </cell>
        </row>
        <row r="889">
          <cell r="A889">
            <v>889</v>
          </cell>
          <cell r="B889">
            <v>21</v>
          </cell>
          <cell r="C889">
            <v>16733</v>
          </cell>
          <cell r="D889">
            <v>2667000</v>
          </cell>
        </row>
        <row r="890">
          <cell r="A890">
            <v>890</v>
          </cell>
          <cell r="B890">
            <v>21</v>
          </cell>
          <cell r="C890">
            <v>16754</v>
          </cell>
          <cell r="D890">
            <v>2670000</v>
          </cell>
        </row>
        <row r="891">
          <cell r="A891">
            <v>891</v>
          </cell>
          <cell r="B891">
            <v>21</v>
          </cell>
          <cell r="C891">
            <v>16775</v>
          </cell>
          <cell r="D891">
            <v>2673000</v>
          </cell>
        </row>
        <row r="892">
          <cell r="A892">
            <v>892</v>
          </cell>
          <cell r="B892">
            <v>21</v>
          </cell>
          <cell r="C892">
            <v>16796</v>
          </cell>
          <cell r="D892">
            <v>2676000</v>
          </cell>
        </row>
        <row r="893">
          <cell r="A893">
            <v>893</v>
          </cell>
          <cell r="B893">
            <v>21</v>
          </cell>
          <cell r="C893">
            <v>16817</v>
          </cell>
          <cell r="D893">
            <v>2679000</v>
          </cell>
        </row>
        <row r="894">
          <cell r="A894">
            <v>894</v>
          </cell>
          <cell r="B894">
            <v>21</v>
          </cell>
          <cell r="C894">
            <v>16838</v>
          </cell>
          <cell r="D894">
            <v>2682000</v>
          </cell>
        </row>
        <row r="895">
          <cell r="A895">
            <v>895</v>
          </cell>
          <cell r="B895">
            <v>21</v>
          </cell>
          <cell r="C895">
            <v>16859</v>
          </cell>
          <cell r="D895">
            <v>2685000</v>
          </cell>
        </row>
        <row r="896">
          <cell r="A896">
            <v>896</v>
          </cell>
          <cell r="B896">
            <v>21</v>
          </cell>
          <cell r="C896">
            <v>16880</v>
          </cell>
          <cell r="D896">
            <v>2688000</v>
          </cell>
        </row>
        <row r="897">
          <cell r="A897">
            <v>897</v>
          </cell>
          <cell r="B897">
            <v>21</v>
          </cell>
          <cell r="C897">
            <v>16901</v>
          </cell>
          <cell r="D897">
            <v>2691000</v>
          </cell>
        </row>
        <row r="898">
          <cell r="A898">
            <v>898</v>
          </cell>
          <cell r="B898">
            <v>21</v>
          </cell>
          <cell r="C898">
            <v>16922</v>
          </cell>
          <cell r="D898">
            <v>2694000</v>
          </cell>
        </row>
        <row r="899">
          <cell r="A899">
            <v>899</v>
          </cell>
          <cell r="B899">
            <v>21</v>
          </cell>
          <cell r="C899">
            <v>16943</v>
          </cell>
          <cell r="D899">
            <v>2697000</v>
          </cell>
        </row>
        <row r="900">
          <cell r="A900">
            <v>900</v>
          </cell>
          <cell r="B900">
            <v>21</v>
          </cell>
          <cell r="C900">
            <v>16964</v>
          </cell>
          <cell r="D900">
            <v>2700000</v>
          </cell>
        </row>
        <row r="901">
          <cell r="A901">
            <v>901</v>
          </cell>
          <cell r="B901">
            <v>21</v>
          </cell>
          <cell r="C901">
            <v>16985</v>
          </cell>
          <cell r="D901">
            <v>2703000</v>
          </cell>
        </row>
        <row r="902">
          <cell r="A902">
            <v>902</v>
          </cell>
          <cell r="B902">
            <v>21</v>
          </cell>
          <cell r="C902">
            <v>17006</v>
          </cell>
          <cell r="D902">
            <v>2706000</v>
          </cell>
        </row>
        <row r="903">
          <cell r="A903">
            <v>903</v>
          </cell>
          <cell r="B903">
            <v>21</v>
          </cell>
          <cell r="C903">
            <v>17027</v>
          </cell>
          <cell r="D903">
            <v>2709000</v>
          </cell>
        </row>
        <row r="904">
          <cell r="A904">
            <v>904</v>
          </cell>
          <cell r="B904">
            <v>21</v>
          </cell>
          <cell r="C904">
            <v>17048</v>
          </cell>
          <cell r="D904">
            <v>2712000</v>
          </cell>
        </row>
        <row r="905">
          <cell r="A905">
            <v>905</v>
          </cell>
          <cell r="B905">
            <v>21</v>
          </cell>
          <cell r="C905">
            <v>17069</v>
          </cell>
          <cell r="D905">
            <v>2715000</v>
          </cell>
        </row>
        <row r="906">
          <cell r="A906">
            <v>906</v>
          </cell>
          <cell r="B906">
            <v>21</v>
          </cell>
          <cell r="C906">
            <v>17090</v>
          </cell>
          <cell r="D906">
            <v>2718000</v>
          </cell>
        </row>
        <row r="907">
          <cell r="A907">
            <v>907</v>
          </cell>
          <cell r="B907">
            <v>21</v>
          </cell>
          <cell r="C907">
            <v>17111</v>
          </cell>
          <cell r="D907">
            <v>2721000</v>
          </cell>
        </row>
        <row r="908">
          <cell r="A908">
            <v>908</v>
          </cell>
          <cell r="B908">
            <v>21</v>
          </cell>
          <cell r="C908">
            <v>17132</v>
          </cell>
          <cell r="D908">
            <v>2724000</v>
          </cell>
        </row>
        <row r="909">
          <cell r="A909">
            <v>909</v>
          </cell>
          <cell r="B909">
            <v>21</v>
          </cell>
          <cell r="C909">
            <v>17153</v>
          </cell>
          <cell r="D909">
            <v>2727000</v>
          </cell>
        </row>
        <row r="910">
          <cell r="A910">
            <v>910</v>
          </cell>
          <cell r="B910">
            <v>21</v>
          </cell>
          <cell r="C910">
            <v>17174</v>
          </cell>
          <cell r="D910">
            <v>2730000</v>
          </cell>
        </row>
        <row r="911">
          <cell r="A911">
            <v>911</v>
          </cell>
          <cell r="B911">
            <v>21</v>
          </cell>
          <cell r="C911">
            <v>17195</v>
          </cell>
          <cell r="D911">
            <v>2733000</v>
          </cell>
        </row>
        <row r="912">
          <cell r="A912">
            <v>912</v>
          </cell>
          <cell r="B912">
            <v>21</v>
          </cell>
          <cell r="C912">
            <v>17216</v>
          </cell>
          <cell r="D912">
            <v>2736000</v>
          </cell>
        </row>
        <row r="913">
          <cell r="A913">
            <v>913</v>
          </cell>
          <cell r="B913">
            <v>21</v>
          </cell>
          <cell r="C913">
            <v>17237</v>
          </cell>
          <cell r="D913">
            <v>2739000</v>
          </cell>
        </row>
        <row r="914">
          <cell r="A914">
            <v>914</v>
          </cell>
          <cell r="B914">
            <v>21</v>
          </cell>
          <cell r="C914">
            <v>17258</v>
          </cell>
          <cell r="D914">
            <v>2742000</v>
          </cell>
        </row>
        <row r="915">
          <cell r="A915">
            <v>915</v>
          </cell>
          <cell r="B915">
            <v>21</v>
          </cell>
          <cell r="C915">
            <v>17279</v>
          </cell>
          <cell r="D915">
            <v>2745000</v>
          </cell>
        </row>
        <row r="916">
          <cell r="A916">
            <v>916</v>
          </cell>
          <cell r="B916">
            <v>21</v>
          </cell>
          <cell r="C916">
            <v>17300</v>
          </cell>
          <cell r="D916">
            <v>2748000</v>
          </cell>
        </row>
        <row r="917">
          <cell r="A917">
            <v>917</v>
          </cell>
          <cell r="B917">
            <v>21</v>
          </cell>
          <cell r="C917">
            <v>17321</v>
          </cell>
          <cell r="D917">
            <v>2751000</v>
          </cell>
        </row>
        <row r="918">
          <cell r="A918">
            <v>918</v>
          </cell>
          <cell r="B918">
            <v>21</v>
          </cell>
          <cell r="C918">
            <v>17342</v>
          </cell>
          <cell r="D918">
            <v>2754000</v>
          </cell>
        </row>
        <row r="919">
          <cell r="A919">
            <v>919</v>
          </cell>
          <cell r="B919">
            <v>21</v>
          </cell>
          <cell r="C919">
            <v>17363</v>
          </cell>
          <cell r="D919">
            <v>2757000</v>
          </cell>
        </row>
        <row r="920">
          <cell r="A920">
            <v>920</v>
          </cell>
          <cell r="B920">
            <v>21</v>
          </cell>
          <cell r="C920">
            <v>17384</v>
          </cell>
          <cell r="D920">
            <v>2760000</v>
          </cell>
        </row>
        <row r="921">
          <cell r="A921">
            <v>921</v>
          </cell>
          <cell r="B921">
            <v>21</v>
          </cell>
          <cell r="C921">
            <v>17405</v>
          </cell>
          <cell r="D921">
            <v>2763000</v>
          </cell>
        </row>
        <row r="922">
          <cell r="A922">
            <v>922</v>
          </cell>
          <cell r="B922">
            <v>21</v>
          </cell>
          <cell r="C922">
            <v>17426</v>
          </cell>
          <cell r="D922">
            <v>2766000</v>
          </cell>
        </row>
        <row r="923">
          <cell r="A923">
            <v>923</v>
          </cell>
          <cell r="B923">
            <v>21</v>
          </cell>
          <cell r="C923">
            <v>17447</v>
          </cell>
          <cell r="D923">
            <v>2769000</v>
          </cell>
        </row>
        <row r="924">
          <cell r="A924">
            <v>924</v>
          </cell>
          <cell r="B924">
            <v>21</v>
          </cell>
          <cell r="C924">
            <v>17468</v>
          </cell>
          <cell r="D924">
            <v>2772000</v>
          </cell>
        </row>
        <row r="925">
          <cell r="A925">
            <v>925</v>
          </cell>
          <cell r="B925">
            <v>21</v>
          </cell>
          <cell r="C925">
            <v>17489</v>
          </cell>
          <cell r="D925">
            <v>2775000</v>
          </cell>
        </row>
        <row r="926">
          <cell r="A926">
            <v>926</v>
          </cell>
          <cell r="B926">
            <v>21</v>
          </cell>
          <cell r="C926">
            <v>17510</v>
          </cell>
          <cell r="D926">
            <v>2778000</v>
          </cell>
        </row>
        <row r="927">
          <cell r="A927">
            <v>927</v>
          </cell>
          <cell r="B927">
            <v>21</v>
          </cell>
          <cell r="C927">
            <v>17531</v>
          </cell>
          <cell r="D927">
            <v>2781000</v>
          </cell>
        </row>
        <row r="928">
          <cell r="A928">
            <v>928</v>
          </cell>
          <cell r="B928">
            <v>21</v>
          </cell>
          <cell r="C928">
            <v>17552</v>
          </cell>
          <cell r="D928">
            <v>2784000</v>
          </cell>
        </row>
        <row r="929">
          <cell r="A929">
            <v>929</v>
          </cell>
          <cell r="B929">
            <v>21</v>
          </cell>
          <cell r="C929">
            <v>17573</v>
          </cell>
          <cell r="D929">
            <v>2787000</v>
          </cell>
        </row>
        <row r="930">
          <cell r="A930">
            <v>930</v>
          </cell>
          <cell r="B930">
            <v>21</v>
          </cell>
          <cell r="C930">
            <v>17594</v>
          </cell>
          <cell r="D930">
            <v>2790000</v>
          </cell>
        </row>
        <row r="931">
          <cell r="A931">
            <v>931</v>
          </cell>
          <cell r="B931">
            <v>21</v>
          </cell>
          <cell r="C931">
            <v>17615</v>
          </cell>
          <cell r="D931">
            <v>2793000</v>
          </cell>
        </row>
        <row r="932">
          <cell r="A932">
            <v>932</v>
          </cell>
          <cell r="B932">
            <v>21</v>
          </cell>
          <cell r="C932">
            <v>17636</v>
          </cell>
          <cell r="D932">
            <v>2796000</v>
          </cell>
        </row>
        <row r="933">
          <cell r="A933">
            <v>933</v>
          </cell>
          <cell r="B933">
            <v>21</v>
          </cell>
          <cell r="C933">
            <v>17657</v>
          </cell>
          <cell r="D933">
            <v>2799000</v>
          </cell>
        </row>
        <row r="934">
          <cell r="A934">
            <v>934</v>
          </cell>
          <cell r="B934">
            <v>21</v>
          </cell>
          <cell r="C934">
            <v>17678</v>
          </cell>
          <cell r="D934">
            <v>2802000</v>
          </cell>
        </row>
        <row r="935">
          <cell r="A935">
            <v>935</v>
          </cell>
          <cell r="B935">
            <v>21</v>
          </cell>
          <cell r="C935">
            <v>17699</v>
          </cell>
          <cell r="D935">
            <v>2805000</v>
          </cell>
        </row>
        <row r="936">
          <cell r="A936">
            <v>936</v>
          </cell>
          <cell r="B936">
            <v>21</v>
          </cell>
          <cell r="C936">
            <v>17720</v>
          </cell>
          <cell r="D936">
            <v>2808000</v>
          </cell>
        </row>
        <row r="937">
          <cell r="A937">
            <v>937</v>
          </cell>
          <cell r="B937">
            <v>21</v>
          </cell>
          <cell r="C937">
            <v>17741</v>
          </cell>
          <cell r="D937">
            <v>2811000</v>
          </cell>
        </row>
        <row r="938">
          <cell r="A938">
            <v>938</v>
          </cell>
          <cell r="B938">
            <v>21</v>
          </cell>
          <cell r="C938">
            <v>17762</v>
          </cell>
          <cell r="D938">
            <v>2814000</v>
          </cell>
        </row>
        <row r="939">
          <cell r="A939">
            <v>939</v>
          </cell>
          <cell r="B939">
            <v>21</v>
          </cell>
          <cell r="C939">
            <v>17783</v>
          </cell>
          <cell r="D939">
            <v>2817000</v>
          </cell>
        </row>
        <row r="940">
          <cell r="A940">
            <v>940</v>
          </cell>
          <cell r="B940">
            <v>21</v>
          </cell>
          <cell r="C940">
            <v>17804</v>
          </cell>
          <cell r="D940">
            <v>2820000</v>
          </cell>
        </row>
        <row r="941">
          <cell r="A941">
            <v>941</v>
          </cell>
          <cell r="B941">
            <v>21</v>
          </cell>
          <cell r="C941">
            <v>17825</v>
          </cell>
          <cell r="D941">
            <v>2823000</v>
          </cell>
        </row>
        <row r="942">
          <cell r="A942">
            <v>942</v>
          </cell>
          <cell r="B942">
            <v>21</v>
          </cell>
          <cell r="C942">
            <v>17846</v>
          </cell>
          <cell r="D942">
            <v>2826000</v>
          </cell>
        </row>
        <row r="943">
          <cell r="A943">
            <v>943</v>
          </cell>
          <cell r="B943">
            <v>21</v>
          </cell>
          <cell r="C943">
            <v>17867</v>
          </cell>
          <cell r="D943">
            <v>2829000</v>
          </cell>
        </row>
        <row r="944">
          <cell r="A944">
            <v>944</v>
          </cell>
          <cell r="B944">
            <v>21</v>
          </cell>
          <cell r="C944">
            <v>17888</v>
          </cell>
          <cell r="D944">
            <v>2832000</v>
          </cell>
        </row>
        <row r="945">
          <cell r="A945">
            <v>945</v>
          </cell>
          <cell r="B945">
            <v>21</v>
          </cell>
          <cell r="C945">
            <v>17909</v>
          </cell>
          <cell r="D945">
            <v>2835000</v>
          </cell>
        </row>
        <row r="946">
          <cell r="A946">
            <v>946</v>
          </cell>
          <cell r="B946">
            <v>21</v>
          </cell>
          <cell r="C946">
            <v>17930</v>
          </cell>
          <cell r="D946">
            <v>2838000</v>
          </cell>
        </row>
        <row r="947">
          <cell r="A947">
            <v>947</v>
          </cell>
          <cell r="B947">
            <v>21</v>
          </cell>
          <cell r="C947">
            <v>17951</v>
          </cell>
          <cell r="D947">
            <v>2841000</v>
          </cell>
        </row>
        <row r="948">
          <cell r="A948">
            <v>948</v>
          </cell>
          <cell r="B948">
            <v>21</v>
          </cell>
          <cell r="C948">
            <v>17972</v>
          </cell>
          <cell r="D948">
            <v>2844000</v>
          </cell>
        </row>
        <row r="949">
          <cell r="A949">
            <v>949</v>
          </cell>
          <cell r="B949">
            <v>21</v>
          </cell>
          <cell r="C949">
            <v>17993</v>
          </cell>
          <cell r="D949">
            <v>2847000</v>
          </cell>
        </row>
        <row r="950">
          <cell r="A950">
            <v>950</v>
          </cell>
          <cell r="B950">
            <v>21</v>
          </cell>
          <cell r="C950">
            <v>18014</v>
          </cell>
          <cell r="D950">
            <v>2850000</v>
          </cell>
        </row>
        <row r="951">
          <cell r="A951">
            <v>951</v>
          </cell>
          <cell r="B951">
            <v>21</v>
          </cell>
          <cell r="C951">
            <v>18035</v>
          </cell>
          <cell r="D951">
            <v>2853000</v>
          </cell>
        </row>
        <row r="952">
          <cell r="A952">
            <v>952</v>
          </cell>
          <cell r="B952">
            <v>21</v>
          </cell>
          <cell r="C952">
            <v>18056</v>
          </cell>
          <cell r="D952">
            <v>2856000</v>
          </cell>
        </row>
        <row r="953">
          <cell r="A953">
            <v>953</v>
          </cell>
          <cell r="B953">
            <v>21</v>
          </cell>
          <cell r="C953">
            <v>18077</v>
          </cell>
          <cell r="D953">
            <v>2859000</v>
          </cell>
        </row>
        <row r="954">
          <cell r="A954">
            <v>954</v>
          </cell>
          <cell r="B954">
            <v>21</v>
          </cell>
          <cell r="C954">
            <v>18098</v>
          </cell>
          <cell r="D954">
            <v>2862000</v>
          </cell>
        </row>
        <row r="955">
          <cell r="A955">
            <v>955</v>
          </cell>
          <cell r="B955">
            <v>21</v>
          </cell>
          <cell r="C955">
            <v>18119</v>
          </cell>
          <cell r="D955">
            <v>2865000</v>
          </cell>
        </row>
        <row r="956">
          <cell r="A956">
            <v>956</v>
          </cell>
          <cell r="B956">
            <v>21</v>
          </cell>
          <cell r="C956">
            <v>18140</v>
          </cell>
          <cell r="D956">
            <v>2868000</v>
          </cell>
        </row>
        <row r="957">
          <cell r="A957">
            <v>957</v>
          </cell>
          <cell r="B957">
            <v>21</v>
          </cell>
          <cell r="C957">
            <v>18161</v>
          </cell>
          <cell r="D957">
            <v>2871000</v>
          </cell>
        </row>
        <row r="958">
          <cell r="A958">
            <v>958</v>
          </cell>
          <cell r="B958">
            <v>21</v>
          </cell>
          <cell r="C958">
            <v>18182</v>
          </cell>
          <cell r="D958">
            <v>2874000</v>
          </cell>
        </row>
        <row r="959">
          <cell r="A959">
            <v>959</v>
          </cell>
          <cell r="B959">
            <v>21</v>
          </cell>
          <cell r="C959">
            <v>18203</v>
          </cell>
          <cell r="D959">
            <v>2877000</v>
          </cell>
        </row>
        <row r="960">
          <cell r="A960">
            <v>960</v>
          </cell>
          <cell r="B960">
            <v>21</v>
          </cell>
          <cell r="C960">
            <v>18224</v>
          </cell>
          <cell r="D960">
            <v>2880000</v>
          </cell>
        </row>
        <row r="961">
          <cell r="A961">
            <v>961</v>
          </cell>
          <cell r="B961">
            <v>21</v>
          </cell>
          <cell r="C961">
            <v>18245</v>
          </cell>
          <cell r="D961">
            <v>2883000</v>
          </cell>
        </row>
        <row r="962">
          <cell r="A962">
            <v>962</v>
          </cell>
          <cell r="B962">
            <v>21</v>
          </cell>
          <cell r="C962">
            <v>18266</v>
          </cell>
          <cell r="D962">
            <v>2886000</v>
          </cell>
        </row>
        <row r="963">
          <cell r="A963">
            <v>963</v>
          </cell>
          <cell r="B963">
            <v>21</v>
          </cell>
          <cell r="C963">
            <v>18287</v>
          </cell>
          <cell r="D963">
            <v>2889000</v>
          </cell>
        </row>
        <row r="964">
          <cell r="A964">
            <v>964</v>
          </cell>
          <cell r="B964">
            <v>21</v>
          </cell>
          <cell r="C964">
            <v>18308</v>
          </cell>
          <cell r="D964">
            <v>2892000</v>
          </cell>
        </row>
        <row r="965">
          <cell r="A965">
            <v>965</v>
          </cell>
          <cell r="B965">
            <v>21</v>
          </cell>
          <cell r="C965">
            <v>18329</v>
          </cell>
          <cell r="D965">
            <v>2895000</v>
          </cell>
        </row>
        <row r="966">
          <cell r="A966">
            <v>966</v>
          </cell>
          <cell r="B966">
            <v>21</v>
          </cell>
          <cell r="C966">
            <v>18350</v>
          </cell>
          <cell r="D966">
            <v>2898000</v>
          </cell>
        </row>
        <row r="967">
          <cell r="A967">
            <v>967</v>
          </cell>
          <cell r="B967">
            <v>21</v>
          </cell>
          <cell r="C967">
            <v>18371</v>
          </cell>
          <cell r="D967">
            <v>2901000</v>
          </cell>
        </row>
        <row r="968">
          <cell r="A968">
            <v>968</v>
          </cell>
          <cell r="B968">
            <v>21</v>
          </cell>
          <cell r="C968">
            <v>18392</v>
          </cell>
          <cell r="D968">
            <v>2904000</v>
          </cell>
        </row>
        <row r="969">
          <cell r="A969">
            <v>969</v>
          </cell>
          <cell r="B969">
            <v>21</v>
          </cell>
          <cell r="C969">
            <v>18413</v>
          </cell>
          <cell r="D969">
            <v>2907000</v>
          </cell>
        </row>
        <row r="970">
          <cell r="A970">
            <v>970</v>
          </cell>
          <cell r="B970">
            <v>21</v>
          </cell>
          <cell r="C970">
            <v>18434</v>
          </cell>
          <cell r="D970">
            <v>2910000</v>
          </cell>
        </row>
        <row r="971">
          <cell r="A971">
            <v>971</v>
          </cell>
          <cell r="B971">
            <v>21</v>
          </cell>
          <cell r="C971">
            <v>18455</v>
          </cell>
          <cell r="D971">
            <v>2913000</v>
          </cell>
        </row>
        <row r="972">
          <cell r="A972">
            <v>972</v>
          </cell>
          <cell r="B972">
            <v>21</v>
          </cell>
          <cell r="C972">
            <v>18476</v>
          </cell>
          <cell r="D972">
            <v>2916000</v>
          </cell>
        </row>
        <row r="973">
          <cell r="A973">
            <v>973</v>
          </cell>
          <cell r="B973">
            <v>21</v>
          </cell>
          <cell r="C973">
            <v>18497</v>
          </cell>
          <cell r="D973">
            <v>2919000</v>
          </cell>
        </row>
        <row r="974">
          <cell r="A974">
            <v>974</v>
          </cell>
          <cell r="B974">
            <v>21</v>
          </cell>
          <cell r="C974">
            <v>18518</v>
          </cell>
          <cell r="D974">
            <v>2922000</v>
          </cell>
        </row>
        <row r="975">
          <cell r="A975">
            <v>975</v>
          </cell>
          <cell r="B975">
            <v>21</v>
          </cell>
          <cell r="C975">
            <v>18539</v>
          </cell>
          <cell r="D975">
            <v>2925000</v>
          </cell>
        </row>
        <row r="976">
          <cell r="A976">
            <v>976</v>
          </cell>
          <cell r="B976">
            <v>21</v>
          </cell>
          <cell r="C976">
            <v>18560</v>
          </cell>
          <cell r="D976">
            <v>2928000</v>
          </cell>
        </row>
        <row r="977">
          <cell r="A977">
            <v>977</v>
          </cell>
          <cell r="B977">
            <v>21</v>
          </cell>
          <cell r="C977">
            <v>18581</v>
          </cell>
          <cell r="D977">
            <v>2931000</v>
          </cell>
        </row>
        <row r="978">
          <cell r="A978">
            <v>978</v>
          </cell>
          <cell r="B978">
            <v>21</v>
          </cell>
          <cell r="C978">
            <v>18602</v>
          </cell>
          <cell r="D978">
            <v>2934000</v>
          </cell>
        </row>
        <row r="979">
          <cell r="A979">
            <v>979</v>
          </cell>
          <cell r="B979">
            <v>21</v>
          </cell>
          <cell r="C979">
            <v>18623</v>
          </cell>
          <cell r="D979">
            <v>2937000</v>
          </cell>
        </row>
        <row r="980">
          <cell r="A980">
            <v>980</v>
          </cell>
          <cell r="B980">
            <v>21</v>
          </cell>
          <cell r="C980">
            <v>18644</v>
          </cell>
          <cell r="D980">
            <v>2940000</v>
          </cell>
        </row>
        <row r="981">
          <cell r="A981">
            <v>981</v>
          </cell>
          <cell r="B981">
            <v>21</v>
          </cell>
          <cell r="C981">
            <v>18665</v>
          </cell>
          <cell r="D981">
            <v>2943000</v>
          </cell>
        </row>
        <row r="982">
          <cell r="A982">
            <v>982</v>
          </cell>
          <cell r="B982">
            <v>21</v>
          </cell>
          <cell r="C982">
            <v>18686</v>
          </cell>
          <cell r="D982">
            <v>2946000</v>
          </cell>
        </row>
        <row r="983">
          <cell r="A983">
            <v>983</v>
          </cell>
          <cell r="B983">
            <v>21</v>
          </cell>
          <cell r="C983">
            <v>18707</v>
          </cell>
          <cell r="D983">
            <v>2949000</v>
          </cell>
        </row>
        <row r="984">
          <cell r="A984">
            <v>984</v>
          </cell>
          <cell r="B984">
            <v>21</v>
          </cell>
          <cell r="C984">
            <v>18728</v>
          </cell>
          <cell r="D984">
            <v>2952000</v>
          </cell>
        </row>
        <row r="985">
          <cell r="A985">
            <v>985</v>
          </cell>
          <cell r="B985">
            <v>21</v>
          </cell>
          <cell r="C985">
            <v>18749</v>
          </cell>
          <cell r="D985">
            <v>2955000</v>
          </cell>
        </row>
        <row r="986">
          <cell r="A986">
            <v>986</v>
          </cell>
          <cell r="B986">
            <v>21</v>
          </cell>
          <cell r="C986">
            <v>18770</v>
          </cell>
          <cell r="D986">
            <v>2958000</v>
          </cell>
        </row>
        <row r="987">
          <cell r="A987">
            <v>987</v>
          </cell>
          <cell r="B987">
            <v>21</v>
          </cell>
          <cell r="C987">
            <v>18791</v>
          </cell>
          <cell r="D987">
            <v>2961000</v>
          </cell>
        </row>
        <row r="988">
          <cell r="A988">
            <v>988</v>
          </cell>
          <cell r="B988">
            <v>21</v>
          </cell>
          <cell r="C988">
            <v>18812</v>
          </cell>
          <cell r="D988">
            <v>2964000</v>
          </cell>
        </row>
        <row r="989">
          <cell r="A989">
            <v>989</v>
          </cell>
          <cell r="B989">
            <v>21</v>
          </cell>
          <cell r="C989">
            <v>18833</v>
          </cell>
          <cell r="D989">
            <v>2967000</v>
          </cell>
        </row>
        <row r="990">
          <cell r="A990">
            <v>990</v>
          </cell>
          <cell r="B990">
            <v>21</v>
          </cell>
          <cell r="C990">
            <v>18854</v>
          </cell>
          <cell r="D990">
            <v>2970000</v>
          </cell>
        </row>
        <row r="991">
          <cell r="A991">
            <v>991</v>
          </cell>
          <cell r="B991">
            <v>21</v>
          </cell>
          <cell r="C991">
            <v>18875</v>
          </cell>
          <cell r="D991">
            <v>2973000</v>
          </cell>
        </row>
        <row r="992">
          <cell r="A992">
            <v>992</v>
          </cell>
          <cell r="B992">
            <v>21</v>
          </cell>
          <cell r="C992">
            <v>18896</v>
          </cell>
          <cell r="D992">
            <v>2976000</v>
          </cell>
        </row>
        <row r="993">
          <cell r="A993">
            <v>993</v>
          </cell>
          <cell r="B993">
            <v>21</v>
          </cell>
          <cell r="C993">
            <v>18917</v>
          </cell>
          <cell r="D993">
            <v>2979000</v>
          </cell>
        </row>
        <row r="994">
          <cell r="A994">
            <v>994</v>
          </cell>
          <cell r="B994">
            <v>21</v>
          </cell>
          <cell r="C994">
            <v>18938</v>
          </cell>
          <cell r="D994">
            <v>2982000</v>
          </cell>
        </row>
        <row r="995">
          <cell r="A995">
            <v>995</v>
          </cell>
          <cell r="B995">
            <v>21</v>
          </cell>
          <cell r="C995">
            <v>18959</v>
          </cell>
          <cell r="D995">
            <v>2985000</v>
          </cell>
        </row>
        <row r="996">
          <cell r="A996">
            <v>996</v>
          </cell>
          <cell r="B996">
            <v>21</v>
          </cell>
          <cell r="C996">
            <v>18980</v>
          </cell>
          <cell r="D996">
            <v>2988000</v>
          </cell>
        </row>
        <row r="997">
          <cell r="A997">
            <v>997</v>
          </cell>
          <cell r="B997">
            <v>21</v>
          </cell>
          <cell r="C997">
            <v>19001</v>
          </cell>
          <cell r="D997">
            <v>2991000</v>
          </cell>
        </row>
        <row r="998">
          <cell r="A998">
            <v>998</v>
          </cell>
          <cell r="B998">
            <v>21</v>
          </cell>
          <cell r="C998">
            <v>19022</v>
          </cell>
          <cell r="D998">
            <v>2994000</v>
          </cell>
        </row>
        <row r="999">
          <cell r="A999">
            <v>999</v>
          </cell>
          <cell r="B999">
            <v>21</v>
          </cell>
          <cell r="C999">
            <v>19043</v>
          </cell>
          <cell r="D999">
            <v>2997000</v>
          </cell>
        </row>
        <row r="1000">
          <cell r="A1000">
            <v>1000</v>
          </cell>
          <cell r="B1000">
            <v>21</v>
          </cell>
          <cell r="C1000">
            <v>19064</v>
          </cell>
          <cell r="D1000">
            <v>3000000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47C15-CA05-450C-8830-C934898905EA}">
  <dimension ref="C2:G14"/>
  <sheetViews>
    <sheetView workbookViewId="0">
      <selection activeCell="C20" sqref="C20"/>
    </sheetView>
  </sheetViews>
  <sheetFormatPr defaultRowHeight="16.5"/>
  <cols>
    <col min="4" max="4" width="10.5" bestFit="1" customWidth="1"/>
    <col min="5" max="5" width="11.875" bestFit="1" customWidth="1"/>
    <col min="6" max="6" width="13" bestFit="1" customWidth="1"/>
  </cols>
  <sheetData>
    <row r="2" spans="3:7">
      <c r="F2" t="s">
        <v>5</v>
      </c>
      <c r="G2" t="s">
        <v>6</v>
      </c>
    </row>
    <row r="3" spans="3:7">
      <c r="F3">
        <v>5.593220338983051</v>
      </c>
      <c r="G3">
        <f>1/F3</f>
        <v>0.17878787878787877</v>
      </c>
    </row>
    <row r="4" spans="3:7">
      <c r="C4" t="s">
        <v>0</v>
      </c>
      <c r="E4" t="s">
        <v>0</v>
      </c>
    </row>
    <row r="5" spans="3:7">
      <c r="C5" t="s">
        <v>1</v>
      </c>
      <c r="D5">
        <v>100000000</v>
      </c>
      <c r="E5" s="1">
        <f>D5*G$3</f>
        <v>17878787.878787879</v>
      </c>
      <c r="F5" s="2"/>
    </row>
    <row r="6" spans="3:7">
      <c r="C6" t="s">
        <v>2</v>
      </c>
      <c r="D6">
        <v>10000000</v>
      </c>
      <c r="E6" s="1">
        <f t="shared" ref="E6:E8" si="0">D6*G$3</f>
        <v>1787878.7878787878</v>
      </c>
    </row>
    <row r="7" spans="3:7">
      <c r="C7" t="s">
        <v>3</v>
      </c>
      <c r="D7">
        <v>1000000</v>
      </c>
      <c r="E7" s="1">
        <f t="shared" si="0"/>
        <v>178787.87878787878</v>
      </c>
    </row>
    <row r="8" spans="3:7">
      <c r="C8" t="s">
        <v>4</v>
      </c>
      <c r="D8">
        <v>100000</v>
      </c>
      <c r="E8" s="1">
        <f t="shared" si="0"/>
        <v>17878.787878787876</v>
      </c>
    </row>
    <row r="11" spans="3:7">
      <c r="C11" t="s">
        <v>7</v>
      </c>
      <c r="E11" t="s">
        <v>7</v>
      </c>
    </row>
    <row r="12" spans="3:7">
      <c r="C12" t="s">
        <v>8</v>
      </c>
      <c r="D12">
        <v>10000000</v>
      </c>
      <c r="E12" s="1">
        <f>D12*F$3</f>
        <v>55932203.389830507</v>
      </c>
    </row>
    <row r="13" spans="3:7">
      <c r="C13" t="s">
        <v>9</v>
      </c>
      <c r="D13">
        <v>1000000</v>
      </c>
      <c r="E13" s="1">
        <f t="shared" ref="E13:E14" si="1">D13*F$3</f>
        <v>5593220.3389830515</v>
      </c>
    </row>
    <row r="14" spans="3:7">
      <c r="C14" t="s">
        <v>10</v>
      </c>
      <c r="D14">
        <v>100000</v>
      </c>
      <c r="E14" s="1">
        <f t="shared" si="1"/>
        <v>559322.03389830515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C8AA8-13C0-4121-A9FF-4139B8FE77A8}">
  <dimension ref="E11:Q27"/>
  <sheetViews>
    <sheetView workbookViewId="0">
      <selection activeCell="Q12" sqref="Q12"/>
    </sheetView>
  </sheetViews>
  <sheetFormatPr defaultRowHeight="16.5"/>
  <cols>
    <col min="5" max="5" width="4" bestFit="1" customWidth="1"/>
    <col min="6" max="6" width="8" bestFit="1" customWidth="1"/>
    <col min="7" max="7" width="13.625" bestFit="1" customWidth="1"/>
    <col min="8" max="8" width="19.25" bestFit="1" customWidth="1"/>
    <col min="9" max="9" width="12.75" bestFit="1" customWidth="1"/>
    <col min="10" max="10" width="14.375" bestFit="1" customWidth="1"/>
    <col min="11" max="11" width="10.875" bestFit="1" customWidth="1"/>
    <col min="12" max="12" width="11.625" customWidth="1"/>
    <col min="13" max="13" width="19.25" bestFit="1" customWidth="1"/>
    <col min="14" max="14" width="11.875" bestFit="1" customWidth="1"/>
    <col min="15" max="15" width="14.375" bestFit="1" customWidth="1"/>
    <col min="16" max="16" width="10.875" bestFit="1" customWidth="1"/>
    <col min="17" max="17" width="9.75" bestFit="1" customWidth="1"/>
  </cols>
  <sheetData>
    <row r="11" spans="5:17" ht="17.25" thickBot="1">
      <c r="E11">
        <v>1</v>
      </c>
      <c r="F11">
        <v>0</v>
      </c>
      <c r="H11" t="s">
        <v>28</v>
      </c>
      <c r="I11" t="s">
        <v>29</v>
      </c>
      <c r="J11" t="s">
        <v>43</v>
      </c>
      <c r="M11" t="s">
        <v>28</v>
      </c>
      <c r="N11" t="s">
        <v>29</v>
      </c>
      <c r="O11" t="s">
        <v>43</v>
      </c>
    </row>
    <row r="12" spans="5:17" ht="17.25" thickBot="1">
      <c r="E12" s="3">
        <v>2</v>
      </c>
      <c r="F12" s="3">
        <v>100</v>
      </c>
      <c r="G12" s="4" t="s">
        <v>30</v>
      </c>
      <c r="H12" s="1">
        <f>SUM(F$12:F12)</f>
        <v>100</v>
      </c>
      <c r="I12" s="1">
        <f t="shared" ref="I12:I21" si="0">H12*50</f>
        <v>5000</v>
      </c>
      <c r="J12" s="11">
        <v>4338.2352941176468</v>
      </c>
      <c r="M12" s="1">
        <v>300</v>
      </c>
      <c r="N12" s="2">
        <f t="shared" ref="N12:N21" si="1">M12*100</f>
        <v>30000</v>
      </c>
      <c r="O12" s="1">
        <f t="shared" ref="O12:O21" si="2">N12/5.59</f>
        <v>5366.7262969588555</v>
      </c>
    </row>
    <row r="13" spans="5:17" ht="17.25" thickBot="1">
      <c r="E13" s="3">
        <v>3</v>
      </c>
      <c r="F13" s="3">
        <v>250</v>
      </c>
      <c r="G13" s="4" t="s">
        <v>31</v>
      </c>
      <c r="H13" s="1">
        <f>SUM(F$12:F13)</f>
        <v>350</v>
      </c>
      <c r="I13" s="1">
        <f t="shared" si="0"/>
        <v>17500</v>
      </c>
      <c r="J13" s="11">
        <v>15183.823529411764</v>
      </c>
      <c r="K13" s="11">
        <f>J13-J12</f>
        <v>10845.588235294117</v>
      </c>
      <c r="M13" s="1">
        <v>900</v>
      </c>
      <c r="N13" s="2">
        <f t="shared" si="1"/>
        <v>90000</v>
      </c>
      <c r="O13" s="1">
        <f t="shared" si="2"/>
        <v>16100.178890876567</v>
      </c>
      <c r="P13" s="2">
        <f>O13-O12</f>
        <v>10733.452593917711</v>
      </c>
    </row>
    <row r="14" spans="5:17" ht="17.25" thickBot="1">
      <c r="E14" s="3">
        <v>4</v>
      </c>
      <c r="F14" s="6">
        <v>1000</v>
      </c>
      <c r="G14" s="4" t="s">
        <v>32</v>
      </c>
      <c r="H14" s="1">
        <f>SUM(F$12:F14)</f>
        <v>1350</v>
      </c>
      <c r="I14" s="1">
        <f t="shared" si="0"/>
        <v>67500</v>
      </c>
      <c r="J14" s="11">
        <v>58566.176470588231</v>
      </c>
      <c r="K14" s="11">
        <f t="shared" ref="K14:K21" si="3">J14-J13</f>
        <v>43382.352941176468</v>
      </c>
      <c r="M14" s="1">
        <v>2400</v>
      </c>
      <c r="N14" s="2">
        <f t="shared" si="1"/>
        <v>240000</v>
      </c>
      <c r="O14" s="1">
        <f t="shared" si="2"/>
        <v>42933.810375670844</v>
      </c>
      <c r="P14" s="2">
        <f t="shared" ref="P14:P21" si="4">O14-O13</f>
        <v>26833.631484794278</v>
      </c>
    </row>
    <row r="15" spans="5:17" ht="17.25" thickBot="1">
      <c r="E15" s="3">
        <v>5</v>
      </c>
      <c r="F15" s="6">
        <v>4000</v>
      </c>
      <c r="G15" s="4" t="s">
        <v>33</v>
      </c>
      <c r="H15" s="1">
        <f>SUM(F$12:F15)</f>
        <v>5350</v>
      </c>
      <c r="I15" s="1">
        <f t="shared" si="0"/>
        <v>267500</v>
      </c>
      <c r="J15" s="11">
        <v>232095.5882352941</v>
      </c>
      <c r="K15" s="11">
        <f t="shared" si="3"/>
        <v>173529.41176470587</v>
      </c>
      <c r="M15" s="1">
        <v>6000</v>
      </c>
      <c r="N15" s="2">
        <f t="shared" si="1"/>
        <v>600000</v>
      </c>
      <c r="O15" s="1">
        <f t="shared" si="2"/>
        <v>107334.52593917711</v>
      </c>
      <c r="P15" s="2">
        <f t="shared" si="4"/>
        <v>64400.715563506266</v>
      </c>
    </row>
    <row r="16" spans="5:17" ht="17.25" thickBot="1">
      <c r="E16" s="3">
        <v>6</v>
      </c>
      <c r="F16" s="6">
        <v>12000</v>
      </c>
      <c r="G16" s="4" t="s">
        <v>34</v>
      </c>
      <c r="H16" s="1">
        <f>SUM(F$12:F16)</f>
        <v>17350</v>
      </c>
      <c r="I16" s="7">
        <f t="shared" si="0"/>
        <v>867500</v>
      </c>
      <c r="J16" s="11">
        <v>752683.82352941169</v>
      </c>
      <c r="K16" s="11">
        <f t="shared" si="3"/>
        <v>520588.23529411759</v>
      </c>
      <c r="L16" t="s">
        <v>35</v>
      </c>
      <c r="M16" s="1">
        <v>16000</v>
      </c>
      <c r="N16" s="2">
        <f t="shared" si="1"/>
        <v>1600000</v>
      </c>
      <c r="O16" s="1">
        <f t="shared" si="2"/>
        <v>286225.40250447229</v>
      </c>
      <c r="P16" s="2">
        <f t="shared" si="4"/>
        <v>178890.87656529518</v>
      </c>
      <c r="Q16" t="s">
        <v>44</v>
      </c>
    </row>
    <row r="17" spans="5:17" ht="17.25" thickBot="1">
      <c r="E17" s="3">
        <v>7</v>
      </c>
      <c r="F17" s="6">
        <v>25000</v>
      </c>
      <c r="G17" s="4" t="s">
        <v>36</v>
      </c>
      <c r="H17" s="1">
        <f>SUM(F$12:F17)</f>
        <v>42350</v>
      </c>
      <c r="I17" s="1">
        <f t="shared" si="0"/>
        <v>2117500</v>
      </c>
      <c r="J17" s="11">
        <v>1837242.6470588234</v>
      </c>
      <c r="K17" s="11">
        <f t="shared" si="3"/>
        <v>1084558.8235294116</v>
      </c>
      <c r="L17" t="s">
        <v>37</v>
      </c>
      <c r="M17" s="1">
        <v>41000</v>
      </c>
      <c r="N17" s="2">
        <f t="shared" si="1"/>
        <v>4100000</v>
      </c>
      <c r="O17" s="7">
        <f t="shared" si="2"/>
        <v>733452.59391771024</v>
      </c>
      <c r="P17" s="2">
        <f t="shared" si="4"/>
        <v>447227.19141323795</v>
      </c>
      <c r="Q17" t="s">
        <v>45</v>
      </c>
    </row>
    <row r="18" spans="5:17" ht="17.25" thickBot="1">
      <c r="E18" s="3">
        <v>7.5</v>
      </c>
      <c r="F18" s="8">
        <v>27500</v>
      </c>
      <c r="G18" s="4" t="s">
        <v>38</v>
      </c>
      <c r="H18" s="1">
        <f>SUM(F$12:F18)</f>
        <v>69850</v>
      </c>
      <c r="I18" s="1">
        <f t="shared" si="0"/>
        <v>3492500</v>
      </c>
      <c r="J18" s="11">
        <v>3030257.3529411764</v>
      </c>
      <c r="K18" s="11">
        <f t="shared" si="3"/>
        <v>1193014.705882353</v>
      </c>
      <c r="L18" t="s">
        <v>39</v>
      </c>
      <c r="M18" s="1">
        <v>91000</v>
      </c>
      <c r="N18" s="2">
        <f t="shared" si="1"/>
        <v>9100000</v>
      </c>
      <c r="O18" s="1">
        <f t="shared" si="2"/>
        <v>1627906.9767441861</v>
      </c>
      <c r="P18" s="2">
        <f t="shared" si="4"/>
        <v>894454.38282647589</v>
      </c>
      <c r="Q18" t="s">
        <v>40</v>
      </c>
    </row>
    <row r="19" spans="5:17" ht="17.25" thickBot="1">
      <c r="E19" s="3">
        <v>8</v>
      </c>
      <c r="F19" s="6">
        <v>55000</v>
      </c>
      <c r="G19" s="4" t="s">
        <v>38</v>
      </c>
      <c r="H19" s="1">
        <f>SUM(F$12:F19)</f>
        <v>124850</v>
      </c>
      <c r="I19" s="1">
        <f t="shared" si="0"/>
        <v>6242500</v>
      </c>
      <c r="J19" s="11">
        <v>5416286.7647058824</v>
      </c>
      <c r="K19" s="11">
        <f t="shared" si="3"/>
        <v>2386029.411764706</v>
      </c>
      <c r="L19" t="s">
        <v>39</v>
      </c>
      <c r="M19" s="1">
        <v>161000</v>
      </c>
      <c r="N19" s="2">
        <f t="shared" si="1"/>
        <v>16100000</v>
      </c>
      <c r="O19" s="1">
        <f t="shared" si="2"/>
        <v>2880143.1127012521</v>
      </c>
      <c r="P19" s="2">
        <f t="shared" si="4"/>
        <v>1252236.135957066</v>
      </c>
      <c r="Q19" t="s">
        <v>41</v>
      </c>
    </row>
    <row r="20" spans="5:17" ht="17.25" thickBot="1">
      <c r="E20" s="3">
        <v>9</v>
      </c>
      <c r="F20" s="6">
        <v>88000</v>
      </c>
      <c r="G20" s="4" t="s">
        <v>42</v>
      </c>
      <c r="H20" s="1">
        <f>SUM(F$12:F20)</f>
        <v>212850</v>
      </c>
      <c r="I20" s="1">
        <f t="shared" si="0"/>
        <v>10642500</v>
      </c>
      <c r="J20" s="11">
        <v>9233933.8235294111</v>
      </c>
      <c r="K20" s="11">
        <f t="shared" si="3"/>
        <v>3817647.0588235287</v>
      </c>
      <c r="M20" s="1">
        <v>261000</v>
      </c>
      <c r="N20" s="2">
        <f t="shared" si="1"/>
        <v>26100000</v>
      </c>
      <c r="O20" s="1">
        <f t="shared" si="2"/>
        <v>4669051.8783542039</v>
      </c>
      <c r="P20" s="2">
        <f t="shared" si="4"/>
        <v>1788908.7656529518</v>
      </c>
      <c r="Q20" t="s">
        <v>41</v>
      </c>
    </row>
    <row r="21" spans="5:17" ht="17.25" thickBot="1">
      <c r="E21" s="3">
        <v>10</v>
      </c>
      <c r="F21" s="6">
        <v>100000</v>
      </c>
      <c r="G21" s="9"/>
      <c r="H21" s="1">
        <f>SUM(F$12:F21)</f>
        <v>312850</v>
      </c>
      <c r="I21" s="1">
        <f t="shared" si="0"/>
        <v>15642500</v>
      </c>
      <c r="J21" s="11">
        <v>13572169.117647059</v>
      </c>
      <c r="K21" s="11">
        <f t="shared" si="3"/>
        <v>4338235.2941176482</v>
      </c>
      <c r="M21" s="1">
        <v>361000</v>
      </c>
      <c r="N21" s="2">
        <f t="shared" si="1"/>
        <v>36100000</v>
      </c>
      <c r="O21" s="1">
        <f t="shared" si="2"/>
        <v>6457960.6440071557</v>
      </c>
      <c r="P21" s="2">
        <f t="shared" si="4"/>
        <v>1788908.7656529518</v>
      </c>
    </row>
    <row r="23" spans="5:17">
      <c r="H23">
        <f>10000</f>
        <v>10000</v>
      </c>
    </row>
    <row r="24" spans="5:17">
      <c r="H24">
        <f>10000/11</f>
        <v>909.09090909090912</v>
      </c>
      <c r="I24" s="1">
        <f>H24*500</f>
        <v>454545.45454545459</v>
      </c>
      <c r="J24" s="5">
        <f>I24/I27</f>
        <v>394385.02673796791</v>
      </c>
      <c r="M24" s="10">
        <f>J24*5.59</f>
        <v>2204612.2994652404</v>
      </c>
      <c r="N24">
        <f>M24/100</f>
        <v>22046.122994652404</v>
      </c>
    </row>
    <row r="27" spans="5:17">
      <c r="G27">
        <v>68000</v>
      </c>
      <c r="H27">
        <v>59000</v>
      </c>
      <c r="I27">
        <f>G27/H27</f>
        <v>1.152542372881356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B56A4-508D-4406-A848-9DD8577E9CC8}">
  <dimension ref="A2:M18"/>
  <sheetViews>
    <sheetView workbookViewId="0">
      <selection activeCell="L3" sqref="L3:L8"/>
    </sheetView>
  </sheetViews>
  <sheetFormatPr defaultRowHeight="16.5"/>
  <sheetData>
    <row r="2" spans="1:13">
      <c r="A2" t="s">
        <v>25</v>
      </c>
      <c r="B2" t="s">
        <v>26</v>
      </c>
      <c r="C2" t="s">
        <v>11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</row>
    <row r="3" spans="1:13">
      <c r="C3" t="s">
        <v>12</v>
      </c>
      <c r="D3">
        <v>71.494900000000001</v>
      </c>
      <c r="E3">
        <v>62.919800000000002</v>
      </c>
      <c r="F3">
        <v>53.798000000000002</v>
      </c>
      <c r="G3">
        <v>42.49</v>
      </c>
      <c r="H3">
        <v>30.285</v>
      </c>
      <c r="I3">
        <v>26.954999999999998</v>
      </c>
      <c r="J3">
        <v>18.420000000000002</v>
      </c>
      <c r="K3">
        <v>8.89</v>
      </c>
      <c r="L3">
        <v>2.92</v>
      </c>
      <c r="M3">
        <v>1.9</v>
      </c>
    </row>
    <row r="4" spans="1:13">
      <c r="C4" t="s">
        <v>13</v>
      </c>
      <c r="D4">
        <v>22</v>
      </c>
      <c r="E4">
        <v>26</v>
      </c>
      <c r="F4">
        <v>30</v>
      </c>
      <c r="G4">
        <v>33</v>
      </c>
      <c r="H4">
        <v>35</v>
      </c>
      <c r="I4">
        <v>25</v>
      </c>
      <c r="J4">
        <v>20</v>
      </c>
      <c r="K4">
        <v>15</v>
      </c>
      <c r="L4">
        <v>5</v>
      </c>
      <c r="M4">
        <v>4</v>
      </c>
    </row>
    <row r="5" spans="1:13">
      <c r="C5" t="s">
        <v>14</v>
      </c>
      <c r="D5">
        <v>6</v>
      </c>
      <c r="E5">
        <v>9</v>
      </c>
      <c r="F5">
        <v>11</v>
      </c>
      <c r="G5">
        <v>14</v>
      </c>
      <c r="H5">
        <v>19</v>
      </c>
      <c r="I5">
        <v>25</v>
      </c>
      <c r="J5">
        <v>35</v>
      </c>
      <c r="K5">
        <v>40</v>
      </c>
      <c r="L5">
        <v>50</v>
      </c>
      <c r="M5">
        <v>45</v>
      </c>
    </row>
    <row r="6" spans="1:13">
      <c r="C6" t="s">
        <v>15</v>
      </c>
      <c r="D6">
        <v>0.5</v>
      </c>
      <c r="E6">
        <v>2</v>
      </c>
      <c r="F6">
        <v>5</v>
      </c>
      <c r="G6">
        <v>10</v>
      </c>
      <c r="H6">
        <v>15</v>
      </c>
      <c r="I6">
        <v>22</v>
      </c>
      <c r="J6">
        <v>25</v>
      </c>
      <c r="K6">
        <v>34</v>
      </c>
      <c r="L6">
        <v>39</v>
      </c>
      <c r="M6">
        <v>44</v>
      </c>
    </row>
    <row r="7" spans="1:13">
      <c r="C7" t="s">
        <v>16</v>
      </c>
      <c r="D7">
        <v>5.0000000000000001E-3</v>
      </c>
      <c r="E7">
        <v>0.08</v>
      </c>
      <c r="F7">
        <v>0.2</v>
      </c>
      <c r="G7">
        <v>0.5</v>
      </c>
      <c r="H7">
        <v>0.7</v>
      </c>
      <c r="I7">
        <v>1.02</v>
      </c>
      <c r="J7">
        <v>1.54</v>
      </c>
      <c r="K7">
        <v>2.0499999999999998</v>
      </c>
      <c r="L7">
        <v>3</v>
      </c>
      <c r="M7">
        <v>5</v>
      </c>
    </row>
    <row r="8" spans="1:13">
      <c r="C8" t="s">
        <v>17</v>
      </c>
      <c r="D8">
        <v>1E-4</v>
      </c>
      <c r="E8">
        <v>2.0000000000000001E-4</v>
      </c>
      <c r="F8">
        <v>2E-3</v>
      </c>
      <c r="G8">
        <v>0.01</v>
      </c>
      <c r="H8">
        <v>1.4999999999999999E-2</v>
      </c>
      <c r="I8">
        <v>2.5000000000000001E-2</v>
      </c>
      <c r="J8">
        <v>0.04</v>
      </c>
      <c r="K8">
        <v>0.06</v>
      </c>
      <c r="L8">
        <v>0.08</v>
      </c>
      <c r="M8">
        <v>0.1</v>
      </c>
    </row>
    <row r="9" spans="1:13">
      <c r="D9">
        <f>SUM(D3:D8)</f>
        <v>100</v>
      </c>
      <c r="E9">
        <f t="shared" ref="E9:M9" si="0">SUM(E3:E8)</f>
        <v>100.00000000000001</v>
      </c>
      <c r="F9">
        <f t="shared" si="0"/>
        <v>100</v>
      </c>
      <c r="G9">
        <f t="shared" si="0"/>
        <v>100.00000000000001</v>
      </c>
      <c r="H9">
        <f t="shared" si="0"/>
        <v>100</v>
      </c>
      <c r="I9">
        <f t="shared" si="0"/>
        <v>100</v>
      </c>
      <c r="J9">
        <f t="shared" si="0"/>
        <v>100.00000000000001</v>
      </c>
      <c r="K9">
        <f t="shared" si="0"/>
        <v>100</v>
      </c>
      <c r="L9">
        <f t="shared" si="0"/>
        <v>100</v>
      </c>
      <c r="M9">
        <f t="shared" si="0"/>
        <v>100</v>
      </c>
    </row>
    <row r="11" spans="1:13">
      <c r="A11" t="s">
        <v>25</v>
      </c>
      <c r="B11" t="s">
        <v>27</v>
      </c>
      <c r="C11" t="s">
        <v>18</v>
      </c>
      <c r="D11">
        <v>68.58</v>
      </c>
      <c r="E11">
        <v>54.2</v>
      </c>
      <c r="F11">
        <v>33.1</v>
      </c>
      <c r="G11">
        <v>10.56</v>
      </c>
      <c r="H11">
        <v>7.2</v>
      </c>
      <c r="I11">
        <v>5.08</v>
      </c>
      <c r="J11">
        <v>4.41</v>
      </c>
      <c r="K11">
        <v>2.68</v>
      </c>
      <c r="L11">
        <v>0.11</v>
      </c>
      <c r="M11">
        <v>0.01</v>
      </c>
    </row>
    <row r="12" spans="1:13">
      <c r="C12" t="s">
        <v>19</v>
      </c>
      <c r="D12">
        <v>25.5</v>
      </c>
      <c r="E12">
        <v>32.799999999999997</v>
      </c>
      <c r="F12">
        <v>43.5</v>
      </c>
      <c r="G12">
        <v>55.84</v>
      </c>
      <c r="H12">
        <v>45</v>
      </c>
      <c r="I12">
        <v>31.2</v>
      </c>
      <c r="J12">
        <v>21</v>
      </c>
      <c r="K12">
        <v>18</v>
      </c>
      <c r="L12">
        <v>4.2</v>
      </c>
      <c r="M12">
        <v>0.5</v>
      </c>
    </row>
    <row r="13" spans="1:13">
      <c r="C13" t="s">
        <v>20</v>
      </c>
      <c r="D13">
        <v>5.4</v>
      </c>
      <c r="E13">
        <v>11.2</v>
      </c>
      <c r="F13">
        <v>18.399999999999999</v>
      </c>
      <c r="G13">
        <v>23.5</v>
      </c>
      <c r="H13">
        <v>28.5</v>
      </c>
      <c r="I13">
        <v>40.049999999999997</v>
      </c>
      <c r="J13">
        <v>36.5</v>
      </c>
      <c r="K13">
        <v>29</v>
      </c>
      <c r="L13">
        <v>18</v>
      </c>
      <c r="M13">
        <v>9.49</v>
      </c>
    </row>
    <row r="14" spans="1:13">
      <c r="C14" t="s">
        <v>21</v>
      </c>
      <c r="D14">
        <v>0.51490000000000002</v>
      </c>
      <c r="E14">
        <v>1.7197</v>
      </c>
      <c r="F14">
        <v>4.7981999999999996</v>
      </c>
      <c r="G14">
        <v>9.59</v>
      </c>
      <c r="H14">
        <v>18.574999999999999</v>
      </c>
      <c r="I14">
        <v>22.617999999999999</v>
      </c>
      <c r="J14">
        <v>36.5</v>
      </c>
      <c r="K14">
        <v>48.2</v>
      </c>
      <c r="L14">
        <v>73.569999999999993</v>
      </c>
      <c r="M14">
        <v>82.85</v>
      </c>
    </row>
    <row r="15" spans="1:13">
      <c r="C15" t="s">
        <v>22</v>
      </c>
      <c r="D15">
        <v>5.0000000000000001E-3</v>
      </c>
      <c r="E15">
        <v>0.08</v>
      </c>
      <c r="F15">
        <v>0.2</v>
      </c>
      <c r="G15">
        <v>0.5</v>
      </c>
      <c r="H15">
        <v>0.7</v>
      </c>
      <c r="I15">
        <v>1.02</v>
      </c>
      <c r="J15">
        <v>1.54</v>
      </c>
      <c r="K15">
        <v>2.0499999999999998</v>
      </c>
      <c r="L15">
        <v>4.0199999999999996</v>
      </c>
      <c r="M15">
        <v>7</v>
      </c>
    </row>
    <row r="16" spans="1:13">
      <c r="C16" t="s">
        <v>23</v>
      </c>
      <c r="D16">
        <v>1E-4</v>
      </c>
      <c r="E16">
        <v>2.9999999999999997E-4</v>
      </c>
      <c r="F16">
        <v>1.8E-3</v>
      </c>
      <c r="G16">
        <v>0.01</v>
      </c>
      <c r="H16">
        <v>2.5000000000000001E-2</v>
      </c>
      <c r="I16">
        <v>3.2000000000000001E-2</v>
      </c>
      <c r="J16">
        <v>0.05</v>
      </c>
      <c r="K16">
        <v>7.0000000000000007E-2</v>
      </c>
      <c r="L16">
        <v>0.1</v>
      </c>
      <c r="M16">
        <v>0.15</v>
      </c>
    </row>
    <row r="17" spans="3:13">
      <c r="D17">
        <f>SUM(D11:D16)</f>
        <v>100</v>
      </c>
      <c r="E17">
        <f t="shared" ref="E17:M17" si="1">SUM(E11:E16)</f>
        <v>100</v>
      </c>
      <c r="F17">
        <f t="shared" si="1"/>
        <v>100</v>
      </c>
      <c r="G17">
        <f t="shared" si="1"/>
        <v>100.00000000000001</v>
      </c>
      <c r="H17">
        <f t="shared" si="1"/>
        <v>100.00000000000001</v>
      </c>
      <c r="I17">
        <f t="shared" si="1"/>
        <v>99.999999999999986</v>
      </c>
      <c r="J17">
        <f t="shared" si="1"/>
        <v>100</v>
      </c>
      <c r="K17">
        <f t="shared" si="1"/>
        <v>99.999999999999986</v>
      </c>
      <c r="L17">
        <f t="shared" si="1"/>
        <v>99.999999999999986</v>
      </c>
      <c r="M17">
        <f t="shared" si="1"/>
        <v>100</v>
      </c>
    </row>
    <row r="18" spans="3:13">
      <c r="C18" t="s">
        <v>24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B5B4-2F73-4092-AB82-77A511A04102}">
  <dimension ref="A1:E78"/>
  <sheetViews>
    <sheetView topLeftCell="A16" workbookViewId="0">
      <selection activeCell="G15" sqref="G15"/>
    </sheetView>
  </sheetViews>
  <sheetFormatPr defaultRowHeight="16.5"/>
  <cols>
    <col min="1" max="1" width="29.375" bestFit="1" customWidth="1"/>
    <col min="2" max="2" width="8.25" customWidth="1"/>
  </cols>
  <sheetData>
    <row r="1" spans="1:5">
      <c r="A1" t="s">
        <v>46</v>
      </c>
      <c r="B1">
        <v>1000000</v>
      </c>
      <c r="C1">
        <v>1</v>
      </c>
    </row>
    <row r="2" spans="1:5">
      <c r="A2" t="s">
        <v>47</v>
      </c>
      <c r="B2">
        <v>10000000</v>
      </c>
      <c r="C2">
        <v>1</v>
      </c>
    </row>
    <row r="3" spans="1:5">
      <c r="A3" t="s">
        <v>48</v>
      </c>
      <c r="B3">
        <f>B$1*10^C3</f>
        <v>100000000</v>
      </c>
      <c r="C3">
        <v>2</v>
      </c>
    </row>
    <row r="4" spans="1:5">
      <c r="A4" t="s">
        <v>49</v>
      </c>
      <c r="B4">
        <f t="shared" ref="B4:B67" si="0">B$1*10^C4</f>
        <v>1000000000</v>
      </c>
      <c r="C4">
        <v>3</v>
      </c>
    </row>
    <row r="5" spans="1:5">
      <c r="A5" t="s">
        <v>50</v>
      </c>
      <c r="B5">
        <f t="shared" si="0"/>
        <v>10000000000</v>
      </c>
      <c r="C5">
        <v>4</v>
      </c>
    </row>
    <row r="6" spans="1:5">
      <c r="A6" t="s">
        <v>51</v>
      </c>
      <c r="B6">
        <f t="shared" si="0"/>
        <v>100000000000</v>
      </c>
      <c r="C6">
        <v>5</v>
      </c>
    </row>
    <row r="7" spans="1:5">
      <c r="A7" t="s">
        <v>52</v>
      </c>
      <c r="B7">
        <f t="shared" si="0"/>
        <v>1000000000000</v>
      </c>
      <c r="C7">
        <v>6</v>
      </c>
    </row>
    <row r="8" spans="1:5">
      <c r="A8" t="s">
        <v>53</v>
      </c>
      <c r="B8">
        <f t="shared" si="0"/>
        <v>10000000000000</v>
      </c>
      <c r="C8">
        <v>7</v>
      </c>
    </row>
    <row r="9" spans="1:5">
      <c r="A9" t="s">
        <v>54</v>
      </c>
      <c r="B9">
        <f t="shared" si="0"/>
        <v>100000000000000</v>
      </c>
      <c r="C9">
        <v>8</v>
      </c>
      <c r="E9">
        <v>54608971760</v>
      </c>
    </row>
    <row r="10" spans="1:5">
      <c r="A10" t="s">
        <v>55</v>
      </c>
      <c r="B10">
        <f t="shared" si="0"/>
        <v>1000000000000000</v>
      </c>
      <c r="C10">
        <v>9</v>
      </c>
    </row>
    <row r="11" spans="1:5">
      <c r="A11" t="s">
        <v>56</v>
      </c>
      <c r="B11">
        <f t="shared" si="0"/>
        <v>1E+16</v>
      </c>
      <c r="C11">
        <v>10</v>
      </c>
    </row>
    <row r="12" spans="1:5">
      <c r="A12" t="s">
        <v>57</v>
      </c>
      <c r="B12">
        <f t="shared" si="0"/>
        <v>1E+17</v>
      </c>
      <c r="C12">
        <v>11</v>
      </c>
    </row>
    <row r="13" spans="1:5">
      <c r="A13" t="s">
        <v>58</v>
      </c>
      <c r="B13">
        <f t="shared" si="0"/>
        <v>1E+18</v>
      </c>
      <c r="C13">
        <v>12</v>
      </c>
    </row>
    <row r="14" spans="1:5">
      <c r="A14" t="s">
        <v>59</v>
      </c>
      <c r="B14">
        <f t="shared" si="0"/>
        <v>1E+19</v>
      </c>
      <c r="C14">
        <v>13</v>
      </c>
    </row>
    <row r="15" spans="1:5">
      <c r="A15" t="s">
        <v>60</v>
      </c>
      <c r="B15">
        <f t="shared" si="0"/>
        <v>1E+20</v>
      </c>
      <c r="C15">
        <v>14</v>
      </c>
    </row>
    <row r="16" spans="1:5">
      <c r="A16" t="s">
        <v>61</v>
      </c>
      <c r="B16">
        <f t="shared" si="0"/>
        <v>1E+21</v>
      </c>
      <c r="C16">
        <v>15</v>
      </c>
    </row>
    <row r="17" spans="1:3">
      <c r="A17" t="s">
        <v>62</v>
      </c>
      <c r="B17">
        <f t="shared" si="0"/>
        <v>1E+22</v>
      </c>
      <c r="C17">
        <v>16</v>
      </c>
    </row>
    <row r="18" spans="1:3">
      <c r="A18" t="s">
        <v>63</v>
      </c>
      <c r="B18">
        <f t="shared" si="0"/>
        <v>9.9999999999999992E+22</v>
      </c>
      <c r="C18">
        <v>17</v>
      </c>
    </row>
    <row r="19" spans="1:3">
      <c r="A19" t="s">
        <v>64</v>
      </c>
      <c r="B19">
        <f t="shared" si="0"/>
        <v>9.9999999999999998E+23</v>
      </c>
      <c r="C19">
        <v>18</v>
      </c>
    </row>
    <row r="20" spans="1:3">
      <c r="A20" t="s">
        <v>65</v>
      </c>
      <c r="B20">
        <f t="shared" si="0"/>
        <v>1.0000000000000001E+25</v>
      </c>
      <c r="C20">
        <v>19</v>
      </c>
    </row>
    <row r="21" spans="1:3">
      <c r="A21" t="s">
        <v>66</v>
      </c>
      <c r="B21">
        <f t="shared" si="0"/>
        <v>1E+26</v>
      </c>
      <c r="C21">
        <v>20</v>
      </c>
    </row>
    <row r="22" spans="1:3">
      <c r="A22" t="s">
        <v>67</v>
      </c>
      <c r="B22">
        <f t="shared" si="0"/>
        <v>1E+27</v>
      </c>
      <c r="C22">
        <v>21</v>
      </c>
    </row>
    <row r="23" spans="1:3">
      <c r="A23" t="s">
        <v>68</v>
      </c>
      <c r="B23">
        <f t="shared" si="0"/>
        <v>9.9999999999999996E+27</v>
      </c>
      <c r="C23">
        <v>22</v>
      </c>
    </row>
    <row r="24" spans="1:3">
      <c r="A24" t="s">
        <v>69</v>
      </c>
      <c r="B24">
        <f t="shared" si="0"/>
        <v>9.9999999999999991E+28</v>
      </c>
      <c r="C24">
        <v>23</v>
      </c>
    </row>
    <row r="25" spans="1:3">
      <c r="A25" t="s">
        <v>70</v>
      </c>
      <c r="B25">
        <f t="shared" si="0"/>
        <v>1E+30</v>
      </c>
      <c r="C25">
        <v>24</v>
      </c>
    </row>
    <row r="26" spans="1:3">
      <c r="A26" t="s">
        <v>71</v>
      </c>
      <c r="B26">
        <f t="shared" si="0"/>
        <v>1.0000000000000001E+31</v>
      </c>
      <c r="C26">
        <v>25</v>
      </c>
    </row>
    <row r="27" spans="1:3">
      <c r="A27" t="s">
        <v>72</v>
      </c>
      <c r="B27">
        <f t="shared" si="0"/>
        <v>1.0000000000000001E+32</v>
      </c>
      <c r="C27">
        <v>26</v>
      </c>
    </row>
    <row r="28" spans="1:3">
      <c r="A28" t="s">
        <v>73</v>
      </c>
      <c r="B28">
        <f t="shared" si="0"/>
        <v>9.9999999999999995E+32</v>
      </c>
      <c r="C28">
        <v>27</v>
      </c>
    </row>
    <row r="29" spans="1:3">
      <c r="A29" t="s">
        <v>74</v>
      </c>
      <c r="B29">
        <f t="shared" si="0"/>
        <v>9.9999999999999995E+33</v>
      </c>
      <c r="C29">
        <v>28</v>
      </c>
    </row>
    <row r="30" spans="1:3">
      <c r="A30" t="s">
        <v>75</v>
      </c>
      <c r="B30">
        <f t="shared" si="0"/>
        <v>9.9999999999999997E+34</v>
      </c>
      <c r="C30">
        <v>29</v>
      </c>
    </row>
    <row r="31" spans="1:3">
      <c r="A31" t="s">
        <v>76</v>
      </c>
      <c r="B31">
        <f t="shared" si="0"/>
        <v>1E+36</v>
      </c>
      <c r="C31">
        <v>30</v>
      </c>
    </row>
    <row r="32" spans="1:3">
      <c r="A32" t="s">
        <v>77</v>
      </c>
      <c r="B32">
        <f t="shared" si="0"/>
        <v>9.9999999999999995E+36</v>
      </c>
      <c r="C32">
        <v>31</v>
      </c>
    </row>
    <row r="33" spans="1:3">
      <c r="A33" t="s">
        <v>78</v>
      </c>
      <c r="B33">
        <f t="shared" si="0"/>
        <v>9.9999999999999998E+37</v>
      </c>
      <c r="C33">
        <v>32</v>
      </c>
    </row>
    <row r="34" spans="1:3">
      <c r="A34" t="s">
        <v>79</v>
      </c>
      <c r="B34">
        <f t="shared" si="0"/>
        <v>9.9999999999999994E+38</v>
      </c>
      <c r="C34">
        <v>33</v>
      </c>
    </row>
    <row r="35" spans="1:3">
      <c r="A35" t="s">
        <v>80</v>
      </c>
      <c r="B35">
        <f t="shared" si="0"/>
        <v>9.9999999999999991E+39</v>
      </c>
      <c r="C35">
        <v>34</v>
      </c>
    </row>
    <row r="36" spans="1:3">
      <c r="A36" t="s">
        <v>81</v>
      </c>
      <c r="B36">
        <f t="shared" si="0"/>
        <v>1E+41</v>
      </c>
      <c r="C36">
        <v>35</v>
      </c>
    </row>
    <row r="37" spans="1:3">
      <c r="A37" t="s">
        <v>82</v>
      </c>
      <c r="B37">
        <f t="shared" si="0"/>
        <v>1E+42</v>
      </c>
      <c r="C37">
        <v>36</v>
      </c>
    </row>
    <row r="38" spans="1:3">
      <c r="A38" t="s">
        <v>83</v>
      </c>
      <c r="B38">
        <f t="shared" si="0"/>
        <v>1E+43</v>
      </c>
      <c r="C38">
        <v>37</v>
      </c>
    </row>
    <row r="39" spans="1:3">
      <c r="A39" t="s">
        <v>84</v>
      </c>
      <c r="B39">
        <f t="shared" si="0"/>
        <v>9.9999999999999989E+43</v>
      </c>
      <c r="C39">
        <v>38</v>
      </c>
    </row>
    <row r="40" spans="1:3">
      <c r="A40" t="s">
        <v>85</v>
      </c>
      <c r="B40">
        <f t="shared" si="0"/>
        <v>9.9999999999999993E+44</v>
      </c>
      <c r="C40">
        <v>39</v>
      </c>
    </row>
    <row r="41" spans="1:3">
      <c r="A41" t="s">
        <v>86</v>
      </c>
      <c r="B41">
        <f t="shared" si="0"/>
        <v>9.9999999999999999E+45</v>
      </c>
      <c r="C41">
        <v>40</v>
      </c>
    </row>
    <row r="42" spans="1:3">
      <c r="A42" t="s">
        <v>87</v>
      </c>
      <c r="B42">
        <f t="shared" si="0"/>
        <v>1E+47</v>
      </c>
      <c r="C42">
        <v>41</v>
      </c>
    </row>
    <row r="43" spans="1:3">
      <c r="A43" t="s">
        <v>88</v>
      </c>
      <c r="B43">
        <f t="shared" si="0"/>
        <v>1E+48</v>
      </c>
      <c r="C43">
        <v>42</v>
      </c>
    </row>
    <row r="44" spans="1:3">
      <c r="A44" t="s">
        <v>89</v>
      </c>
      <c r="B44">
        <f t="shared" si="0"/>
        <v>1.0000000000000001E+49</v>
      </c>
      <c r="C44">
        <v>43</v>
      </c>
    </row>
    <row r="45" spans="1:3">
      <c r="A45" t="s">
        <v>90</v>
      </c>
      <c r="B45">
        <f t="shared" si="0"/>
        <v>1.0000000000000001E+50</v>
      </c>
      <c r="C45">
        <v>44</v>
      </c>
    </row>
    <row r="46" spans="1:3">
      <c r="A46" t="s">
        <v>91</v>
      </c>
      <c r="B46">
        <f t="shared" si="0"/>
        <v>9.9999999999999999E+50</v>
      </c>
      <c r="C46">
        <v>45</v>
      </c>
    </row>
    <row r="47" spans="1:3">
      <c r="A47" t="s">
        <v>92</v>
      </c>
      <c r="B47">
        <f t="shared" si="0"/>
        <v>9.9999999999999999E+51</v>
      </c>
      <c r="C47">
        <v>46</v>
      </c>
    </row>
    <row r="48" spans="1:3">
      <c r="A48" t="s">
        <v>93</v>
      </c>
      <c r="B48">
        <f t="shared" si="0"/>
        <v>9.9999999999999999E+52</v>
      </c>
      <c r="C48">
        <v>47</v>
      </c>
    </row>
    <row r="49" spans="1:3">
      <c r="A49" t="s">
        <v>94</v>
      </c>
      <c r="B49">
        <f t="shared" si="0"/>
        <v>1.0000000000000001E+54</v>
      </c>
      <c r="C49">
        <v>48</v>
      </c>
    </row>
    <row r="50" spans="1:3">
      <c r="A50" t="s">
        <v>95</v>
      </c>
      <c r="B50">
        <f t="shared" si="0"/>
        <v>1E+55</v>
      </c>
      <c r="C50">
        <v>49</v>
      </c>
    </row>
    <row r="51" spans="1:3">
      <c r="A51" t="s">
        <v>96</v>
      </c>
      <c r="B51">
        <f t="shared" si="0"/>
        <v>1.0000000000000001E+56</v>
      </c>
      <c r="C51">
        <v>50</v>
      </c>
    </row>
    <row r="52" spans="1:3">
      <c r="A52" t="s">
        <v>97</v>
      </c>
      <c r="B52">
        <f t="shared" si="0"/>
        <v>1E+57</v>
      </c>
      <c r="C52">
        <v>51</v>
      </c>
    </row>
    <row r="53" spans="1:3">
      <c r="A53" t="s">
        <v>98</v>
      </c>
      <c r="B53">
        <f t="shared" si="0"/>
        <v>9.9999999999999994E+57</v>
      </c>
      <c r="C53">
        <v>52</v>
      </c>
    </row>
    <row r="54" spans="1:3">
      <c r="A54" t="s">
        <v>99</v>
      </c>
      <c r="B54">
        <f t="shared" si="0"/>
        <v>9.9999999999999997E+58</v>
      </c>
      <c r="C54">
        <v>53</v>
      </c>
    </row>
    <row r="55" spans="1:3">
      <c r="A55" t="s">
        <v>100</v>
      </c>
      <c r="B55">
        <f t="shared" si="0"/>
        <v>1.0000000000000001E+60</v>
      </c>
      <c r="C55">
        <v>54</v>
      </c>
    </row>
    <row r="56" spans="1:3">
      <c r="A56" t="s">
        <v>101</v>
      </c>
      <c r="B56">
        <f t="shared" si="0"/>
        <v>9.9999999999999995E+60</v>
      </c>
      <c r="C56">
        <v>55</v>
      </c>
    </row>
    <row r="57" spans="1:3">
      <c r="A57" t="s">
        <v>102</v>
      </c>
      <c r="B57">
        <f t="shared" si="0"/>
        <v>1E+62</v>
      </c>
      <c r="C57">
        <v>56</v>
      </c>
    </row>
    <row r="58" spans="1:3">
      <c r="A58" t="s">
        <v>103</v>
      </c>
      <c r="B58">
        <f t="shared" si="0"/>
        <v>1.0000000000000001E+63</v>
      </c>
      <c r="C58">
        <v>57</v>
      </c>
    </row>
    <row r="59" spans="1:3">
      <c r="A59" t="s">
        <v>104</v>
      </c>
      <c r="B59">
        <f t="shared" si="0"/>
        <v>9.9999999999999988E+63</v>
      </c>
      <c r="C59">
        <v>58</v>
      </c>
    </row>
    <row r="60" spans="1:3">
      <c r="A60" t="s">
        <v>105</v>
      </c>
      <c r="B60">
        <f t="shared" si="0"/>
        <v>9.9999999999999999E+64</v>
      </c>
      <c r="C60">
        <v>59</v>
      </c>
    </row>
    <row r="61" spans="1:3">
      <c r="A61" t="s">
        <v>106</v>
      </c>
      <c r="B61">
        <f t="shared" si="0"/>
        <v>9.9999999999999995E+65</v>
      </c>
      <c r="C61">
        <v>60</v>
      </c>
    </row>
    <row r="62" spans="1:3">
      <c r="A62" t="s">
        <v>107</v>
      </c>
      <c r="B62">
        <f t="shared" si="0"/>
        <v>9.9999999999999998E+66</v>
      </c>
      <c r="C62">
        <v>61</v>
      </c>
    </row>
    <row r="63" spans="1:3">
      <c r="A63" t="s">
        <v>108</v>
      </c>
      <c r="B63">
        <f t="shared" si="0"/>
        <v>1.0000000000000001E+68</v>
      </c>
      <c r="C63">
        <v>62</v>
      </c>
    </row>
    <row r="64" spans="1:3">
      <c r="A64" t="s">
        <v>109</v>
      </c>
      <c r="B64">
        <f t="shared" si="0"/>
        <v>1.0000000000000001E+69</v>
      </c>
      <c r="C64">
        <v>63</v>
      </c>
    </row>
    <row r="65" spans="1:3">
      <c r="A65" t="s">
        <v>110</v>
      </c>
      <c r="B65">
        <f t="shared" si="0"/>
        <v>1.0000000000000001E+70</v>
      </c>
      <c r="C65">
        <v>64</v>
      </c>
    </row>
    <row r="66" spans="1:3">
      <c r="A66" t="s">
        <v>111</v>
      </c>
      <c r="B66">
        <f t="shared" si="0"/>
        <v>1E+71</v>
      </c>
      <c r="C66">
        <v>65</v>
      </c>
    </row>
    <row r="67" spans="1:3">
      <c r="A67" t="s">
        <v>112</v>
      </c>
      <c r="B67">
        <f t="shared" si="0"/>
        <v>9.9999999999999994E+71</v>
      </c>
      <c r="C67">
        <v>66</v>
      </c>
    </row>
    <row r="68" spans="1:3">
      <c r="A68" t="s">
        <v>113</v>
      </c>
      <c r="B68">
        <f t="shared" ref="B68:B78" si="1">B$1*10^C68</f>
        <v>9.9999999999999998E+72</v>
      </c>
      <c r="C68">
        <v>67</v>
      </c>
    </row>
    <row r="69" spans="1:3">
      <c r="A69" t="s">
        <v>114</v>
      </c>
      <c r="B69">
        <f t="shared" si="1"/>
        <v>9.9999999999999995E+73</v>
      </c>
      <c r="C69">
        <v>68</v>
      </c>
    </row>
    <row r="70" spans="1:3">
      <c r="A70" t="s">
        <v>115</v>
      </c>
      <c r="B70">
        <f t="shared" si="1"/>
        <v>1000000</v>
      </c>
    </row>
    <row r="71" spans="1:3">
      <c r="A71" t="s">
        <v>116</v>
      </c>
      <c r="B71">
        <f t="shared" si="1"/>
        <v>1000000</v>
      </c>
    </row>
    <row r="72" spans="1:3">
      <c r="A72" t="s">
        <v>117</v>
      </c>
      <c r="B72">
        <f t="shared" si="1"/>
        <v>1000000</v>
      </c>
    </row>
    <row r="73" spans="1:3">
      <c r="A73" t="s">
        <v>118</v>
      </c>
      <c r="B73">
        <f t="shared" si="1"/>
        <v>1000000</v>
      </c>
    </row>
    <row r="74" spans="1:3">
      <c r="A74" t="s">
        <v>119</v>
      </c>
      <c r="B74">
        <f t="shared" si="1"/>
        <v>1000000</v>
      </c>
    </row>
    <row r="75" spans="1:3">
      <c r="A75" t="s">
        <v>120</v>
      </c>
      <c r="B75">
        <f t="shared" si="1"/>
        <v>1000000</v>
      </c>
    </row>
    <row r="76" spans="1:3">
      <c r="A76" t="s">
        <v>121</v>
      </c>
      <c r="B76">
        <f t="shared" si="1"/>
        <v>1000000</v>
      </c>
    </row>
    <row r="77" spans="1:3">
      <c r="A77" t="s">
        <v>122</v>
      </c>
      <c r="B77">
        <f t="shared" si="1"/>
        <v>1000000</v>
      </c>
    </row>
    <row r="78" spans="1:3">
      <c r="A78" t="s">
        <v>123</v>
      </c>
      <c r="B78">
        <f t="shared" si="1"/>
        <v>1000000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06792-B9B8-4E48-889B-D28167FAA4BB}">
  <dimension ref="A1:AF68"/>
  <sheetViews>
    <sheetView tabSelected="1" zoomScale="115" zoomScaleNormal="115" workbookViewId="0">
      <selection activeCell="F14" sqref="F14"/>
    </sheetView>
  </sheetViews>
  <sheetFormatPr defaultRowHeight="16.5"/>
  <cols>
    <col min="3" max="3" width="13.125" bestFit="1" customWidth="1"/>
    <col min="5" max="5" width="13.125" bestFit="1" customWidth="1"/>
    <col min="9" max="9" width="10.875" bestFit="1" customWidth="1"/>
    <col min="10" max="10" width="12" bestFit="1" customWidth="1"/>
    <col min="11" max="11" width="11" bestFit="1" customWidth="1"/>
    <col min="12" max="12" width="12" bestFit="1" customWidth="1"/>
    <col min="13" max="13" width="10.875" bestFit="1" customWidth="1"/>
    <col min="14" max="14" width="9.625" customWidth="1"/>
    <col min="15" max="15" width="9.375" customWidth="1"/>
  </cols>
  <sheetData>
    <row r="1" spans="1:32">
      <c r="A1" t="s">
        <v>124</v>
      </c>
      <c r="B1" t="s">
        <v>125</v>
      </c>
      <c r="C1" t="s">
        <v>126</v>
      </c>
      <c r="D1" t="s">
        <v>127</v>
      </c>
      <c r="E1" t="s">
        <v>128</v>
      </c>
      <c r="F1" t="s">
        <v>129</v>
      </c>
      <c r="G1" t="s">
        <v>130</v>
      </c>
      <c r="J1" t="s">
        <v>46</v>
      </c>
      <c r="K1">
        <v>1000000</v>
      </c>
      <c r="V1" t="s">
        <v>244</v>
      </c>
      <c r="W1" t="s">
        <v>155</v>
      </c>
      <c r="X1" t="s">
        <v>246</v>
      </c>
      <c r="Y1" t="s">
        <v>245</v>
      </c>
      <c r="AD1" t="s">
        <v>255</v>
      </c>
      <c r="AE1" t="s">
        <v>246</v>
      </c>
    </row>
    <row r="2" spans="1:32">
      <c r="A2">
        <v>1</v>
      </c>
      <c r="B2" t="s">
        <v>131</v>
      </c>
      <c r="C2">
        <v>1000000000</v>
      </c>
      <c r="D2">
        <v>1</v>
      </c>
      <c r="E2">
        <v>113608</v>
      </c>
      <c r="F2">
        <v>0</v>
      </c>
      <c r="G2" t="s">
        <v>132</v>
      </c>
      <c r="J2" t="s">
        <v>47</v>
      </c>
      <c r="K2">
        <v>10000000</v>
      </c>
      <c r="O2" s="26">
        <v>0.2</v>
      </c>
      <c r="P2" s="26">
        <v>0.4</v>
      </c>
      <c r="Q2" s="26">
        <v>0.6</v>
      </c>
      <c r="R2" s="26">
        <v>0.8</v>
      </c>
      <c r="S2" s="26">
        <v>1</v>
      </c>
      <c r="V2" s="130">
        <v>1</v>
      </c>
      <c r="W2" s="130"/>
      <c r="AD2" t="s">
        <v>150</v>
      </c>
    </row>
    <row r="3" spans="1:32">
      <c r="A3">
        <v>2</v>
      </c>
      <c r="B3" t="s">
        <v>133</v>
      </c>
      <c r="C3">
        <v>1000000000</v>
      </c>
      <c r="D3">
        <v>1</v>
      </c>
      <c r="E3">
        <v>113608</v>
      </c>
      <c r="F3">
        <v>0</v>
      </c>
      <c r="G3" t="s">
        <v>132</v>
      </c>
      <c r="J3" t="s">
        <v>48</v>
      </c>
      <c r="K3">
        <v>100000000</v>
      </c>
      <c r="N3">
        <v>1000</v>
      </c>
      <c r="O3">
        <f>$N3*O$2</f>
        <v>200</v>
      </c>
      <c r="P3">
        <f t="shared" ref="P3:S3" si="0">$N3*P$2</f>
        <v>400</v>
      </c>
      <c r="Q3">
        <f t="shared" si="0"/>
        <v>600</v>
      </c>
      <c r="R3">
        <f t="shared" si="0"/>
        <v>800</v>
      </c>
      <c r="S3">
        <f t="shared" si="0"/>
        <v>1000</v>
      </c>
      <c r="V3">
        <v>2</v>
      </c>
      <c r="W3">
        <v>1055</v>
      </c>
      <c r="X3" t="s">
        <v>247</v>
      </c>
      <c r="Y3" t="s">
        <v>234</v>
      </c>
      <c r="Z3">
        <f>67*5</f>
        <v>335</v>
      </c>
      <c r="AA3">
        <f>950+335</f>
        <v>1285</v>
      </c>
      <c r="AC3">
        <v>1237</v>
      </c>
      <c r="AD3" t="s">
        <v>254</v>
      </c>
      <c r="AE3">
        <f ca="1">SUM(AE3:AE4)</f>
        <v>68</v>
      </c>
      <c r="AF3">
        <v>1108</v>
      </c>
    </row>
    <row r="4" spans="1:32">
      <c r="A4">
        <v>3</v>
      </c>
      <c r="B4" t="s">
        <v>134</v>
      </c>
      <c r="C4">
        <v>1500000000</v>
      </c>
      <c r="D4">
        <v>1</v>
      </c>
      <c r="E4">
        <v>250501608</v>
      </c>
      <c r="F4">
        <v>1000</v>
      </c>
      <c r="G4" t="s">
        <v>135</v>
      </c>
      <c r="H4" t="s">
        <v>249</v>
      </c>
      <c r="I4">
        <v>62</v>
      </c>
      <c r="J4" t="s">
        <v>49</v>
      </c>
      <c r="K4">
        <v>1000000000</v>
      </c>
      <c r="O4">
        <f>$C$4+O3*$E$4</f>
        <v>51600321600</v>
      </c>
      <c r="P4">
        <f t="shared" ref="P4:S4" si="1">$C$4+P3*$E$4</f>
        <v>101700643200</v>
      </c>
      <c r="Q4">
        <f t="shared" si="1"/>
        <v>151800964800</v>
      </c>
      <c r="R4">
        <f t="shared" si="1"/>
        <v>201901286400</v>
      </c>
      <c r="S4">
        <f t="shared" si="1"/>
        <v>252001608000</v>
      </c>
      <c r="V4">
        <v>10</v>
      </c>
      <c r="W4">
        <v>855</v>
      </c>
      <c r="X4">
        <v>590</v>
      </c>
      <c r="Y4">
        <v>40</v>
      </c>
      <c r="Z4">
        <f>Y4*5</f>
        <v>200</v>
      </c>
      <c r="AA4">
        <f>Z4+X4</f>
        <v>790</v>
      </c>
      <c r="AC4">
        <v>887</v>
      </c>
      <c r="AD4">
        <v>5</v>
      </c>
      <c r="AE4">
        <v>38</v>
      </c>
      <c r="AF4">
        <v>754</v>
      </c>
    </row>
    <row r="5" spans="1:32">
      <c r="A5">
        <v>4</v>
      </c>
      <c r="B5" t="s">
        <v>136</v>
      </c>
      <c r="C5">
        <v>1500000000</v>
      </c>
      <c r="D5">
        <v>1</v>
      </c>
      <c r="E5">
        <v>21501608</v>
      </c>
      <c r="F5">
        <v>5000</v>
      </c>
      <c r="G5" t="s">
        <v>137</v>
      </c>
      <c r="H5" t="s">
        <v>250</v>
      </c>
      <c r="I5">
        <v>136</v>
      </c>
      <c r="J5" t="s">
        <v>50</v>
      </c>
      <c r="K5">
        <v>10000000000</v>
      </c>
      <c r="O5" t="s">
        <v>237</v>
      </c>
      <c r="P5" t="s">
        <v>143</v>
      </c>
      <c r="Q5" t="s">
        <v>238</v>
      </c>
      <c r="R5" t="s">
        <v>236</v>
      </c>
      <c r="S5" t="s">
        <v>142</v>
      </c>
      <c r="T5" t="s">
        <v>248</v>
      </c>
      <c r="V5" t="s">
        <v>256</v>
      </c>
      <c r="W5">
        <v>1216</v>
      </c>
      <c r="X5">
        <v>1800</v>
      </c>
      <c r="Y5">
        <v>154</v>
      </c>
      <c r="Z5">
        <f>Y5*5</f>
        <v>770</v>
      </c>
      <c r="AA5">
        <f>Z5+X5</f>
        <v>2570</v>
      </c>
      <c r="AC5">
        <v>2000</v>
      </c>
      <c r="AD5">
        <v>34</v>
      </c>
      <c r="AE5">
        <v>167</v>
      </c>
      <c r="AF5">
        <v>2000</v>
      </c>
    </row>
    <row r="6" spans="1:32">
      <c r="A6">
        <v>5</v>
      </c>
      <c r="B6" t="s">
        <v>138</v>
      </c>
      <c r="C6">
        <v>251751106392</v>
      </c>
      <c r="D6">
        <v>100</v>
      </c>
      <c r="E6">
        <v>800000000</v>
      </c>
      <c r="F6">
        <v>1000</v>
      </c>
      <c r="G6" t="s">
        <v>139</v>
      </c>
      <c r="H6" t="s">
        <v>251</v>
      </c>
      <c r="I6">
        <v>188</v>
      </c>
      <c r="J6" t="s">
        <v>51</v>
      </c>
      <c r="K6">
        <v>100000000000</v>
      </c>
      <c r="N6">
        <v>5000</v>
      </c>
      <c r="O6">
        <f>$N6*O$2</f>
        <v>1000</v>
      </c>
      <c r="P6">
        <f>$N6*P$2</f>
        <v>2000</v>
      </c>
      <c r="Q6">
        <f>$N6*Q$2</f>
        <v>3000</v>
      </c>
      <c r="R6">
        <f>$N6*R$2</f>
        <v>4000</v>
      </c>
      <c r="S6">
        <f>$N6*S$2</f>
        <v>5000</v>
      </c>
      <c r="W6">
        <v>1048</v>
      </c>
      <c r="AA6">
        <v>372</v>
      </c>
      <c r="AE6" t="s">
        <v>149</v>
      </c>
      <c r="AF6">
        <v>390</v>
      </c>
    </row>
    <row r="7" spans="1:32">
      <c r="A7">
        <v>6</v>
      </c>
      <c r="B7" t="s">
        <v>140</v>
      </c>
      <c r="C7">
        <v>108986538392</v>
      </c>
      <c r="D7">
        <v>100</v>
      </c>
      <c r="E7">
        <v>420000000</v>
      </c>
      <c r="F7">
        <v>5000</v>
      </c>
      <c r="G7" t="s">
        <v>141</v>
      </c>
      <c r="H7" t="s">
        <v>252</v>
      </c>
      <c r="I7">
        <v>405</v>
      </c>
      <c r="J7" t="s">
        <v>52</v>
      </c>
      <c r="K7">
        <v>1000000000000</v>
      </c>
      <c r="O7">
        <f>$C$4+O6*$E$5</f>
        <v>23001608000</v>
      </c>
      <c r="P7">
        <f t="shared" ref="P7:S7" si="2">$C$4+P6*$E$5</f>
        <v>44503216000</v>
      </c>
      <c r="Q7">
        <f t="shared" si="2"/>
        <v>66004824000</v>
      </c>
      <c r="R7">
        <f t="shared" si="2"/>
        <v>87506432000</v>
      </c>
      <c r="S7">
        <f t="shared" si="2"/>
        <v>109008040000</v>
      </c>
    </row>
    <row r="8" spans="1:32">
      <c r="H8">
        <v>250</v>
      </c>
      <c r="J8" t="s">
        <v>53</v>
      </c>
      <c r="K8">
        <v>10000000000000</v>
      </c>
      <c r="O8" t="s">
        <v>239</v>
      </c>
      <c r="P8" t="s">
        <v>240</v>
      </c>
      <c r="Q8" t="s">
        <v>241</v>
      </c>
      <c r="R8" t="s">
        <v>242</v>
      </c>
      <c r="S8" t="s">
        <v>243</v>
      </c>
      <c r="T8" t="s">
        <v>137</v>
      </c>
    </row>
    <row r="9" spans="1:32">
      <c r="E9">
        <v>630004020000000</v>
      </c>
      <c r="H9">
        <v>544</v>
      </c>
    </row>
    <row r="10" spans="1:32">
      <c r="C10" t="s">
        <v>287</v>
      </c>
      <c r="E10" t="s">
        <v>288</v>
      </c>
    </row>
    <row r="11" spans="1:32">
      <c r="B11" t="s">
        <v>138</v>
      </c>
      <c r="C11">
        <f>C4+999*E4</f>
        <v>251751106392</v>
      </c>
      <c r="E11">
        <f>5000/2*(C6+(1000)*E6)</f>
        <v>2629377765980000</v>
      </c>
      <c r="H11">
        <v>125</v>
      </c>
    </row>
    <row r="12" spans="1:32">
      <c r="B12" t="s">
        <v>140</v>
      </c>
      <c r="C12">
        <f>C5+4999*E5</f>
        <v>108986538392</v>
      </c>
      <c r="E12">
        <f>5000/2*(C7+(5000)*E7)</f>
        <v>5522466345980000</v>
      </c>
    </row>
    <row r="17" spans="1:31">
      <c r="J17" t="s">
        <v>54</v>
      </c>
      <c r="K17">
        <v>100000000000000</v>
      </c>
      <c r="M17" t="s">
        <v>134</v>
      </c>
      <c r="N17">
        <f>C4+1000*E4</f>
        <v>252001608000</v>
      </c>
      <c r="O17" t="s">
        <v>142</v>
      </c>
    </row>
    <row r="18" spans="1:31">
      <c r="C18">
        <f>1000/2*(C4+999*E4)</f>
        <v>125875553196000</v>
      </c>
      <c r="E18">
        <v>252001608000</v>
      </c>
      <c r="M18" t="s">
        <v>136</v>
      </c>
      <c r="N18">
        <f>C4+5000*E5</f>
        <v>109008040000</v>
      </c>
      <c r="O18" t="s">
        <v>143</v>
      </c>
      <c r="AE18">
        <v>43</v>
      </c>
    </row>
    <row r="19" spans="1:31">
      <c r="C19">
        <f>5000/2*(C5+5000*E5)</f>
        <v>272520100000000</v>
      </c>
      <c r="E19">
        <v>109008040000</v>
      </c>
      <c r="AE19">
        <v>68</v>
      </c>
    </row>
    <row r="20" spans="1:31">
      <c r="C20">
        <f>1000/2*(C6+999*E6)</f>
        <v>525475553196000</v>
      </c>
      <c r="D20">
        <f>C20/C18</f>
        <v>4.1745640027320112</v>
      </c>
      <c r="AE20">
        <f>SUM(AE18:AE19)</f>
        <v>111</v>
      </c>
    </row>
    <row r="21" spans="1:31">
      <c r="C21">
        <f>5000/2*(C7+5000*E7)</f>
        <v>5522466345980000</v>
      </c>
      <c r="D21">
        <f>C21/C19</f>
        <v>20.264436810275647</v>
      </c>
    </row>
    <row r="23" spans="1:31">
      <c r="G23" t="s">
        <v>147</v>
      </c>
      <c r="H23" t="s">
        <v>147</v>
      </c>
    </row>
    <row r="24" spans="1:31">
      <c r="E24" t="s">
        <v>144</v>
      </c>
      <c r="F24">
        <v>67</v>
      </c>
      <c r="G24">
        <v>9</v>
      </c>
      <c r="H24">
        <v>3</v>
      </c>
    </row>
    <row r="25" spans="1:31">
      <c r="E25" t="s">
        <v>19</v>
      </c>
      <c r="F25">
        <v>20</v>
      </c>
      <c r="G25">
        <v>9</v>
      </c>
      <c r="H25">
        <v>3</v>
      </c>
    </row>
    <row r="26" spans="1:31">
      <c r="A26" t="s">
        <v>146</v>
      </c>
      <c r="B26">
        <v>1200</v>
      </c>
      <c r="E26" t="s">
        <v>145</v>
      </c>
      <c r="F26">
        <v>10</v>
      </c>
      <c r="G26">
        <v>9</v>
      </c>
      <c r="H26">
        <v>3</v>
      </c>
    </row>
    <row r="27" spans="1:31">
      <c r="E27" t="s">
        <v>21</v>
      </c>
      <c r="F27">
        <v>2.4</v>
      </c>
      <c r="G27">
        <v>9</v>
      </c>
      <c r="H27">
        <v>3</v>
      </c>
    </row>
    <row r="28" spans="1:31">
      <c r="E28" t="s">
        <v>22</v>
      </c>
      <c r="F28">
        <v>0.5</v>
      </c>
      <c r="G28">
        <v>9</v>
      </c>
      <c r="H28">
        <v>3</v>
      </c>
      <c r="R28" t="s">
        <v>215</v>
      </c>
      <c r="S28" t="s">
        <v>0</v>
      </c>
      <c r="T28" t="s">
        <v>160</v>
      </c>
    </row>
    <row r="29" spans="1:31">
      <c r="E29" t="s">
        <v>23</v>
      </c>
      <c r="F29">
        <v>0.1</v>
      </c>
      <c r="G29">
        <v>9</v>
      </c>
      <c r="H29">
        <v>3</v>
      </c>
      <c r="R29" s="1">
        <f>H39*1500</f>
        <v>13500000</v>
      </c>
      <c r="S29" s="2">
        <f>R29/R31*S31</f>
        <v>4500000</v>
      </c>
      <c r="T29" s="5">
        <f>S29/5.59</f>
        <v>805008.94454382826</v>
      </c>
    </row>
    <row r="30" spans="1:31">
      <c r="R30" t="s">
        <v>215</v>
      </c>
      <c r="S30" t="s">
        <v>214</v>
      </c>
    </row>
    <row r="31" spans="1:31">
      <c r="R31">
        <v>7500</v>
      </c>
      <c r="S31">
        <v>2500</v>
      </c>
    </row>
    <row r="32" spans="1:31">
      <c r="I32" t="s">
        <v>216</v>
      </c>
      <c r="J32">
        <v>3000</v>
      </c>
      <c r="K32">
        <f>J32/2</f>
        <v>1500</v>
      </c>
    </row>
    <row r="33" spans="5:15" ht="33">
      <c r="E33" s="78" t="s">
        <v>189</v>
      </c>
      <c r="F33" s="78" t="s">
        <v>190</v>
      </c>
      <c r="G33" s="78" t="s">
        <v>191</v>
      </c>
      <c r="I33">
        <v>6</v>
      </c>
      <c r="J33">
        <v>5</v>
      </c>
      <c r="K33">
        <v>4</v>
      </c>
      <c r="L33">
        <v>3</v>
      </c>
      <c r="M33">
        <v>2</v>
      </c>
      <c r="N33">
        <v>1</v>
      </c>
      <c r="O33" t="s">
        <v>217</v>
      </c>
    </row>
    <row r="34" spans="5:15">
      <c r="E34" s="79">
        <v>1</v>
      </c>
      <c r="F34">
        <v>67</v>
      </c>
      <c r="G34" s="134">
        <f>F34/100/9</f>
        <v>7.4444444444444452E-2</v>
      </c>
      <c r="H34">
        <f t="shared" ref="H34:H38" si="3">1/G34</f>
        <v>13.432835820895521</v>
      </c>
      <c r="I34">
        <f t="shared" ref="I34:N39" si="4">$H34/I$33</f>
        <v>2.2388059701492535</v>
      </c>
      <c r="J34">
        <f t="shared" si="4"/>
        <v>2.6865671641791042</v>
      </c>
      <c r="K34">
        <f t="shared" si="4"/>
        <v>3.3582089552238803</v>
      </c>
      <c r="L34">
        <f t="shared" si="4"/>
        <v>4.4776119402985071</v>
      </c>
      <c r="M34">
        <f t="shared" si="4"/>
        <v>6.7164179104477606</v>
      </c>
      <c r="N34">
        <f t="shared" si="4"/>
        <v>13.432835820895521</v>
      </c>
      <c r="O34" s="2">
        <f t="shared" ref="O34:O38" si="5">SUM(I34:N34)</f>
        <v>32.910447761194028</v>
      </c>
    </row>
    <row r="35" spans="5:15">
      <c r="E35" s="79">
        <v>2</v>
      </c>
      <c r="F35">
        <v>20</v>
      </c>
      <c r="G35" s="134">
        <f t="shared" ref="G35:G39" si="6">F35/100/9</f>
        <v>2.2222222222222223E-2</v>
      </c>
      <c r="H35">
        <f t="shared" si="3"/>
        <v>45</v>
      </c>
      <c r="I35">
        <f t="shared" si="4"/>
        <v>7.5</v>
      </c>
      <c r="J35">
        <f t="shared" si="4"/>
        <v>9</v>
      </c>
      <c r="K35">
        <f t="shared" si="4"/>
        <v>11.25</v>
      </c>
      <c r="L35">
        <f t="shared" si="4"/>
        <v>15</v>
      </c>
      <c r="M35">
        <f t="shared" si="4"/>
        <v>22.5</v>
      </c>
      <c r="N35">
        <f t="shared" si="4"/>
        <v>45</v>
      </c>
      <c r="O35" s="2">
        <f t="shared" si="5"/>
        <v>110.25</v>
      </c>
    </row>
    <row r="36" spans="5:15">
      <c r="E36" s="79">
        <v>3</v>
      </c>
      <c r="F36">
        <v>10</v>
      </c>
      <c r="G36" s="134">
        <f t="shared" si="6"/>
        <v>1.1111111111111112E-2</v>
      </c>
      <c r="H36">
        <f t="shared" si="3"/>
        <v>90</v>
      </c>
      <c r="I36">
        <f t="shared" si="4"/>
        <v>15</v>
      </c>
      <c r="J36">
        <f t="shared" si="4"/>
        <v>18</v>
      </c>
      <c r="K36">
        <f t="shared" si="4"/>
        <v>22.5</v>
      </c>
      <c r="L36">
        <f t="shared" si="4"/>
        <v>30</v>
      </c>
      <c r="M36">
        <f t="shared" si="4"/>
        <v>45</v>
      </c>
      <c r="N36">
        <f t="shared" si="4"/>
        <v>90</v>
      </c>
      <c r="O36" s="2">
        <f t="shared" si="5"/>
        <v>220.5</v>
      </c>
    </row>
    <row r="37" spans="5:15">
      <c r="E37" s="79">
        <v>4</v>
      </c>
      <c r="F37">
        <v>2.4</v>
      </c>
      <c r="G37" s="134">
        <f t="shared" si="6"/>
        <v>2.6666666666666666E-3</v>
      </c>
      <c r="H37">
        <f t="shared" si="3"/>
        <v>375</v>
      </c>
      <c r="I37">
        <f t="shared" si="4"/>
        <v>62.5</v>
      </c>
      <c r="J37">
        <f t="shared" si="4"/>
        <v>75</v>
      </c>
      <c r="K37">
        <f t="shared" si="4"/>
        <v>93.75</v>
      </c>
      <c r="L37">
        <f t="shared" si="4"/>
        <v>125</v>
      </c>
      <c r="M37">
        <f t="shared" si="4"/>
        <v>187.5</v>
      </c>
      <c r="N37">
        <f t="shared" si="4"/>
        <v>375</v>
      </c>
      <c r="O37" s="2">
        <f t="shared" si="5"/>
        <v>918.75</v>
      </c>
    </row>
    <row r="38" spans="5:15">
      <c r="E38" s="87">
        <v>5</v>
      </c>
      <c r="F38">
        <v>0.5</v>
      </c>
      <c r="G38" s="134">
        <f t="shared" si="6"/>
        <v>5.5555555555555556E-4</v>
      </c>
      <c r="H38">
        <f t="shared" si="3"/>
        <v>1800</v>
      </c>
      <c r="I38">
        <f t="shared" si="4"/>
        <v>300</v>
      </c>
      <c r="J38">
        <f t="shared" si="4"/>
        <v>360</v>
      </c>
      <c r="K38">
        <f t="shared" si="4"/>
        <v>450</v>
      </c>
      <c r="L38">
        <f t="shared" si="4"/>
        <v>600</v>
      </c>
      <c r="M38">
        <f t="shared" si="4"/>
        <v>900</v>
      </c>
      <c r="N38">
        <f t="shared" si="4"/>
        <v>1800</v>
      </c>
      <c r="O38" s="2">
        <f t="shared" si="5"/>
        <v>4410</v>
      </c>
    </row>
    <row r="39" spans="5:15">
      <c r="E39" s="87">
        <v>6</v>
      </c>
      <c r="F39">
        <v>0.1</v>
      </c>
      <c r="G39" s="134">
        <f t="shared" si="6"/>
        <v>1.1111111111111112E-4</v>
      </c>
      <c r="H39">
        <f>1/G39</f>
        <v>9000</v>
      </c>
      <c r="I39">
        <f>$H39/I$33</f>
        <v>1500</v>
      </c>
      <c r="J39">
        <f t="shared" si="4"/>
        <v>1800</v>
      </c>
      <c r="K39">
        <f t="shared" si="4"/>
        <v>2250</v>
      </c>
      <c r="L39">
        <f t="shared" si="4"/>
        <v>3000</v>
      </c>
      <c r="M39">
        <f t="shared" si="4"/>
        <v>4500</v>
      </c>
      <c r="N39">
        <f t="shared" si="4"/>
        <v>9000</v>
      </c>
      <c r="O39" s="2">
        <f t="shared" ref="O39:O41" si="7">SUM(I39:N39)</f>
        <v>22050</v>
      </c>
    </row>
    <row r="40" spans="5:15">
      <c r="H40" t="s">
        <v>215</v>
      </c>
      <c r="I40" s="1">
        <f>I39*$K32</f>
        <v>2250000</v>
      </c>
      <c r="J40" s="1">
        <f t="shared" ref="J40:N40" si="8">J39*$K32</f>
        <v>2700000</v>
      </c>
      <c r="K40" s="1">
        <f t="shared" si="8"/>
        <v>3375000</v>
      </c>
      <c r="L40" s="1">
        <f t="shared" si="8"/>
        <v>4500000</v>
      </c>
      <c r="M40" s="1">
        <f t="shared" si="8"/>
        <v>6750000</v>
      </c>
      <c r="N40" s="1">
        <f t="shared" si="8"/>
        <v>13500000</v>
      </c>
      <c r="O40" s="2">
        <f t="shared" si="7"/>
        <v>33075000</v>
      </c>
    </row>
    <row r="41" spans="5:15">
      <c r="H41" t="s">
        <v>0</v>
      </c>
      <c r="I41" s="1">
        <f>I40/$R31*$S31</f>
        <v>750000</v>
      </c>
      <c r="J41" s="1">
        <f t="shared" ref="J41:N41" si="9">J40/$R31*$S31</f>
        <v>900000</v>
      </c>
      <c r="K41" s="1">
        <f t="shared" si="9"/>
        <v>1125000</v>
      </c>
      <c r="L41" s="1">
        <f t="shared" si="9"/>
        <v>1500000</v>
      </c>
      <c r="M41" s="1">
        <f t="shared" si="9"/>
        <v>2250000</v>
      </c>
      <c r="N41" s="1">
        <f t="shared" si="9"/>
        <v>4500000</v>
      </c>
      <c r="O41" s="2">
        <f t="shared" si="7"/>
        <v>11025000</v>
      </c>
    </row>
    <row r="42" spans="5:15">
      <c r="H42" t="s">
        <v>184</v>
      </c>
      <c r="I42" s="1">
        <f>I41/5.59</f>
        <v>134168.15742397137</v>
      </c>
      <c r="J42" s="1">
        <f t="shared" ref="J42:N42" si="10">J41/5.59</f>
        <v>161001.78890876565</v>
      </c>
      <c r="K42" s="1">
        <f t="shared" si="10"/>
        <v>201252.23613595706</v>
      </c>
      <c r="L42" s="1">
        <f t="shared" si="10"/>
        <v>268336.31484794273</v>
      </c>
      <c r="M42" s="1">
        <f t="shared" si="10"/>
        <v>402504.47227191413</v>
      </c>
      <c r="N42" s="1">
        <f t="shared" si="10"/>
        <v>805008.94454382826</v>
      </c>
      <c r="O42" s="2">
        <f>SUM(I42:N42)</f>
        <v>1972271.9141323792</v>
      </c>
    </row>
    <row r="49" spans="5:13">
      <c r="E49" t="s">
        <v>218</v>
      </c>
    </row>
    <row r="50" spans="5:13">
      <c r="E50" t="s">
        <v>219</v>
      </c>
    </row>
    <row r="51" spans="5:13">
      <c r="E51" t="s">
        <v>220</v>
      </c>
    </row>
    <row r="52" spans="5:13">
      <c r="E52" t="s">
        <v>221</v>
      </c>
    </row>
    <row r="53" spans="5:13">
      <c r="E53" t="s">
        <v>222</v>
      </c>
      <c r="L53" t="s">
        <v>46</v>
      </c>
      <c r="M53">
        <v>1000000</v>
      </c>
    </row>
    <row r="54" spans="5:13">
      <c r="E54" t="s">
        <v>223</v>
      </c>
      <c r="L54" t="s">
        <v>47</v>
      </c>
      <c r="M54">
        <v>10000000</v>
      </c>
    </row>
    <row r="55" spans="5:13">
      <c r="E55" t="s">
        <v>224</v>
      </c>
      <c r="L55" t="s">
        <v>48</v>
      </c>
      <c r="M55">
        <v>100000000</v>
      </c>
    </row>
    <row r="56" spans="5:13">
      <c r="E56" t="s">
        <v>225</v>
      </c>
      <c r="L56" t="s">
        <v>49</v>
      </c>
      <c r="M56">
        <v>1000000000</v>
      </c>
    </row>
    <row r="57" spans="5:13">
      <c r="E57" t="s">
        <v>226</v>
      </c>
      <c r="L57" t="s">
        <v>50</v>
      </c>
      <c r="M57">
        <v>10000000000</v>
      </c>
    </row>
    <row r="58" spans="5:13">
      <c r="L58" t="s">
        <v>51</v>
      </c>
      <c r="M58">
        <v>100000000000</v>
      </c>
    </row>
    <row r="59" spans="5:13">
      <c r="L59" t="s">
        <v>52</v>
      </c>
      <c r="M59">
        <v>1000000000000</v>
      </c>
    </row>
    <row r="60" spans="5:13">
      <c r="L60" t="s">
        <v>53</v>
      </c>
      <c r="M60">
        <v>10000000000000</v>
      </c>
    </row>
    <row r="61" spans="5:13">
      <c r="L61" t="s">
        <v>54</v>
      </c>
      <c r="M61">
        <v>100000000000000</v>
      </c>
    </row>
    <row r="63" spans="5:13">
      <c r="E63" t="s">
        <v>233</v>
      </c>
      <c r="F63" t="s">
        <v>234</v>
      </c>
    </row>
    <row r="64" spans="5:13">
      <c r="E64" t="s">
        <v>232</v>
      </c>
    </row>
    <row r="65" spans="5:10">
      <c r="E65" t="s">
        <v>230</v>
      </c>
      <c r="F65" t="s">
        <v>235</v>
      </c>
    </row>
    <row r="66" spans="5:10">
      <c r="E66" t="s">
        <v>231</v>
      </c>
      <c r="F66">
        <v>1.6</v>
      </c>
    </row>
    <row r="67" spans="5:10">
      <c r="E67" t="s">
        <v>227</v>
      </c>
      <c r="G67" t="s">
        <v>229</v>
      </c>
      <c r="H67" t="s">
        <v>228</v>
      </c>
      <c r="I67" t="s">
        <v>214</v>
      </c>
      <c r="J67" t="s">
        <v>215</v>
      </c>
    </row>
    <row r="68" spans="5:10">
      <c r="E68" s="54">
        <v>12.37</v>
      </c>
      <c r="G68">
        <v>569</v>
      </c>
      <c r="H68">
        <v>41.8</v>
      </c>
      <c r="I68">
        <v>2000</v>
      </c>
      <c r="J68">
        <v>34560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3241A-AA96-4FD8-A0C9-89189A1380F7}">
  <dimension ref="A1:AW46"/>
  <sheetViews>
    <sheetView topLeftCell="A48" workbookViewId="0">
      <selection activeCell="I21" sqref="I21"/>
    </sheetView>
  </sheetViews>
  <sheetFormatPr defaultRowHeight="16.5"/>
  <cols>
    <col min="3" max="3" width="13.75" bestFit="1" customWidth="1"/>
    <col min="4" max="4" width="10.875" bestFit="1" customWidth="1"/>
    <col min="5" max="5" width="11.5" customWidth="1"/>
    <col min="7" max="7" width="12.375" bestFit="1" customWidth="1"/>
    <col min="9" max="9" width="9.375" customWidth="1"/>
    <col min="10" max="10" width="11" bestFit="1" customWidth="1"/>
    <col min="11" max="11" width="7.625" customWidth="1"/>
    <col min="15" max="15" width="13" bestFit="1" customWidth="1"/>
    <col min="16" max="16" width="11.25" customWidth="1"/>
    <col min="19" max="19" width="13.125" bestFit="1" customWidth="1"/>
  </cols>
  <sheetData>
    <row r="1" spans="1:21" ht="17.25" thickBot="1">
      <c r="A1" s="135" t="s">
        <v>124</v>
      </c>
      <c r="B1" s="136" t="s">
        <v>125</v>
      </c>
      <c r="C1" s="136" t="s">
        <v>126</v>
      </c>
      <c r="D1" s="136" t="s">
        <v>127</v>
      </c>
      <c r="E1" s="136" t="s">
        <v>128</v>
      </c>
      <c r="F1" s="136" t="s">
        <v>129</v>
      </c>
      <c r="G1" s="136" t="s">
        <v>130</v>
      </c>
      <c r="H1" s="136" t="s">
        <v>257</v>
      </c>
      <c r="I1" s="136"/>
      <c r="J1" s="137" t="s">
        <v>259</v>
      </c>
      <c r="N1" s="154" t="s">
        <v>230</v>
      </c>
      <c r="O1" s="154"/>
      <c r="P1" s="154"/>
      <c r="Q1" s="154"/>
      <c r="R1" s="154"/>
      <c r="S1" s="154"/>
      <c r="T1" s="154"/>
    </row>
    <row r="2" spans="1:21">
      <c r="A2" s="140">
        <v>1</v>
      </c>
      <c r="B2" s="12" t="s">
        <v>131</v>
      </c>
      <c r="C2" s="12">
        <v>1000000000</v>
      </c>
      <c r="D2" s="12">
        <v>1</v>
      </c>
      <c r="E2" s="12">
        <v>113608</v>
      </c>
      <c r="F2" s="12">
        <v>0</v>
      </c>
      <c r="G2" s="12" t="s">
        <v>132</v>
      </c>
      <c r="H2" s="12"/>
      <c r="I2" s="12"/>
      <c r="J2" s="139"/>
      <c r="O2" s="135" t="s">
        <v>258</v>
      </c>
      <c r="P2" s="144">
        <v>0.2</v>
      </c>
      <c r="Q2" s="144">
        <v>0.4</v>
      </c>
      <c r="R2" s="144">
        <v>0.6</v>
      </c>
      <c r="S2" s="144">
        <v>0.8</v>
      </c>
      <c r="T2" s="145">
        <v>1</v>
      </c>
    </row>
    <row r="3" spans="1:21">
      <c r="A3" s="140">
        <v>2</v>
      </c>
      <c r="B3" s="12" t="s">
        <v>133</v>
      </c>
      <c r="C3" s="12">
        <v>1000000000</v>
      </c>
      <c r="D3" s="12">
        <v>1</v>
      </c>
      <c r="E3" s="12">
        <v>113608</v>
      </c>
      <c r="F3" s="12">
        <v>0</v>
      </c>
      <c r="G3" s="12" t="s">
        <v>132</v>
      </c>
      <c r="H3" s="12"/>
      <c r="I3" s="12"/>
      <c r="J3" s="139"/>
      <c r="N3" t="s">
        <v>218</v>
      </c>
      <c r="O3" s="140">
        <v>1000</v>
      </c>
      <c r="P3" s="12">
        <f>$O3*P$2</f>
        <v>200</v>
      </c>
      <c r="Q3" s="12">
        <f>$O3*Q$2</f>
        <v>400</v>
      </c>
      <c r="R3" s="12">
        <f>$O3*R$2</f>
        <v>600</v>
      </c>
      <c r="S3" s="12">
        <f>$O3*S$2</f>
        <v>800</v>
      </c>
      <c r="T3" s="139">
        <f>$O3*T$2</f>
        <v>1000</v>
      </c>
    </row>
    <row r="4" spans="1:21">
      <c r="A4" s="140">
        <v>3</v>
      </c>
      <c r="B4" s="12" t="s">
        <v>134</v>
      </c>
      <c r="C4" s="12">
        <v>1500000000</v>
      </c>
      <c r="D4" s="12">
        <v>1</v>
      </c>
      <c r="E4" s="12">
        <v>250501608</v>
      </c>
      <c r="F4" s="12">
        <v>1000</v>
      </c>
      <c r="G4" s="12" t="s">
        <v>135</v>
      </c>
      <c r="H4" s="12">
        <f>1000/2*(C4+999*E4)</f>
        <v>125875553196000</v>
      </c>
      <c r="I4" s="12" t="s">
        <v>249</v>
      </c>
      <c r="J4" s="139" t="s">
        <v>275</v>
      </c>
      <c r="O4" s="140" t="s">
        <v>149</v>
      </c>
      <c r="P4" s="12">
        <f>$C$4+P3*$E$4</f>
        <v>51600321600</v>
      </c>
      <c r="Q4" s="12">
        <f t="shared" ref="Q4:T4" si="0">$C$4+Q3*$E$4</f>
        <v>101700643200</v>
      </c>
      <c r="R4" s="12">
        <f t="shared" si="0"/>
        <v>151800964800</v>
      </c>
      <c r="S4" s="12">
        <f t="shared" si="0"/>
        <v>201901286400</v>
      </c>
      <c r="T4" s="139">
        <f t="shared" si="0"/>
        <v>252001608000</v>
      </c>
      <c r="U4" t="s">
        <v>149</v>
      </c>
    </row>
    <row r="5" spans="1:21" ht="17.25" thickBot="1">
      <c r="A5" s="140">
        <v>4</v>
      </c>
      <c r="B5" s="12" t="s">
        <v>136</v>
      </c>
      <c r="C5" s="12">
        <v>1500000000</v>
      </c>
      <c r="D5" s="12">
        <v>1</v>
      </c>
      <c r="E5" s="12">
        <v>21501608</v>
      </c>
      <c r="F5" s="12">
        <v>5000</v>
      </c>
      <c r="G5" s="12" t="s">
        <v>137</v>
      </c>
      <c r="H5" s="12">
        <f>5000/2*(C5+5000*E5)</f>
        <v>272520100000000</v>
      </c>
      <c r="I5" s="12" t="s">
        <v>250</v>
      </c>
      <c r="J5" s="139" t="s">
        <v>276</v>
      </c>
      <c r="O5" s="140" t="s">
        <v>267</v>
      </c>
      <c r="P5" s="12" t="s">
        <v>237</v>
      </c>
      <c r="Q5" s="12" t="s">
        <v>143</v>
      </c>
      <c r="R5" s="12" t="s">
        <v>238</v>
      </c>
      <c r="S5" s="12" t="s">
        <v>236</v>
      </c>
      <c r="T5" s="139" t="s">
        <v>142</v>
      </c>
    </row>
    <row r="6" spans="1:21">
      <c r="A6" s="140">
        <v>5</v>
      </c>
      <c r="B6" s="12" t="s">
        <v>138</v>
      </c>
      <c r="C6" s="12">
        <v>252001608000</v>
      </c>
      <c r="D6" s="12">
        <v>100</v>
      </c>
      <c r="E6" s="12">
        <f>E4*3</f>
        <v>751504824</v>
      </c>
      <c r="F6" s="12">
        <v>1000</v>
      </c>
      <c r="G6" s="12" t="s">
        <v>139</v>
      </c>
      <c r="H6" s="12">
        <f>1000/2*(C6+999*E6)</f>
        <v>501377463588000</v>
      </c>
      <c r="I6" s="12" t="s">
        <v>251</v>
      </c>
      <c r="J6" s="139" t="s">
        <v>253</v>
      </c>
      <c r="N6" t="s">
        <v>268</v>
      </c>
      <c r="O6" s="135" t="s">
        <v>258</v>
      </c>
      <c r="P6" s="144">
        <v>0.2</v>
      </c>
      <c r="Q6" s="144">
        <v>0.4</v>
      </c>
      <c r="R6" s="144">
        <v>0.6</v>
      </c>
      <c r="S6" s="144">
        <v>0.8</v>
      </c>
      <c r="T6" s="145">
        <v>1</v>
      </c>
    </row>
    <row r="7" spans="1:21">
      <c r="A7" s="140">
        <v>6</v>
      </c>
      <c r="B7" s="12" t="s">
        <v>140</v>
      </c>
      <c r="C7" s="12">
        <v>109008040000</v>
      </c>
      <c r="D7" s="12">
        <v>100</v>
      </c>
      <c r="E7" s="12">
        <f>E5*2</f>
        <v>43003216</v>
      </c>
      <c r="F7" s="12">
        <v>5000</v>
      </c>
      <c r="G7" s="12" t="s">
        <v>141</v>
      </c>
      <c r="H7" s="12">
        <f>5000/2*(C7+5000*E7)</f>
        <v>810060300000000</v>
      </c>
      <c r="I7" s="12" t="s">
        <v>252</v>
      </c>
      <c r="J7" s="139" t="s">
        <v>277</v>
      </c>
      <c r="O7" s="140">
        <v>5000</v>
      </c>
      <c r="P7" s="12">
        <f>$O7*P$2</f>
        <v>1000</v>
      </c>
      <c r="Q7" s="12">
        <f>$O7*Q$2</f>
        <v>2000</v>
      </c>
      <c r="R7" s="12">
        <f>$O7*R$2</f>
        <v>3000</v>
      </c>
      <c r="S7" s="12">
        <f>$O7*S$2</f>
        <v>4000</v>
      </c>
      <c r="T7" s="139">
        <f>$O7*T$2</f>
        <v>5000</v>
      </c>
      <c r="U7" t="s">
        <v>149</v>
      </c>
    </row>
    <row r="8" spans="1:21" ht="17.25" thickBot="1">
      <c r="A8" s="141"/>
      <c r="B8" s="142"/>
      <c r="C8" s="142"/>
      <c r="D8" s="142"/>
      <c r="E8" s="142"/>
      <c r="F8" s="142"/>
      <c r="G8" s="142"/>
      <c r="H8" s="142"/>
      <c r="I8" s="142"/>
      <c r="J8" s="143"/>
      <c r="O8" s="140" t="s">
        <v>149</v>
      </c>
      <c r="P8" s="12">
        <f>$C$4+P7*$E$5</f>
        <v>23001608000</v>
      </c>
      <c r="Q8" s="12">
        <f t="shared" ref="Q8:T8" si="1">$C$4+Q7*$E$5</f>
        <v>44503216000</v>
      </c>
      <c r="R8" s="12">
        <f t="shared" si="1"/>
        <v>66004824000</v>
      </c>
      <c r="S8" s="12">
        <f t="shared" si="1"/>
        <v>87506432000</v>
      </c>
      <c r="T8" s="139">
        <f t="shared" si="1"/>
        <v>109008040000</v>
      </c>
    </row>
    <row r="9" spans="1:21" ht="17.25" thickBot="1">
      <c r="C9" t="s">
        <v>149</v>
      </c>
      <c r="O9" s="140" t="s">
        <v>267</v>
      </c>
      <c r="P9" s="142" t="s">
        <v>239</v>
      </c>
      <c r="Q9" s="142" t="s">
        <v>240</v>
      </c>
      <c r="R9" s="142" t="s">
        <v>241</v>
      </c>
      <c r="S9" s="142" t="s">
        <v>242</v>
      </c>
      <c r="T9" s="143" t="s">
        <v>274</v>
      </c>
    </row>
    <row r="11" spans="1:21" ht="17.25" thickBot="1">
      <c r="N11" s="154" t="s">
        <v>261</v>
      </c>
      <c r="O11" s="154"/>
      <c r="P11" s="154"/>
      <c r="Q11" s="154"/>
      <c r="R11" s="154"/>
      <c r="S11" s="154"/>
      <c r="T11" s="154"/>
    </row>
    <row r="12" spans="1:21">
      <c r="N12" t="s">
        <v>218</v>
      </c>
      <c r="O12" s="135" t="s">
        <v>258</v>
      </c>
      <c r="P12" s="144">
        <v>0.2</v>
      </c>
      <c r="Q12" s="144">
        <v>0.4</v>
      </c>
      <c r="R12" s="144">
        <v>0.6</v>
      </c>
      <c r="S12" s="144">
        <v>0.8</v>
      </c>
      <c r="T12" s="145">
        <v>1</v>
      </c>
    </row>
    <row r="13" spans="1:21">
      <c r="G13" s="154" t="s">
        <v>260</v>
      </c>
      <c r="H13" s="154"/>
      <c r="I13">
        <v>1000</v>
      </c>
      <c r="O13" s="140">
        <v>1000</v>
      </c>
      <c r="P13" s="12">
        <f>$O13*P$2</f>
        <v>200</v>
      </c>
      <c r="Q13" s="12">
        <f>$O13*Q$2</f>
        <v>400</v>
      </c>
      <c r="R13" s="12">
        <f>$O13*R$2</f>
        <v>600</v>
      </c>
      <c r="S13" s="12">
        <f>$O13*S$2</f>
        <v>800</v>
      </c>
      <c r="T13" s="139">
        <f>$O13*T$2</f>
        <v>1000</v>
      </c>
    </row>
    <row r="14" spans="1:21">
      <c r="G14" s="154" t="s">
        <v>134</v>
      </c>
      <c r="H14" s="154"/>
      <c r="I14">
        <f>C4+I$13*E4</f>
        <v>252001608000</v>
      </c>
      <c r="J14" t="s">
        <v>142</v>
      </c>
      <c r="O14" s="140"/>
      <c r="P14" s="12">
        <f>$C$6+P13*$E$6</f>
        <v>402302572800</v>
      </c>
      <c r="Q14" s="12">
        <f t="shared" ref="Q14:T14" si="2">$C$6+Q13*$E$6</f>
        <v>552603537600</v>
      </c>
      <c r="R14" s="12">
        <f t="shared" si="2"/>
        <v>702904502400</v>
      </c>
      <c r="S14" s="12">
        <f t="shared" si="2"/>
        <v>853205467200</v>
      </c>
      <c r="T14" s="139">
        <f t="shared" si="2"/>
        <v>1003506432000</v>
      </c>
    </row>
    <row r="15" spans="1:21" ht="17.25" thickBot="1">
      <c r="G15" s="154" t="s">
        <v>136</v>
      </c>
      <c r="H15" s="154"/>
      <c r="I15">
        <f>C4+I$13*E5</f>
        <v>23001608000</v>
      </c>
      <c r="J15" t="s">
        <v>143</v>
      </c>
      <c r="O15" s="141" t="s">
        <v>267</v>
      </c>
      <c r="P15" s="142" t="s">
        <v>262</v>
      </c>
      <c r="Q15" s="142" t="s">
        <v>263</v>
      </c>
      <c r="R15" s="142" t="s">
        <v>264</v>
      </c>
      <c r="S15" s="142" t="s">
        <v>265</v>
      </c>
      <c r="T15" s="143" t="s">
        <v>266</v>
      </c>
    </row>
    <row r="16" spans="1:21" ht="17.25" thickBot="1">
      <c r="N16" t="s">
        <v>268</v>
      </c>
      <c r="O16" s="135" t="s">
        <v>258</v>
      </c>
      <c r="P16" s="144">
        <v>0.2</v>
      </c>
      <c r="Q16" s="144">
        <v>0.4</v>
      </c>
      <c r="R16" s="144">
        <v>0.6</v>
      </c>
      <c r="S16" s="144">
        <v>0.8</v>
      </c>
      <c r="T16" s="145">
        <v>1</v>
      </c>
    </row>
    <row r="17" spans="3:49">
      <c r="C17" s="135" t="s">
        <v>46</v>
      </c>
      <c r="D17" s="153">
        <v>1000000</v>
      </c>
      <c r="O17" s="140">
        <v>5000</v>
      </c>
      <c r="P17" s="12">
        <f>$O17*P$2</f>
        <v>1000</v>
      </c>
      <c r="Q17" s="12">
        <f>$O17*Q$2</f>
        <v>2000</v>
      </c>
      <c r="R17" s="12">
        <f>$O17*R$2</f>
        <v>3000</v>
      </c>
      <c r="S17" s="12">
        <f>$O17*S$2</f>
        <v>4000</v>
      </c>
      <c r="T17" s="139">
        <f>$O17*T$2</f>
        <v>5000</v>
      </c>
    </row>
    <row r="18" spans="3:49">
      <c r="C18" s="140" t="s">
        <v>47</v>
      </c>
      <c r="D18" s="139">
        <v>10000000</v>
      </c>
      <c r="G18" t="s">
        <v>285</v>
      </c>
      <c r="H18" t="s">
        <v>286</v>
      </c>
      <c r="I18">
        <v>5000</v>
      </c>
      <c r="K18" s="54">
        <v>0.5</v>
      </c>
      <c r="O18" s="140"/>
      <c r="P18" s="12">
        <f>$C$7+P17*$E$7</f>
        <v>152011256000</v>
      </c>
      <c r="Q18" s="12">
        <f t="shared" ref="Q18:T18" si="3">$C$7+Q17*$E$7</f>
        <v>195014472000</v>
      </c>
      <c r="R18" s="12">
        <f t="shared" si="3"/>
        <v>238017688000</v>
      </c>
      <c r="S18" s="12">
        <f t="shared" si="3"/>
        <v>281020904000</v>
      </c>
      <c r="T18" s="139">
        <f t="shared" si="3"/>
        <v>324024120000</v>
      </c>
    </row>
    <row r="19" spans="3:49" ht="17.25" thickBot="1">
      <c r="C19" s="140" t="s">
        <v>48</v>
      </c>
      <c r="D19" s="139">
        <v>100000000</v>
      </c>
      <c r="G19" s="154" t="s">
        <v>134</v>
      </c>
      <c r="H19" s="154"/>
      <c r="I19">
        <f>C4+(I$18-1)*E4</f>
        <v>1253757538392</v>
      </c>
      <c r="K19">
        <f>I19/2</f>
        <v>626878769196</v>
      </c>
      <c r="O19" s="141" t="s">
        <v>267</v>
      </c>
      <c r="P19" s="142" t="s">
        <v>269</v>
      </c>
      <c r="Q19" s="142" t="s">
        <v>270</v>
      </c>
      <c r="R19" s="142" t="s">
        <v>271</v>
      </c>
      <c r="S19" s="142" t="s">
        <v>272</v>
      </c>
      <c r="T19" s="143" t="s">
        <v>273</v>
      </c>
    </row>
    <row r="20" spans="3:49">
      <c r="C20" s="140" t="s">
        <v>49</v>
      </c>
      <c r="D20" s="139">
        <v>1000000000</v>
      </c>
      <c r="G20" s="154" t="s">
        <v>136</v>
      </c>
      <c r="H20" s="154"/>
      <c r="I20">
        <f>C5+(I$18*50-1)*E5</f>
        <v>5376880498392</v>
      </c>
      <c r="K20">
        <f>I20/2</f>
        <v>2688440249196</v>
      </c>
      <c r="AN20">
        <v>1048</v>
      </c>
      <c r="AR20">
        <v>372</v>
      </c>
      <c r="AV20" t="s">
        <v>149</v>
      </c>
      <c r="AW20">
        <v>390</v>
      </c>
    </row>
    <row r="21" spans="3:49">
      <c r="C21" s="140" t="s">
        <v>50</v>
      </c>
      <c r="D21" s="139">
        <v>10000000000</v>
      </c>
      <c r="S21" s="1"/>
      <c r="T21" s="2"/>
      <c r="U21" s="5"/>
    </row>
    <row r="22" spans="3:49">
      <c r="C22" s="140" t="s">
        <v>51</v>
      </c>
      <c r="D22" s="139">
        <v>100000000000</v>
      </c>
    </row>
    <row r="23" spans="3:49">
      <c r="C23" s="140" t="s">
        <v>52</v>
      </c>
      <c r="D23" s="139">
        <v>1000000000000</v>
      </c>
      <c r="E23" s="1">
        <v>1573600</v>
      </c>
    </row>
    <row r="24" spans="3:49">
      <c r="C24" s="140" t="s">
        <v>53</v>
      </c>
      <c r="D24" s="139">
        <v>10000000000000</v>
      </c>
      <c r="AV24">
        <v>43</v>
      </c>
    </row>
    <row r="25" spans="3:49" ht="17.25" thickBot="1">
      <c r="C25" s="141" t="s">
        <v>54</v>
      </c>
      <c r="D25" s="143">
        <v>100000000000000</v>
      </c>
      <c r="E25" s="78"/>
      <c r="F25" s="78"/>
      <c r="G25" s="78"/>
      <c r="H25" s="78"/>
      <c r="AV25">
        <v>68</v>
      </c>
    </row>
    <row r="26" spans="3:49">
      <c r="P26" s="2"/>
      <c r="AV26">
        <f>SUM(AV24:AV25)</f>
        <v>111</v>
      </c>
    </row>
    <row r="27" spans="3:49">
      <c r="P27" s="2"/>
    </row>
    <row r="28" spans="3:49" ht="17.25" thickBot="1">
      <c r="N28" s="2"/>
    </row>
    <row r="29" spans="3:49">
      <c r="L29" s="135" t="s">
        <v>244</v>
      </c>
      <c r="M29" s="136" t="s">
        <v>155</v>
      </c>
      <c r="N29" s="136" t="s">
        <v>246</v>
      </c>
      <c r="O29" s="136" t="s">
        <v>245</v>
      </c>
      <c r="P29" s="136"/>
      <c r="Q29" s="136" t="s">
        <v>280</v>
      </c>
      <c r="R29" s="137" t="s">
        <v>278</v>
      </c>
      <c r="V29" s="135" t="s">
        <v>255</v>
      </c>
      <c r="W29" s="136" t="s">
        <v>246</v>
      </c>
      <c r="X29" s="137" t="s">
        <v>279</v>
      </c>
    </row>
    <row r="30" spans="3:49">
      <c r="L30" s="148">
        <v>1</v>
      </c>
      <c r="M30" s="138"/>
      <c r="N30" s="12"/>
      <c r="O30" s="12"/>
      <c r="P30" s="12"/>
      <c r="Q30" s="12"/>
      <c r="R30" s="139"/>
      <c r="V30" s="140" t="s">
        <v>149</v>
      </c>
      <c r="W30" s="12"/>
      <c r="X30" s="139"/>
    </row>
    <row r="31" spans="3:49">
      <c r="L31" s="149">
        <v>2</v>
      </c>
      <c r="M31" s="146">
        <v>1055</v>
      </c>
      <c r="N31" s="146" t="s">
        <v>247</v>
      </c>
      <c r="O31" s="146" t="s">
        <v>234</v>
      </c>
      <c r="P31" s="146">
        <f>67*5</f>
        <v>335</v>
      </c>
      <c r="Q31" s="146">
        <f>950+335</f>
        <v>1285</v>
      </c>
      <c r="R31" s="152">
        <v>12.37</v>
      </c>
      <c r="V31" s="149" t="s">
        <v>254</v>
      </c>
      <c r="W31" s="146">
        <f ca="1">SUM(W31:W32)</f>
        <v>68</v>
      </c>
      <c r="X31" s="152">
        <v>11.08</v>
      </c>
    </row>
    <row r="32" spans="3:49">
      <c r="L32" s="149">
        <v>10</v>
      </c>
      <c r="M32" s="146">
        <v>855</v>
      </c>
      <c r="N32" s="146">
        <v>590</v>
      </c>
      <c r="O32" s="146">
        <v>40</v>
      </c>
      <c r="P32" s="146">
        <f>O32*5</f>
        <v>200</v>
      </c>
      <c r="Q32" s="146">
        <f>P32+N32</f>
        <v>790</v>
      </c>
      <c r="R32" s="152">
        <v>8.8699999999999992</v>
      </c>
      <c r="V32" s="149">
        <v>5</v>
      </c>
      <c r="W32" s="146">
        <v>38</v>
      </c>
      <c r="X32" s="152">
        <v>7.54</v>
      </c>
    </row>
    <row r="33" spans="12:24" ht="17.25" thickBot="1">
      <c r="L33" s="150" t="s">
        <v>256</v>
      </c>
      <c r="M33" s="147">
        <v>1216</v>
      </c>
      <c r="N33" s="147">
        <v>1800</v>
      </c>
      <c r="O33" s="147">
        <v>154</v>
      </c>
      <c r="P33" s="147">
        <f>O33*5</f>
        <v>770</v>
      </c>
      <c r="Q33" s="147">
        <f>P33+N33</f>
        <v>2570</v>
      </c>
      <c r="R33" s="151">
        <v>20</v>
      </c>
      <c r="V33" s="150">
        <v>34</v>
      </c>
      <c r="W33" s="147">
        <v>167</v>
      </c>
      <c r="X33" s="151">
        <v>20</v>
      </c>
    </row>
    <row r="39" spans="12:24">
      <c r="Q39">
        <v>10</v>
      </c>
      <c r="R39">
        <v>300</v>
      </c>
      <c r="S39">
        <f>R39/Q39</f>
        <v>30</v>
      </c>
    </row>
    <row r="40" spans="12:24">
      <c r="Q40">
        <v>72</v>
      </c>
      <c r="R40">
        <v>300</v>
      </c>
      <c r="S40">
        <f>R40/Q40</f>
        <v>4.166666666666667</v>
      </c>
    </row>
    <row r="41" spans="12:24">
      <c r="N41" t="s">
        <v>23</v>
      </c>
      <c r="O41" t="s">
        <v>22</v>
      </c>
    </row>
    <row r="42" spans="12:24">
      <c r="M42" t="s">
        <v>281</v>
      </c>
      <c r="N42" s="26">
        <v>0.4</v>
      </c>
      <c r="O42" s="26">
        <v>0.2</v>
      </c>
    </row>
    <row r="44" spans="12:24">
      <c r="M44" t="s">
        <v>282</v>
      </c>
      <c r="N44" s="26">
        <f>N$42*6</f>
        <v>2.4000000000000004</v>
      </c>
      <c r="O44" s="26">
        <f>O$42*6</f>
        <v>1.2000000000000002</v>
      </c>
    </row>
    <row r="45" spans="12:24">
      <c r="M45" t="s">
        <v>283</v>
      </c>
      <c r="N45" s="26">
        <f>N$42*6+N44</f>
        <v>4.8000000000000007</v>
      </c>
      <c r="O45" s="26">
        <f>O$42*6+O44</f>
        <v>2.4000000000000004</v>
      </c>
    </row>
    <row r="46" spans="12:24">
      <c r="M46" t="s">
        <v>284</v>
      </c>
      <c r="N46" s="26">
        <f>N$42*6+N45</f>
        <v>7.2000000000000011</v>
      </c>
      <c r="O46" s="26">
        <f>O$42*6+O45</f>
        <v>3.6000000000000005</v>
      </c>
    </row>
  </sheetData>
  <mergeCells count="7">
    <mergeCell ref="N11:T11"/>
    <mergeCell ref="N1:T1"/>
    <mergeCell ref="G19:H19"/>
    <mergeCell ref="G20:H20"/>
    <mergeCell ref="G14:H14"/>
    <mergeCell ref="G15:H15"/>
    <mergeCell ref="G13:H13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6D92-5272-4C5C-BA70-630313A0A96C}">
  <dimension ref="A1:AA437"/>
  <sheetViews>
    <sheetView workbookViewId="0">
      <selection activeCell="B45" sqref="B45:D51"/>
    </sheetView>
  </sheetViews>
  <sheetFormatPr defaultRowHeight="16.5"/>
  <cols>
    <col min="4" max="4" width="12.125" bestFit="1" customWidth="1"/>
  </cols>
  <sheetData>
    <row r="1" spans="2:27">
      <c r="C1" t="s">
        <v>148</v>
      </c>
      <c r="D1">
        <v>0.8</v>
      </c>
      <c r="G1" t="s">
        <v>149</v>
      </c>
      <c r="O1" t="s">
        <v>150</v>
      </c>
      <c r="P1" t="s">
        <v>151</v>
      </c>
      <c r="Q1" t="s">
        <v>152</v>
      </c>
      <c r="S1" t="s">
        <v>153</v>
      </c>
      <c r="X1" t="s">
        <v>154</v>
      </c>
      <c r="Y1" t="s">
        <v>155</v>
      </c>
      <c r="Z1" t="s">
        <v>156</v>
      </c>
      <c r="AA1" t="s">
        <v>157</v>
      </c>
    </row>
    <row r="2" spans="2:27">
      <c r="C2" t="s">
        <v>158</v>
      </c>
      <c r="D2">
        <v>200</v>
      </c>
      <c r="E2">
        <v>200</v>
      </c>
      <c r="G2" t="s">
        <v>149</v>
      </c>
      <c r="O2">
        <v>7000</v>
      </c>
      <c r="P2">
        <v>200</v>
      </c>
      <c r="Q2">
        <v>750000000</v>
      </c>
      <c r="S2">
        <f>(2*Q2-2*O2*P2)/(P2*P2-P2)</f>
        <v>37618.090452261305</v>
      </c>
      <c r="X2">
        <v>0</v>
      </c>
      <c r="Y2" s="12">
        <v>880</v>
      </c>
      <c r="Z2" s="12">
        <v>9.5499999999999997E+44</v>
      </c>
      <c r="AA2" s="13">
        <v>1</v>
      </c>
    </row>
    <row r="3" spans="2:27">
      <c r="C3" t="s">
        <v>159</v>
      </c>
      <c r="D3" s="14">
        <v>0</v>
      </c>
      <c r="O3">
        <v>4500</v>
      </c>
      <c r="P3">
        <v>200</v>
      </c>
      <c r="Q3">
        <v>75000000</v>
      </c>
      <c r="S3">
        <f>(2*Q3-2*O3*P3)/(P3*P3-P3)</f>
        <v>3723.6180904522612</v>
      </c>
      <c r="X3">
        <v>1</v>
      </c>
      <c r="Y3" s="15">
        <v>881</v>
      </c>
      <c r="Z3" s="15">
        <v>9.7749999999999995E+44</v>
      </c>
      <c r="AA3" s="13">
        <v>1.0235602094240837</v>
      </c>
    </row>
    <row r="4" spans="2:27">
      <c r="B4" s="16" t="s">
        <v>160</v>
      </c>
      <c r="C4" s="16" t="s">
        <v>154</v>
      </c>
      <c r="D4" s="16" t="s">
        <v>161</v>
      </c>
      <c r="E4" s="16" t="s">
        <v>162</v>
      </c>
      <c r="F4" s="17">
        <v>0.75</v>
      </c>
      <c r="G4" s="17">
        <f>1-F4</f>
        <v>0.25</v>
      </c>
      <c r="H4" s="16" t="s">
        <v>163</v>
      </c>
      <c r="I4" s="16" t="s">
        <v>164</v>
      </c>
      <c r="J4" s="16" t="s">
        <v>165</v>
      </c>
      <c r="K4" s="16" t="s">
        <v>166</v>
      </c>
      <c r="L4" s="16" t="s">
        <v>167</v>
      </c>
      <c r="M4" s="16" t="s">
        <v>168</v>
      </c>
      <c r="N4" s="16" t="s">
        <v>149</v>
      </c>
      <c r="O4" s="16" t="s">
        <v>169</v>
      </c>
      <c r="P4" s="16" t="s">
        <v>165</v>
      </c>
      <c r="Q4" s="16" t="s">
        <v>166</v>
      </c>
      <c r="S4" s="16" t="s">
        <v>154</v>
      </c>
      <c r="T4" s="16" t="s">
        <v>170</v>
      </c>
      <c r="U4" s="16" t="s">
        <v>171</v>
      </c>
      <c r="V4" s="16" t="s">
        <v>172</v>
      </c>
      <c r="X4">
        <v>2</v>
      </c>
      <c r="Y4" s="15">
        <v>882</v>
      </c>
      <c r="Z4" s="15">
        <v>1.0000000000000001E+45</v>
      </c>
      <c r="AA4" s="13">
        <v>1.0471204188481678</v>
      </c>
    </row>
    <row r="5" spans="2:27">
      <c r="C5" s="18">
        <v>1</v>
      </c>
      <c r="D5" s="18" t="e">
        <f>VLOOKUP(C5,AC$3:AK$22,2+(D$3*2),0)</f>
        <v>#N/A</v>
      </c>
      <c r="E5" s="18" t="e">
        <f>VLOOKUP(C5,AC3:AK22,3+(D$3*2),0)</f>
        <v>#N/A</v>
      </c>
      <c r="F5" s="19">
        <f t="shared" ref="F5:F23" si="0">H5*F$4*100</f>
        <v>113.87434554973821</v>
      </c>
      <c r="G5" s="20">
        <f t="shared" ref="G5:G23" si="1">H5*G$4*100</f>
        <v>37.958115183246072</v>
      </c>
      <c r="H5" s="21">
        <f t="shared" ref="H5:H23" si="2">VLOOKUP(I5,X$1:AA$452,4,FALSE)</f>
        <v>1.5183246073298429</v>
      </c>
      <c r="I5" s="18">
        <v>4</v>
      </c>
      <c r="J5" s="22" t="e">
        <f t="shared" ref="J5:J23" si="3">(F5-D5)/$D$2*$D$1</f>
        <v>#N/A</v>
      </c>
      <c r="K5" s="23" t="e">
        <f t="shared" ref="K5:K23" si="4">2*(F5-$D$2*J5)/($D$2*$D$2-$D$2)</f>
        <v>#N/A</v>
      </c>
      <c r="L5" s="24" t="e">
        <f t="shared" ref="L5:L24" si="5">(G5-E5)/$D$2*$D$1</f>
        <v>#N/A</v>
      </c>
      <c r="M5" s="23" t="e">
        <f t="shared" ref="M5:M23" si="6">2*(G5-$D$2*L5)/($D$2*$D$2-$D$2)</f>
        <v>#N/A</v>
      </c>
      <c r="O5" s="18">
        <v>100</v>
      </c>
      <c r="P5" s="20">
        <f t="shared" ref="P5:P23" si="7">O5/$D$2*$D$1</f>
        <v>0.4</v>
      </c>
      <c r="Q5" s="25">
        <f t="shared" ref="Q5:Q23" si="8">2*(O5-$D$2*P5)/($D$2*$D$2-$D$2)</f>
        <v>1.0050251256281408E-3</v>
      </c>
      <c r="R5" s="26" t="e">
        <f t="shared" ref="R5:R23" si="9">U5/U$28</f>
        <v>#N/A</v>
      </c>
      <c r="S5" s="18">
        <v>1</v>
      </c>
      <c r="T5" s="24" t="e">
        <f t="shared" ref="T5:T24" si="10">$E$2/2*(2*J5+($E$2-1)*K5)</f>
        <v>#N/A</v>
      </c>
      <c r="U5" s="24" t="e">
        <f t="shared" ref="U5:U24" si="11">$E$2/2*(2*L5+($E$2-1)*M5)</f>
        <v>#N/A</v>
      </c>
      <c r="V5" s="24" t="e">
        <f t="shared" ref="V5:V24" si="12">$E$2/2*(2*J5+($E$2-1)*K5)+$E$2/2*(2*L5+($E$2-1)*M5)</f>
        <v>#N/A</v>
      </c>
      <c r="W5" s="24" t="e">
        <f t="shared" ref="W5:W23" si="13">V5/H5/100</f>
        <v>#N/A</v>
      </c>
      <c r="X5">
        <v>3</v>
      </c>
      <c r="Y5" s="15">
        <v>883</v>
      </c>
      <c r="Z5" s="15">
        <v>1.225E+45</v>
      </c>
      <c r="AA5" s="13">
        <v>1.2827225130890054</v>
      </c>
    </row>
    <row r="6" spans="2:27">
      <c r="C6" s="18">
        <v>2</v>
      </c>
      <c r="D6" s="18" t="e">
        <f>VLOOKUP(C6,AC$3:AK$22,2+(D$3*2),0)</f>
        <v>#N/A</v>
      </c>
      <c r="E6" s="18" t="e">
        <f t="shared" ref="E6:E7" si="14">VLOOKUP(C6,AC4:AK23,3+(D$3*2),0)</f>
        <v>#N/A</v>
      </c>
      <c r="F6" s="19">
        <f t="shared" si="0"/>
        <v>131.54450261780107</v>
      </c>
      <c r="G6" s="20">
        <f t="shared" si="1"/>
        <v>43.848167539267017</v>
      </c>
      <c r="H6" s="21">
        <f t="shared" si="2"/>
        <v>1.7539267015706808</v>
      </c>
      <c r="I6" s="18">
        <v>5</v>
      </c>
      <c r="J6" s="22" t="e">
        <f t="shared" si="3"/>
        <v>#N/A</v>
      </c>
      <c r="K6" s="23" t="e">
        <f t="shared" si="4"/>
        <v>#N/A</v>
      </c>
      <c r="L6" s="24" t="e">
        <f t="shared" si="5"/>
        <v>#N/A</v>
      </c>
      <c r="M6" s="23" t="e">
        <f t="shared" si="6"/>
        <v>#N/A</v>
      </c>
      <c r="O6" s="18">
        <v>100</v>
      </c>
      <c r="P6" s="20">
        <f t="shared" si="7"/>
        <v>0.4</v>
      </c>
      <c r="Q6" s="25">
        <f t="shared" si="8"/>
        <v>1.0050251256281408E-3</v>
      </c>
      <c r="R6" s="26" t="e">
        <f t="shared" si="9"/>
        <v>#N/A</v>
      </c>
      <c r="S6" s="18">
        <v>2</v>
      </c>
      <c r="T6" s="24" t="e">
        <f t="shared" si="10"/>
        <v>#N/A</v>
      </c>
      <c r="U6" s="24" t="e">
        <f t="shared" si="11"/>
        <v>#N/A</v>
      </c>
      <c r="V6" s="24" t="e">
        <f t="shared" si="12"/>
        <v>#N/A</v>
      </c>
      <c r="W6" s="24" t="e">
        <f t="shared" si="13"/>
        <v>#N/A</v>
      </c>
      <c r="X6">
        <v>4</v>
      </c>
      <c r="Y6" s="15">
        <v>884</v>
      </c>
      <c r="Z6" s="15">
        <v>1.4499999999999999E+45</v>
      </c>
      <c r="AA6" s="13">
        <v>1.5183246073298429</v>
      </c>
    </row>
    <row r="7" spans="2:27">
      <c r="C7" s="18">
        <v>3</v>
      </c>
      <c r="D7" s="18" t="e">
        <f t="shared" ref="D7:D24" si="15">VLOOKUP(C7,AC$3:AK$22,2+(D$3*2),0)</f>
        <v>#N/A</v>
      </c>
      <c r="E7" s="18" t="e">
        <f t="shared" si="14"/>
        <v>#N/A</v>
      </c>
      <c r="F7" s="19">
        <f t="shared" si="0"/>
        <v>149.21465968586392</v>
      </c>
      <c r="G7" s="20">
        <f t="shared" si="1"/>
        <v>49.738219895287969</v>
      </c>
      <c r="H7" s="21">
        <f t="shared" si="2"/>
        <v>1.9895287958115189</v>
      </c>
      <c r="I7" s="18">
        <v>6</v>
      </c>
      <c r="J7" s="22" t="e">
        <f t="shared" si="3"/>
        <v>#N/A</v>
      </c>
      <c r="K7" s="23" t="e">
        <f t="shared" si="4"/>
        <v>#N/A</v>
      </c>
      <c r="L7" s="24" t="e">
        <f t="shared" si="5"/>
        <v>#N/A</v>
      </c>
      <c r="M7" s="23" t="e">
        <f t="shared" si="6"/>
        <v>#N/A</v>
      </c>
      <c r="O7" s="18">
        <v>100</v>
      </c>
      <c r="P7" s="20">
        <f t="shared" si="7"/>
        <v>0.4</v>
      </c>
      <c r="Q7" s="25">
        <f t="shared" si="8"/>
        <v>1.0050251256281408E-3</v>
      </c>
      <c r="R7" s="26" t="e">
        <f t="shared" si="9"/>
        <v>#N/A</v>
      </c>
      <c r="S7" s="18">
        <v>3</v>
      </c>
      <c r="T7" s="24" t="e">
        <f t="shared" si="10"/>
        <v>#N/A</v>
      </c>
      <c r="U7" s="24" t="e">
        <f t="shared" si="11"/>
        <v>#N/A</v>
      </c>
      <c r="V7" s="24" t="e">
        <f t="shared" si="12"/>
        <v>#N/A</v>
      </c>
      <c r="W7" s="24" t="e">
        <f t="shared" si="13"/>
        <v>#N/A</v>
      </c>
      <c r="X7">
        <v>5</v>
      </c>
      <c r="Y7" s="15">
        <v>885</v>
      </c>
      <c r="Z7" s="15">
        <v>1.675E+45</v>
      </c>
      <c r="AA7" s="13">
        <v>1.7539267015706808</v>
      </c>
    </row>
    <row r="8" spans="2:27">
      <c r="C8" s="18">
        <v>4</v>
      </c>
      <c r="D8" s="18" t="e">
        <f t="shared" si="15"/>
        <v>#N/A</v>
      </c>
      <c r="E8" s="18" t="e">
        <f t="shared" ref="E8:E24" si="16">VLOOKUP(C8,AC6:AK24,3+(D$3*2),0)</f>
        <v>#N/A</v>
      </c>
      <c r="F8" s="19">
        <f t="shared" si="0"/>
        <v>166.88481675392671</v>
      </c>
      <c r="G8" s="20">
        <f t="shared" si="1"/>
        <v>55.6282722513089</v>
      </c>
      <c r="H8" s="21">
        <f t="shared" si="2"/>
        <v>2.2251308900523559</v>
      </c>
      <c r="I8" s="18">
        <v>7</v>
      </c>
      <c r="J8" s="22" t="e">
        <f t="shared" si="3"/>
        <v>#N/A</v>
      </c>
      <c r="K8" s="23" t="e">
        <f t="shared" si="4"/>
        <v>#N/A</v>
      </c>
      <c r="L8" s="24" t="e">
        <f t="shared" si="5"/>
        <v>#N/A</v>
      </c>
      <c r="M8" s="23" t="e">
        <f t="shared" si="6"/>
        <v>#N/A</v>
      </c>
      <c r="N8" s="16" t="s">
        <v>149</v>
      </c>
      <c r="O8" s="18">
        <v>100</v>
      </c>
      <c r="P8" s="20">
        <f t="shared" si="7"/>
        <v>0.4</v>
      </c>
      <c r="Q8" s="25">
        <f t="shared" si="8"/>
        <v>1.0050251256281408E-3</v>
      </c>
      <c r="R8" s="26" t="e">
        <f t="shared" si="9"/>
        <v>#N/A</v>
      </c>
      <c r="S8" s="18">
        <v>4</v>
      </c>
      <c r="T8" s="24" t="e">
        <f t="shared" si="10"/>
        <v>#N/A</v>
      </c>
      <c r="U8" s="24" t="e">
        <f t="shared" si="11"/>
        <v>#N/A</v>
      </c>
      <c r="V8" s="24" t="e">
        <f t="shared" si="12"/>
        <v>#N/A</v>
      </c>
      <c r="W8" s="24" t="e">
        <f t="shared" si="13"/>
        <v>#N/A</v>
      </c>
      <c r="X8">
        <v>6</v>
      </c>
      <c r="Y8" s="15">
        <v>886</v>
      </c>
      <c r="Z8" s="15">
        <v>1.9000000000000004E+45</v>
      </c>
      <c r="AA8" s="13">
        <v>1.9895287958115189</v>
      </c>
    </row>
    <row r="9" spans="2:27">
      <c r="C9" s="27">
        <v>5</v>
      </c>
      <c r="D9" s="27" t="e">
        <f t="shared" si="15"/>
        <v>#N/A</v>
      </c>
      <c r="E9" s="27" t="e">
        <f t="shared" si="16"/>
        <v>#N/A</v>
      </c>
      <c r="F9" s="28">
        <f t="shared" si="0"/>
        <v>184.55497382198956</v>
      </c>
      <c r="G9" s="29">
        <f t="shared" si="1"/>
        <v>61.518324607329852</v>
      </c>
      <c r="H9" s="21">
        <f t="shared" si="2"/>
        <v>2.4607329842931942</v>
      </c>
      <c r="I9" s="30">
        <v>8</v>
      </c>
      <c r="J9" s="31" t="e">
        <f t="shared" si="3"/>
        <v>#N/A</v>
      </c>
      <c r="K9" s="32" t="e">
        <f t="shared" si="4"/>
        <v>#N/A</v>
      </c>
      <c r="L9" s="33" t="e">
        <f t="shared" si="5"/>
        <v>#N/A</v>
      </c>
      <c r="M9" s="32" t="e">
        <f t="shared" si="6"/>
        <v>#N/A</v>
      </c>
      <c r="O9" s="27">
        <v>100</v>
      </c>
      <c r="P9" s="29">
        <f t="shared" si="7"/>
        <v>0.4</v>
      </c>
      <c r="Q9" s="25">
        <f t="shared" si="8"/>
        <v>1.0050251256281408E-3</v>
      </c>
      <c r="R9" s="26" t="e">
        <f t="shared" si="9"/>
        <v>#N/A</v>
      </c>
      <c r="S9" s="27">
        <v>5</v>
      </c>
      <c r="T9" s="33" t="e">
        <f t="shared" si="10"/>
        <v>#N/A</v>
      </c>
      <c r="U9" s="33" t="e">
        <f t="shared" si="11"/>
        <v>#N/A</v>
      </c>
      <c r="V9" s="33" t="e">
        <f t="shared" si="12"/>
        <v>#N/A</v>
      </c>
      <c r="W9" s="33" t="e">
        <f t="shared" si="13"/>
        <v>#N/A</v>
      </c>
      <c r="X9">
        <v>7</v>
      </c>
      <c r="Y9" s="15">
        <v>887</v>
      </c>
      <c r="Z9" s="15">
        <v>2.1249999999999999E+45</v>
      </c>
      <c r="AA9" s="13">
        <v>2.2251308900523559</v>
      </c>
    </row>
    <row r="10" spans="2:27">
      <c r="C10" s="27">
        <v>6</v>
      </c>
      <c r="D10" s="27" t="e">
        <f t="shared" si="15"/>
        <v>#N/A</v>
      </c>
      <c r="E10" s="27" t="e">
        <f t="shared" si="16"/>
        <v>#N/A</v>
      </c>
      <c r="F10" s="28">
        <f t="shared" si="0"/>
        <v>202.22513089005236</v>
      </c>
      <c r="G10" s="29">
        <f t="shared" si="1"/>
        <v>67.408376963350776</v>
      </c>
      <c r="H10" s="21">
        <f t="shared" si="2"/>
        <v>2.6963350785340312</v>
      </c>
      <c r="I10" s="30">
        <v>9</v>
      </c>
      <c r="J10" s="31" t="e">
        <f t="shared" si="3"/>
        <v>#N/A</v>
      </c>
      <c r="K10" s="32" t="e">
        <f t="shared" si="4"/>
        <v>#N/A</v>
      </c>
      <c r="L10" s="33" t="e">
        <f t="shared" si="5"/>
        <v>#N/A</v>
      </c>
      <c r="M10" s="32" t="e">
        <f t="shared" si="6"/>
        <v>#N/A</v>
      </c>
      <c r="O10" s="27">
        <v>100</v>
      </c>
      <c r="P10" s="29">
        <f t="shared" si="7"/>
        <v>0.4</v>
      </c>
      <c r="Q10" s="25">
        <f t="shared" si="8"/>
        <v>1.0050251256281408E-3</v>
      </c>
      <c r="R10" s="26" t="e">
        <f t="shared" si="9"/>
        <v>#N/A</v>
      </c>
      <c r="S10" s="27">
        <v>6</v>
      </c>
      <c r="T10" s="33" t="e">
        <f t="shared" si="10"/>
        <v>#N/A</v>
      </c>
      <c r="U10" s="33" t="e">
        <f t="shared" si="11"/>
        <v>#N/A</v>
      </c>
      <c r="V10" s="33" t="e">
        <f t="shared" si="12"/>
        <v>#N/A</v>
      </c>
      <c r="W10" s="33" t="e">
        <f t="shared" si="13"/>
        <v>#N/A</v>
      </c>
      <c r="X10">
        <v>8</v>
      </c>
      <c r="Y10" s="15">
        <v>888</v>
      </c>
      <c r="Z10" s="15">
        <v>2.3500000000000003E+45</v>
      </c>
      <c r="AA10" s="13">
        <v>2.4607329842931942</v>
      </c>
    </row>
    <row r="11" spans="2:27">
      <c r="C11" s="27">
        <v>7</v>
      </c>
      <c r="D11" s="27" t="e">
        <f t="shared" si="15"/>
        <v>#N/A</v>
      </c>
      <c r="E11" s="27" t="e">
        <f t="shared" si="16"/>
        <v>#N/A</v>
      </c>
      <c r="F11" s="28">
        <f t="shared" si="0"/>
        <v>219.8952879581152</v>
      </c>
      <c r="G11" s="29">
        <f t="shared" si="1"/>
        <v>73.298429319371735</v>
      </c>
      <c r="H11" s="21">
        <f t="shared" si="2"/>
        <v>2.9319371727748695</v>
      </c>
      <c r="I11" s="30">
        <v>10</v>
      </c>
      <c r="J11" s="31" t="e">
        <f t="shared" si="3"/>
        <v>#N/A</v>
      </c>
      <c r="K11" s="32" t="e">
        <f t="shared" si="4"/>
        <v>#N/A</v>
      </c>
      <c r="L11" s="33" t="e">
        <f t="shared" si="5"/>
        <v>#N/A</v>
      </c>
      <c r="M11" s="32" t="e">
        <f t="shared" si="6"/>
        <v>#N/A</v>
      </c>
      <c r="O11" s="27">
        <v>100</v>
      </c>
      <c r="P11" s="29">
        <f t="shared" si="7"/>
        <v>0.4</v>
      </c>
      <c r="Q11" s="25">
        <f t="shared" si="8"/>
        <v>1.0050251256281408E-3</v>
      </c>
      <c r="R11" s="26" t="e">
        <f t="shared" si="9"/>
        <v>#N/A</v>
      </c>
      <c r="S11" s="27">
        <v>7</v>
      </c>
      <c r="T11" s="33" t="e">
        <f t="shared" si="10"/>
        <v>#N/A</v>
      </c>
      <c r="U11" s="33" t="e">
        <f t="shared" si="11"/>
        <v>#N/A</v>
      </c>
      <c r="V11" s="33" t="e">
        <f t="shared" si="12"/>
        <v>#N/A</v>
      </c>
      <c r="W11" s="33" t="e">
        <f t="shared" si="13"/>
        <v>#N/A</v>
      </c>
      <c r="X11">
        <v>9</v>
      </c>
      <c r="Y11" s="15">
        <v>889</v>
      </c>
      <c r="Z11" s="15">
        <v>2.5749999999999998E+45</v>
      </c>
      <c r="AA11" s="13">
        <v>2.6963350785340312</v>
      </c>
    </row>
    <row r="12" spans="2:27">
      <c r="C12" s="27">
        <v>8</v>
      </c>
      <c r="D12" s="27" t="e">
        <f t="shared" si="15"/>
        <v>#N/A</v>
      </c>
      <c r="E12" s="27" t="e">
        <f t="shared" si="16"/>
        <v>#N/A</v>
      </c>
      <c r="F12" s="28">
        <f t="shared" si="0"/>
        <v>237.56544502617805</v>
      </c>
      <c r="G12" s="29">
        <f t="shared" si="1"/>
        <v>79.18848167539268</v>
      </c>
      <c r="H12" s="21">
        <f t="shared" si="2"/>
        <v>3.1675392670157074</v>
      </c>
      <c r="I12" s="30">
        <v>11</v>
      </c>
      <c r="J12" s="31" t="e">
        <f t="shared" si="3"/>
        <v>#N/A</v>
      </c>
      <c r="K12" s="32" t="e">
        <f t="shared" si="4"/>
        <v>#N/A</v>
      </c>
      <c r="L12" s="33" t="e">
        <f t="shared" si="5"/>
        <v>#N/A</v>
      </c>
      <c r="M12" s="32" t="e">
        <f t="shared" si="6"/>
        <v>#N/A</v>
      </c>
      <c r="N12" s="16" t="s">
        <v>149</v>
      </c>
      <c r="O12" s="27">
        <v>100</v>
      </c>
      <c r="P12" s="29">
        <f t="shared" si="7"/>
        <v>0.4</v>
      </c>
      <c r="Q12" s="25">
        <f t="shared" si="8"/>
        <v>1.0050251256281408E-3</v>
      </c>
      <c r="R12" s="26" t="e">
        <f t="shared" si="9"/>
        <v>#N/A</v>
      </c>
      <c r="S12" s="27">
        <v>8</v>
      </c>
      <c r="T12" s="33" t="e">
        <f t="shared" si="10"/>
        <v>#N/A</v>
      </c>
      <c r="U12" s="33" t="e">
        <f t="shared" si="11"/>
        <v>#N/A</v>
      </c>
      <c r="V12" s="33" t="e">
        <f t="shared" si="12"/>
        <v>#N/A</v>
      </c>
      <c r="W12" s="33" t="e">
        <f t="shared" si="13"/>
        <v>#N/A</v>
      </c>
      <c r="X12">
        <v>10</v>
      </c>
      <c r="Y12" s="15">
        <v>890</v>
      </c>
      <c r="Z12" s="15">
        <v>2.8000000000000002E+45</v>
      </c>
      <c r="AA12" s="13">
        <v>2.9319371727748695</v>
      </c>
    </row>
    <row r="13" spans="2:27">
      <c r="C13" s="34">
        <v>9</v>
      </c>
      <c r="D13" s="34" t="e">
        <f t="shared" si="15"/>
        <v>#N/A</v>
      </c>
      <c r="E13" s="34" t="e">
        <f t="shared" si="16"/>
        <v>#N/A</v>
      </c>
      <c r="F13" s="35">
        <f t="shared" si="0"/>
        <v>255.23560209424079</v>
      </c>
      <c r="G13" s="36">
        <f t="shared" si="1"/>
        <v>85.078534031413596</v>
      </c>
      <c r="H13" s="21">
        <f t="shared" si="2"/>
        <v>3.403141361256544</v>
      </c>
      <c r="I13" s="34">
        <v>12</v>
      </c>
      <c r="J13" s="37" t="e">
        <f t="shared" si="3"/>
        <v>#N/A</v>
      </c>
      <c r="K13" s="38" t="e">
        <f t="shared" si="4"/>
        <v>#N/A</v>
      </c>
      <c r="L13" s="39" t="e">
        <f t="shared" si="5"/>
        <v>#N/A</v>
      </c>
      <c r="M13" s="38" t="e">
        <f t="shared" si="6"/>
        <v>#N/A</v>
      </c>
      <c r="O13" s="34">
        <v>100</v>
      </c>
      <c r="P13" s="36">
        <f t="shared" si="7"/>
        <v>0.4</v>
      </c>
      <c r="Q13" s="25">
        <f t="shared" si="8"/>
        <v>1.0050251256281408E-3</v>
      </c>
      <c r="R13" s="26" t="e">
        <f t="shared" si="9"/>
        <v>#N/A</v>
      </c>
      <c r="S13" s="34">
        <v>9</v>
      </c>
      <c r="T13" s="39" t="e">
        <f t="shared" si="10"/>
        <v>#N/A</v>
      </c>
      <c r="U13" s="39" t="e">
        <f t="shared" si="11"/>
        <v>#N/A</v>
      </c>
      <c r="V13" s="39" t="e">
        <f t="shared" si="12"/>
        <v>#N/A</v>
      </c>
      <c r="W13" s="39" t="e">
        <f t="shared" si="13"/>
        <v>#N/A</v>
      </c>
      <c r="X13">
        <v>11</v>
      </c>
      <c r="Y13" s="15">
        <v>891</v>
      </c>
      <c r="Z13" s="15">
        <v>3.0250000000000004E+45</v>
      </c>
      <c r="AA13" s="13">
        <v>3.1675392670157074</v>
      </c>
    </row>
    <row r="14" spans="2:27">
      <c r="C14" s="34">
        <v>10</v>
      </c>
      <c r="D14" s="34" t="e">
        <f t="shared" si="15"/>
        <v>#N/A</v>
      </c>
      <c r="E14" s="34" t="e">
        <f t="shared" si="16"/>
        <v>#N/A</v>
      </c>
      <c r="F14" s="35">
        <f t="shared" si="0"/>
        <v>272.9057591623037</v>
      </c>
      <c r="G14" s="36">
        <f t="shared" si="1"/>
        <v>90.968586387434556</v>
      </c>
      <c r="H14" s="21">
        <f t="shared" si="2"/>
        <v>3.6387434554973823</v>
      </c>
      <c r="I14" s="34">
        <v>13</v>
      </c>
      <c r="J14" s="37" t="e">
        <f t="shared" si="3"/>
        <v>#N/A</v>
      </c>
      <c r="K14" s="38" t="e">
        <f t="shared" si="4"/>
        <v>#N/A</v>
      </c>
      <c r="L14" s="39" t="e">
        <f t="shared" si="5"/>
        <v>#N/A</v>
      </c>
      <c r="M14" s="38" t="e">
        <f t="shared" si="6"/>
        <v>#N/A</v>
      </c>
      <c r="O14" s="34">
        <v>100</v>
      </c>
      <c r="P14" s="36">
        <f t="shared" si="7"/>
        <v>0.4</v>
      </c>
      <c r="Q14" s="25">
        <f t="shared" si="8"/>
        <v>1.0050251256281408E-3</v>
      </c>
      <c r="R14" s="26" t="e">
        <f t="shared" si="9"/>
        <v>#N/A</v>
      </c>
      <c r="S14" s="34">
        <v>10</v>
      </c>
      <c r="T14" s="39" t="e">
        <f t="shared" si="10"/>
        <v>#N/A</v>
      </c>
      <c r="U14" s="39" t="e">
        <f t="shared" si="11"/>
        <v>#N/A</v>
      </c>
      <c r="V14" s="39" t="e">
        <f t="shared" si="12"/>
        <v>#N/A</v>
      </c>
      <c r="W14" s="39" t="e">
        <f t="shared" si="13"/>
        <v>#N/A</v>
      </c>
      <c r="X14">
        <v>12</v>
      </c>
      <c r="Y14" s="15">
        <v>892</v>
      </c>
      <c r="Z14" s="15">
        <v>3.2499999999999995E+45</v>
      </c>
      <c r="AA14" s="13">
        <v>3.403141361256544</v>
      </c>
    </row>
    <row r="15" spans="2:27">
      <c r="C15" s="34">
        <v>11</v>
      </c>
      <c r="D15" s="34" t="e">
        <f t="shared" si="15"/>
        <v>#N/A</v>
      </c>
      <c r="E15" s="34" t="e">
        <f t="shared" si="16"/>
        <v>#N/A</v>
      </c>
      <c r="F15" s="35">
        <f t="shared" si="0"/>
        <v>290.57591623036649</v>
      </c>
      <c r="G15" s="36">
        <f t="shared" si="1"/>
        <v>96.858638743455501</v>
      </c>
      <c r="H15" s="21">
        <f t="shared" si="2"/>
        <v>3.8743455497382198</v>
      </c>
      <c r="I15" s="34">
        <v>14</v>
      </c>
      <c r="J15" s="37" t="e">
        <f t="shared" si="3"/>
        <v>#N/A</v>
      </c>
      <c r="K15" s="38" t="e">
        <f t="shared" si="4"/>
        <v>#N/A</v>
      </c>
      <c r="L15" s="39" t="e">
        <f t="shared" si="5"/>
        <v>#N/A</v>
      </c>
      <c r="M15" s="38" t="e">
        <f t="shared" si="6"/>
        <v>#N/A</v>
      </c>
      <c r="O15" s="34">
        <v>100</v>
      </c>
      <c r="P15" s="36">
        <f t="shared" si="7"/>
        <v>0.4</v>
      </c>
      <c r="Q15" s="25">
        <f t="shared" si="8"/>
        <v>1.0050251256281408E-3</v>
      </c>
      <c r="R15" s="26" t="e">
        <f t="shared" si="9"/>
        <v>#N/A</v>
      </c>
      <c r="S15" s="34">
        <v>11</v>
      </c>
      <c r="T15" s="39" t="e">
        <f t="shared" si="10"/>
        <v>#N/A</v>
      </c>
      <c r="U15" s="39" t="e">
        <f t="shared" si="11"/>
        <v>#N/A</v>
      </c>
      <c r="V15" s="39" t="e">
        <f t="shared" si="12"/>
        <v>#N/A</v>
      </c>
      <c r="W15" s="39" t="e">
        <f t="shared" si="13"/>
        <v>#N/A</v>
      </c>
      <c r="X15">
        <v>13</v>
      </c>
      <c r="Y15" s="15">
        <v>893</v>
      </c>
      <c r="Z15" s="15">
        <v>3.475E+45</v>
      </c>
      <c r="AA15" s="13">
        <v>3.6387434554973823</v>
      </c>
    </row>
    <row r="16" spans="2:27">
      <c r="C16" s="34">
        <v>12</v>
      </c>
      <c r="D16" s="34" t="e">
        <f t="shared" si="15"/>
        <v>#N/A</v>
      </c>
      <c r="E16" s="34" t="e">
        <f t="shared" si="16"/>
        <v>#N/A</v>
      </c>
      <c r="F16" s="35">
        <f t="shared" si="0"/>
        <v>308.24607329842928</v>
      </c>
      <c r="G16" s="36">
        <f t="shared" si="1"/>
        <v>102.74869109947645</v>
      </c>
      <c r="H16" s="21">
        <f t="shared" si="2"/>
        <v>4.1099476439790577</v>
      </c>
      <c r="I16" s="34">
        <v>15</v>
      </c>
      <c r="J16" s="37" t="e">
        <f t="shared" si="3"/>
        <v>#N/A</v>
      </c>
      <c r="K16" s="38" t="e">
        <f t="shared" si="4"/>
        <v>#N/A</v>
      </c>
      <c r="L16" s="39" t="e">
        <f t="shared" si="5"/>
        <v>#N/A</v>
      </c>
      <c r="M16" s="38" t="e">
        <f t="shared" si="6"/>
        <v>#N/A</v>
      </c>
      <c r="N16" s="16" t="s">
        <v>149</v>
      </c>
      <c r="O16" s="34">
        <v>100</v>
      </c>
      <c r="P16" s="36">
        <f t="shared" si="7"/>
        <v>0.4</v>
      </c>
      <c r="Q16" s="25">
        <f t="shared" si="8"/>
        <v>1.0050251256281408E-3</v>
      </c>
      <c r="R16" s="26" t="e">
        <f t="shared" si="9"/>
        <v>#N/A</v>
      </c>
      <c r="S16" s="34">
        <v>12</v>
      </c>
      <c r="T16" s="39" t="e">
        <f t="shared" si="10"/>
        <v>#N/A</v>
      </c>
      <c r="U16" s="39" t="e">
        <f t="shared" si="11"/>
        <v>#N/A</v>
      </c>
      <c r="V16" s="39" t="e">
        <f t="shared" si="12"/>
        <v>#N/A</v>
      </c>
      <c r="W16" s="39" t="e">
        <f t="shared" si="13"/>
        <v>#N/A</v>
      </c>
      <c r="X16">
        <v>14</v>
      </c>
      <c r="Y16" s="15">
        <v>894</v>
      </c>
      <c r="Z16" s="15">
        <v>3.6999999999999998E+45</v>
      </c>
      <c r="AA16" s="13">
        <v>3.8743455497382198</v>
      </c>
    </row>
    <row r="17" spans="2:27">
      <c r="C17" s="40">
        <v>13</v>
      </c>
      <c r="D17" s="40" t="e">
        <f t="shared" si="15"/>
        <v>#N/A</v>
      </c>
      <c r="E17" s="40" t="e">
        <f t="shared" si="16"/>
        <v>#N/A</v>
      </c>
      <c r="F17" s="41">
        <f t="shared" si="0"/>
        <v>750</v>
      </c>
      <c r="G17" s="42">
        <f t="shared" si="1"/>
        <v>250</v>
      </c>
      <c r="H17" s="21">
        <f t="shared" si="2"/>
        <v>10</v>
      </c>
      <c r="I17" s="40">
        <v>40</v>
      </c>
      <c r="J17" s="43" t="e">
        <f t="shared" si="3"/>
        <v>#N/A</v>
      </c>
      <c r="K17" s="44" t="e">
        <f t="shared" si="4"/>
        <v>#N/A</v>
      </c>
      <c r="L17" s="45" t="e">
        <f t="shared" si="5"/>
        <v>#N/A</v>
      </c>
      <c r="M17" s="44" t="e">
        <f t="shared" si="6"/>
        <v>#N/A</v>
      </c>
      <c r="N17" s="16" t="s">
        <v>149</v>
      </c>
      <c r="O17" s="40">
        <v>100</v>
      </c>
      <c r="P17" s="42">
        <f t="shared" si="7"/>
        <v>0.4</v>
      </c>
      <c r="Q17" s="25">
        <f t="shared" si="8"/>
        <v>1.0050251256281408E-3</v>
      </c>
      <c r="R17" s="26" t="e">
        <f t="shared" si="9"/>
        <v>#N/A</v>
      </c>
      <c r="S17" s="40">
        <v>13</v>
      </c>
      <c r="T17" s="45" t="e">
        <f t="shared" si="10"/>
        <v>#N/A</v>
      </c>
      <c r="U17" s="45" t="e">
        <f t="shared" si="11"/>
        <v>#N/A</v>
      </c>
      <c r="V17" s="45" t="e">
        <f t="shared" si="12"/>
        <v>#N/A</v>
      </c>
      <c r="W17" s="45" t="e">
        <f t="shared" si="13"/>
        <v>#N/A</v>
      </c>
      <c r="X17">
        <v>15</v>
      </c>
      <c r="Y17" s="15">
        <v>895</v>
      </c>
      <c r="Z17" s="15">
        <v>3.9250000000000002E+45</v>
      </c>
      <c r="AA17" s="13">
        <v>4.1099476439790577</v>
      </c>
    </row>
    <row r="18" spans="2:27">
      <c r="B18">
        <v>2</v>
      </c>
      <c r="C18" s="40">
        <v>14</v>
      </c>
      <c r="D18" s="40" t="e">
        <f t="shared" si="15"/>
        <v>#N/A</v>
      </c>
      <c r="E18" s="40" t="e">
        <f t="shared" si="16"/>
        <v>#N/A</v>
      </c>
      <c r="F18" s="41">
        <f t="shared" si="0"/>
        <v>2198.9528795811525</v>
      </c>
      <c r="G18" s="42">
        <f t="shared" si="1"/>
        <v>732.98429319371735</v>
      </c>
      <c r="H18" s="21">
        <f t="shared" si="2"/>
        <v>29.319371727748695</v>
      </c>
      <c r="I18" s="40">
        <v>50</v>
      </c>
      <c r="J18" s="43" t="e">
        <f>(F18-D18)/$D$2*$D$1</f>
        <v>#N/A</v>
      </c>
      <c r="K18" s="44" t="e">
        <f t="shared" si="4"/>
        <v>#N/A</v>
      </c>
      <c r="L18" s="45" t="e">
        <f t="shared" si="5"/>
        <v>#N/A</v>
      </c>
      <c r="M18" s="44" t="e">
        <f t="shared" si="6"/>
        <v>#N/A</v>
      </c>
      <c r="O18" s="40">
        <v>100</v>
      </c>
      <c r="P18" s="42">
        <f t="shared" si="7"/>
        <v>0.4</v>
      </c>
      <c r="Q18" s="25">
        <f t="shared" si="8"/>
        <v>1.0050251256281408E-3</v>
      </c>
      <c r="R18" s="26" t="e">
        <f t="shared" si="9"/>
        <v>#N/A</v>
      </c>
      <c r="S18" s="40">
        <v>14</v>
      </c>
      <c r="T18" s="45" t="e">
        <f t="shared" si="10"/>
        <v>#N/A</v>
      </c>
      <c r="U18" s="45" t="e">
        <f t="shared" si="11"/>
        <v>#N/A</v>
      </c>
      <c r="V18" s="45" t="e">
        <f t="shared" si="12"/>
        <v>#N/A</v>
      </c>
      <c r="W18" s="45" t="e">
        <f t="shared" si="13"/>
        <v>#N/A</v>
      </c>
      <c r="X18">
        <v>16</v>
      </c>
      <c r="Y18" s="15">
        <v>896</v>
      </c>
      <c r="Z18" s="15">
        <v>4.1500000000000006E+45</v>
      </c>
      <c r="AA18" s="13">
        <v>4.345549738219896</v>
      </c>
    </row>
    <row r="19" spans="2:27">
      <c r="B19">
        <v>10</v>
      </c>
      <c r="C19" s="40">
        <v>15</v>
      </c>
      <c r="D19" s="40" t="e">
        <f t="shared" si="15"/>
        <v>#N/A</v>
      </c>
      <c r="E19" s="40" t="e">
        <f t="shared" si="16"/>
        <v>#N/A</v>
      </c>
      <c r="F19" s="41">
        <f t="shared" si="0"/>
        <v>3965.9685863874342</v>
      </c>
      <c r="G19" s="42">
        <f t="shared" si="1"/>
        <v>1321.9895287958116</v>
      </c>
      <c r="H19" s="21">
        <f t="shared" si="2"/>
        <v>52.879581151832461</v>
      </c>
      <c r="I19" s="40">
        <v>60</v>
      </c>
      <c r="J19" s="43" t="e">
        <f t="shared" si="3"/>
        <v>#N/A</v>
      </c>
      <c r="K19" s="44" t="e">
        <f t="shared" si="4"/>
        <v>#N/A</v>
      </c>
      <c r="L19" s="45" t="e">
        <f t="shared" si="5"/>
        <v>#N/A</v>
      </c>
      <c r="M19" s="44" t="e">
        <f t="shared" si="6"/>
        <v>#N/A</v>
      </c>
      <c r="O19" s="40">
        <v>100</v>
      </c>
      <c r="P19" s="42">
        <f t="shared" si="7"/>
        <v>0.4</v>
      </c>
      <c r="Q19" s="25">
        <f t="shared" si="8"/>
        <v>1.0050251256281408E-3</v>
      </c>
      <c r="R19" s="26" t="e">
        <f t="shared" si="9"/>
        <v>#N/A</v>
      </c>
      <c r="S19" s="40">
        <v>15</v>
      </c>
      <c r="T19" s="45" t="e">
        <f t="shared" si="10"/>
        <v>#N/A</v>
      </c>
      <c r="U19" s="45" t="e">
        <f t="shared" si="11"/>
        <v>#N/A</v>
      </c>
      <c r="V19" s="45" t="e">
        <f t="shared" si="12"/>
        <v>#N/A</v>
      </c>
      <c r="W19" s="45" t="e">
        <f t="shared" si="13"/>
        <v>#N/A</v>
      </c>
      <c r="X19">
        <v>17</v>
      </c>
      <c r="Y19" s="15">
        <v>897</v>
      </c>
      <c r="Z19" s="15">
        <v>4.3749999999999998E+45</v>
      </c>
      <c r="AA19" s="13">
        <v>4.5811518324607325</v>
      </c>
    </row>
    <row r="20" spans="2:27">
      <c r="C20" s="40">
        <v>16</v>
      </c>
      <c r="D20" s="40" t="e">
        <f t="shared" si="15"/>
        <v>#N/A</v>
      </c>
      <c r="E20" s="40" t="e">
        <f t="shared" si="16"/>
        <v>#N/A</v>
      </c>
      <c r="F20" s="41">
        <f t="shared" si="0"/>
        <v>7500</v>
      </c>
      <c r="G20" s="42">
        <f t="shared" si="1"/>
        <v>2500</v>
      </c>
      <c r="H20" s="21">
        <f t="shared" si="2"/>
        <v>100</v>
      </c>
      <c r="I20" s="40">
        <v>80</v>
      </c>
      <c r="J20" s="43" t="e">
        <f t="shared" si="3"/>
        <v>#N/A</v>
      </c>
      <c r="K20" s="44" t="e">
        <f t="shared" si="4"/>
        <v>#N/A</v>
      </c>
      <c r="L20" s="45" t="e">
        <f t="shared" si="5"/>
        <v>#N/A</v>
      </c>
      <c r="M20" s="44" t="e">
        <f t="shared" si="6"/>
        <v>#N/A</v>
      </c>
      <c r="O20" s="40">
        <v>100</v>
      </c>
      <c r="P20" s="42">
        <f t="shared" si="7"/>
        <v>0.4</v>
      </c>
      <c r="Q20" s="25">
        <f t="shared" si="8"/>
        <v>1.0050251256281408E-3</v>
      </c>
      <c r="R20" s="26" t="e">
        <f t="shared" si="9"/>
        <v>#N/A</v>
      </c>
      <c r="S20" s="40">
        <v>16</v>
      </c>
      <c r="T20" s="45" t="e">
        <f t="shared" si="10"/>
        <v>#N/A</v>
      </c>
      <c r="U20" s="45" t="e">
        <f t="shared" si="11"/>
        <v>#N/A</v>
      </c>
      <c r="V20" s="45" t="e">
        <f t="shared" si="12"/>
        <v>#N/A</v>
      </c>
      <c r="W20" s="45" t="e">
        <f t="shared" si="13"/>
        <v>#N/A</v>
      </c>
      <c r="X20">
        <v>18</v>
      </c>
      <c r="Y20" s="15">
        <v>898</v>
      </c>
      <c r="Z20" s="15">
        <v>4.5999999999999996E+45</v>
      </c>
      <c r="AA20" s="13">
        <v>4.81675392670157</v>
      </c>
    </row>
    <row r="21" spans="2:27">
      <c r="B21">
        <v>25</v>
      </c>
      <c r="C21" s="46">
        <v>17</v>
      </c>
      <c r="D21" s="46" t="e">
        <f t="shared" si="15"/>
        <v>#N/A</v>
      </c>
      <c r="E21" s="46" t="e">
        <f t="shared" si="16"/>
        <v>#N/A</v>
      </c>
      <c r="F21" s="47">
        <f t="shared" si="0"/>
        <v>39659.685863874343</v>
      </c>
      <c r="G21" s="48">
        <f t="shared" si="1"/>
        <v>13219.895287958116</v>
      </c>
      <c r="H21" s="21">
        <f t="shared" si="2"/>
        <v>528.79581151832463</v>
      </c>
      <c r="I21" s="46">
        <v>100</v>
      </c>
      <c r="J21" s="49" t="e">
        <f t="shared" si="3"/>
        <v>#N/A</v>
      </c>
      <c r="K21" s="50" t="e">
        <f t="shared" si="4"/>
        <v>#N/A</v>
      </c>
      <c r="L21" s="51" t="e">
        <f t="shared" si="5"/>
        <v>#N/A</v>
      </c>
      <c r="M21" s="50" t="e">
        <f t="shared" si="6"/>
        <v>#N/A</v>
      </c>
      <c r="O21" s="46">
        <v>100</v>
      </c>
      <c r="P21" s="48">
        <f t="shared" si="7"/>
        <v>0.4</v>
      </c>
      <c r="Q21" s="25">
        <f t="shared" si="8"/>
        <v>1.0050251256281408E-3</v>
      </c>
      <c r="R21" s="26" t="e">
        <f t="shared" si="9"/>
        <v>#N/A</v>
      </c>
      <c r="S21" s="46">
        <v>17</v>
      </c>
      <c r="T21" s="51" t="e">
        <f t="shared" si="10"/>
        <v>#N/A</v>
      </c>
      <c r="U21" s="51" t="e">
        <f t="shared" si="11"/>
        <v>#N/A</v>
      </c>
      <c r="V21" s="51" t="e">
        <f t="shared" si="12"/>
        <v>#N/A</v>
      </c>
      <c r="W21" s="51" t="e">
        <f t="shared" si="13"/>
        <v>#N/A</v>
      </c>
      <c r="X21">
        <v>19</v>
      </c>
      <c r="Y21" s="15">
        <v>899</v>
      </c>
      <c r="Z21" s="15">
        <v>4.8250000000000007E+45</v>
      </c>
      <c r="AA21" s="13">
        <v>5.0523560209424092</v>
      </c>
    </row>
    <row r="22" spans="2:27">
      <c r="B22">
        <v>50</v>
      </c>
      <c r="C22" s="46">
        <v>18</v>
      </c>
      <c r="D22" s="46" t="e">
        <f t="shared" si="15"/>
        <v>#N/A</v>
      </c>
      <c r="E22" s="46" t="e">
        <f t="shared" si="16"/>
        <v>#N/A</v>
      </c>
      <c r="F22" s="47">
        <f t="shared" si="0"/>
        <v>57329.842931937172</v>
      </c>
      <c r="G22" s="48">
        <f t="shared" si="1"/>
        <v>19109.94764397906</v>
      </c>
      <c r="H22" s="21">
        <f t="shared" si="2"/>
        <v>764.39790575916231</v>
      </c>
      <c r="I22" s="46">
        <v>110</v>
      </c>
      <c r="J22" s="49" t="e">
        <f t="shared" si="3"/>
        <v>#N/A</v>
      </c>
      <c r="K22" s="50" t="e">
        <f t="shared" si="4"/>
        <v>#N/A</v>
      </c>
      <c r="L22" s="51" t="e">
        <f t="shared" si="5"/>
        <v>#N/A</v>
      </c>
      <c r="M22" s="50" t="e">
        <f t="shared" si="6"/>
        <v>#N/A</v>
      </c>
      <c r="O22" s="46">
        <v>100</v>
      </c>
      <c r="P22" s="48">
        <f t="shared" si="7"/>
        <v>0.4</v>
      </c>
      <c r="Q22" s="25">
        <f t="shared" si="8"/>
        <v>1.0050251256281408E-3</v>
      </c>
      <c r="R22" s="26" t="e">
        <f t="shared" si="9"/>
        <v>#N/A</v>
      </c>
      <c r="S22" s="46">
        <v>18</v>
      </c>
      <c r="T22" s="51" t="e">
        <f t="shared" si="10"/>
        <v>#N/A</v>
      </c>
      <c r="U22" s="51" t="e">
        <f t="shared" si="11"/>
        <v>#N/A</v>
      </c>
      <c r="V22" s="51" t="e">
        <f t="shared" si="12"/>
        <v>#N/A</v>
      </c>
      <c r="W22" s="51" t="e">
        <f t="shared" si="13"/>
        <v>#N/A</v>
      </c>
      <c r="X22">
        <v>20</v>
      </c>
      <c r="Y22" s="15">
        <v>900</v>
      </c>
      <c r="Z22" s="15">
        <v>5.0499999999999999E+45</v>
      </c>
      <c r="AA22" s="13">
        <v>5.2879581151832458</v>
      </c>
    </row>
    <row r="23" spans="2:27">
      <c r="B23">
        <v>100</v>
      </c>
      <c r="C23" s="46">
        <v>19</v>
      </c>
      <c r="D23" s="46" t="e">
        <f t="shared" si="15"/>
        <v>#N/A</v>
      </c>
      <c r="E23" s="46" t="e">
        <f t="shared" si="16"/>
        <v>#N/A</v>
      </c>
      <c r="F23" s="47">
        <f t="shared" si="0"/>
        <v>75000.000000000015</v>
      </c>
      <c r="G23" s="48">
        <f t="shared" si="1"/>
        <v>25000.000000000004</v>
      </c>
      <c r="H23" s="21">
        <f t="shared" si="2"/>
        <v>1000.0000000000001</v>
      </c>
      <c r="I23" s="46">
        <v>120</v>
      </c>
      <c r="J23" s="49" t="e">
        <f t="shared" si="3"/>
        <v>#N/A</v>
      </c>
      <c r="K23" s="50" t="e">
        <f t="shared" si="4"/>
        <v>#N/A</v>
      </c>
      <c r="L23" s="51" t="e">
        <f t="shared" si="5"/>
        <v>#N/A</v>
      </c>
      <c r="M23" s="50" t="e">
        <f t="shared" si="6"/>
        <v>#N/A</v>
      </c>
      <c r="O23" s="46">
        <v>100</v>
      </c>
      <c r="P23" s="48">
        <f t="shared" si="7"/>
        <v>0.4</v>
      </c>
      <c r="Q23" s="25">
        <f t="shared" si="8"/>
        <v>1.0050251256281408E-3</v>
      </c>
      <c r="R23" s="26" t="e">
        <f t="shared" si="9"/>
        <v>#N/A</v>
      </c>
      <c r="S23" s="46">
        <v>19</v>
      </c>
      <c r="T23" s="51" t="e">
        <f t="shared" si="10"/>
        <v>#N/A</v>
      </c>
      <c r="U23" s="51" t="e">
        <f t="shared" si="11"/>
        <v>#N/A</v>
      </c>
      <c r="V23" s="51" t="e">
        <f t="shared" si="12"/>
        <v>#N/A</v>
      </c>
      <c r="W23" s="51" t="e">
        <f t="shared" si="13"/>
        <v>#N/A</v>
      </c>
      <c r="X23">
        <v>21</v>
      </c>
      <c r="Y23" s="15">
        <v>901</v>
      </c>
      <c r="Z23" s="15">
        <v>5.2749999999999997E+45</v>
      </c>
      <c r="AA23" s="13">
        <v>5.5235602094240832</v>
      </c>
    </row>
    <row r="24" spans="2:27">
      <c r="B24">
        <v>400</v>
      </c>
      <c r="C24" s="46">
        <v>20</v>
      </c>
      <c r="D24" s="46" t="e">
        <f t="shared" si="15"/>
        <v>#N/A</v>
      </c>
      <c r="E24" s="46" t="e">
        <f t="shared" si="16"/>
        <v>#N/A</v>
      </c>
      <c r="F24" s="47">
        <f>H24*F$4*100</f>
        <v>7500000.0000000019</v>
      </c>
      <c r="G24" s="48">
        <f>H24*G$4*100</f>
        <v>2500000.0000000005</v>
      </c>
      <c r="H24" s="21">
        <f>VLOOKUP(I24,X$1:AA$452,4,FALSE)</f>
        <v>100000.00000000001</v>
      </c>
      <c r="I24" s="46">
        <v>200</v>
      </c>
      <c r="J24" s="49" t="e">
        <f>(F24-D24)/$D$2*$D$1</f>
        <v>#N/A</v>
      </c>
      <c r="K24" s="50" t="e">
        <f>2*(F24-$D$2*J24)/($D$2*$D$2-$D$2)</f>
        <v>#N/A</v>
      </c>
      <c r="L24" s="51" t="e">
        <f t="shared" si="5"/>
        <v>#N/A</v>
      </c>
      <c r="M24" s="50" t="e">
        <f>2*(G24-$D$2*L24)/($D$2*$D$2-$D$2)</f>
        <v>#N/A</v>
      </c>
      <c r="N24" s="16" t="s">
        <v>149</v>
      </c>
      <c r="O24" s="46">
        <v>100</v>
      </c>
      <c r="P24" s="48">
        <f>O24/$D$2*$D$1</f>
        <v>0.4</v>
      </c>
      <c r="Q24" s="25">
        <f>2*(O24-$D$2*P24)/($D$2*$D$2-$D$2)</f>
        <v>1.0050251256281408E-3</v>
      </c>
      <c r="R24" s="26" t="e">
        <f>U24/U$28</f>
        <v>#N/A</v>
      </c>
      <c r="S24" s="46">
        <v>20</v>
      </c>
      <c r="T24" s="51" t="e">
        <f t="shared" si="10"/>
        <v>#N/A</v>
      </c>
      <c r="U24" s="51" t="e">
        <f t="shared" si="11"/>
        <v>#N/A</v>
      </c>
      <c r="V24" s="51" t="e">
        <f t="shared" si="12"/>
        <v>#N/A</v>
      </c>
      <c r="W24" s="51" t="e">
        <f>V24/H24/100</f>
        <v>#N/A</v>
      </c>
      <c r="X24">
        <v>22</v>
      </c>
      <c r="Y24" s="15">
        <v>902</v>
      </c>
      <c r="Z24" s="15">
        <v>5.4999999999999995E+45</v>
      </c>
      <c r="AA24" s="13">
        <v>5.7591623036649207</v>
      </c>
    </row>
    <row r="25" spans="2:27">
      <c r="E25" t="e">
        <f>SUM(E5:E24)</f>
        <v>#N/A</v>
      </c>
      <c r="F25" s="52">
        <f>SUM(F5:F24)</f>
        <v>7688937.1727748709</v>
      </c>
      <c r="G25" s="53">
        <f>SUM(G5:G24)</f>
        <v>2562979.0575916236</v>
      </c>
      <c r="I25" t="s">
        <v>149</v>
      </c>
      <c r="J25" t="s">
        <v>149</v>
      </c>
      <c r="L25" s="54" t="s">
        <v>149</v>
      </c>
      <c r="S25" s="55">
        <v>21</v>
      </c>
      <c r="T25" s="55">
        <v>0</v>
      </c>
      <c r="U25" s="55">
        <v>0</v>
      </c>
      <c r="V25" s="55">
        <v>0</v>
      </c>
      <c r="W25" s="55">
        <v>0</v>
      </c>
      <c r="X25">
        <v>23</v>
      </c>
      <c r="Y25" s="15">
        <v>903</v>
      </c>
      <c r="Z25" s="15">
        <v>5.7250000000000005E+45</v>
      </c>
      <c r="AA25" s="13">
        <v>5.9947643979057599</v>
      </c>
    </row>
    <row r="26" spans="2:27">
      <c r="S26" s="55">
        <v>22</v>
      </c>
      <c r="T26" s="55">
        <v>0</v>
      </c>
      <c r="U26" s="55">
        <v>0</v>
      </c>
      <c r="V26" s="55">
        <v>0</v>
      </c>
      <c r="W26" s="55">
        <v>0</v>
      </c>
      <c r="X26">
        <v>24</v>
      </c>
      <c r="Y26" s="15">
        <v>904</v>
      </c>
      <c r="Z26" s="15">
        <v>5.950000000000001E+45</v>
      </c>
      <c r="AA26" s="13">
        <v>6.2303664921465982</v>
      </c>
    </row>
    <row r="27" spans="2:27">
      <c r="C27" s="55">
        <v>21</v>
      </c>
      <c r="D27" s="55" t="e">
        <f t="shared" ref="D27:D30" si="17">VLOOKUP(C27,AC$3:AK$22,2+(D$3*2),0)</f>
        <v>#N/A</v>
      </c>
      <c r="E27" s="55" t="e">
        <f>VLOOKUP(C27,AC25:AH43,3+(D$3*2),0)</f>
        <v>#N/A</v>
      </c>
      <c r="F27" s="56">
        <f t="shared" ref="F27:F29" si="18">H27*F$4*100</f>
        <v>75</v>
      </c>
      <c r="G27" s="57">
        <f t="shared" ref="G27:G29" si="19">H27*G$4*100</f>
        <v>25</v>
      </c>
      <c r="H27" s="56">
        <f t="shared" ref="H27:H29" si="20">VLOOKUP(I27,X$1:AA$452,4,FALSE)</f>
        <v>1</v>
      </c>
      <c r="I27" s="55">
        <v>0</v>
      </c>
      <c r="J27" s="58" t="e">
        <f t="shared" ref="J27:J29" si="21">(F27-D27)/$D$2*$D$1</f>
        <v>#N/A</v>
      </c>
      <c r="K27" s="59" t="e">
        <f t="shared" ref="K27:K29" si="22">2*(F27-$D$2*J27)/($D$2*$D$2-$D$2)</f>
        <v>#N/A</v>
      </c>
      <c r="L27" s="60" t="e">
        <f>(G27-E27)/$D$2*$D$1</f>
        <v>#N/A</v>
      </c>
      <c r="M27" s="59" t="e">
        <f t="shared" ref="M27:M29" si="23">2*(G27-$D$2*L27)/($D$2*$D$2-$D$2)</f>
        <v>#N/A</v>
      </c>
      <c r="N27" s="55" t="e">
        <f>(2*L27-2*M27*#REF!)/(#REF!*#REF!-#REF!)</f>
        <v>#N/A</v>
      </c>
      <c r="S27" s="55">
        <v>23</v>
      </c>
      <c r="T27" s="55">
        <v>0</v>
      </c>
      <c r="U27" s="55">
        <v>0</v>
      </c>
      <c r="V27" s="55">
        <v>0</v>
      </c>
      <c r="W27" s="55">
        <v>0</v>
      </c>
      <c r="X27">
        <v>25</v>
      </c>
      <c r="Y27" s="15">
        <v>905</v>
      </c>
      <c r="Z27" s="15">
        <v>6.1750000000000001E+45</v>
      </c>
      <c r="AA27" s="13">
        <v>6.4659685863874348</v>
      </c>
    </row>
    <row r="28" spans="2:27">
      <c r="C28" s="55">
        <v>22</v>
      </c>
      <c r="D28" s="55" t="e">
        <f t="shared" si="17"/>
        <v>#N/A</v>
      </c>
      <c r="E28" s="55" t="e">
        <f>VLOOKUP(C28,AC26:AH44,3+(D$3*2),0)</f>
        <v>#N/A</v>
      </c>
      <c r="F28" s="56">
        <f t="shared" si="18"/>
        <v>75</v>
      </c>
      <c r="G28" s="57">
        <f t="shared" si="19"/>
        <v>25</v>
      </c>
      <c r="H28" s="56">
        <f t="shared" si="20"/>
        <v>1</v>
      </c>
      <c r="I28" s="55">
        <v>0</v>
      </c>
      <c r="J28" s="58" t="e">
        <f t="shared" si="21"/>
        <v>#N/A</v>
      </c>
      <c r="K28" s="59" t="e">
        <f t="shared" si="22"/>
        <v>#N/A</v>
      </c>
      <c r="L28" s="60" t="e">
        <f>(G28-E28)/$D$2*$D$1</f>
        <v>#N/A</v>
      </c>
      <c r="M28" s="59" t="e">
        <f t="shared" si="23"/>
        <v>#N/A</v>
      </c>
      <c r="N28" s="55" t="e">
        <f>(2*L28-2*M28*#REF!)/(#REF!*#REF!-#REF!)</f>
        <v>#N/A</v>
      </c>
      <c r="U28" s="61" t="e">
        <f>SUM(U5:U27)</f>
        <v>#N/A</v>
      </c>
      <c r="X28">
        <v>26</v>
      </c>
      <c r="Y28" s="15">
        <v>906</v>
      </c>
      <c r="Z28" s="15">
        <v>6.3999999999999993E+45</v>
      </c>
      <c r="AA28" s="13">
        <v>6.7015706806282713</v>
      </c>
    </row>
    <row r="29" spans="2:27">
      <c r="C29" s="55">
        <v>23</v>
      </c>
      <c r="D29" s="55" t="e">
        <f t="shared" si="17"/>
        <v>#N/A</v>
      </c>
      <c r="E29" s="55" t="e">
        <f>VLOOKUP(C29,AC27:AH45,3+(D$3*2),0)</f>
        <v>#N/A</v>
      </c>
      <c r="F29" s="56">
        <f t="shared" si="18"/>
        <v>75</v>
      </c>
      <c r="G29" s="57">
        <f t="shared" si="19"/>
        <v>25</v>
      </c>
      <c r="H29" s="56">
        <f t="shared" si="20"/>
        <v>1</v>
      </c>
      <c r="I29" s="55">
        <v>0</v>
      </c>
      <c r="J29" s="58" t="e">
        <f t="shared" si="21"/>
        <v>#N/A</v>
      </c>
      <c r="K29" s="59" t="e">
        <f t="shared" si="22"/>
        <v>#N/A</v>
      </c>
      <c r="L29" s="60" t="e">
        <f>(G29-E29)/$D$2*$D$1</f>
        <v>#N/A</v>
      </c>
      <c r="M29" s="59" t="e">
        <f t="shared" si="23"/>
        <v>#N/A</v>
      </c>
      <c r="N29" s="55" t="e">
        <f>(2*L29-2*M29*#REF!)/(#REF!*#REF!-#REF!)</f>
        <v>#N/A</v>
      </c>
      <c r="X29">
        <v>27</v>
      </c>
      <c r="Y29" s="15">
        <v>907</v>
      </c>
      <c r="Z29" s="15">
        <v>6.625000000000001E+45</v>
      </c>
      <c r="AA29" s="13">
        <v>6.9371727748691114</v>
      </c>
    </row>
    <row r="30" spans="2:27">
      <c r="C30" s="55">
        <v>24</v>
      </c>
      <c r="D30" s="55" t="e">
        <f t="shared" si="17"/>
        <v>#N/A</v>
      </c>
      <c r="E30" s="55" t="e">
        <f>VLOOKUP(C30,AC28:AH46,3+(D$3*2),0)</f>
        <v>#N/A</v>
      </c>
      <c r="F30" s="56">
        <f>H30*F$4*100</f>
        <v>75</v>
      </c>
      <c r="G30" s="57">
        <f>H30*G$4*100</f>
        <v>25</v>
      </c>
      <c r="H30" s="56">
        <f>VLOOKUP(I30,X$1:AA$452,4,FALSE)</f>
        <v>1</v>
      </c>
      <c r="I30" s="55">
        <v>0</v>
      </c>
      <c r="J30" s="58" t="e">
        <f>(F30-D30)/$D$2*$D$1</f>
        <v>#N/A</v>
      </c>
      <c r="K30" s="59" t="e">
        <f>2*(F30-$D$2*J30)/($D$2*$D$2-$D$2)</f>
        <v>#N/A</v>
      </c>
      <c r="L30" s="60" t="e">
        <f>(G30-E30)/$D$2*$D$1</f>
        <v>#N/A</v>
      </c>
      <c r="M30" s="59" t="e">
        <f>2*(G30-$D$2*L30)/($D$2*$D$2-$D$2)</f>
        <v>#N/A</v>
      </c>
      <c r="N30" s="55" t="e">
        <f>(2*L30-2*M30*#REF!)/(#REF!*#REF!-#REF!)</f>
        <v>#N/A</v>
      </c>
      <c r="X30">
        <v>28</v>
      </c>
      <c r="Y30" s="15">
        <v>908</v>
      </c>
      <c r="Z30" s="15">
        <v>6.8500000000000002E+45</v>
      </c>
      <c r="AA30" s="13">
        <v>7.172774869109948</v>
      </c>
    </row>
    <row r="31" spans="2:27">
      <c r="Q31" t="s">
        <v>173</v>
      </c>
      <c r="R31">
        <v>20</v>
      </c>
      <c r="V31" t="s">
        <v>174</v>
      </c>
      <c r="X31">
        <v>29</v>
      </c>
      <c r="Y31" s="15">
        <v>909</v>
      </c>
      <c r="Z31" s="15">
        <v>7.0749999999999993E+45</v>
      </c>
      <c r="AA31" s="13">
        <v>7.4083769633507845</v>
      </c>
    </row>
    <row r="32" spans="2:27">
      <c r="F32" s="52"/>
      <c r="L32" s="54"/>
      <c r="V32" s="51">
        <v>57329.842931937172</v>
      </c>
      <c r="X32">
        <v>30</v>
      </c>
      <c r="Y32" s="15">
        <v>910</v>
      </c>
      <c r="Z32" s="15">
        <v>7.300000000000001E+45</v>
      </c>
      <c r="AA32" s="13">
        <v>7.6439790575916247</v>
      </c>
    </row>
    <row r="33" spans="1:27">
      <c r="Q33" t="s">
        <v>175</v>
      </c>
      <c r="R33" s="26" t="e">
        <f>(R35+R36+R37)</f>
        <v>#N/A</v>
      </c>
      <c r="S33" s="54" t="e">
        <f>(V35+W35)/R33/100</f>
        <v>#N/A</v>
      </c>
      <c r="V33" s="51">
        <v>219895.28795811519</v>
      </c>
      <c r="X33">
        <v>31</v>
      </c>
      <c r="Y33" s="15">
        <v>911</v>
      </c>
      <c r="Z33" s="15">
        <v>7.5249999999999989E+45</v>
      </c>
      <c r="AA33" s="13">
        <v>7.8795811518324594</v>
      </c>
    </row>
    <row r="34" spans="1:27">
      <c r="R34" s="26"/>
      <c r="V34" s="51">
        <v>750000</v>
      </c>
      <c r="X34">
        <v>32</v>
      </c>
      <c r="Y34" s="15">
        <v>912</v>
      </c>
      <c r="Z34" s="15">
        <v>7.7500000000000006E+45</v>
      </c>
      <c r="AA34" s="13">
        <v>8.1151832460732987</v>
      </c>
    </row>
    <row r="35" spans="1:27">
      <c r="Q35" t="s">
        <v>176</v>
      </c>
      <c r="R35" s="26" t="e">
        <f>VLOOKUP(R31,S5:V27,2,FALSE)/100</f>
        <v>#N/A</v>
      </c>
      <c r="V35" s="51">
        <v>7500000</v>
      </c>
      <c r="W35" s="61">
        <v>2848057.5916230371</v>
      </c>
      <c r="X35">
        <v>33</v>
      </c>
      <c r="Y35" s="15">
        <v>913</v>
      </c>
      <c r="Z35" s="15">
        <v>7.9749999999999998E+45</v>
      </c>
      <c r="AA35" s="13">
        <v>8.3507853403141361</v>
      </c>
    </row>
    <row r="36" spans="1:27">
      <c r="H36" s="62"/>
      <c r="I36" s="63" t="s">
        <v>0</v>
      </c>
      <c r="J36" s="62" t="s">
        <v>177</v>
      </c>
      <c r="K36" s="64" t="s">
        <v>178</v>
      </c>
      <c r="L36" s="64" t="s">
        <v>179</v>
      </c>
      <c r="Q36" t="s">
        <v>180</v>
      </c>
      <c r="R36" s="26" t="e">
        <f>U28/100</f>
        <v>#N/A</v>
      </c>
      <c r="X36">
        <v>34</v>
      </c>
      <c r="Y36" s="15">
        <v>914</v>
      </c>
      <c r="Z36" s="15">
        <v>8.199999999999999E+45</v>
      </c>
      <c r="AA36" s="13">
        <v>8.5863874345549736</v>
      </c>
    </row>
    <row r="37" spans="1:27">
      <c r="H37" s="62" t="s">
        <v>181</v>
      </c>
      <c r="I37" s="65">
        <v>68000</v>
      </c>
      <c r="J37" s="66" cm="1">
        <f t="array" ref="J37">VLOOKUP(MATCH(MIN(ABS([1]소환횟수!D1:D1000 - I37)), ABS([1]소환횟수!D1:D1000 - I37), 0),[1]소환횟수!A1:D1000,3,1)</f>
        <v>272</v>
      </c>
      <c r="K37" s="67">
        <f>I37/V$42</f>
        <v>59000</v>
      </c>
      <c r="L37" s="68">
        <f>I37/V$44</f>
        <v>12157.575757575758</v>
      </c>
      <c r="Q37" t="s">
        <v>182</v>
      </c>
      <c r="X37">
        <v>35</v>
      </c>
      <c r="Y37" s="15">
        <v>915</v>
      </c>
      <c r="Z37" s="15">
        <v>8.4250000000000007E+45</v>
      </c>
      <c r="AA37" s="13">
        <v>8.8219895287958128</v>
      </c>
    </row>
    <row r="38" spans="1:27">
      <c r="H38" s="62"/>
      <c r="I38" s="69"/>
      <c r="J38" s="70"/>
      <c r="K38" s="71" t="s">
        <v>149</v>
      </c>
      <c r="L38" s="72" t="s">
        <v>149</v>
      </c>
      <c r="X38">
        <v>36</v>
      </c>
      <c r="Y38" s="15">
        <v>916</v>
      </c>
      <c r="Z38" s="15">
        <v>8.6499999999999999E+45</v>
      </c>
      <c r="AA38" s="13">
        <v>9.0575916230366502</v>
      </c>
    </row>
    <row r="39" spans="1:27">
      <c r="H39" s="62" t="s">
        <v>183</v>
      </c>
      <c r="I39" s="65">
        <v>100000</v>
      </c>
      <c r="J39" s="66">
        <f>I39/(I44/2)</f>
        <v>400</v>
      </c>
      <c r="K39" s="67">
        <f>I39/V$42</f>
        <v>86764.705882352937</v>
      </c>
      <c r="L39" s="68">
        <f>I39/V$44</f>
        <v>17878.78787878788</v>
      </c>
      <c r="X39">
        <v>37</v>
      </c>
      <c r="Y39" s="15">
        <v>917</v>
      </c>
      <c r="Z39" s="15">
        <v>8.874999999999999E+45</v>
      </c>
      <c r="AA39" s="13">
        <v>9.2931937172774859</v>
      </c>
    </row>
    <row r="40" spans="1:27">
      <c r="X40">
        <v>38</v>
      </c>
      <c r="Y40" s="15">
        <v>918</v>
      </c>
      <c r="Z40" s="15">
        <v>9.0999999999999982E+45</v>
      </c>
      <c r="AA40" s="13">
        <v>9.5287958115183233</v>
      </c>
    </row>
    <row r="41" spans="1:27">
      <c r="O41" s="163" t="s">
        <v>27</v>
      </c>
      <c r="P41" s="73" t="s">
        <v>184</v>
      </c>
      <c r="Q41" s="74">
        <v>50000</v>
      </c>
      <c r="R41" s="74">
        <f>Q41*V42</f>
        <v>57627.118644067799</v>
      </c>
      <c r="T41" s="73" t="s">
        <v>185</v>
      </c>
      <c r="U41" s="73">
        <v>59000</v>
      </c>
      <c r="V41" s="73" t="s">
        <v>27</v>
      </c>
      <c r="X41">
        <v>39</v>
      </c>
      <c r="Y41" s="15">
        <v>919</v>
      </c>
      <c r="Z41" s="15">
        <v>9.3249999999999986E+45</v>
      </c>
      <c r="AA41" s="13">
        <v>9.7643979057591608</v>
      </c>
    </row>
    <row r="42" spans="1:27">
      <c r="K42" s="1"/>
      <c r="L42" s="11"/>
      <c r="O42" s="163"/>
      <c r="P42" s="73" t="s">
        <v>0</v>
      </c>
      <c r="Q42" s="74">
        <v>100000</v>
      </c>
      <c r="R42" s="74">
        <f>Q42/V42</f>
        <v>86764.705882352937</v>
      </c>
      <c r="T42" s="73" t="s">
        <v>0</v>
      </c>
      <c r="U42" s="73">
        <v>68000</v>
      </c>
      <c r="V42" s="73">
        <f>U42/U41</f>
        <v>1.152542372881356</v>
      </c>
      <c r="X42">
        <v>40</v>
      </c>
      <c r="Y42" s="15">
        <v>920</v>
      </c>
      <c r="Z42" s="15">
        <v>9.5500000000000003E+45</v>
      </c>
      <c r="AA42" s="13">
        <v>10</v>
      </c>
    </row>
    <row r="43" spans="1:27">
      <c r="H43" s="75" t="s">
        <v>186</v>
      </c>
      <c r="I43" s="75" t="s">
        <v>187</v>
      </c>
      <c r="J43" s="75" t="s">
        <v>0</v>
      </c>
      <c r="K43" s="75" t="s">
        <v>178</v>
      </c>
      <c r="L43" s="75" t="s">
        <v>179</v>
      </c>
      <c r="O43" s="163" t="s">
        <v>26</v>
      </c>
      <c r="P43" s="73" t="s">
        <v>184</v>
      </c>
      <c r="Q43" s="74">
        <v>50000</v>
      </c>
      <c r="R43" s="74">
        <f>Q43*V44</f>
        <v>279661.01694915257</v>
      </c>
      <c r="T43" s="73" t="s">
        <v>185</v>
      </c>
      <c r="U43" s="73">
        <v>59000</v>
      </c>
      <c r="V43" s="73" t="s">
        <v>26</v>
      </c>
      <c r="X43">
        <v>41</v>
      </c>
      <c r="Y43" s="15">
        <v>921</v>
      </c>
      <c r="Z43" s="15">
        <v>9.7749999999999995E+45</v>
      </c>
      <c r="AA43" s="13">
        <v>10.235602094240837</v>
      </c>
    </row>
    <row r="44" spans="1:27">
      <c r="A44" t="s">
        <v>188</v>
      </c>
      <c r="B44" s="14">
        <v>1</v>
      </c>
      <c r="H44" s="75">
        <v>30000</v>
      </c>
      <c r="I44" s="75">
        <v>500</v>
      </c>
      <c r="J44" s="76">
        <f>H44*I44</f>
        <v>15000000</v>
      </c>
      <c r="K44" s="77">
        <f>J44/V42</f>
        <v>13014705.882352941</v>
      </c>
      <c r="L44" s="77">
        <f>J44/V44</f>
        <v>2681818.1818181816</v>
      </c>
      <c r="O44" s="163"/>
      <c r="P44" s="73" t="s">
        <v>0</v>
      </c>
      <c r="Q44" s="74">
        <v>100000</v>
      </c>
      <c r="R44" s="74">
        <f>Q44/V44</f>
        <v>17878.78787878788</v>
      </c>
      <c r="T44" s="73" t="s">
        <v>0</v>
      </c>
      <c r="U44" s="73">
        <v>330000</v>
      </c>
      <c r="V44" s="73">
        <f>U44/U43</f>
        <v>5.593220338983051</v>
      </c>
      <c r="X44">
        <v>42</v>
      </c>
      <c r="Y44" s="15">
        <v>922</v>
      </c>
      <c r="Z44" s="15">
        <v>9.9999999999999999E+45</v>
      </c>
      <c r="AA44" s="13">
        <v>10.471204188481675</v>
      </c>
    </row>
    <row r="45" spans="1:27" ht="33.75" thickBot="1">
      <c r="B45" s="78" t="s">
        <v>189</v>
      </c>
      <c r="C45" s="78" t="s">
        <v>190</v>
      </c>
      <c r="D45" s="78" t="s">
        <v>191</v>
      </c>
      <c r="E45" s="164" t="s">
        <v>192</v>
      </c>
      <c r="F45" s="164"/>
      <c r="G45" s="78" t="s">
        <v>193</v>
      </c>
      <c r="H45" s="78" t="s">
        <v>194</v>
      </c>
      <c r="I45" s="78" t="s">
        <v>195</v>
      </c>
      <c r="J45" s="78" t="s">
        <v>196</v>
      </c>
      <c r="K45" s="78" t="s">
        <v>149</v>
      </c>
      <c r="L45" s="78" t="s">
        <v>197</v>
      </c>
      <c r="M45" s="78" t="s">
        <v>198</v>
      </c>
      <c r="O45" t="s">
        <v>149</v>
      </c>
      <c r="Q45" s="16" t="s">
        <v>154</v>
      </c>
      <c r="R45" t="s">
        <v>27</v>
      </c>
      <c r="S45" s="16" t="s">
        <v>199</v>
      </c>
      <c r="T45" s="16" t="s">
        <v>200</v>
      </c>
      <c r="U45" s="16" t="s">
        <v>201</v>
      </c>
      <c r="X45">
        <v>43</v>
      </c>
      <c r="Y45" s="15">
        <v>923</v>
      </c>
      <c r="Z45" s="15">
        <v>1.2250000000000002E+46</v>
      </c>
      <c r="AA45" s="13">
        <v>12.827225130890055</v>
      </c>
    </row>
    <row r="46" spans="1:27">
      <c r="B46" s="79">
        <v>1</v>
      </c>
      <c r="C46">
        <v>67</v>
      </c>
      <c r="D46" s="134">
        <f>C46/100/9</f>
        <v>7.4444444444444452E-2</v>
      </c>
      <c r="E46" s="162">
        <v>1</v>
      </c>
      <c r="F46" s="162"/>
      <c r="G46" s="79">
        <f>D46*E46</f>
        <v>7.4444444444444452E-2</v>
      </c>
      <c r="H46" s="80">
        <f t="shared" ref="H46:H65" si="24">D46*H$44</f>
        <v>2233.3333333333335</v>
      </c>
      <c r="I46" s="18">
        <f>H46*E46</f>
        <v>2233.3333333333335</v>
      </c>
      <c r="J46" s="18">
        <f>E46*H46</f>
        <v>2233.3333333333335</v>
      </c>
      <c r="K46" s="18">
        <f t="shared" ref="K46:K63" si="25">E46*H46</f>
        <v>2233.3333333333335</v>
      </c>
      <c r="L46" s="81">
        <v>1</v>
      </c>
      <c r="M46" s="82">
        <f t="shared" ref="M46:M51" si="26">E46/G$66</f>
        <v>7.6206455999973468E-9</v>
      </c>
      <c r="Q46" s="18">
        <v>1</v>
      </c>
      <c r="R46" s="83">
        <v>8.76</v>
      </c>
      <c r="S46">
        <v>31.736000000000004</v>
      </c>
      <c r="T46" s="84">
        <v>11</v>
      </c>
      <c r="U46" s="84">
        <v>1</v>
      </c>
      <c r="X46">
        <v>44</v>
      </c>
      <c r="Y46" s="15">
        <v>924</v>
      </c>
      <c r="Z46" s="15">
        <v>1.4499999999999999E+46</v>
      </c>
      <c r="AA46" s="13">
        <v>15.183246073298429</v>
      </c>
    </row>
    <row r="47" spans="1:27">
      <c r="B47" s="79">
        <v>2</v>
      </c>
      <c r="C47">
        <v>20</v>
      </c>
      <c r="D47" s="134">
        <f t="shared" ref="D47:D51" si="27">C47/100/9</f>
        <v>2.2222222222222223E-2</v>
      </c>
      <c r="E47" s="162">
        <v>5</v>
      </c>
      <c r="F47" s="162"/>
      <c r="G47" s="79">
        <f t="shared" ref="G47:G65" si="28">D47*E47</f>
        <v>0.11111111111111112</v>
      </c>
      <c r="H47" s="80">
        <f t="shared" si="24"/>
        <v>666.66666666666674</v>
      </c>
      <c r="I47" s="18">
        <f t="shared" ref="I47:I65" si="29">H47*E47</f>
        <v>3333.3333333333339</v>
      </c>
      <c r="J47" s="18">
        <f t="shared" ref="J47:J64" si="30">E47*H47</f>
        <v>3333.3333333333339</v>
      </c>
      <c r="K47" s="18">
        <f t="shared" si="25"/>
        <v>3333.3333333333339</v>
      </c>
      <c r="L47" s="81">
        <v>2</v>
      </c>
      <c r="M47" s="82">
        <f t="shared" si="26"/>
        <v>3.8103227999986739E-8</v>
      </c>
      <c r="Q47" s="18">
        <v>2</v>
      </c>
      <c r="R47" s="85">
        <v>12.3</v>
      </c>
      <c r="S47">
        <v>23.802</v>
      </c>
      <c r="T47" s="86">
        <v>10</v>
      </c>
      <c r="U47" s="86">
        <v>4</v>
      </c>
      <c r="X47">
        <v>45</v>
      </c>
      <c r="Y47" s="15">
        <v>925</v>
      </c>
      <c r="Z47" s="15">
        <v>1.675E+46</v>
      </c>
      <c r="AA47" s="13">
        <v>17.539267015706809</v>
      </c>
    </row>
    <row r="48" spans="1:27">
      <c r="B48" s="79">
        <v>3</v>
      </c>
      <c r="C48">
        <v>10</v>
      </c>
      <c r="D48" s="134">
        <f t="shared" si="27"/>
        <v>1.1111111111111112E-2</v>
      </c>
      <c r="E48" s="162">
        <v>25</v>
      </c>
      <c r="F48" s="162"/>
      <c r="G48" s="79">
        <f t="shared" si="28"/>
        <v>0.27777777777777779</v>
      </c>
      <c r="H48" s="80">
        <f t="shared" si="24"/>
        <v>333.33333333333337</v>
      </c>
      <c r="I48" s="18">
        <f t="shared" si="29"/>
        <v>8333.3333333333339</v>
      </c>
      <c r="J48" s="18">
        <f t="shared" si="30"/>
        <v>8333.3333333333339</v>
      </c>
      <c r="K48" s="18">
        <f t="shared" si="25"/>
        <v>8333.3333333333339</v>
      </c>
      <c r="L48" s="81">
        <v>3</v>
      </c>
      <c r="M48" s="82">
        <f t="shared" si="26"/>
        <v>1.9051613999993368E-7</v>
      </c>
      <c r="Q48" s="18">
        <v>3</v>
      </c>
      <c r="R48" s="85">
        <v>13.5</v>
      </c>
      <c r="S48">
        <v>15.868000000000002</v>
      </c>
      <c r="T48" s="86">
        <v>11</v>
      </c>
      <c r="U48" s="86">
        <v>7</v>
      </c>
      <c r="W48">
        <v>2</v>
      </c>
      <c r="X48">
        <v>46</v>
      </c>
      <c r="Y48" s="15">
        <v>926</v>
      </c>
      <c r="Z48" s="15">
        <v>1.9000000000000002E+46</v>
      </c>
      <c r="AA48" s="13">
        <v>19.895287958115187</v>
      </c>
    </row>
    <row r="49" spans="2:27">
      <c r="B49" s="79">
        <v>4</v>
      </c>
      <c r="C49">
        <v>2.4</v>
      </c>
      <c r="D49" s="134">
        <f t="shared" si="27"/>
        <v>2.6666666666666666E-3</v>
      </c>
      <c r="E49" s="162">
        <v>125</v>
      </c>
      <c r="F49" s="162"/>
      <c r="G49" s="79">
        <f t="shared" si="28"/>
        <v>0.33333333333333331</v>
      </c>
      <c r="H49" s="80">
        <f t="shared" si="24"/>
        <v>80</v>
      </c>
      <c r="I49" s="18">
        <f t="shared" si="29"/>
        <v>10000</v>
      </c>
      <c r="J49" s="18">
        <f t="shared" si="30"/>
        <v>10000</v>
      </c>
      <c r="K49" s="18">
        <f t="shared" si="25"/>
        <v>10000</v>
      </c>
      <c r="L49" s="81">
        <v>4</v>
      </c>
      <c r="M49" s="82">
        <f t="shared" si="26"/>
        <v>9.5258069999966836E-7</v>
      </c>
      <c r="Q49" s="18">
        <v>4</v>
      </c>
      <c r="R49" s="85">
        <v>12.4</v>
      </c>
      <c r="S49">
        <v>7.9340000000000011</v>
      </c>
      <c r="T49" s="86">
        <v>12</v>
      </c>
      <c r="U49" s="86">
        <v>10</v>
      </c>
      <c r="W49">
        <v>10</v>
      </c>
      <c r="X49">
        <v>47</v>
      </c>
      <c r="Y49" s="15">
        <v>927</v>
      </c>
      <c r="Z49" s="15">
        <v>2.1249999999999999E+46</v>
      </c>
      <c r="AA49" s="13">
        <v>22.251308900523561</v>
      </c>
    </row>
    <row r="50" spans="2:27">
      <c r="B50" s="87">
        <v>5</v>
      </c>
      <c r="C50">
        <v>0.5</v>
      </c>
      <c r="D50" s="134">
        <f t="shared" si="27"/>
        <v>5.5555555555555556E-4</v>
      </c>
      <c r="E50" s="157">
        <v>625</v>
      </c>
      <c r="F50" s="157"/>
      <c r="G50" s="87">
        <f t="shared" si="28"/>
        <v>0.34722222222222221</v>
      </c>
      <c r="H50" s="88">
        <f t="shared" si="24"/>
        <v>16.666666666666668</v>
      </c>
      <c r="I50" s="89">
        <f t="shared" si="29"/>
        <v>10416.666666666668</v>
      </c>
      <c r="J50" s="89">
        <f t="shared" si="30"/>
        <v>10416.666666666668</v>
      </c>
      <c r="K50" s="89">
        <f t="shared" si="25"/>
        <v>10416.666666666668</v>
      </c>
      <c r="L50" s="81">
        <v>5</v>
      </c>
      <c r="M50" s="82">
        <f t="shared" si="26"/>
        <v>4.7629034999983417E-6</v>
      </c>
      <c r="Q50" s="90">
        <v>5</v>
      </c>
      <c r="R50" s="91">
        <v>11.3</v>
      </c>
      <c r="S50">
        <v>9.4</v>
      </c>
      <c r="T50" s="92">
        <v>12</v>
      </c>
      <c r="U50" s="92">
        <v>18</v>
      </c>
      <c r="X50">
        <v>48</v>
      </c>
      <c r="Y50" s="15">
        <v>928</v>
      </c>
      <c r="Z50" s="15">
        <v>2.3500000000000003E+46</v>
      </c>
      <c r="AA50" s="13">
        <v>24.607329842931943</v>
      </c>
    </row>
    <row r="51" spans="2:27">
      <c r="B51" s="87">
        <v>6</v>
      </c>
      <c r="C51">
        <v>0.1</v>
      </c>
      <c r="D51" s="134">
        <f t="shared" si="27"/>
        <v>1.1111111111111112E-4</v>
      </c>
      <c r="E51" s="157">
        <v>3125</v>
      </c>
      <c r="F51" s="157"/>
      <c r="G51" s="87">
        <f t="shared" si="28"/>
        <v>0.34722222222222227</v>
      </c>
      <c r="H51" s="88">
        <f t="shared" si="24"/>
        <v>3.3333333333333335</v>
      </c>
      <c r="I51" s="89">
        <f t="shared" si="29"/>
        <v>10416.666666666668</v>
      </c>
      <c r="J51" s="89">
        <f t="shared" si="30"/>
        <v>10416.666666666668</v>
      </c>
      <c r="K51" s="89">
        <f t="shared" si="25"/>
        <v>10416.666666666668</v>
      </c>
      <c r="L51" s="81">
        <v>6</v>
      </c>
      <c r="M51" s="82">
        <f t="shared" si="26"/>
        <v>2.3814517499991711E-5</v>
      </c>
      <c r="Q51" s="90">
        <v>6</v>
      </c>
      <c r="R51" s="91">
        <v>10.199999999999999</v>
      </c>
      <c r="S51">
        <v>7.05</v>
      </c>
      <c r="T51" s="92">
        <v>9</v>
      </c>
      <c r="U51" s="92">
        <v>30</v>
      </c>
      <c r="W51">
        <v>25</v>
      </c>
      <c r="X51">
        <v>49</v>
      </c>
      <c r="Y51" s="15">
        <v>929</v>
      </c>
      <c r="Z51" s="15">
        <v>2.5749999999999997E+46</v>
      </c>
      <c r="AA51" s="13">
        <v>26.963350785340314</v>
      </c>
    </row>
    <row r="52" spans="2:27">
      <c r="B52" s="87">
        <v>7</v>
      </c>
      <c r="C52" s="87">
        <f t="shared" ref="C52:C65" si="31">D52*100</f>
        <v>4.7</v>
      </c>
      <c r="D52" s="87">
        <f t="shared" ref="D52:D65" si="32">VLOOKUP(B52,Q$45:U$65,2+B$44,FALSE)/100</f>
        <v>4.7E-2</v>
      </c>
      <c r="E52" s="157">
        <v>15625</v>
      </c>
      <c r="F52" s="157"/>
      <c r="G52" s="93">
        <f t="shared" si="28"/>
        <v>734.375</v>
      </c>
      <c r="H52" s="88">
        <f t="shared" si="24"/>
        <v>1410</v>
      </c>
      <c r="I52" s="89">
        <f t="shared" si="29"/>
        <v>22031250</v>
      </c>
      <c r="J52" s="89">
        <f t="shared" si="30"/>
        <v>22031250</v>
      </c>
      <c r="K52" s="89">
        <f t="shared" si="25"/>
        <v>22031250</v>
      </c>
      <c r="L52" s="81">
        <v>7</v>
      </c>
      <c r="M52" s="82">
        <f t="shared" ref="M52:M63" si="33">E52/G$66</f>
        <v>1.1907258749995855E-4</v>
      </c>
      <c r="Q52" s="90">
        <v>7</v>
      </c>
      <c r="R52" s="91">
        <v>9.1</v>
      </c>
      <c r="S52">
        <v>4.7</v>
      </c>
      <c r="T52" s="92">
        <v>8</v>
      </c>
      <c r="U52" s="92">
        <v>45</v>
      </c>
      <c r="W52">
        <v>50</v>
      </c>
      <c r="X52">
        <v>50</v>
      </c>
      <c r="Y52" s="15">
        <v>930</v>
      </c>
      <c r="Z52" s="15">
        <v>2.8000000000000002E+46</v>
      </c>
      <c r="AA52" s="13">
        <v>29.319371727748695</v>
      </c>
    </row>
    <row r="53" spans="2:27">
      <c r="B53" s="87">
        <v>8</v>
      </c>
      <c r="C53" s="87">
        <f t="shared" si="31"/>
        <v>2.35</v>
      </c>
      <c r="D53" s="87">
        <f t="shared" si="32"/>
        <v>2.35E-2</v>
      </c>
      <c r="E53" s="157">
        <v>78125</v>
      </c>
      <c r="F53" s="157"/>
      <c r="G53" s="93">
        <f t="shared" si="28"/>
        <v>1835.9375</v>
      </c>
      <c r="H53" s="88">
        <f t="shared" si="24"/>
        <v>705</v>
      </c>
      <c r="I53" s="89">
        <f t="shared" si="29"/>
        <v>55078125</v>
      </c>
      <c r="J53" s="89">
        <f t="shared" si="30"/>
        <v>55078125</v>
      </c>
      <c r="K53" s="89">
        <f t="shared" si="25"/>
        <v>55078125</v>
      </c>
      <c r="L53" s="81">
        <v>8</v>
      </c>
      <c r="M53" s="82">
        <f t="shared" si="33"/>
        <v>5.9536293749979275E-4</v>
      </c>
      <c r="Q53" s="90">
        <v>8</v>
      </c>
      <c r="R53" s="91">
        <v>7.5</v>
      </c>
      <c r="S53">
        <v>2.35</v>
      </c>
      <c r="T53" s="92">
        <v>7</v>
      </c>
      <c r="U53" s="92">
        <v>72</v>
      </c>
      <c r="W53">
        <v>100</v>
      </c>
      <c r="X53">
        <v>51</v>
      </c>
      <c r="Y53" s="15">
        <v>931</v>
      </c>
      <c r="Z53" s="15">
        <v>3.0250000000000001E+46</v>
      </c>
      <c r="AA53" s="13">
        <v>31.67539267015707</v>
      </c>
    </row>
    <row r="54" spans="2:27">
      <c r="B54" s="94">
        <v>9</v>
      </c>
      <c r="C54" s="94">
        <f t="shared" si="31"/>
        <v>3.8360000000000003</v>
      </c>
      <c r="D54" s="94">
        <f t="shared" si="32"/>
        <v>3.8360000000000005E-2</v>
      </c>
      <c r="E54" s="156">
        <v>390625</v>
      </c>
      <c r="F54" s="156"/>
      <c r="G54" s="95">
        <f t="shared" si="28"/>
        <v>14984.375000000002</v>
      </c>
      <c r="H54" s="96">
        <f t="shared" si="24"/>
        <v>1150.8000000000002</v>
      </c>
      <c r="I54" s="34">
        <f t="shared" si="29"/>
        <v>449531250.00000006</v>
      </c>
      <c r="J54" s="34">
        <f t="shared" si="30"/>
        <v>449531250.00000006</v>
      </c>
      <c r="K54" s="34">
        <f t="shared" si="25"/>
        <v>449531250.00000006</v>
      </c>
      <c r="L54" s="81">
        <v>9</v>
      </c>
      <c r="M54" s="82">
        <f t="shared" si="33"/>
        <v>2.9768146874989639E-3</v>
      </c>
      <c r="Q54" s="34">
        <v>9</v>
      </c>
      <c r="R54" s="97">
        <v>5.4</v>
      </c>
      <c r="S54">
        <v>3.8360000000000003</v>
      </c>
      <c r="T54" s="98">
        <v>6</v>
      </c>
      <c r="U54" s="98">
        <v>90</v>
      </c>
      <c r="W54">
        <v>400</v>
      </c>
      <c r="X54">
        <v>52</v>
      </c>
      <c r="Y54" s="15">
        <v>932</v>
      </c>
      <c r="Z54" s="15">
        <v>3.2499999999999995E+46</v>
      </c>
      <c r="AA54" s="13">
        <v>34.031413612565444</v>
      </c>
    </row>
    <row r="55" spans="2:27">
      <c r="B55" s="94">
        <v>10</v>
      </c>
      <c r="C55" s="94">
        <f t="shared" si="31"/>
        <v>2.8769999999999998</v>
      </c>
      <c r="D55" s="94">
        <f t="shared" si="32"/>
        <v>2.8769999999999997E-2</v>
      </c>
      <c r="E55" s="158">
        <v>1953125</v>
      </c>
      <c r="F55" s="158"/>
      <c r="G55" s="95">
        <f t="shared" si="28"/>
        <v>56191.406249999993</v>
      </c>
      <c r="H55" s="96">
        <f t="shared" si="24"/>
        <v>863.09999999999991</v>
      </c>
      <c r="I55" s="34">
        <f t="shared" si="29"/>
        <v>1685742187.4999998</v>
      </c>
      <c r="J55" s="34">
        <f t="shared" si="30"/>
        <v>1685742187.4999998</v>
      </c>
      <c r="K55" s="34">
        <f t="shared" si="25"/>
        <v>1685742187.4999998</v>
      </c>
      <c r="L55" s="81">
        <v>10</v>
      </c>
      <c r="M55" s="82">
        <f t="shared" si="33"/>
        <v>1.4884073437494819E-2</v>
      </c>
      <c r="Q55" s="34">
        <v>10</v>
      </c>
      <c r="R55" s="97">
        <v>3.4</v>
      </c>
      <c r="S55">
        <v>2.8769999999999998</v>
      </c>
      <c r="T55" s="98">
        <v>5</v>
      </c>
      <c r="U55" s="98">
        <v>150</v>
      </c>
      <c r="X55">
        <v>53</v>
      </c>
      <c r="Y55" s="15">
        <v>933</v>
      </c>
      <c r="Z55" s="15">
        <v>3.475E+46</v>
      </c>
      <c r="AA55" s="13">
        <v>36.387434554973822</v>
      </c>
    </row>
    <row r="56" spans="2:27">
      <c r="B56" s="94">
        <v>11</v>
      </c>
      <c r="C56" s="94">
        <f t="shared" si="31"/>
        <v>1.9180000000000001</v>
      </c>
      <c r="D56" s="94">
        <f t="shared" si="32"/>
        <v>1.9180000000000003E-2</v>
      </c>
      <c r="E56" s="158">
        <v>9765625</v>
      </c>
      <c r="F56" s="158"/>
      <c r="G56" s="95">
        <f t="shared" si="28"/>
        <v>187304.68750000003</v>
      </c>
      <c r="H56" s="96">
        <f t="shared" si="24"/>
        <v>575.40000000000009</v>
      </c>
      <c r="I56" s="34">
        <f t="shared" si="29"/>
        <v>5619140625.000001</v>
      </c>
      <c r="J56" s="34">
        <f t="shared" si="30"/>
        <v>5619140625.000001</v>
      </c>
      <c r="K56" s="34">
        <f t="shared" si="25"/>
        <v>5619140625.000001</v>
      </c>
      <c r="L56" s="81">
        <v>11</v>
      </c>
      <c r="M56" s="82">
        <f t="shared" si="33"/>
        <v>7.4420367187474093E-2</v>
      </c>
      <c r="Q56" s="34">
        <v>11</v>
      </c>
      <c r="R56" s="97">
        <v>2.8</v>
      </c>
      <c r="S56">
        <v>1.9180000000000001</v>
      </c>
      <c r="T56" s="98">
        <v>4</v>
      </c>
      <c r="U56" s="98">
        <v>200</v>
      </c>
      <c r="X56">
        <v>54</v>
      </c>
      <c r="Y56" s="15">
        <v>934</v>
      </c>
      <c r="Z56" s="15">
        <v>3.6999999999999999E+46</v>
      </c>
      <c r="AA56" s="13">
        <v>38.7434554973822</v>
      </c>
    </row>
    <row r="57" spans="2:27">
      <c r="B57" s="94">
        <v>12</v>
      </c>
      <c r="C57" s="94">
        <f t="shared" si="31"/>
        <v>0.95900000000000007</v>
      </c>
      <c r="D57" s="94">
        <f t="shared" si="32"/>
        <v>9.5900000000000013E-3</v>
      </c>
      <c r="E57" s="158">
        <v>48828125</v>
      </c>
      <c r="F57" s="158"/>
      <c r="G57" s="95">
        <f t="shared" si="28"/>
        <v>468261.71875000006</v>
      </c>
      <c r="H57" s="96">
        <f t="shared" si="24"/>
        <v>287.70000000000005</v>
      </c>
      <c r="I57" s="34">
        <f t="shared" si="29"/>
        <v>14047851562.500002</v>
      </c>
      <c r="J57" s="34">
        <f t="shared" si="30"/>
        <v>14047851562.500002</v>
      </c>
      <c r="K57" s="34">
        <f t="shared" si="25"/>
        <v>14047851562.500002</v>
      </c>
      <c r="L57" s="81">
        <v>12</v>
      </c>
      <c r="M57" s="82">
        <f t="shared" si="33"/>
        <v>0.37210183593737045</v>
      </c>
      <c r="Q57" s="34">
        <v>12</v>
      </c>
      <c r="R57" s="97">
        <v>1.9</v>
      </c>
      <c r="S57">
        <v>0.95900000000000007</v>
      </c>
      <c r="T57" s="98">
        <v>3</v>
      </c>
      <c r="U57" s="98">
        <v>300</v>
      </c>
      <c r="X57">
        <v>55</v>
      </c>
      <c r="Y57" s="15">
        <v>935</v>
      </c>
      <c r="Z57" s="15">
        <v>3.9249999999999998E+46</v>
      </c>
      <c r="AA57" s="13">
        <v>41.099476439790578</v>
      </c>
    </row>
    <row r="58" spans="2:27">
      <c r="B58" s="99">
        <v>13</v>
      </c>
      <c r="C58" s="99">
        <f t="shared" si="31"/>
        <v>0.2</v>
      </c>
      <c r="D58" s="99">
        <f t="shared" si="32"/>
        <v>2E-3</v>
      </c>
      <c r="E58" s="159">
        <v>244140625</v>
      </c>
      <c r="F58" s="159"/>
      <c r="G58" s="100">
        <f t="shared" si="28"/>
        <v>488281.25</v>
      </c>
      <c r="H58" s="101">
        <f t="shared" si="24"/>
        <v>60</v>
      </c>
      <c r="I58" s="40">
        <f t="shared" si="29"/>
        <v>14648437500</v>
      </c>
      <c r="J58" s="40">
        <f t="shared" si="30"/>
        <v>14648437500</v>
      </c>
      <c r="K58" s="40">
        <f t="shared" si="25"/>
        <v>14648437500</v>
      </c>
      <c r="L58" s="81">
        <v>13</v>
      </c>
      <c r="M58" s="82">
        <f t="shared" si="33"/>
        <v>1.8605091796868523</v>
      </c>
      <c r="Q58" s="102">
        <v>13</v>
      </c>
      <c r="R58" s="103">
        <v>0.8</v>
      </c>
      <c r="S58">
        <v>0.2</v>
      </c>
      <c r="T58" s="104">
        <v>1</v>
      </c>
      <c r="U58" s="104">
        <v>450</v>
      </c>
      <c r="X58">
        <v>56</v>
      </c>
      <c r="Y58" s="15">
        <v>936</v>
      </c>
      <c r="Z58" s="15">
        <v>4.1500000000000003E+46</v>
      </c>
      <c r="AA58" s="13">
        <v>43.455497382198956</v>
      </c>
    </row>
    <row r="59" spans="2:27">
      <c r="B59" s="99">
        <v>14</v>
      </c>
      <c r="C59" s="99">
        <f t="shared" si="31"/>
        <v>0.15</v>
      </c>
      <c r="D59" s="99">
        <f t="shared" si="32"/>
        <v>1.5E-3</v>
      </c>
      <c r="E59" s="159">
        <v>1220703125</v>
      </c>
      <c r="F59" s="159"/>
      <c r="G59" s="105">
        <f t="shared" si="28"/>
        <v>1831054.6875</v>
      </c>
      <c r="H59" s="101">
        <f t="shared" si="24"/>
        <v>45</v>
      </c>
      <c r="I59" s="40">
        <f t="shared" si="29"/>
        <v>54931640625</v>
      </c>
      <c r="J59" s="40">
        <f t="shared" si="30"/>
        <v>54931640625</v>
      </c>
      <c r="K59" s="40">
        <f t="shared" si="25"/>
        <v>54931640625</v>
      </c>
      <c r="L59" s="81">
        <v>14</v>
      </c>
      <c r="M59" s="82">
        <f t="shared" si="33"/>
        <v>9.3025458984342624</v>
      </c>
      <c r="Q59" s="102">
        <v>14</v>
      </c>
      <c r="R59" s="103">
        <v>0.3</v>
      </c>
      <c r="S59">
        <v>0.15</v>
      </c>
      <c r="T59" s="104">
        <v>0.7</v>
      </c>
      <c r="U59" s="104">
        <v>800</v>
      </c>
      <c r="X59">
        <v>57</v>
      </c>
      <c r="Y59" s="15">
        <v>937</v>
      </c>
      <c r="Z59" s="15">
        <v>4.3749999999999997E+46</v>
      </c>
      <c r="AA59" s="13">
        <v>45.811518324607327</v>
      </c>
    </row>
    <row r="60" spans="2:27">
      <c r="B60" s="99">
        <v>15</v>
      </c>
      <c r="C60" s="99">
        <f t="shared" si="31"/>
        <v>0.1</v>
      </c>
      <c r="D60" s="99">
        <f t="shared" si="32"/>
        <v>1E-3</v>
      </c>
      <c r="E60" s="159">
        <v>6103515625</v>
      </c>
      <c r="F60" s="159"/>
      <c r="G60" s="105">
        <f t="shared" si="28"/>
        <v>6103515.625</v>
      </c>
      <c r="H60" s="101">
        <f t="shared" si="24"/>
        <v>30</v>
      </c>
      <c r="I60" s="40">
        <f t="shared" si="29"/>
        <v>183105468750</v>
      </c>
      <c r="J60" s="40">
        <f t="shared" si="30"/>
        <v>183105468750</v>
      </c>
      <c r="K60" s="40">
        <f t="shared" si="25"/>
        <v>183105468750</v>
      </c>
      <c r="L60" s="81">
        <v>15</v>
      </c>
      <c r="M60" s="106">
        <f t="shared" si="33"/>
        <v>46.51272949217131</v>
      </c>
      <c r="Q60" s="102">
        <v>15</v>
      </c>
      <c r="R60" s="103">
        <v>0.15</v>
      </c>
      <c r="S60">
        <v>0.1</v>
      </c>
      <c r="T60" s="104">
        <v>0.5</v>
      </c>
      <c r="U60" s="104">
        <v>1100</v>
      </c>
      <c r="X60">
        <v>58</v>
      </c>
      <c r="Y60" s="15">
        <v>938</v>
      </c>
      <c r="Z60" s="15">
        <v>4.6000000000000001E+46</v>
      </c>
      <c r="AA60" s="13">
        <v>48.167539267015712</v>
      </c>
    </row>
    <row r="61" spans="2:27">
      <c r="B61" s="99">
        <v>16</v>
      </c>
      <c r="C61" s="99">
        <f t="shared" si="31"/>
        <v>0.05</v>
      </c>
      <c r="D61" s="99">
        <f t="shared" si="32"/>
        <v>5.0000000000000001E-4</v>
      </c>
      <c r="E61" s="159">
        <v>30517578125</v>
      </c>
      <c r="F61" s="159"/>
      <c r="G61" s="105">
        <f t="shared" si="28"/>
        <v>15258789.0625</v>
      </c>
      <c r="H61" s="101">
        <f t="shared" si="24"/>
        <v>15</v>
      </c>
      <c r="I61" s="40">
        <f t="shared" si="29"/>
        <v>457763671875</v>
      </c>
      <c r="J61" s="40">
        <f t="shared" si="30"/>
        <v>457763671875</v>
      </c>
      <c r="K61" s="40">
        <f t="shared" si="25"/>
        <v>457763671875</v>
      </c>
      <c r="L61" s="81">
        <v>16</v>
      </c>
      <c r="M61" s="106">
        <f t="shared" si="33"/>
        <v>232.56364746085654</v>
      </c>
      <c r="Q61" s="102">
        <v>16</v>
      </c>
      <c r="R61" s="103">
        <v>0.12</v>
      </c>
      <c r="S61">
        <v>0.05</v>
      </c>
      <c r="T61" s="104">
        <v>0.1</v>
      </c>
      <c r="U61" s="104">
        <v>1500</v>
      </c>
      <c r="X61">
        <v>59</v>
      </c>
      <c r="Y61" s="15">
        <v>939</v>
      </c>
      <c r="Z61" s="15">
        <v>4.8250000000000006E+46</v>
      </c>
      <c r="AA61" s="13">
        <v>50.52356020942409</v>
      </c>
    </row>
    <row r="62" spans="2:27">
      <c r="B62" s="107">
        <v>17</v>
      </c>
      <c r="C62" s="107">
        <f t="shared" si="31"/>
        <v>5.0000000000000001E-3</v>
      </c>
      <c r="D62" s="107">
        <f t="shared" si="32"/>
        <v>5.0000000000000002E-5</v>
      </c>
      <c r="E62" s="160">
        <v>152587890625</v>
      </c>
      <c r="F62" s="160"/>
      <c r="G62" s="108">
        <f t="shared" si="28"/>
        <v>7629394.53125</v>
      </c>
      <c r="H62" s="109">
        <f t="shared" si="24"/>
        <v>1.5</v>
      </c>
      <c r="I62" s="46">
        <f t="shared" si="29"/>
        <v>228881835937.5</v>
      </c>
      <c r="J62" s="46">
        <f t="shared" si="30"/>
        <v>228881835937.5</v>
      </c>
      <c r="K62" s="46">
        <f t="shared" si="25"/>
        <v>228881835937.5</v>
      </c>
      <c r="L62" s="81">
        <v>17</v>
      </c>
      <c r="M62" s="106">
        <f t="shared" si="33"/>
        <v>1162.8182373042828</v>
      </c>
      <c r="Q62" s="110">
        <v>17</v>
      </c>
      <c r="R62" s="111">
        <v>0.04</v>
      </c>
      <c r="S62">
        <v>5.0000000000000001E-3</v>
      </c>
      <c r="T62" s="112">
        <v>0.03</v>
      </c>
      <c r="U62" s="112">
        <v>2000</v>
      </c>
      <c r="X62">
        <v>60</v>
      </c>
      <c r="Y62" s="15">
        <v>940</v>
      </c>
      <c r="Z62" s="15">
        <v>5.05E+46</v>
      </c>
      <c r="AA62" s="13">
        <v>52.879581151832461</v>
      </c>
    </row>
    <row r="63" spans="2:27">
      <c r="B63" s="107">
        <v>18</v>
      </c>
      <c r="C63" s="107">
        <f t="shared" si="31"/>
        <v>3.0000000000000001E-3</v>
      </c>
      <c r="D63" s="107">
        <f t="shared" si="32"/>
        <v>3.0000000000000001E-5</v>
      </c>
      <c r="E63" s="160">
        <v>762939453125</v>
      </c>
      <c r="F63" s="160"/>
      <c r="G63" s="108">
        <f t="shared" si="28"/>
        <v>22888183.59375</v>
      </c>
      <c r="H63" s="109">
        <f t="shared" si="24"/>
        <v>0.9</v>
      </c>
      <c r="I63" s="46">
        <f t="shared" si="29"/>
        <v>686645507812.5</v>
      </c>
      <c r="J63" s="46">
        <f t="shared" si="30"/>
        <v>686645507812.5</v>
      </c>
      <c r="K63" s="46">
        <f t="shared" si="25"/>
        <v>686645507812.5</v>
      </c>
      <c r="L63" s="81">
        <v>18</v>
      </c>
      <c r="M63" s="106">
        <f t="shared" si="33"/>
        <v>5814.0911865214139</v>
      </c>
      <c r="Q63" s="110">
        <v>18</v>
      </c>
      <c r="R63" s="111">
        <v>0.02</v>
      </c>
      <c r="S63">
        <v>3.0000000000000001E-3</v>
      </c>
      <c r="T63" s="112">
        <v>0.02</v>
      </c>
      <c r="U63" s="112">
        <v>3000</v>
      </c>
      <c r="X63">
        <v>61</v>
      </c>
      <c r="Y63" s="15">
        <v>941</v>
      </c>
      <c r="Z63" s="15">
        <v>5.2749999999999994E+46</v>
      </c>
      <c r="AA63" s="13">
        <v>55.235602094240832</v>
      </c>
    </row>
    <row r="64" spans="2:27">
      <c r="B64" s="107">
        <v>19</v>
      </c>
      <c r="C64" s="107">
        <f t="shared" si="31"/>
        <v>2E-3</v>
      </c>
      <c r="D64" s="107">
        <f t="shared" si="32"/>
        <v>2.0000000000000002E-5</v>
      </c>
      <c r="E64" s="160">
        <v>3814697265625</v>
      </c>
      <c r="F64" s="160"/>
      <c r="G64" s="108">
        <f t="shared" si="28"/>
        <v>76293945.3125</v>
      </c>
      <c r="H64" s="109">
        <f t="shared" si="24"/>
        <v>0.60000000000000009</v>
      </c>
      <c r="I64" s="46">
        <f t="shared" si="29"/>
        <v>2288818359375.0005</v>
      </c>
      <c r="J64" s="46">
        <f t="shared" si="30"/>
        <v>2288818359375.0005</v>
      </c>
      <c r="K64" s="46">
        <f>E64*H64</f>
        <v>2288818359375.0005</v>
      </c>
      <c r="L64" s="81">
        <v>19</v>
      </c>
      <c r="M64" s="106">
        <f>E64/G$66</f>
        <v>29070.455932607067</v>
      </c>
      <c r="Q64" s="110">
        <v>19</v>
      </c>
      <c r="R64" s="111">
        <v>0.01</v>
      </c>
      <c r="S64">
        <v>2E-3</v>
      </c>
      <c r="T64" s="112">
        <v>0.01</v>
      </c>
      <c r="U64" s="112">
        <v>4500</v>
      </c>
      <c r="X64">
        <v>62</v>
      </c>
      <c r="Y64" s="15">
        <v>942</v>
      </c>
      <c r="Z64" s="15">
        <v>5.4999999999999998E+46</v>
      </c>
      <c r="AA64" s="13">
        <v>57.591623036649217</v>
      </c>
    </row>
    <row r="65" spans="2:27" ht="17.25" thickBot="1">
      <c r="B65" s="107">
        <v>20</v>
      </c>
      <c r="C65" s="107">
        <f t="shared" si="31"/>
        <v>0</v>
      </c>
      <c r="D65" s="107">
        <f t="shared" si="32"/>
        <v>0</v>
      </c>
      <c r="E65" s="161">
        <v>19073486328125</v>
      </c>
      <c r="F65" s="161"/>
      <c r="G65" s="107">
        <f t="shared" si="28"/>
        <v>0</v>
      </c>
      <c r="H65" s="109">
        <f t="shared" si="24"/>
        <v>0</v>
      </c>
      <c r="I65" s="46">
        <f t="shared" si="29"/>
        <v>0</v>
      </c>
      <c r="J65" s="46">
        <f>SUM(J46:J64)</f>
        <v>3936674341608.334</v>
      </c>
      <c r="K65" s="46">
        <f>E65*H65</f>
        <v>0</v>
      </c>
      <c r="L65" s="81"/>
      <c r="M65" s="81"/>
      <c r="Q65" s="110">
        <v>20</v>
      </c>
      <c r="R65" s="113">
        <v>0</v>
      </c>
      <c r="S65">
        <v>0</v>
      </c>
      <c r="T65" s="114">
        <v>0</v>
      </c>
      <c r="U65" s="114">
        <v>0</v>
      </c>
      <c r="X65">
        <v>63</v>
      </c>
      <c r="Y65" s="15">
        <v>943</v>
      </c>
      <c r="Z65" s="15">
        <v>5.7250000000000003E+46</v>
      </c>
      <c r="AA65" s="13">
        <v>59.947643979057595</v>
      </c>
    </row>
    <row r="66" spans="2:27">
      <c r="B66" s="115" t="s">
        <v>149</v>
      </c>
      <c r="C66" s="115" t="s">
        <v>149</v>
      </c>
      <c r="D66" s="115" t="s">
        <v>149</v>
      </c>
      <c r="E66" s="155" t="s">
        <v>149</v>
      </c>
      <c r="F66" s="155"/>
      <c r="G66" s="116">
        <f>SUM(G46:G64)</f>
        <v>131222478.05361111</v>
      </c>
      <c r="I66" s="117">
        <f>SUM(I46:I64)</f>
        <v>3936674341608.334</v>
      </c>
      <c r="Q66" s="117">
        <v>21</v>
      </c>
      <c r="R66" s="117">
        <v>0</v>
      </c>
      <c r="S66" s="117">
        <v>0</v>
      </c>
      <c r="T66" s="117">
        <v>0</v>
      </c>
      <c r="U66" s="117">
        <v>0</v>
      </c>
      <c r="X66">
        <v>64</v>
      </c>
      <c r="Y66" s="15">
        <v>944</v>
      </c>
      <c r="Z66" s="15">
        <v>5.9500000000000007E+46</v>
      </c>
      <c r="AA66" s="13">
        <v>62.30366492146598</v>
      </c>
    </row>
    <row r="67" spans="2:27">
      <c r="F67" t="s">
        <v>202</v>
      </c>
      <c r="G67" s="70">
        <f>E64/G66</f>
        <v>29070.455932607067</v>
      </c>
      <c r="H67" t="s">
        <v>203</v>
      </c>
      <c r="I67" s="118">
        <f>I66/E64</f>
        <v>1.0319755586065751</v>
      </c>
      <c r="J67" t="s">
        <v>149</v>
      </c>
      <c r="Q67" s="117">
        <v>22</v>
      </c>
      <c r="R67" s="117">
        <v>0</v>
      </c>
      <c r="S67" s="117">
        <v>0</v>
      </c>
      <c r="T67" s="117">
        <v>0</v>
      </c>
      <c r="U67" s="117">
        <v>0</v>
      </c>
      <c r="X67">
        <v>65</v>
      </c>
      <c r="Y67" s="15">
        <v>945</v>
      </c>
      <c r="Z67" s="15">
        <v>6.1750000000000001E+46</v>
      </c>
      <c r="AA67" s="13">
        <v>64.659685863874344</v>
      </c>
    </row>
    <row r="68" spans="2:27">
      <c r="K68" t="s">
        <v>149</v>
      </c>
      <c r="X68">
        <v>66</v>
      </c>
      <c r="Y68" s="15">
        <v>946</v>
      </c>
      <c r="Z68" s="15">
        <v>6.3999999999999996E+46</v>
      </c>
      <c r="AA68" s="13">
        <v>67.015706806282722</v>
      </c>
    </row>
    <row r="69" spans="2:27">
      <c r="X69">
        <v>67</v>
      </c>
      <c r="Y69" s="15">
        <v>947</v>
      </c>
      <c r="Z69" s="15">
        <v>6.625000000000001E+46</v>
      </c>
      <c r="AA69" s="13">
        <v>69.371727748691114</v>
      </c>
    </row>
    <row r="70" spans="2:27">
      <c r="K70" t="s">
        <v>149</v>
      </c>
      <c r="X70">
        <v>68</v>
      </c>
      <c r="Y70" s="15">
        <v>948</v>
      </c>
      <c r="Z70" s="15">
        <v>6.8500000000000004E+46</v>
      </c>
      <c r="AA70" s="13">
        <v>71.727748691099478</v>
      </c>
    </row>
    <row r="71" spans="2:27">
      <c r="J71" s="89" t="s">
        <v>204</v>
      </c>
      <c r="K71" s="119" t="s">
        <v>0</v>
      </c>
      <c r="L71" s="120">
        <v>6000000</v>
      </c>
      <c r="M71" t="s">
        <v>179</v>
      </c>
      <c r="N71" s="11">
        <f>L71/V44</f>
        <v>1072727.2727272727</v>
      </c>
      <c r="X71">
        <v>69</v>
      </c>
      <c r="Y71" s="15">
        <v>949</v>
      </c>
      <c r="Z71" s="15">
        <v>7.0749999999999998E+46</v>
      </c>
      <c r="AA71" s="13">
        <v>74.083769633507856</v>
      </c>
    </row>
    <row r="72" spans="2:27">
      <c r="B72" t="s">
        <v>149</v>
      </c>
      <c r="J72" s="121">
        <v>100</v>
      </c>
      <c r="K72" s="119" t="s">
        <v>177</v>
      </c>
      <c r="L72" s="120">
        <f>L71/J72</f>
        <v>60000</v>
      </c>
      <c r="M72" t="s">
        <v>178</v>
      </c>
      <c r="N72" s="11">
        <f>L71/V42</f>
        <v>5205882.3529411759</v>
      </c>
      <c r="X72">
        <v>70</v>
      </c>
      <c r="Y72" s="15">
        <v>950</v>
      </c>
      <c r="Z72" s="15">
        <v>7.3000000000000003E+46</v>
      </c>
      <c r="AA72" s="13">
        <v>76.439790575916234</v>
      </c>
    </row>
    <row r="73" spans="2:27">
      <c r="C73" t="s">
        <v>24</v>
      </c>
      <c r="M73" t="s">
        <v>205</v>
      </c>
      <c r="N73">
        <v>21</v>
      </c>
      <c r="X73">
        <v>71</v>
      </c>
      <c r="Y73" s="15">
        <v>951</v>
      </c>
      <c r="Z73" s="15">
        <v>7.5249999999999997E+46</v>
      </c>
      <c r="AA73" s="13">
        <v>78.795811518324612</v>
      </c>
    </row>
    <row r="74" spans="2:27">
      <c r="H74" t="s">
        <v>206</v>
      </c>
      <c r="I74" t="s">
        <v>207</v>
      </c>
      <c r="K74" t="s">
        <v>208</v>
      </c>
      <c r="M74" t="s">
        <v>209</v>
      </c>
      <c r="N74" t="s">
        <v>210</v>
      </c>
      <c r="X74">
        <v>72</v>
      </c>
      <c r="Y74" s="15">
        <v>952</v>
      </c>
      <c r="Z74" s="15">
        <v>7.7500000000000001E+46</v>
      </c>
      <c r="AA74" s="13">
        <v>81.15183246073299</v>
      </c>
    </row>
    <row r="75" spans="2:27">
      <c r="B75" s="18" t="s">
        <v>144</v>
      </c>
      <c r="C75" s="122">
        <v>10.56</v>
      </c>
      <c r="D75" s="18">
        <v>1</v>
      </c>
      <c r="E75" s="18" t="s">
        <v>12</v>
      </c>
      <c r="F75" s="18">
        <f>C75</f>
        <v>10.56</v>
      </c>
      <c r="G75" s="22">
        <v>0.4</v>
      </c>
      <c r="H75">
        <f t="shared" ref="H75:H97" si="34">G75*F75</f>
        <v>4.2240000000000002</v>
      </c>
      <c r="I75" s="22">
        <f t="shared" ref="I75:I98" si="35">F75*G75/100</f>
        <v>4.224E-2</v>
      </c>
      <c r="J75" s="18">
        <v>1</v>
      </c>
      <c r="K75" s="18"/>
      <c r="L75" s="18">
        <f t="shared" ref="L75:L98" si="36">I75*J75</f>
        <v>4.224E-2</v>
      </c>
      <c r="M75" s="18">
        <f t="shared" ref="M75:M98" si="37">I75*L$72</f>
        <v>2534.4</v>
      </c>
      <c r="N75" s="18">
        <f t="shared" ref="N75:N98" si="38">J75*M75</f>
        <v>2534.4</v>
      </c>
      <c r="O75" s="18">
        <f t="shared" ref="O75:O98" si="39">N75/VLOOKUP(N$73,D$75:L$98,6,FALSE)*IF(D75&gt;N$73,0,1)</f>
        <v>63360000</v>
      </c>
      <c r="X75">
        <v>73</v>
      </c>
      <c r="Y75" s="15">
        <v>953</v>
      </c>
      <c r="Z75" s="15">
        <v>7.9750000000000006E+46</v>
      </c>
      <c r="AA75" s="13">
        <v>83.507853403141368</v>
      </c>
    </row>
    <row r="76" spans="2:27">
      <c r="B76" s="117" t="s">
        <v>13</v>
      </c>
      <c r="C76" s="123">
        <v>55.84</v>
      </c>
      <c r="D76" s="18">
        <v>2</v>
      </c>
      <c r="E76" s="18"/>
      <c r="F76" s="18">
        <f>F$75</f>
        <v>10.56</v>
      </c>
      <c r="G76" s="22">
        <v>0.3</v>
      </c>
      <c r="H76">
        <f t="shared" si="34"/>
        <v>3.1680000000000001</v>
      </c>
      <c r="I76" s="22">
        <f t="shared" si="35"/>
        <v>3.168E-2</v>
      </c>
      <c r="J76" s="18">
        <v>5</v>
      </c>
      <c r="K76" s="18"/>
      <c r="L76" s="18">
        <f t="shared" si="36"/>
        <v>0.15839999999999999</v>
      </c>
      <c r="M76" s="18">
        <f t="shared" si="37"/>
        <v>1900.8</v>
      </c>
      <c r="N76" s="18">
        <f t="shared" si="38"/>
        <v>9504</v>
      </c>
      <c r="O76" s="18">
        <f t="shared" si="39"/>
        <v>237599999.99999997</v>
      </c>
      <c r="X76">
        <v>74</v>
      </c>
      <c r="Y76" s="15">
        <v>954</v>
      </c>
      <c r="Z76" s="15">
        <v>8.199999999999999E+46</v>
      </c>
      <c r="AA76" s="13">
        <v>85.863874345549732</v>
      </c>
    </row>
    <row r="77" spans="2:27">
      <c r="B77" s="89" t="s">
        <v>14</v>
      </c>
      <c r="C77" s="124">
        <v>23.5</v>
      </c>
      <c r="D77" s="18">
        <v>3</v>
      </c>
      <c r="E77" s="18"/>
      <c r="F77" s="18">
        <f>F$75</f>
        <v>10.56</v>
      </c>
      <c r="G77" s="22">
        <v>0.2</v>
      </c>
      <c r="H77">
        <f t="shared" si="34"/>
        <v>2.1120000000000001</v>
      </c>
      <c r="I77" s="22">
        <f t="shared" si="35"/>
        <v>2.112E-2</v>
      </c>
      <c r="J77" s="18">
        <v>25</v>
      </c>
      <c r="K77" s="18"/>
      <c r="L77" s="18">
        <f t="shared" si="36"/>
        <v>0.52800000000000002</v>
      </c>
      <c r="M77" s="18">
        <f t="shared" si="37"/>
        <v>1267.2</v>
      </c>
      <c r="N77" s="18">
        <f t="shared" si="38"/>
        <v>31680</v>
      </c>
      <c r="O77" s="18">
        <f t="shared" si="39"/>
        <v>791999999.99999988</v>
      </c>
      <c r="X77">
        <v>75</v>
      </c>
      <c r="Y77" s="15">
        <v>955</v>
      </c>
      <c r="Z77" s="15">
        <v>8.4250000000000004E+46</v>
      </c>
      <c r="AA77" s="13">
        <v>88.219895287958124</v>
      </c>
    </row>
    <row r="78" spans="2:27">
      <c r="B78" s="34" t="s">
        <v>15</v>
      </c>
      <c r="C78" s="125">
        <v>9.59</v>
      </c>
      <c r="D78" s="18">
        <v>4</v>
      </c>
      <c r="E78" s="18"/>
      <c r="F78" s="18">
        <f>F$75</f>
        <v>10.56</v>
      </c>
      <c r="G78" s="22">
        <v>0.1</v>
      </c>
      <c r="H78">
        <f t="shared" si="34"/>
        <v>1.056</v>
      </c>
      <c r="I78" s="22">
        <f t="shared" si="35"/>
        <v>1.056E-2</v>
      </c>
      <c r="J78" s="18">
        <v>125</v>
      </c>
      <c r="K78" s="18"/>
      <c r="L78" s="18">
        <f t="shared" si="36"/>
        <v>1.32</v>
      </c>
      <c r="M78" s="18">
        <f t="shared" si="37"/>
        <v>633.6</v>
      </c>
      <c r="N78" s="18">
        <f t="shared" si="38"/>
        <v>79200</v>
      </c>
      <c r="O78" s="18">
        <f t="shared" si="39"/>
        <v>1979999999.9999998</v>
      </c>
      <c r="X78">
        <v>76</v>
      </c>
      <c r="Y78" s="15">
        <v>956</v>
      </c>
      <c r="Z78" s="15">
        <v>8.6499999999999988E+46</v>
      </c>
      <c r="AA78" s="13">
        <v>90.575916230366488</v>
      </c>
    </row>
    <row r="79" spans="2:27">
      <c r="B79" s="40" t="s">
        <v>16</v>
      </c>
      <c r="C79" s="126">
        <v>0.5</v>
      </c>
      <c r="D79" s="73">
        <v>5</v>
      </c>
      <c r="E79" s="73" t="s">
        <v>13</v>
      </c>
      <c r="F79" s="73">
        <f>C76</f>
        <v>55.84</v>
      </c>
      <c r="G79" s="127">
        <v>0.4</v>
      </c>
      <c r="H79">
        <f t="shared" si="34"/>
        <v>22.336000000000002</v>
      </c>
      <c r="I79" s="127">
        <f t="shared" si="35"/>
        <v>0.22336000000000003</v>
      </c>
      <c r="J79" s="73">
        <v>625</v>
      </c>
      <c r="K79" s="73"/>
      <c r="L79" s="73">
        <f t="shared" si="36"/>
        <v>139.60000000000002</v>
      </c>
      <c r="M79" s="73">
        <f t="shared" si="37"/>
        <v>13401.600000000002</v>
      </c>
      <c r="N79" s="73">
        <f t="shared" si="38"/>
        <v>8376000.0000000009</v>
      </c>
      <c r="O79" s="73">
        <f t="shared" si="39"/>
        <v>209400000000</v>
      </c>
      <c r="X79">
        <v>77</v>
      </c>
      <c r="Y79" s="15">
        <v>957</v>
      </c>
      <c r="Z79" s="15">
        <v>8.8749999999999993E+46</v>
      </c>
      <c r="AA79" s="13">
        <v>92.931937172774866</v>
      </c>
    </row>
    <row r="80" spans="2:27">
      <c r="B80" s="46" t="s">
        <v>17</v>
      </c>
      <c r="C80" s="128">
        <v>0.01</v>
      </c>
      <c r="D80" s="73">
        <v>6</v>
      </c>
      <c r="E80" s="73"/>
      <c r="F80" s="73">
        <f>C76</f>
        <v>55.84</v>
      </c>
      <c r="G80" s="127">
        <v>0.3</v>
      </c>
      <c r="H80">
        <f t="shared" si="34"/>
        <v>16.751999999999999</v>
      </c>
      <c r="I80" s="127">
        <f t="shared" si="35"/>
        <v>0.16752</v>
      </c>
      <c r="J80" s="73">
        <v>3125</v>
      </c>
      <c r="K80" s="73"/>
      <c r="L80" s="73">
        <f t="shared" si="36"/>
        <v>523.5</v>
      </c>
      <c r="M80" s="73">
        <f t="shared" si="37"/>
        <v>10051.200000000001</v>
      </c>
      <c r="N80" s="73">
        <f t="shared" si="38"/>
        <v>31410000.000000004</v>
      </c>
      <c r="O80" s="73">
        <f t="shared" si="39"/>
        <v>785250000000</v>
      </c>
      <c r="X80">
        <v>78</v>
      </c>
      <c r="Y80" s="15">
        <v>958</v>
      </c>
      <c r="Z80" s="15">
        <v>9.0999999999999987E+46</v>
      </c>
      <c r="AA80" s="13">
        <v>95.28795811518323</v>
      </c>
    </row>
    <row r="81" spans="4:27">
      <c r="D81" s="73">
        <v>7</v>
      </c>
      <c r="E81" s="73"/>
      <c r="F81" s="73">
        <f>C76</f>
        <v>55.84</v>
      </c>
      <c r="G81" s="127">
        <v>0.2</v>
      </c>
      <c r="H81">
        <f t="shared" si="34"/>
        <v>11.168000000000001</v>
      </c>
      <c r="I81" s="127">
        <f t="shared" si="35"/>
        <v>0.11168000000000002</v>
      </c>
      <c r="J81" s="73">
        <v>15625</v>
      </c>
      <c r="K81" s="73"/>
      <c r="L81" s="73">
        <f t="shared" si="36"/>
        <v>1745.0000000000002</v>
      </c>
      <c r="M81" s="73">
        <f t="shared" si="37"/>
        <v>6700.8000000000011</v>
      </c>
      <c r="N81" s="73">
        <f t="shared" si="38"/>
        <v>104700000.00000001</v>
      </c>
      <c r="O81" s="73">
        <f t="shared" si="39"/>
        <v>2617500000000</v>
      </c>
      <c r="X81">
        <v>79</v>
      </c>
      <c r="Y81" s="15">
        <v>959</v>
      </c>
      <c r="Z81" s="15">
        <v>9.3249999999999991E+46</v>
      </c>
      <c r="AA81" s="13">
        <v>97.643979057591622</v>
      </c>
    </row>
    <row r="82" spans="4:27">
      <c r="D82" s="73">
        <v>8</v>
      </c>
      <c r="E82" s="73"/>
      <c r="F82" s="73">
        <f>C76</f>
        <v>55.84</v>
      </c>
      <c r="G82" s="127">
        <v>0.1</v>
      </c>
      <c r="H82">
        <f t="shared" si="34"/>
        <v>5.5840000000000005</v>
      </c>
      <c r="I82" s="127">
        <f t="shared" si="35"/>
        <v>5.5840000000000008E-2</v>
      </c>
      <c r="J82" s="73">
        <v>78125</v>
      </c>
      <c r="K82" s="73"/>
      <c r="L82" s="73">
        <f t="shared" si="36"/>
        <v>4362.5000000000009</v>
      </c>
      <c r="M82" s="73">
        <f t="shared" si="37"/>
        <v>3350.4000000000005</v>
      </c>
      <c r="N82" s="73">
        <f t="shared" si="38"/>
        <v>261750000.00000003</v>
      </c>
      <c r="O82" s="73">
        <f t="shared" si="39"/>
        <v>6543750000000</v>
      </c>
      <c r="X82">
        <v>80</v>
      </c>
      <c r="Y82" s="15">
        <v>960</v>
      </c>
      <c r="Z82" s="15">
        <v>9.5499999999999996E+46</v>
      </c>
      <c r="AA82" s="13">
        <v>100</v>
      </c>
    </row>
    <row r="83" spans="4:27">
      <c r="D83" s="90">
        <v>9</v>
      </c>
      <c r="E83" s="90" t="s">
        <v>14</v>
      </c>
      <c r="F83" s="90">
        <f>C77</f>
        <v>23.5</v>
      </c>
      <c r="G83" s="129">
        <v>0.4</v>
      </c>
      <c r="H83">
        <f t="shared" si="34"/>
        <v>9.4</v>
      </c>
      <c r="I83" s="129">
        <f t="shared" si="35"/>
        <v>9.4E-2</v>
      </c>
      <c r="J83" s="90">
        <v>390625</v>
      </c>
      <c r="K83" s="90"/>
      <c r="L83" s="90">
        <f t="shared" si="36"/>
        <v>36718.75</v>
      </c>
      <c r="M83" s="90">
        <f t="shared" si="37"/>
        <v>5640</v>
      </c>
      <c r="N83" s="90">
        <f t="shared" si="38"/>
        <v>2203125000</v>
      </c>
      <c r="O83" s="90">
        <f t="shared" si="39"/>
        <v>55078124999999.992</v>
      </c>
      <c r="X83">
        <v>81</v>
      </c>
      <c r="Y83" s="15">
        <v>961</v>
      </c>
      <c r="Z83" s="15">
        <v>9.775E+46</v>
      </c>
      <c r="AA83" s="13">
        <v>102.35602094240838</v>
      </c>
    </row>
    <row r="84" spans="4:27">
      <c r="D84" s="90">
        <v>10</v>
      </c>
      <c r="E84" s="90"/>
      <c r="F84" s="90">
        <f>C77</f>
        <v>23.5</v>
      </c>
      <c r="G84" s="129">
        <v>0.3</v>
      </c>
      <c r="H84">
        <f t="shared" si="34"/>
        <v>7.05</v>
      </c>
      <c r="I84" s="129">
        <f t="shared" si="35"/>
        <v>7.0499999999999993E-2</v>
      </c>
      <c r="J84" s="90">
        <v>1953125</v>
      </c>
      <c r="K84" s="90"/>
      <c r="L84" s="90">
        <f t="shared" si="36"/>
        <v>137695.3125</v>
      </c>
      <c r="M84" s="90">
        <f t="shared" si="37"/>
        <v>4230</v>
      </c>
      <c r="N84" s="90">
        <f t="shared" si="38"/>
        <v>8261718750</v>
      </c>
      <c r="O84" s="90">
        <f t="shared" si="39"/>
        <v>206542968749999.97</v>
      </c>
      <c r="X84">
        <v>82</v>
      </c>
      <c r="Y84" s="15">
        <v>962</v>
      </c>
      <c r="Z84" s="15">
        <v>1E+47</v>
      </c>
      <c r="AA84" s="13">
        <v>104.71204188481676</v>
      </c>
    </row>
    <row r="85" spans="4:27">
      <c r="D85" s="90">
        <v>11</v>
      </c>
      <c r="E85" s="90"/>
      <c r="F85" s="90">
        <f>C77</f>
        <v>23.5</v>
      </c>
      <c r="G85" s="129">
        <v>0.2</v>
      </c>
      <c r="H85">
        <f t="shared" si="34"/>
        <v>4.7</v>
      </c>
      <c r="I85" s="129">
        <f t="shared" si="35"/>
        <v>4.7E-2</v>
      </c>
      <c r="J85" s="90">
        <v>9765625</v>
      </c>
      <c r="K85" s="90"/>
      <c r="L85" s="90">
        <f t="shared" si="36"/>
        <v>458984.375</v>
      </c>
      <c r="M85" s="90">
        <f t="shared" si="37"/>
        <v>2820</v>
      </c>
      <c r="N85" s="90">
        <f t="shared" si="38"/>
        <v>27539062500</v>
      </c>
      <c r="O85" s="90">
        <f t="shared" si="39"/>
        <v>688476562500000</v>
      </c>
      <c r="X85">
        <v>83</v>
      </c>
      <c r="Y85" s="15">
        <v>963</v>
      </c>
      <c r="Z85" s="15">
        <v>1.2250000000000001E+47</v>
      </c>
      <c r="AA85" s="13">
        <v>128.27225130890054</v>
      </c>
    </row>
    <row r="86" spans="4:27">
      <c r="D86" s="90">
        <v>12</v>
      </c>
      <c r="E86" s="90"/>
      <c r="F86" s="90">
        <f>C77</f>
        <v>23.5</v>
      </c>
      <c r="G86" s="129">
        <v>0.1</v>
      </c>
      <c r="H86">
        <f t="shared" si="34"/>
        <v>2.35</v>
      </c>
      <c r="I86" s="129">
        <f t="shared" si="35"/>
        <v>2.35E-2</v>
      </c>
      <c r="J86" s="90">
        <v>48828125</v>
      </c>
      <c r="K86" s="90"/>
      <c r="L86" s="90">
        <f t="shared" si="36"/>
        <v>1147460.9375</v>
      </c>
      <c r="M86" s="90">
        <f t="shared" si="37"/>
        <v>1410</v>
      </c>
      <c r="N86" s="90">
        <f t="shared" si="38"/>
        <v>68847656250</v>
      </c>
      <c r="O86" s="90">
        <f t="shared" si="39"/>
        <v>1721191406249999.8</v>
      </c>
      <c r="X86">
        <v>84</v>
      </c>
      <c r="Y86" s="15">
        <v>964</v>
      </c>
      <c r="Z86" s="15">
        <v>1.4499999999999999E+47</v>
      </c>
      <c r="AA86" s="13">
        <v>151.83246073298429</v>
      </c>
    </row>
    <row r="87" spans="4:27">
      <c r="D87" s="34">
        <v>13</v>
      </c>
      <c r="E87" s="34" t="s">
        <v>15</v>
      </c>
      <c r="F87" s="34">
        <f>C78</f>
        <v>9.59</v>
      </c>
      <c r="G87" s="37">
        <v>0.4</v>
      </c>
      <c r="H87">
        <f t="shared" si="34"/>
        <v>3.8360000000000003</v>
      </c>
      <c r="I87" s="37">
        <f t="shared" si="35"/>
        <v>3.8360000000000005E-2</v>
      </c>
      <c r="J87" s="34">
        <v>244140625</v>
      </c>
      <c r="K87" s="34"/>
      <c r="L87" s="34">
        <f t="shared" si="36"/>
        <v>9365234.3750000019</v>
      </c>
      <c r="M87" s="34">
        <f t="shared" si="37"/>
        <v>2301.6000000000004</v>
      </c>
      <c r="N87" s="34">
        <f t="shared" si="38"/>
        <v>561914062500.00012</v>
      </c>
      <c r="O87" s="34">
        <f t="shared" si="39"/>
        <v>1.4047851562500002E+16</v>
      </c>
      <c r="X87">
        <v>85</v>
      </c>
      <c r="Y87" s="15">
        <v>965</v>
      </c>
      <c r="Z87" s="15">
        <v>1.6750000000000001E+47</v>
      </c>
      <c r="AA87" s="13">
        <v>175.3926701570681</v>
      </c>
    </row>
    <row r="88" spans="4:27">
      <c r="D88" s="34">
        <v>14</v>
      </c>
      <c r="E88" s="34"/>
      <c r="F88" s="34">
        <f>C78</f>
        <v>9.59</v>
      </c>
      <c r="G88" s="37">
        <v>0.3</v>
      </c>
      <c r="H88">
        <f t="shared" si="34"/>
        <v>2.8769999999999998</v>
      </c>
      <c r="I88" s="37">
        <f t="shared" si="35"/>
        <v>2.8769999999999997E-2</v>
      </c>
      <c r="J88" s="34">
        <v>1220703125</v>
      </c>
      <c r="K88" s="34"/>
      <c r="L88" s="34">
        <f t="shared" si="36"/>
        <v>35119628.90625</v>
      </c>
      <c r="M88" s="34">
        <f t="shared" si="37"/>
        <v>1726.1999999999998</v>
      </c>
      <c r="N88" s="34">
        <f t="shared" si="38"/>
        <v>2107177734374.9998</v>
      </c>
      <c r="O88" s="34">
        <f t="shared" si="39"/>
        <v>5.2679443359374992E+16</v>
      </c>
      <c r="X88">
        <v>86</v>
      </c>
      <c r="Y88" s="15">
        <v>966</v>
      </c>
      <c r="Z88" s="15">
        <v>1.9000000000000002E+47</v>
      </c>
      <c r="AA88" s="13">
        <v>198.95287958115185</v>
      </c>
    </row>
    <row r="89" spans="4:27">
      <c r="D89" s="34">
        <v>15</v>
      </c>
      <c r="E89" s="34"/>
      <c r="F89" s="34">
        <f>C78</f>
        <v>9.59</v>
      </c>
      <c r="G89" s="37">
        <v>0.2</v>
      </c>
      <c r="H89">
        <f t="shared" si="34"/>
        <v>1.9180000000000001</v>
      </c>
      <c r="I89" s="37">
        <f t="shared" si="35"/>
        <v>1.9180000000000003E-2</v>
      </c>
      <c r="J89" s="34">
        <v>6103515625</v>
      </c>
      <c r="K89" s="34"/>
      <c r="L89" s="34">
        <f t="shared" si="36"/>
        <v>117065429.68750001</v>
      </c>
      <c r="M89" s="34">
        <f t="shared" si="37"/>
        <v>1150.8000000000002</v>
      </c>
      <c r="N89" s="34">
        <f t="shared" si="38"/>
        <v>7023925781250.001</v>
      </c>
      <c r="O89" s="34">
        <f t="shared" si="39"/>
        <v>1.7559814453125002E+17</v>
      </c>
      <c r="X89">
        <v>87</v>
      </c>
      <c r="Y89" s="15">
        <v>967</v>
      </c>
      <c r="Z89" s="15">
        <v>2.1249999999999998E+47</v>
      </c>
      <c r="AA89" s="13">
        <v>222.5130890052356</v>
      </c>
    </row>
    <row r="90" spans="4:27">
      <c r="D90" s="34">
        <v>16</v>
      </c>
      <c r="E90" s="34"/>
      <c r="F90" s="34">
        <f>C78</f>
        <v>9.59</v>
      </c>
      <c r="G90" s="37">
        <v>0.1</v>
      </c>
      <c r="H90">
        <f t="shared" si="34"/>
        <v>0.95900000000000007</v>
      </c>
      <c r="I90" s="37">
        <f t="shared" si="35"/>
        <v>9.5900000000000013E-3</v>
      </c>
      <c r="J90" s="34">
        <v>30517578125</v>
      </c>
      <c r="K90" s="34"/>
      <c r="L90" s="34">
        <f t="shared" si="36"/>
        <v>292663574.21875006</v>
      </c>
      <c r="M90" s="34">
        <f t="shared" si="37"/>
        <v>575.40000000000009</v>
      </c>
      <c r="N90" s="34">
        <f t="shared" si="38"/>
        <v>17559814453125.002</v>
      </c>
      <c r="O90" s="34">
        <f t="shared" si="39"/>
        <v>4.3899536132812499E+17</v>
      </c>
      <c r="X90">
        <v>88</v>
      </c>
      <c r="Y90" s="15">
        <v>968</v>
      </c>
      <c r="Z90" s="15">
        <v>2.3500000000000002E+47</v>
      </c>
      <c r="AA90" s="13">
        <v>246.07329842931941</v>
      </c>
    </row>
    <row r="91" spans="4:27">
      <c r="D91" s="40">
        <v>17</v>
      </c>
      <c r="E91" s="40" t="s">
        <v>16</v>
      </c>
      <c r="F91" s="40">
        <f>C79</f>
        <v>0.5</v>
      </c>
      <c r="G91" s="43">
        <v>0.4</v>
      </c>
      <c r="H91">
        <f t="shared" si="34"/>
        <v>0.2</v>
      </c>
      <c r="I91" s="43">
        <f t="shared" si="35"/>
        <v>2E-3</v>
      </c>
      <c r="J91" s="40">
        <v>152587890625</v>
      </c>
      <c r="K91" s="40" t="s">
        <v>149</v>
      </c>
      <c r="L91" s="40">
        <f t="shared" si="36"/>
        <v>305175781.25</v>
      </c>
      <c r="M91" s="40">
        <f t="shared" si="37"/>
        <v>120</v>
      </c>
      <c r="N91" s="40">
        <f t="shared" si="38"/>
        <v>18310546875000</v>
      </c>
      <c r="O91" s="40">
        <f t="shared" si="39"/>
        <v>4.5776367187499994E+17</v>
      </c>
      <c r="X91">
        <v>89</v>
      </c>
      <c r="Y91" s="15">
        <v>969</v>
      </c>
      <c r="Z91" s="15">
        <v>2.5749999999999998E+47</v>
      </c>
      <c r="AA91" s="13">
        <v>269.63350785340316</v>
      </c>
    </row>
    <row r="92" spans="4:27">
      <c r="D92" s="40">
        <v>18</v>
      </c>
      <c r="E92" s="40"/>
      <c r="F92" s="40">
        <f>C79</f>
        <v>0.5</v>
      </c>
      <c r="G92" s="43">
        <v>0.3</v>
      </c>
      <c r="H92">
        <f t="shared" si="34"/>
        <v>0.15</v>
      </c>
      <c r="I92" s="43">
        <f t="shared" si="35"/>
        <v>1.5E-3</v>
      </c>
      <c r="J92" s="40">
        <v>762939453125</v>
      </c>
      <c r="K92" s="40" t="s">
        <v>149</v>
      </c>
      <c r="L92" s="40">
        <f t="shared" si="36"/>
        <v>1144409179.6875</v>
      </c>
      <c r="M92" s="40">
        <f t="shared" si="37"/>
        <v>90</v>
      </c>
      <c r="N92" s="40">
        <f t="shared" si="38"/>
        <v>68664550781250</v>
      </c>
      <c r="O92" s="40">
        <f t="shared" si="39"/>
        <v>1.7166137695312499E+18</v>
      </c>
      <c r="X92">
        <v>90</v>
      </c>
      <c r="Y92" s="15">
        <v>970</v>
      </c>
      <c r="Z92" s="15">
        <v>2.8000000000000003E+47</v>
      </c>
      <c r="AA92" s="13">
        <v>293.19371727748694</v>
      </c>
    </row>
    <row r="93" spans="4:27">
      <c r="D93" s="40">
        <v>19</v>
      </c>
      <c r="E93" s="40"/>
      <c r="F93" s="40">
        <f>C79</f>
        <v>0.5</v>
      </c>
      <c r="G93" s="43">
        <v>0.2</v>
      </c>
      <c r="H93">
        <f t="shared" si="34"/>
        <v>0.1</v>
      </c>
      <c r="I93" s="43">
        <f t="shared" si="35"/>
        <v>1E-3</v>
      </c>
      <c r="J93" s="40">
        <v>3814697265625</v>
      </c>
      <c r="K93" s="40" t="s">
        <v>149</v>
      </c>
      <c r="L93" s="40">
        <f t="shared" si="36"/>
        <v>3814697265.625</v>
      </c>
      <c r="M93" s="40">
        <f t="shared" si="37"/>
        <v>60</v>
      </c>
      <c r="N93" s="40">
        <f t="shared" si="38"/>
        <v>228881835937500</v>
      </c>
      <c r="O93" s="40">
        <f t="shared" si="39"/>
        <v>5.7220458984374999E+18</v>
      </c>
      <c r="X93">
        <v>91</v>
      </c>
      <c r="Y93" s="15">
        <v>971</v>
      </c>
      <c r="Z93" s="15">
        <v>3.0249999999999999E+47</v>
      </c>
      <c r="AA93" s="13">
        <v>316.75392670157066</v>
      </c>
    </row>
    <row r="94" spans="4:27">
      <c r="D94" s="40">
        <v>20</v>
      </c>
      <c r="E94" s="40"/>
      <c r="F94" s="40">
        <f>C79</f>
        <v>0.5</v>
      </c>
      <c r="G94" s="43">
        <v>0.1</v>
      </c>
      <c r="H94">
        <f t="shared" si="34"/>
        <v>0.05</v>
      </c>
      <c r="I94" s="43">
        <f t="shared" si="35"/>
        <v>5.0000000000000001E-4</v>
      </c>
      <c r="J94" s="40">
        <v>19073486328125</v>
      </c>
      <c r="K94" s="40" t="s">
        <v>149</v>
      </c>
      <c r="L94" s="40">
        <f t="shared" si="36"/>
        <v>9536743164.0625</v>
      </c>
      <c r="M94" s="40">
        <f t="shared" si="37"/>
        <v>30</v>
      </c>
      <c r="N94" s="40">
        <f t="shared" si="38"/>
        <v>572204589843750</v>
      </c>
      <c r="O94" s="40">
        <f t="shared" si="39"/>
        <v>1.4305114746093748E+19</v>
      </c>
      <c r="X94">
        <v>92</v>
      </c>
      <c r="Y94" s="15">
        <v>972</v>
      </c>
      <c r="Z94" s="15">
        <v>3.2499999999999995E+47</v>
      </c>
      <c r="AA94" s="13">
        <v>340.31413612565439</v>
      </c>
    </row>
    <row r="95" spans="4:27">
      <c r="D95" s="46">
        <v>21</v>
      </c>
      <c r="E95" s="46" t="s">
        <v>17</v>
      </c>
      <c r="F95" s="46">
        <f>C80</f>
        <v>0.01</v>
      </c>
      <c r="G95" s="49">
        <v>0.4</v>
      </c>
      <c r="H95">
        <f t="shared" si="34"/>
        <v>4.0000000000000001E-3</v>
      </c>
      <c r="I95" s="49">
        <f t="shared" si="35"/>
        <v>4.0000000000000003E-5</v>
      </c>
      <c r="J95" s="46">
        <v>95367431640625</v>
      </c>
      <c r="K95" s="46" t="s">
        <v>149</v>
      </c>
      <c r="L95" s="46">
        <f t="shared" si="36"/>
        <v>3814697265.6250005</v>
      </c>
      <c r="M95" s="46">
        <f t="shared" si="37"/>
        <v>2.4000000000000004</v>
      </c>
      <c r="N95" s="46">
        <f t="shared" si="38"/>
        <v>228881835937500.03</v>
      </c>
      <c r="O95" s="46">
        <f t="shared" si="39"/>
        <v>5.7220458984374999E+18</v>
      </c>
      <c r="X95">
        <v>93</v>
      </c>
      <c r="Y95" s="15">
        <v>973</v>
      </c>
      <c r="Z95" s="15">
        <v>3.475E+47</v>
      </c>
      <c r="AA95" s="13">
        <v>363.87434554973822</v>
      </c>
    </row>
    <row r="96" spans="4:27">
      <c r="D96" s="46">
        <v>22</v>
      </c>
      <c r="E96" s="46"/>
      <c r="F96" s="46">
        <f>C80</f>
        <v>0.01</v>
      </c>
      <c r="G96" s="49">
        <v>0.3</v>
      </c>
      <c r="H96">
        <f t="shared" si="34"/>
        <v>3.0000000000000001E-3</v>
      </c>
      <c r="I96" s="49">
        <f t="shared" si="35"/>
        <v>3.0000000000000001E-5</v>
      </c>
      <c r="J96" s="46">
        <v>476837158203125</v>
      </c>
      <c r="K96" s="46" t="s">
        <v>149</v>
      </c>
      <c r="L96" s="46">
        <f t="shared" si="36"/>
        <v>14305114746.09375</v>
      </c>
      <c r="M96" s="46">
        <f t="shared" si="37"/>
        <v>1.8</v>
      </c>
      <c r="N96" s="46">
        <f t="shared" si="38"/>
        <v>858306884765625</v>
      </c>
      <c r="O96" s="46">
        <f t="shared" si="39"/>
        <v>0</v>
      </c>
      <c r="X96">
        <v>94</v>
      </c>
      <c r="Y96" s="15">
        <v>974</v>
      </c>
      <c r="Z96" s="15">
        <v>3.7000000000000004E+47</v>
      </c>
      <c r="AA96" s="13">
        <v>387.43455497382206</v>
      </c>
    </row>
    <row r="97" spans="4:27">
      <c r="D97" s="46">
        <v>23</v>
      </c>
      <c r="E97" s="46"/>
      <c r="F97" s="46">
        <f>C80</f>
        <v>0.01</v>
      </c>
      <c r="G97" s="49">
        <v>0.2</v>
      </c>
      <c r="H97">
        <f t="shared" si="34"/>
        <v>2E-3</v>
      </c>
      <c r="I97" s="49">
        <f t="shared" si="35"/>
        <v>2.0000000000000002E-5</v>
      </c>
      <c r="J97" s="46">
        <v>2384185791015625</v>
      </c>
      <c r="K97" s="46" t="s">
        <v>149</v>
      </c>
      <c r="L97" s="46">
        <f t="shared" si="36"/>
        <v>47683715820.312508</v>
      </c>
      <c r="M97" s="46">
        <f t="shared" si="37"/>
        <v>1.2000000000000002</v>
      </c>
      <c r="N97" s="46">
        <f t="shared" si="38"/>
        <v>2861022949218750.5</v>
      </c>
      <c r="O97" s="46">
        <f t="shared" si="39"/>
        <v>0</v>
      </c>
      <c r="X97">
        <v>95</v>
      </c>
      <c r="Y97" s="15">
        <v>975</v>
      </c>
      <c r="Z97" s="15">
        <v>3.9249999999999996E+47</v>
      </c>
      <c r="AA97" s="13">
        <v>410.99476439790573</v>
      </c>
    </row>
    <row r="98" spans="4:27">
      <c r="D98" s="46">
        <v>24</v>
      </c>
      <c r="E98" s="46"/>
      <c r="F98" s="46">
        <f>C80</f>
        <v>0.01</v>
      </c>
      <c r="G98" s="49">
        <v>0.1</v>
      </c>
      <c r="H98">
        <f>G98*F98</f>
        <v>1E-3</v>
      </c>
      <c r="I98" s="49">
        <f t="shared" si="35"/>
        <v>1.0000000000000001E-5</v>
      </c>
      <c r="J98" s="46">
        <v>1.1920928955078124E+16</v>
      </c>
      <c r="K98" s="46" t="s">
        <v>149</v>
      </c>
      <c r="L98" s="46">
        <f t="shared" si="36"/>
        <v>119209289550.78125</v>
      </c>
      <c r="M98" s="46">
        <f t="shared" si="37"/>
        <v>0.60000000000000009</v>
      </c>
      <c r="N98" s="46">
        <f t="shared" si="38"/>
        <v>7152557373046875</v>
      </c>
      <c r="O98" s="46">
        <f t="shared" si="39"/>
        <v>0</v>
      </c>
      <c r="P98" t="s">
        <v>149</v>
      </c>
      <c r="X98">
        <v>96</v>
      </c>
      <c r="Y98" s="15">
        <v>976</v>
      </c>
      <c r="Z98" s="15">
        <v>4.1500000000000005E+47</v>
      </c>
      <c r="AA98" s="13">
        <v>434.55497382198962</v>
      </c>
    </row>
    <row r="99" spans="4:27">
      <c r="G99" t="s">
        <v>149</v>
      </c>
      <c r="H99" s="130">
        <f>SUM(I75:I98)</f>
        <v>0.99999999999999978</v>
      </c>
      <c r="I99" t="s">
        <v>149</v>
      </c>
      <c r="J99" s="55" t="s">
        <v>211</v>
      </c>
      <c r="K99" s="55">
        <f>SUM(L75:L98)</f>
        <v>200269844272.64865</v>
      </c>
      <c r="L99" t="s">
        <v>149</v>
      </c>
      <c r="M99">
        <f>SUM(N75:N98)</f>
        <v>1.201619065635892E+16</v>
      </c>
      <c r="N99">
        <f>SUM(O75:O98)</f>
        <v>2.8607586233191711E+19</v>
      </c>
      <c r="X99">
        <v>97</v>
      </c>
      <c r="Y99" s="15">
        <v>977</v>
      </c>
      <c r="Z99" s="15">
        <v>4.3749999999999997E+47</v>
      </c>
      <c r="AA99" s="13">
        <v>458.11518324607329</v>
      </c>
    </row>
    <row r="100" spans="4:27">
      <c r="F100" t="s">
        <v>149</v>
      </c>
      <c r="H100" t="s">
        <v>149</v>
      </c>
      <c r="J100" t="s">
        <v>149</v>
      </c>
      <c r="N100" s="1"/>
      <c r="X100">
        <v>98</v>
      </c>
      <c r="Y100" s="15">
        <v>978</v>
      </c>
      <c r="Z100" s="15">
        <v>4.5999999999999997E+47</v>
      </c>
      <c r="AA100" s="13">
        <v>481.67539267015707</v>
      </c>
    </row>
    <row r="101" spans="4:27">
      <c r="F101" t="s">
        <v>149</v>
      </c>
      <c r="H101" t="s">
        <v>149</v>
      </c>
      <c r="J101" s="73" t="s">
        <v>212</v>
      </c>
      <c r="K101" s="131">
        <f>J98/K99</f>
        <v>59524.333273305463</v>
      </c>
      <c r="L101" s="73" t="s">
        <v>213</v>
      </c>
      <c r="M101" s="132">
        <f>M99/J98</f>
        <v>1.007991130694577</v>
      </c>
      <c r="N101" s="133" t="s">
        <v>149</v>
      </c>
      <c r="X101">
        <v>99</v>
      </c>
      <c r="Y101" s="15">
        <v>979</v>
      </c>
      <c r="Z101" s="15">
        <v>4.8250000000000006E+47</v>
      </c>
      <c r="AA101" s="13">
        <v>505.2356020942409</v>
      </c>
    </row>
    <row r="102" spans="4:27">
      <c r="X102">
        <v>100</v>
      </c>
      <c r="Y102" s="15">
        <v>980</v>
      </c>
      <c r="Z102" s="15">
        <v>5.0499999999999998E+47</v>
      </c>
      <c r="AA102" s="13">
        <v>528.79581151832463</v>
      </c>
    </row>
    <row r="103" spans="4:27">
      <c r="X103">
        <v>101</v>
      </c>
      <c r="Y103" s="15">
        <v>981</v>
      </c>
      <c r="Z103" s="15">
        <v>5.2749999999999998E+47</v>
      </c>
      <c r="AA103" s="13">
        <v>552.35602094240835</v>
      </c>
    </row>
    <row r="104" spans="4:27">
      <c r="X104">
        <v>102</v>
      </c>
      <c r="Y104" s="15">
        <v>982</v>
      </c>
      <c r="Z104" s="15">
        <v>5.4999999999999998E+47</v>
      </c>
      <c r="AA104" s="13">
        <v>575.91623036649219</v>
      </c>
    </row>
    <row r="105" spans="4:27">
      <c r="X105">
        <v>103</v>
      </c>
      <c r="Y105" s="15">
        <v>983</v>
      </c>
      <c r="Z105" s="15">
        <v>5.7250000000000007E+47</v>
      </c>
      <c r="AA105" s="13">
        <v>599.47643979057602</v>
      </c>
    </row>
    <row r="106" spans="4:27">
      <c r="X106">
        <v>104</v>
      </c>
      <c r="Y106" s="15">
        <v>984</v>
      </c>
      <c r="Z106" s="15">
        <v>5.9500000000000007E+47</v>
      </c>
      <c r="AA106" s="13">
        <v>623.03664921465975</v>
      </c>
    </row>
    <row r="107" spans="4:27">
      <c r="X107">
        <v>105</v>
      </c>
      <c r="Y107" s="15">
        <v>985</v>
      </c>
      <c r="Z107" s="15">
        <v>6.1749999999999999E+47</v>
      </c>
      <c r="AA107" s="13">
        <v>646.59685863874347</v>
      </c>
    </row>
    <row r="108" spans="4:27">
      <c r="X108">
        <v>106</v>
      </c>
      <c r="Y108" s="15">
        <v>986</v>
      </c>
      <c r="Z108" s="15">
        <v>6.4E+47</v>
      </c>
      <c r="AA108" s="13">
        <v>670.15706806282719</v>
      </c>
    </row>
    <row r="109" spans="4:27">
      <c r="X109">
        <v>107</v>
      </c>
      <c r="Y109" s="15">
        <v>987</v>
      </c>
      <c r="Z109" s="15">
        <v>6.6250000000000008E+47</v>
      </c>
      <c r="AA109" s="13">
        <v>693.71727748691114</v>
      </c>
    </row>
    <row r="110" spans="4:27">
      <c r="X110">
        <v>108</v>
      </c>
      <c r="Y110" s="15">
        <v>988</v>
      </c>
      <c r="Z110" s="15">
        <v>6.8500000000000008E+47</v>
      </c>
      <c r="AA110" s="13">
        <v>717.27748691099487</v>
      </c>
    </row>
    <row r="111" spans="4:27">
      <c r="X111">
        <v>109</v>
      </c>
      <c r="Y111" s="15">
        <v>989</v>
      </c>
      <c r="Z111" s="15">
        <v>7.0749999999999992E+47</v>
      </c>
      <c r="AA111" s="13">
        <v>740.83769633507848</v>
      </c>
    </row>
    <row r="112" spans="4:27">
      <c r="X112">
        <v>110</v>
      </c>
      <c r="Y112" s="15">
        <v>990</v>
      </c>
      <c r="Z112" s="15">
        <v>7.3000000000000001E+47</v>
      </c>
      <c r="AA112" s="13">
        <v>764.39790575916231</v>
      </c>
    </row>
    <row r="113" spans="24:27">
      <c r="X113">
        <v>111</v>
      </c>
      <c r="Y113" s="15">
        <v>991</v>
      </c>
      <c r="Z113" s="15">
        <v>7.5250000000000001E+47</v>
      </c>
      <c r="AA113" s="13">
        <v>787.95811518324615</v>
      </c>
    </row>
    <row r="114" spans="24:27">
      <c r="X114">
        <v>112</v>
      </c>
      <c r="Y114" s="15">
        <v>992</v>
      </c>
      <c r="Z114" s="15">
        <v>7.7500000000000001E+47</v>
      </c>
      <c r="AA114" s="13">
        <v>811.51832460732987</v>
      </c>
    </row>
    <row r="115" spans="24:27">
      <c r="X115">
        <v>113</v>
      </c>
      <c r="Y115" s="15">
        <v>993</v>
      </c>
      <c r="Z115" s="15">
        <v>7.9750000000000002E+47</v>
      </c>
      <c r="AA115" s="13">
        <v>835.07853403141371</v>
      </c>
    </row>
    <row r="116" spans="24:27">
      <c r="X116">
        <v>114</v>
      </c>
      <c r="Y116" s="15">
        <v>994</v>
      </c>
      <c r="Z116" s="15">
        <v>8.1999999999999986E+47</v>
      </c>
      <c r="AA116" s="13">
        <v>858.63874345549721</v>
      </c>
    </row>
    <row r="117" spans="24:27">
      <c r="X117">
        <v>115</v>
      </c>
      <c r="Y117" s="15">
        <v>995</v>
      </c>
      <c r="Z117" s="15">
        <v>8.4250000000000002E+47</v>
      </c>
      <c r="AA117" s="13">
        <v>882.19895287958116</v>
      </c>
    </row>
    <row r="118" spans="24:27">
      <c r="X118">
        <v>116</v>
      </c>
      <c r="Y118" s="15">
        <v>996</v>
      </c>
      <c r="Z118" s="15">
        <v>8.6499999999999986E+47</v>
      </c>
      <c r="AA118" s="13">
        <v>905.75916230366477</v>
      </c>
    </row>
    <row r="119" spans="24:27">
      <c r="X119">
        <v>117</v>
      </c>
      <c r="Y119" s="15">
        <v>997</v>
      </c>
      <c r="Z119" s="15">
        <v>8.8749999999999987E+47</v>
      </c>
      <c r="AA119" s="13">
        <v>929.3193717277486</v>
      </c>
    </row>
    <row r="120" spans="24:27">
      <c r="X120">
        <v>118</v>
      </c>
      <c r="Y120" s="15">
        <v>998</v>
      </c>
      <c r="Z120" s="15">
        <v>9.0999999999999987E+47</v>
      </c>
      <c r="AA120" s="13">
        <v>952.87958115183233</v>
      </c>
    </row>
    <row r="121" spans="24:27">
      <c r="X121">
        <v>119</v>
      </c>
      <c r="Y121" s="15">
        <v>999</v>
      </c>
      <c r="Z121" s="15">
        <v>9.3249999999999987E+47</v>
      </c>
      <c r="AA121" s="13">
        <v>976.43979057591616</v>
      </c>
    </row>
    <row r="122" spans="24:27">
      <c r="X122">
        <v>120</v>
      </c>
      <c r="Y122" s="15">
        <v>1000</v>
      </c>
      <c r="Z122" s="15">
        <v>9.5500000000000004E+47</v>
      </c>
      <c r="AA122" s="13">
        <v>1000.0000000000001</v>
      </c>
    </row>
    <row r="123" spans="24:27">
      <c r="X123">
        <v>121</v>
      </c>
      <c r="Y123" s="15">
        <v>1001</v>
      </c>
      <c r="Z123" s="15">
        <v>9.7749999999999988E+47</v>
      </c>
      <c r="AA123" s="13">
        <v>1023.5602094240837</v>
      </c>
    </row>
    <row r="124" spans="24:27">
      <c r="X124">
        <v>122</v>
      </c>
      <c r="Y124" s="15">
        <v>1002</v>
      </c>
      <c r="Z124" s="15">
        <v>1E+48</v>
      </c>
      <c r="AA124" s="13">
        <v>1047.1204188481677</v>
      </c>
    </row>
    <row r="125" spans="24:27">
      <c r="X125">
        <v>123</v>
      </c>
      <c r="Y125" s="15">
        <v>1003</v>
      </c>
      <c r="Z125" s="15">
        <v>1.2250000000000001E+48</v>
      </c>
      <c r="AA125" s="13">
        <v>1282.7225130890054</v>
      </c>
    </row>
    <row r="126" spans="24:27">
      <c r="X126">
        <v>124</v>
      </c>
      <c r="Y126" s="15">
        <v>1004</v>
      </c>
      <c r="Z126" s="15">
        <v>1.4499999999999998E+48</v>
      </c>
      <c r="AA126" s="13">
        <v>1518.3246073298428</v>
      </c>
    </row>
    <row r="127" spans="24:27">
      <c r="X127">
        <v>125</v>
      </c>
      <c r="Y127" s="15">
        <v>1005</v>
      </c>
      <c r="Z127" s="15">
        <v>1.675E+48</v>
      </c>
      <c r="AA127" s="13">
        <v>1753.9267015706807</v>
      </c>
    </row>
    <row r="128" spans="24:27">
      <c r="X128">
        <v>126</v>
      </c>
      <c r="Y128" s="15">
        <v>1006</v>
      </c>
      <c r="Z128" s="15">
        <v>1.9000000000000003E+48</v>
      </c>
      <c r="AA128" s="13">
        <v>1989.5287958115186</v>
      </c>
    </row>
    <row r="129" spans="24:27">
      <c r="X129">
        <v>127</v>
      </c>
      <c r="Y129" s="15">
        <v>1007</v>
      </c>
      <c r="Z129" s="15">
        <v>2.125E+48</v>
      </c>
      <c r="AA129" s="13">
        <v>2225.1308900523563</v>
      </c>
    </row>
    <row r="130" spans="24:27">
      <c r="X130">
        <v>128</v>
      </c>
      <c r="Y130" s="15">
        <v>1008</v>
      </c>
      <c r="Z130" s="15">
        <v>2.3500000000000001E+48</v>
      </c>
      <c r="AA130" s="13">
        <v>2460.732984293194</v>
      </c>
    </row>
    <row r="131" spans="24:27">
      <c r="X131">
        <v>129</v>
      </c>
      <c r="Y131" s="15">
        <v>1009</v>
      </c>
      <c r="Z131" s="15">
        <v>2.5749999999999998E+48</v>
      </c>
      <c r="AA131" s="13">
        <v>2696.3350785340313</v>
      </c>
    </row>
    <row r="132" spans="24:27">
      <c r="X132">
        <v>130</v>
      </c>
      <c r="Y132" s="15">
        <v>1010</v>
      </c>
      <c r="Z132" s="15">
        <v>2.8000000000000001E+48</v>
      </c>
      <c r="AA132" s="13">
        <v>2931.9371727748694</v>
      </c>
    </row>
    <row r="133" spans="24:27">
      <c r="X133">
        <v>131</v>
      </c>
      <c r="Y133" s="15">
        <v>1011</v>
      </c>
      <c r="Z133" s="15">
        <v>3.0250000000000002E+48</v>
      </c>
      <c r="AA133" s="13">
        <v>3167.5392670157071</v>
      </c>
    </row>
    <row r="134" spans="24:27">
      <c r="X134">
        <v>132</v>
      </c>
      <c r="Y134" s="15">
        <v>1012</v>
      </c>
      <c r="Z134" s="15">
        <v>3.2499999999999999E+48</v>
      </c>
      <c r="AA134" s="13">
        <v>3403.1413612565443</v>
      </c>
    </row>
    <row r="135" spans="24:27">
      <c r="X135">
        <v>133</v>
      </c>
      <c r="Y135" s="15">
        <v>1013</v>
      </c>
      <c r="Z135" s="15">
        <v>3.4750000000000002E+48</v>
      </c>
      <c r="AA135" s="13">
        <v>3638.7434554973825</v>
      </c>
    </row>
    <row r="136" spans="24:27">
      <c r="X136">
        <v>134</v>
      </c>
      <c r="Y136" s="15">
        <v>1014</v>
      </c>
      <c r="Z136" s="15">
        <v>3.6999999999999999E+48</v>
      </c>
      <c r="AA136" s="13">
        <v>3874.3455497382201</v>
      </c>
    </row>
    <row r="137" spans="24:27">
      <c r="X137">
        <v>135</v>
      </c>
      <c r="Y137" s="15">
        <v>1015</v>
      </c>
      <c r="Z137" s="15">
        <v>3.9250000000000003E+48</v>
      </c>
      <c r="AA137" s="13">
        <v>4109.9476439790578</v>
      </c>
    </row>
    <row r="138" spans="24:27">
      <c r="X138">
        <v>136</v>
      </c>
      <c r="Y138" s="15">
        <v>1016</v>
      </c>
      <c r="Z138" s="15">
        <v>4.1500000000000006E+48</v>
      </c>
      <c r="AA138" s="13">
        <v>4345.5497382198964</v>
      </c>
    </row>
    <row r="139" spans="24:27">
      <c r="X139">
        <v>137</v>
      </c>
      <c r="Y139" s="15">
        <v>1017</v>
      </c>
      <c r="Z139" s="15">
        <v>4.3749999999999997E+48</v>
      </c>
      <c r="AA139" s="13">
        <v>4581.1518324607332</v>
      </c>
    </row>
    <row r="140" spans="24:27">
      <c r="X140">
        <v>138</v>
      </c>
      <c r="Y140" s="15">
        <v>1018</v>
      </c>
      <c r="Z140" s="15">
        <v>4.6E+48</v>
      </c>
      <c r="AA140" s="13">
        <v>4816.7539267015709</v>
      </c>
    </row>
    <row r="141" spans="24:27">
      <c r="X141">
        <v>139</v>
      </c>
      <c r="Y141" s="15">
        <v>1019</v>
      </c>
      <c r="Z141" s="15">
        <v>4.825000000000001E+48</v>
      </c>
      <c r="AA141" s="13">
        <v>5052.3560209424095</v>
      </c>
    </row>
    <row r="142" spans="24:27">
      <c r="X142">
        <v>140</v>
      </c>
      <c r="Y142" s="15">
        <v>1020</v>
      </c>
      <c r="Z142" s="15">
        <v>5.0500000000000001E+48</v>
      </c>
      <c r="AA142" s="13">
        <v>5287.9581151832463</v>
      </c>
    </row>
    <row r="143" spans="24:27">
      <c r="X143">
        <v>141</v>
      </c>
      <c r="Y143" s="15">
        <v>1021</v>
      </c>
      <c r="Z143" s="15">
        <v>5.2749999999999998E+48</v>
      </c>
      <c r="AA143" s="13">
        <v>5523.560209424084</v>
      </c>
    </row>
    <row r="144" spans="24:27">
      <c r="X144">
        <v>142</v>
      </c>
      <c r="Y144" s="15">
        <v>1022</v>
      </c>
      <c r="Z144" s="15">
        <v>5.4999999999999995E+48</v>
      </c>
      <c r="AA144" s="13">
        <v>5759.1623036649207</v>
      </c>
    </row>
    <row r="145" spans="24:27">
      <c r="X145">
        <v>143</v>
      </c>
      <c r="Y145" s="15">
        <v>1023</v>
      </c>
      <c r="Z145" s="15">
        <v>5.7250000000000005E+48</v>
      </c>
      <c r="AA145" s="13">
        <v>5994.7643979057602</v>
      </c>
    </row>
    <row r="146" spans="24:27">
      <c r="X146">
        <v>144</v>
      </c>
      <c r="Y146" s="15">
        <v>1024</v>
      </c>
      <c r="Z146" s="15">
        <v>5.9500000000000009E+48</v>
      </c>
      <c r="AA146" s="13">
        <v>6230.3664921465979</v>
      </c>
    </row>
    <row r="147" spans="24:27">
      <c r="X147">
        <v>145</v>
      </c>
      <c r="Y147" s="15">
        <v>1025</v>
      </c>
      <c r="Z147" s="15">
        <v>6.1749999999999993E+48</v>
      </c>
      <c r="AA147" s="13">
        <v>6465.9685863874338</v>
      </c>
    </row>
    <row r="148" spans="24:27">
      <c r="X148">
        <v>146</v>
      </c>
      <c r="Y148" s="15">
        <v>1026</v>
      </c>
      <c r="Z148" s="15">
        <v>6.399999999999999E+48</v>
      </c>
      <c r="AA148" s="13">
        <v>6701.5706806282715</v>
      </c>
    </row>
    <row r="149" spans="24:27">
      <c r="X149">
        <v>147</v>
      </c>
      <c r="Y149" s="15">
        <v>1027</v>
      </c>
      <c r="Z149" s="15">
        <v>6.625E+48</v>
      </c>
      <c r="AA149" s="13">
        <v>6937.1727748691101</v>
      </c>
    </row>
    <row r="150" spans="24:27">
      <c r="X150">
        <v>148</v>
      </c>
      <c r="Y150" s="15">
        <v>1028</v>
      </c>
      <c r="Z150" s="15">
        <v>6.850000000000001E+48</v>
      </c>
      <c r="AA150" s="13">
        <v>7172.7748691099487</v>
      </c>
    </row>
    <row r="151" spans="24:27">
      <c r="X151">
        <v>149</v>
      </c>
      <c r="Y151" s="15">
        <v>1029</v>
      </c>
      <c r="Z151" s="15">
        <v>7.0749999999999994E+48</v>
      </c>
      <c r="AA151" s="13">
        <v>7408.3769633507845</v>
      </c>
    </row>
    <row r="152" spans="24:27">
      <c r="X152">
        <v>150</v>
      </c>
      <c r="Y152" s="15">
        <v>1030</v>
      </c>
      <c r="Z152" s="15">
        <v>7.3000000000000004E+48</v>
      </c>
      <c r="AA152" s="13">
        <v>7643.979057591624</v>
      </c>
    </row>
    <row r="153" spans="24:27">
      <c r="X153">
        <v>151</v>
      </c>
      <c r="Y153" s="15">
        <v>1031</v>
      </c>
      <c r="Z153" s="15">
        <v>7.5249999999999988E+48</v>
      </c>
      <c r="AA153" s="13">
        <v>7879.5811518324599</v>
      </c>
    </row>
    <row r="154" spans="24:27">
      <c r="X154">
        <v>152</v>
      </c>
      <c r="Y154" s="15">
        <v>1032</v>
      </c>
      <c r="Z154" s="15">
        <v>7.7499999999999998E+48</v>
      </c>
      <c r="AA154" s="13">
        <v>8115.1832460732985</v>
      </c>
    </row>
    <row r="155" spans="24:27">
      <c r="X155">
        <v>153</v>
      </c>
      <c r="Y155" s="15">
        <v>1033</v>
      </c>
      <c r="Z155" s="15">
        <v>7.9750000000000008E+48</v>
      </c>
      <c r="AA155" s="13">
        <v>8350.785340314138</v>
      </c>
    </row>
    <row r="156" spans="24:27">
      <c r="X156">
        <v>154</v>
      </c>
      <c r="Y156" s="15">
        <v>1034</v>
      </c>
      <c r="Z156" s="15">
        <v>8.1999999999999992E+48</v>
      </c>
      <c r="AA156" s="13">
        <v>8586.3874345549739</v>
      </c>
    </row>
    <row r="157" spans="24:27">
      <c r="X157">
        <v>155</v>
      </c>
      <c r="Y157" s="15">
        <v>1035</v>
      </c>
      <c r="Z157" s="15">
        <v>8.4250000000000002E+48</v>
      </c>
      <c r="AA157" s="13">
        <v>8821.9895287958116</v>
      </c>
    </row>
    <row r="158" spans="24:27">
      <c r="X158">
        <v>156</v>
      </c>
      <c r="Y158" s="15">
        <v>1036</v>
      </c>
      <c r="Z158" s="15">
        <v>8.6499999999999999E+48</v>
      </c>
      <c r="AA158" s="13">
        <v>9057.5916230366493</v>
      </c>
    </row>
    <row r="159" spans="24:27">
      <c r="X159">
        <v>157</v>
      </c>
      <c r="Y159" s="15">
        <v>1037</v>
      </c>
      <c r="Z159" s="15">
        <v>8.8749999999999996E+48</v>
      </c>
      <c r="AA159" s="13">
        <v>9293.1937172774869</v>
      </c>
    </row>
    <row r="160" spans="24:27">
      <c r="X160">
        <v>158</v>
      </c>
      <c r="Y160" s="15">
        <v>1038</v>
      </c>
      <c r="Z160" s="15">
        <v>9.099999999999998E+48</v>
      </c>
      <c r="AA160" s="13">
        <v>9528.7958115183228</v>
      </c>
    </row>
    <row r="161" spans="24:27">
      <c r="X161">
        <v>159</v>
      </c>
      <c r="Y161" s="15">
        <v>1039</v>
      </c>
      <c r="Z161" s="15">
        <v>9.324999999999999E+48</v>
      </c>
      <c r="AA161" s="13">
        <v>9764.3979057591623</v>
      </c>
    </row>
    <row r="162" spans="24:27">
      <c r="X162">
        <v>160</v>
      </c>
      <c r="Y162" s="15">
        <v>1040</v>
      </c>
      <c r="Z162" s="15">
        <v>9.5500000000000001E+48</v>
      </c>
      <c r="AA162" s="13">
        <v>10000</v>
      </c>
    </row>
    <row r="163" spans="24:27">
      <c r="X163">
        <v>161</v>
      </c>
      <c r="Y163" s="15">
        <v>1041</v>
      </c>
      <c r="Z163" s="15">
        <v>9.7749999999999998E+48</v>
      </c>
      <c r="AA163" s="13">
        <v>10235.602094240838</v>
      </c>
    </row>
    <row r="164" spans="24:27">
      <c r="X164">
        <v>162</v>
      </c>
      <c r="Y164" s="15">
        <v>1042</v>
      </c>
      <c r="Z164" s="15">
        <v>1.0000000000000001E+49</v>
      </c>
      <c r="AA164" s="13">
        <v>10471.204188481677</v>
      </c>
    </row>
    <row r="165" spans="24:27">
      <c r="X165">
        <v>163</v>
      </c>
      <c r="Y165" s="15">
        <v>1043</v>
      </c>
      <c r="Z165" s="15">
        <v>1.225E+49</v>
      </c>
      <c r="AA165" s="13">
        <v>12827.225130890054</v>
      </c>
    </row>
    <row r="166" spans="24:27">
      <c r="X166">
        <v>164</v>
      </c>
      <c r="Y166" s="15">
        <v>1044</v>
      </c>
      <c r="Z166" s="15">
        <v>1.4499999999999997E+49</v>
      </c>
      <c r="AA166" s="13">
        <v>15183.246073298427</v>
      </c>
    </row>
    <row r="167" spans="24:27">
      <c r="X167">
        <v>165</v>
      </c>
      <c r="Y167" s="15">
        <v>1045</v>
      </c>
      <c r="Z167" s="15">
        <v>1.675E+49</v>
      </c>
      <c r="AA167" s="13">
        <v>17539.267015706806</v>
      </c>
    </row>
    <row r="168" spans="24:27">
      <c r="X168">
        <v>166</v>
      </c>
      <c r="Y168" s="15">
        <v>1046</v>
      </c>
      <c r="Z168" s="15">
        <v>1.9000000000000005E+49</v>
      </c>
      <c r="AA168" s="13">
        <v>19895.28795811519</v>
      </c>
    </row>
    <row r="169" spans="24:27">
      <c r="X169">
        <v>167</v>
      </c>
      <c r="Y169" s="15">
        <v>1047</v>
      </c>
      <c r="Z169" s="15">
        <v>2.1249999999999999E+49</v>
      </c>
      <c r="AA169" s="13">
        <v>22251.30890052356</v>
      </c>
    </row>
    <row r="170" spans="24:27">
      <c r="X170">
        <v>168</v>
      </c>
      <c r="Y170" s="15">
        <v>1048</v>
      </c>
      <c r="Z170" s="15">
        <v>2.3499999999999999E+49</v>
      </c>
      <c r="AA170" s="13">
        <v>24607.329842931937</v>
      </c>
    </row>
    <row r="171" spans="24:27">
      <c r="X171">
        <v>169</v>
      </c>
      <c r="Y171" s="15">
        <v>1049</v>
      </c>
      <c r="Z171" s="15">
        <v>2.5749999999999998E+49</v>
      </c>
      <c r="AA171" s="13">
        <v>26963.350785340313</v>
      </c>
    </row>
    <row r="172" spans="24:27">
      <c r="X172">
        <v>170</v>
      </c>
      <c r="Y172" s="15">
        <v>1050</v>
      </c>
      <c r="Z172" s="15">
        <v>2.8000000000000003E+49</v>
      </c>
      <c r="AA172" s="13">
        <v>29319.371727748694</v>
      </c>
    </row>
    <row r="173" spans="24:27">
      <c r="X173">
        <v>171</v>
      </c>
      <c r="Y173" s="15">
        <v>1051</v>
      </c>
      <c r="Z173" s="15">
        <v>3.0250000000000003E+49</v>
      </c>
      <c r="AA173" s="13">
        <v>31675.392670157071</v>
      </c>
    </row>
    <row r="174" spans="24:27">
      <c r="X174">
        <v>172</v>
      </c>
      <c r="Y174" s="15">
        <v>1052</v>
      </c>
      <c r="Z174" s="15">
        <v>3.2499999999999997E+49</v>
      </c>
      <c r="AA174" s="13">
        <v>34031.41361256544</v>
      </c>
    </row>
    <row r="175" spans="24:27">
      <c r="X175">
        <v>173</v>
      </c>
      <c r="Y175" s="15">
        <v>1053</v>
      </c>
      <c r="Z175" s="15">
        <v>3.4750000000000002E+49</v>
      </c>
      <c r="AA175" s="13">
        <v>36387.434554973828</v>
      </c>
    </row>
    <row r="176" spans="24:27">
      <c r="X176">
        <v>174</v>
      </c>
      <c r="Y176" s="15">
        <v>1054</v>
      </c>
      <c r="Z176" s="15">
        <v>3.6999999999999997E+49</v>
      </c>
      <c r="AA176" s="13">
        <v>38743.455497382194</v>
      </c>
    </row>
    <row r="177" spans="24:27">
      <c r="X177">
        <v>175</v>
      </c>
      <c r="Y177" s="15">
        <v>1055</v>
      </c>
      <c r="Z177" s="15">
        <v>3.9250000000000001E+49</v>
      </c>
      <c r="AA177" s="13">
        <v>41099.476439790582</v>
      </c>
    </row>
    <row r="178" spans="24:27">
      <c r="X178">
        <v>176</v>
      </c>
      <c r="Y178" s="15">
        <v>1056</v>
      </c>
      <c r="Z178" s="15">
        <v>4.1500000000000006E+49</v>
      </c>
      <c r="AA178" s="13">
        <v>43455.497382198962</v>
      </c>
    </row>
    <row r="179" spans="24:27">
      <c r="X179">
        <v>177</v>
      </c>
      <c r="Y179" s="15">
        <v>1057</v>
      </c>
      <c r="Z179" s="15">
        <v>4.3749999999999996E+49</v>
      </c>
      <c r="AA179" s="13">
        <v>45811.518324607328</v>
      </c>
    </row>
    <row r="180" spans="24:27">
      <c r="X180">
        <v>178</v>
      </c>
      <c r="Y180" s="15">
        <v>1058</v>
      </c>
      <c r="Z180" s="15">
        <v>4.6E+49</v>
      </c>
      <c r="AA180" s="13">
        <v>48167.539267015709</v>
      </c>
    </row>
    <row r="181" spans="24:27">
      <c r="X181">
        <v>179</v>
      </c>
      <c r="Y181" s="15">
        <v>1059</v>
      </c>
      <c r="Z181" s="15">
        <v>4.8250000000000016E+49</v>
      </c>
      <c r="AA181" s="13">
        <v>50523.560209424104</v>
      </c>
    </row>
    <row r="182" spans="24:27">
      <c r="X182">
        <v>180</v>
      </c>
      <c r="Y182" s="15">
        <v>1060</v>
      </c>
      <c r="Z182" s="15">
        <v>5.0500000000000005E+49</v>
      </c>
      <c r="AA182" s="13">
        <v>52879.58115183247</v>
      </c>
    </row>
    <row r="183" spans="24:27">
      <c r="X183">
        <v>181</v>
      </c>
      <c r="Y183" s="15">
        <v>1061</v>
      </c>
      <c r="Z183" s="15">
        <v>5.2749999999999994E+49</v>
      </c>
      <c r="AA183" s="13">
        <v>55235.602094240836</v>
      </c>
    </row>
    <row r="184" spans="24:27">
      <c r="X184">
        <v>182</v>
      </c>
      <c r="Y184" s="15">
        <v>1062</v>
      </c>
      <c r="Z184" s="15">
        <v>5.4999999999999994E+49</v>
      </c>
      <c r="AA184" s="13">
        <v>57591.623036649209</v>
      </c>
    </row>
    <row r="185" spans="24:27">
      <c r="X185">
        <v>183</v>
      </c>
      <c r="Y185" s="15">
        <v>1063</v>
      </c>
      <c r="Z185" s="15">
        <v>5.7250000000000004E+49</v>
      </c>
      <c r="AA185" s="13">
        <v>59947.643979057597</v>
      </c>
    </row>
    <row r="186" spans="24:27">
      <c r="X186">
        <v>184</v>
      </c>
      <c r="Y186" s="15">
        <v>1064</v>
      </c>
      <c r="Z186" s="15">
        <v>5.9500000000000014E+49</v>
      </c>
      <c r="AA186" s="13">
        <v>62303.664921465985</v>
      </c>
    </row>
    <row r="187" spans="24:27">
      <c r="X187">
        <v>185</v>
      </c>
      <c r="Y187" s="15">
        <v>1065</v>
      </c>
      <c r="Z187" s="15">
        <v>6.1749999999999993E+49</v>
      </c>
      <c r="AA187" s="13">
        <v>64659.685863874343</v>
      </c>
    </row>
    <row r="188" spans="24:27">
      <c r="X188">
        <v>186</v>
      </c>
      <c r="Y188" s="15">
        <v>1066</v>
      </c>
      <c r="Z188" s="15">
        <v>6.3999999999999992E+49</v>
      </c>
      <c r="AA188" s="13">
        <v>67015.706806282717</v>
      </c>
    </row>
    <row r="189" spans="24:27">
      <c r="X189">
        <v>187</v>
      </c>
      <c r="Y189" s="15">
        <v>1067</v>
      </c>
      <c r="Z189" s="15">
        <v>6.6250000000000002E+49</v>
      </c>
      <c r="AA189" s="13">
        <v>69371.727748691104</v>
      </c>
    </row>
    <row r="190" spans="24:27">
      <c r="X190">
        <v>188</v>
      </c>
      <c r="Y190" s="15">
        <v>1068</v>
      </c>
      <c r="Z190" s="15">
        <v>6.8500000000000012E+49</v>
      </c>
      <c r="AA190" s="13">
        <v>71727.748691099492</v>
      </c>
    </row>
    <row r="191" spans="24:27">
      <c r="X191">
        <v>189</v>
      </c>
      <c r="Y191" s="15">
        <v>1069</v>
      </c>
      <c r="Z191" s="15">
        <v>7.0749999999999991E+49</v>
      </c>
      <c r="AA191" s="13">
        <v>74083.769633507851</v>
      </c>
    </row>
    <row r="192" spans="24:27">
      <c r="X192">
        <v>190</v>
      </c>
      <c r="Y192" s="15">
        <v>1070</v>
      </c>
      <c r="Z192" s="15">
        <v>7.3000000000000001E+49</v>
      </c>
      <c r="AA192" s="13">
        <v>76439.790575916239</v>
      </c>
    </row>
    <row r="193" spans="24:27">
      <c r="X193">
        <v>191</v>
      </c>
      <c r="Y193" s="15">
        <v>1071</v>
      </c>
      <c r="Z193" s="15">
        <v>7.5249999999999991E+49</v>
      </c>
      <c r="AA193" s="13">
        <v>78795.811518324597</v>
      </c>
    </row>
    <row r="194" spans="24:27">
      <c r="X194">
        <v>192</v>
      </c>
      <c r="Y194" s="15">
        <v>1072</v>
      </c>
      <c r="Z194" s="15">
        <v>7.7500000000000001E+49</v>
      </c>
      <c r="AA194" s="13">
        <v>81151.832460732985</v>
      </c>
    </row>
    <row r="195" spans="24:27">
      <c r="X195">
        <v>193</v>
      </c>
      <c r="Y195" s="15">
        <v>1073</v>
      </c>
      <c r="Z195" s="15">
        <v>7.9750000000000011E+49</v>
      </c>
      <c r="AA195" s="13">
        <v>83507.853403141373</v>
      </c>
    </row>
    <row r="196" spans="24:27">
      <c r="X196">
        <v>194</v>
      </c>
      <c r="Y196" s="15">
        <v>1074</v>
      </c>
      <c r="Z196" s="15">
        <v>8.199999999999999E+49</v>
      </c>
      <c r="AA196" s="13">
        <v>85863.874345549732</v>
      </c>
    </row>
    <row r="197" spans="24:27">
      <c r="X197">
        <v>195</v>
      </c>
      <c r="Y197" s="15">
        <v>1075</v>
      </c>
      <c r="Z197" s="15">
        <v>8.425E+49</v>
      </c>
      <c r="AA197" s="13">
        <v>88219.895287958119</v>
      </c>
    </row>
    <row r="198" spans="24:27">
      <c r="X198">
        <v>196</v>
      </c>
      <c r="Y198" s="15">
        <v>1076</v>
      </c>
      <c r="Z198" s="15">
        <v>8.6499999999999999E+49</v>
      </c>
      <c r="AA198" s="13">
        <v>90575.916230366493</v>
      </c>
    </row>
    <row r="199" spans="24:27">
      <c r="X199">
        <v>197</v>
      </c>
      <c r="Y199" s="15">
        <v>1077</v>
      </c>
      <c r="Z199" s="15">
        <v>8.8749999999999999E+49</v>
      </c>
      <c r="AA199" s="13">
        <v>92931.937172774866</v>
      </c>
    </row>
    <row r="200" spans="24:27">
      <c r="X200">
        <v>198</v>
      </c>
      <c r="Y200" s="15">
        <v>1078</v>
      </c>
      <c r="Z200" s="15">
        <v>9.0999999999999978E+49</v>
      </c>
      <c r="AA200" s="13">
        <v>95287.958115183224</v>
      </c>
    </row>
    <row r="201" spans="24:27">
      <c r="X201">
        <v>199</v>
      </c>
      <c r="Y201" s="15">
        <v>1079</v>
      </c>
      <c r="Z201" s="15">
        <v>9.3249999999999988E+49</v>
      </c>
      <c r="AA201" s="13">
        <v>97643.979057591612</v>
      </c>
    </row>
    <row r="202" spans="24:27">
      <c r="X202">
        <v>200</v>
      </c>
      <c r="Y202" s="15">
        <v>1080</v>
      </c>
      <c r="Z202" s="15">
        <v>9.5500000000000008E+49</v>
      </c>
      <c r="AA202" s="13">
        <v>100000.00000000001</v>
      </c>
    </row>
    <row r="203" spans="24:27">
      <c r="X203">
        <v>201</v>
      </c>
      <c r="Y203" s="15">
        <v>1081</v>
      </c>
      <c r="Z203" s="15">
        <v>9.7750000000000008E+49</v>
      </c>
      <c r="AA203" s="13">
        <v>102356.02094240839</v>
      </c>
    </row>
    <row r="204" spans="24:27">
      <c r="X204">
        <v>202</v>
      </c>
      <c r="Y204" s="15">
        <v>1082</v>
      </c>
      <c r="Z204" s="15">
        <v>1.0000000000000001E+50</v>
      </c>
      <c r="AA204" s="13">
        <v>104712.04188481676</v>
      </c>
    </row>
    <row r="205" spans="24:27">
      <c r="X205">
        <v>203</v>
      </c>
      <c r="Y205" s="15">
        <v>1083</v>
      </c>
      <c r="Z205" s="15">
        <v>1.225E+50</v>
      </c>
      <c r="AA205" s="13">
        <v>128272.25130890054</v>
      </c>
    </row>
    <row r="206" spans="24:27">
      <c r="X206">
        <v>204</v>
      </c>
      <c r="Y206" s="15">
        <v>1084</v>
      </c>
      <c r="Z206" s="15">
        <v>1.4499999999999998E+50</v>
      </c>
      <c r="AA206" s="13">
        <v>151832.46073298427</v>
      </c>
    </row>
    <row r="207" spans="24:27">
      <c r="X207">
        <v>205</v>
      </c>
      <c r="Y207" s="15">
        <v>1085</v>
      </c>
      <c r="Z207" s="15">
        <v>1.675E+50</v>
      </c>
      <c r="AA207" s="13">
        <v>175392.67015706806</v>
      </c>
    </row>
    <row r="208" spans="24:27">
      <c r="X208">
        <v>206</v>
      </c>
      <c r="Y208" s="15">
        <v>1086</v>
      </c>
      <c r="Z208" s="15">
        <v>1.9000000000000004E+50</v>
      </c>
      <c r="AA208" s="13">
        <v>198952.87958115188</v>
      </c>
    </row>
    <row r="209" spans="24:27">
      <c r="X209">
        <v>207</v>
      </c>
      <c r="Y209" s="15">
        <v>1087</v>
      </c>
      <c r="Z209" s="15">
        <v>2.1249999999999999E+50</v>
      </c>
      <c r="AA209" s="13">
        <v>222513.08900523561</v>
      </c>
    </row>
    <row r="210" spans="24:27">
      <c r="X210">
        <v>208</v>
      </c>
      <c r="Y210" s="15">
        <v>1088</v>
      </c>
      <c r="Z210" s="15">
        <v>2.3499999999999999E+50</v>
      </c>
      <c r="AA210" s="13">
        <v>246073.29842931937</v>
      </c>
    </row>
    <row r="211" spans="24:27">
      <c r="X211">
        <v>209</v>
      </c>
      <c r="Y211" s="15">
        <v>1089</v>
      </c>
      <c r="Z211" s="15">
        <v>2.5749999999999998E+50</v>
      </c>
      <c r="AA211" s="13">
        <v>269633.50785340311</v>
      </c>
    </row>
    <row r="212" spans="24:27">
      <c r="X212">
        <v>210</v>
      </c>
      <c r="Y212" s="15">
        <v>1090</v>
      </c>
      <c r="Z212" s="15">
        <v>2.8000000000000002E+50</v>
      </c>
      <c r="AA212" s="13">
        <v>293193.71727748693</v>
      </c>
    </row>
    <row r="213" spans="24:27">
      <c r="X213">
        <v>211</v>
      </c>
      <c r="Y213" s="15">
        <v>1091</v>
      </c>
      <c r="Z213" s="15">
        <v>3.0250000000000002E+50</v>
      </c>
      <c r="AA213" s="13">
        <v>316753.92670157069</v>
      </c>
    </row>
    <row r="214" spans="24:27">
      <c r="X214">
        <v>212</v>
      </c>
      <c r="Y214" s="15">
        <v>1092</v>
      </c>
      <c r="Z214" s="15">
        <v>3.2499999999999997E+50</v>
      </c>
      <c r="AA214" s="13">
        <v>340314.13612565445</v>
      </c>
    </row>
    <row r="215" spans="24:27">
      <c r="X215">
        <v>213</v>
      </c>
      <c r="Y215" s="15">
        <v>1093</v>
      </c>
      <c r="Z215" s="15">
        <v>3.4750000000000001E+50</v>
      </c>
      <c r="AA215" s="13">
        <v>363874.34554973827</v>
      </c>
    </row>
    <row r="216" spans="24:27">
      <c r="X216">
        <v>214</v>
      </c>
      <c r="Y216" s="15">
        <v>1094</v>
      </c>
      <c r="Z216" s="15">
        <v>3.7000000000000001E+50</v>
      </c>
      <c r="AA216" s="13">
        <v>387434.55497382203</v>
      </c>
    </row>
    <row r="217" spans="24:27">
      <c r="X217">
        <v>215</v>
      </c>
      <c r="Y217" s="15">
        <v>1095</v>
      </c>
      <c r="Z217" s="15">
        <v>3.925E+50</v>
      </c>
      <c r="AA217" s="13">
        <v>410994.76439790579</v>
      </c>
    </row>
    <row r="218" spans="24:27">
      <c r="X218">
        <v>216</v>
      </c>
      <c r="Y218" s="15">
        <v>1096</v>
      </c>
      <c r="Z218" s="15">
        <v>4.1500000000000008E+50</v>
      </c>
      <c r="AA218" s="13">
        <v>434554.97382198961</v>
      </c>
    </row>
    <row r="219" spans="24:27">
      <c r="X219">
        <v>217</v>
      </c>
      <c r="Y219" s="15">
        <v>1097</v>
      </c>
      <c r="Z219" s="15">
        <v>4.375E+50</v>
      </c>
      <c r="AA219" s="13">
        <v>458115.18324607331</v>
      </c>
    </row>
    <row r="220" spans="24:27">
      <c r="X220">
        <v>218</v>
      </c>
      <c r="Y220" s="15">
        <v>1098</v>
      </c>
      <c r="Z220" s="15">
        <v>4.5999999999999999E+50</v>
      </c>
      <c r="AA220" s="13">
        <v>481675.39267015707</v>
      </c>
    </row>
    <row r="221" spans="24:27">
      <c r="X221">
        <v>219</v>
      </c>
      <c r="Y221" s="15">
        <v>1099</v>
      </c>
      <c r="Z221" s="15">
        <v>4.8250000000000007E+50</v>
      </c>
      <c r="AA221" s="13">
        <v>505235.60209424095</v>
      </c>
    </row>
    <row r="222" spans="24:27">
      <c r="X222">
        <v>220</v>
      </c>
      <c r="Y222" s="15">
        <v>1100</v>
      </c>
      <c r="Z222" s="15">
        <v>5.0499999999999999E+50</v>
      </c>
      <c r="AA222" s="13">
        <v>528795.81151832466</v>
      </c>
    </row>
    <row r="223" spans="24:27">
      <c r="X223">
        <v>221</v>
      </c>
      <c r="Y223" s="15">
        <v>1101</v>
      </c>
      <c r="Z223" s="15">
        <v>5.2749999999999998E+50</v>
      </c>
      <c r="AA223" s="13">
        <v>552356.02094240836</v>
      </c>
    </row>
    <row r="224" spans="24:27">
      <c r="X224">
        <v>222</v>
      </c>
      <c r="Y224" s="15">
        <v>1102</v>
      </c>
      <c r="Z224" s="15">
        <v>5.4999999999999998E+50</v>
      </c>
      <c r="AA224" s="13">
        <v>575916.23036649218</v>
      </c>
    </row>
    <row r="225" spans="24:27">
      <c r="X225">
        <v>223</v>
      </c>
      <c r="Y225" s="15">
        <v>1103</v>
      </c>
      <c r="Z225" s="15">
        <v>5.7250000000000006E+50</v>
      </c>
      <c r="AA225" s="13">
        <v>599476.439790576</v>
      </c>
    </row>
    <row r="226" spans="24:27">
      <c r="X226">
        <v>224</v>
      </c>
      <c r="Y226" s="15">
        <v>1104</v>
      </c>
      <c r="Z226" s="15">
        <v>5.9500000000000006E+50</v>
      </c>
      <c r="AA226" s="13">
        <v>623036.64921465982</v>
      </c>
    </row>
    <row r="227" spans="24:27">
      <c r="X227">
        <v>225</v>
      </c>
      <c r="Y227" s="15">
        <v>1105</v>
      </c>
      <c r="Z227" s="15">
        <v>6.1749999999999997E+50</v>
      </c>
      <c r="AA227" s="13">
        <v>646596.8586387434</v>
      </c>
    </row>
    <row r="228" spans="24:27">
      <c r="X228">
        <v>226</v>
      </c>
      <c r="Y228" s="15">
        <v>1106</v>
      </c>
      <c r="Z228" s="15">
        <v>6.3999999999999988E+50</v>
      </c>
      <c r="AA228" s="13">
        <v>670157.06806282711</v>
      </c>
    </row>
    <row r="229" spans="24:27">
      <c r="X229">
        <v>227</v>
      </c>
      <c r="Y229" s="15">
        <v>1107</v>
      </c>
      <c r="Z229" s="15">
        <v>6.6249999999999996E+50</v>
      </c>
      <c r="AA229" s="13">
        <v>693717.27748691093</v>
      </c>
    </row>
    <row r="230" spans="24:27">
      <c r="X230">
        <v>228</v>
      </c>
      <c r="Y230" s="15">
        <v>1108</v>
      </c>
      <c r="Z230" s="15">
        <v>6.8500000000000012E+50</v>
      </c>
      <c r="AA230" s="13">
        <v>717277.48691099486</v>
      </c>
    </row>
    <row r="231" spans="24:27">
      <c r="X231">
        <v>229</v>
      </c>
      <c r="Y231" s="15">
        <v>1109</v>
      </c>
      <c r="Z231" s="15">
        <v>7.0749999999999996E+50</v>
      </c>
      <c r="AA231" s="13">
        <v>740837.69633507857</v>
      </c>
    </row>
    <row r="232" spans="24:27">
      <c r="X232">
        <v>230</v>
      </c>
      <c r="Y232" s="15">
        <v>1110</v>
      </c>
      <c r="Z232" s="15">
        <v>7.3000000000000003E+50</v>
      </c>
      <c r="AA232" s="13">
        <v>764397.90575916239</v>
      </c>
    </row>
    <row r="233" spans="24:27">
      <c r="X233">
        <v>231</v>
      </c>
      <c r="Y233" s="15">
        <v>1111</v>
      </c>
      <c r="Z233" s="15">
        <v>7.5249999999999995E+50</v>
      </c>
      <c r="AA233" s="13">
        <v>787958.11518324609</v>
      </c>
    </row>
    <row r="234" spans="24:27">
      <c r="X234">
        <v>232</v>
      </c>
      <c r="Y234" s="15">
        <v>1112</v>
      </c>
      <c r="Z234" s="15">
        <v>7.7500000000000003E+50</v>
      </c>
      <c r="AA234" s="13">
        <v>811518.32460732991</v>
      </c>
    </row>
    <row r="235" spans="24:27">
      <c r="X235">
        <v>233</v>
      </c>
      <c r="Y235" s="15">
        <v>1113</v>
      </c>
      <c r="Z235" s="15">
        <v>7.9750000000000011E+50</v>
      </c>
      <c r="AA235" s="13">
        <v>835078.53403141373</v>
      </c>
    </row>
    <row r="236" spans="24:27">
      <c r="X236">
        <v>234</v>
      </c>
      <c r="Y236" s="15">
        <v>1114</v>
      </c>
      <c r="Z236" s="15">
        <v>8.1999999999999985E+50</v>
      </c>
      <c r="AA236" s="13">
        <v>858638.74345549732</v>
      </c>
    </row>
    <row r="237" spans="24:27">
      <c r="X237">
        <v>235</v>
      </c>
      <c r="Y237" s="15">
        <v>1115</v>
      </c>
      <c r="Z237" s="15">
        <v>8.425000000000001E+50</v>
      </c>
      <c r="AA237" s="13">
        <v>882198.95287958125</v>
      </c>
    </row>
    <row r="238" spans="24:27">
      <c r="X238">
        <v>236</v>
      </c>
      <c r="Y238" s="15">
        <v>1116</v>
      </c>
      <c r="Z238" s="15">
        <v>8.6500000000000001E+50</v>
      </c>
      <c r="AA238" s="13">
        <v>905759.16230366495</v>
      </c>
    </row>
    <row r="239" spans="24:27">
      <c r="X239">
        <v>237</v>
      </c>
      <c r="Y239" s="15">
        <v>1117</v>
      </c>
      <c r="Z239" s="15">
        <v>8.8749999999999993E+50</v>
      </c>
      <c r="AA239" s="13">
        <v>929319.37172774866</v>
      </c>
    </row>
    <row r="240" spans="24:27">
      <c r="X240">
        <v>238</v>
      </c>
      <c r="Y240" s="15">
        <v>1118</v>
      </c>
      <c r="Z240" s="15">
        <v>9.0999999999999984E+50</v>
      </c>
      <c r="AA240" s="13">
        <v>952879.58115183236</v>
      </c>
    </row>
    <row r="241" spans="24:27">
      <c r="X241">
        <v>239</v>
      </c>
      <c r="Y241" s="15">
        <v>1119</v>
      </c>
      <c r="Z241" s="15">
        <v>9.3249999999999992E+50</v>
      </c>
      <c r="AA241" s="13">
        <v>976439.79057591618</v>
      </c>
    </row>
    <row r="242" spans="24:27">
      <c r="X242">
        <v>240</v>
      </c>
      <c r="Y242" s="15">
        <v>1120</v>
      </c>
      <c r="Z242" s="15">
        <v>9.55E+50</v>
      </c>
      <c r="AA242" s="13">
        <v>1000000</v>
      </c>
    </row>
    <row r="243" spans="24:27">
      <c r="X243">
        <v>241</v>
      </c>
      <c r="Y243" s="15">
        <v>1121</v>
      </c>
      <c r="Z243" s="15">
        <v>9.7749999999999991E+50</v>
      </c>
      <c r="AA243" s="13">
        <v>1023560.2094240837</v>
      </c>
    </row>
    <row r="244" spans="24:27">
      <c r="X244">
        <v>242</v>
      </c>
      <c r="Y244" s="15">
        <v>1122</v>
      </c>
      <c r="Z244" s="15">
        <v>9.9999999999999999E+50</v>
      </c>
      <c r="AA244" s="13">
        <v>1047120.4188481675</v>
      </c>
    </row>
    <row r="245" spans="24:27">
      <c r="X245">
        <v>243</v>
      </c>
      <c r="Y245" s="15">
        <v>1123</v>
      </c>
      <c r="Z245" s="15">
        <v>1.2250000000000001E+51</v>
      </c>
      <c r="AA245" s="13">
        <v>1282722.5130890054</v>
      </c>
    </row>
    <row r="246" spans="24:27">
      <c r="X246">
        <v>244</v>
      </c>
      <c r="Y246" s="15">
        <v>1124</v>
      </c>
      <c r="Z246" s="15">
        <v>1.4499999999999998E+51</v>
      </c>
      <c r="AA246" s="13">
        <v>1518324.6073298426</v>
      </c>
    </row>
    <row r="247" spans="24:27">
      <c r="X247">
        <v>245</v>
      </c>
      <c r="Y247" s="15">
        <v>1125</v>
      </c>
      <c r="Z247" s="15">
        <v>1.6750000000000001E+51</v>
      </c>
      <c r="AA247" s="13">
        <v>1753926.7015706808</v>
      </c>
    </row>
    <row r="248" spans="24:27">
      <c r="X248">
        <v>246</v>
      </c>
      <c r="Y248" s="15">
        <v>1126</v>
      </c>
      <c r="Z248" s="15">
        <v>1.9000000000000002E+51</v>
      </c>
      <c r="AA248" s="13">
        <v>1989528.7958115186</v>
      </c>
    </row>
    <row r="249" spans="24:27">
      <c r="X249">
        <v>247</v>
      </c>
      <c r="Y249" s="15">
        <v>1127</v>
      </c>
      <c r="Z249" s="15">
        <v>2.125E+51</v>
      </c>
      <c r="AA249" s="13">
        <v>2225130.8900523563</v>
      </c>
    </row>
    <row r="250" spans="24:27">
      <c r="X250">
        <v>248</v>
      </c>
      <c r="Y250" s="15">
        <v>1128</v>
      </c>
      <c r="Z250" s="15">
        <v>2.3500000000000001E+51</v>
      </c>
      <c r="AA250" s="13">
        <v>2460732.984293194</v>
      </c>
    </row>
    <row r="251" spans="24:27">
      <c r="X251">
        <v>249</v>
      </c>
      <c r="Y251" s="15">
        <v>1129</v>
      </c>
      <c r="Z251" s="15">
        <v>2.5749999999999999E+51</v>
      </c>
      <c r="AA251" s="13">
        <v>2696335.0785340313</v>
      </c>
    </row>
    <row r="252" spans="24:27">
      <c r="X252">
        <v>250</v>
      </c>
      <c r="Y252" s="15">
        <v>1130</v>
      </c>
      <c r="Z252" s="15">
        <v>2.8E+51</v>
      </c>
      <c r="AA252" s="13">
        <v>2931937.1727748695</v>
      </c>
    </row>
    <row r="253" spans="24:27">
      <c r="X253">
        <v>251</v>
      </c>
      <c r="Y253" s="15">
        <v>1131</v>
      </c>
      <c r="Z253" s="15">
        <v>3.0249999999999998E+51</v>
      </c>
      <c r="AA253" s="13">
        <v>3167539.2670157067</v>
      </c>
    </row>
    <row r="254" spans="24:27">
      <c r="X254">
        <v>252</v>
      </c>
      <c r="Y254" s="15">
        <v>1132</v>
      </c>
      <c r="Z254" s="15">
        <v>3.25E+51</v>
      </c>
      <c r="AA254" s="13">
        <v>3403141.3612565445</v>
      </c>
    </row>
    <row r="255" spans="24:27">
      <c r="X255">
        <v>253</v>
      </c>
      <c r="Y255" s="15">
        <v>1133</v>
      </c>
      <c r="Z255" s="15">
        <v>3.4750000000000001E+51</v>
      </c>
      <c r="AA255" s="13">
        <v>3638743.4554973822</v>
      </c>
    </row>
    <row r="256" spans="24:27">
      <c r="X256">
        <v>254</v>
      </c>
      <c r="Y256" s="15">
        <v>1134</v>
      </c>
      <c r="Z256" s="15">
        <v>3.7000000000000002E+51</v>
      </c>
      <c r="AA256" s="13">
        <v>3874345.5497382204</v>
      </c>
    </row>
    <row r="257" spans="24:27">
      <c r="X257">
        <v>255</v>
      </c>
      <c r="Y257" s="15">
        <v>1135</v>
      </c>
      <c r="Z257" s="15">
        <v>3.9250000000000004E+51</v>
      </c>
      <c r="AA257" s="13">
        <v>4109947.6439790581</v>
      </c>
    </row>
    <row r="258" spans="24:27">
      <c r="X258">
        <v>256</v>
      </c>
      <c r="Y258" s="15">
        <v>1136</v>
      </c>
      <c r="Z258" s="15">
        <v>4.1500000000000005E+51</v>
      </c>
      <c r="AA258" s="13">
        <v>4345549.7382198963</v>
      </c>
    </row>
    <row r="259" spans="24:27">
      <c r="X259">
        <v>257</v>
      </c>
      <c r="Y259" s="15">
        <v>1137</v>
      </c>
      <c r="Z259" s="15">
        <v>4.375E+51</v>
      </c>
      <c r="AA259" s="13">
        <v>4581151.8324607331</v>
      </c>
    </row>
    <row r="260" spans="24:27">
      <c r="X260">
        <v>258</v>
      </c>
      <c r="Y260" s="15">
        <v>1138</v>
      </c>
      <c r="Z260" s="15">
        <v>4.6000000000000001E+51</v>
      </c>
      <c r="AA260" s="13">
        <v>4816753.9267015709</v>
      </c>
    </row>
    <row r="261" spans="24:27">
      <c r="X261">
        <v>259</v>
      </c>
      <c r="Y261" s="15">
        <v>1139</v>
      </c>
      <c r="Z261" s="15">
        <v>4.8250000000000009E+51</v>
      </c>
      <c r="AA261" s="13">
        <v>5052356.0209424095</v>
      </c>
    </row>
    <row r="262" spans="24:27">
      <c r="X262">
        <v>260</v>
      </c>
      <c r="Y262" s="15">
        <v>1140</v>
      </c>
      <c r="Z262" s="15">
        <v>5.0500000000000004E+51</v>
      </c>
      <c r="AA262" s="13">
        <v>5287958.1151832463</v>
      </c>
    </row>
    <row r="263" spans="24:27">
      <c r="X263">
        <v>261</v>
      </c>
      <c r="Y263" s="15">
        <v>1141</v>
      </c>
      <c r="Z263" s="15">
        <v>5.2749999999999998E+51</v>
      </c>
      <c r="AA263" s="13">
        <v>5523560.2094240841</v>
      </c>
    </row>
    <row r="264" spans="24:27">
      <c r="X264">
        <v>262</v>
      </c>
      <c r="Y264" s="15">
        <v>1142</v>
      </c>
      <c r="Z264" s="15">
        <v>5.4999999999999993E+51</v>
      </c>
      <c r="AA264" s="13">
        <v>5759162.3036649209</v>
      </c>
    </row>
    <row r="265" spans="24:27">
      <c r="X265">
        <v>263</v>
      </c>
      <c r="Y265" s="15">
        <v>1143</v>
      </c>
      <c r="Z265" s="15">
        <v>5.7250000000000008E+51</v>
      </c>
      <c r="AA265" s="13">
        <v>5994764.3979057604</v>
      </c>
    </row>
    <row r="266" spans="24:27">
      <c r="X266">
        <v>264</v>
      </c>
      <c r="Y266" s="15">
        <v>1144</v>
      </c>
      <c r="Z266" s="15">
        <v>5.9500000000000009E+51</v>
      </c>
      <c r="AA266" s="13">
        <v>6230366.4921465982</v>
      </c>
    </row>
    <row r="267" spans="24:27">
      <c r="X267">
        <v>265</v>
      </c>
      <c r="Y267" s="15">
        <v>1145</v>
      </c>
      <c r="Z267" s="15">
        <v>6.1749999999999997E+51</v>
      </c>
      <c r="AA267" s="13">
        <v>6465968.586387434</v>
      </c>
    </row>
    <row r="268" spans="24:27">
      <c r="X268">
        <v>266</v>
      </c>
      <c r="Y268" s="15">
        <v>1146</v>
      </c>
      <c r="Z268" s="15">
        <v>6.3999999999999992E+51</v>
      </c>
      <c r="AA268" s="13">
        <v>6701570.6806282718</v>
      </c>
    </row>
    <row r="269" spans="24:27">
      <c r="X269">
        <v>267</v>
      </c>
      <c r="Y269" s="15">
        <v>1147</v>
      </c>
      <c r="Z269" s="15">
        <v>6.625E+51</v>
      </c>
      <c r="AA269" s="13">
        <v>6937172.7748691104</v>
      </c>
    </row>
    <row r="270" spans="24:27">
      <c r="X270">
        <v>268</v>
      </c>
      <c r="Y270" s="15">
        <v>1148</v>
      </c>
      <c r="Z270" s="15">
        <v>6.8500000000000008E+51</v>
      </c>
      <c r="AA270" s="13">
        <v>7172774.8691099491</v>
      </c>
    </row>
    <row r="271" spans="24:27">
      <c r="X271">
        <v>269</v>
      </c>
      <c r="Y271" s="15">
        <v>1149</v>
      </c>
      <c r="Z271" s="15">
        <v>7.0749999999999989E+51</v>
      </c>
      <c r="AA271" s="13">
        <v>7408376.963350784</v>
      </c>
    </row>
    <row r="272" spans="24:27">
      <c r="X272">
        <v>270</v>
      </c>
      <c r="Y272" s="15">
        <v>1150</v>
      </c>
      <c r="Z272" s="15">
        <v>7.300000000000001E+51</v>
      </c>
      <c r="AA272" s="13">
        <v>7643979.0575916246</v>
      </c>
    </row>
    <row r="273" spans="24:27">
      <c r="X273">
        <v>271</v>
      </c>
      <c r="Y273" s="15">
        <v>1151</v>
      </c>
      <c r="Z273" s="15">
        <v>7.5249999999999992E+51</v>
      </c>
      <c r="AA273" s="13">
        <v>7879581.1518324604</v>
      </c>
    </row>
    <row r="274" spans="24:27">
      <c r="X274">
        <v>272</v>
      </c>
      <c r="Y274" s="15">
        <v>1152</v>
      </c>
      <c r="Z274" s="15">
        <v>7.7499999999999999E+51</v>
      </c>
      <c r="AA274" s="13">
        <v>8115183.2460732991</v>
      </c>
    </row>
    <row r="275" spans="24:27">
      <c r="X275">
        <v>273</v>
      </c>
      <c r="Y275" s="15">
        <v>1153</v>
      </c>
      <c r="Z275" s="15">
        <v>7.9750000000000007E+51</v>
      </c>
      <c r="AA275" s="13">
        <v>8350785.3403141368</v>
      </c>
    </row>
    <row r="276" spans="24:27">
      <c r="X276">
        <v>274</v>
      </c>
      <c r="Y276" s="15">
        <v>1154</v>
      </c>
      <c r="Z276" s="15">
        <v>8.1999999999999989E+51</v>
      </c>
      <c r="AA276" s="13">
        <v>8586387.4345549736</v>
      </c>
    </row>
    <row r="277" spans="24:27">
      <c r="X277">
        <v>275</v>
      </c>
      <c r="Y277" s="15">
        <v>1155</v>
      </c>
      <c r="Z277" s="15">
        <v>8.4249999999999997E+51</v>
      </c>
      <c r="AA277" s="13">
        <v>8821989.5287958123</v>
      </c>
    </row>
    <row r="278" spans="24:27">
      <c r="X278">
        <v>276</v>
      </c>
      <c r="Y278" s="15">
        <v>1156</v>
      </c>
      <c r="Z278" s="15">
        <v>8.6500000000000005E+51</v>
      </c>
      <c r="AA278" s="13">
        <v>9057591.6230366491</v>
      </c>
    </row>
    <row r="279" spans="24:27">
      <c r="X279">
        <v>277</v>
      </c>
      <c r="Y279" s="15">
        <v>1157</v>
      </c>
      <c r="Z279" s="15">
        <v>8.8749999999999999E+51</v>
      </c>
      <c r="AA279" s="13">
        <v>9293193.7172774877</v>
      </c>
    </row>
    <row r="280" spans="24:27">
      <c r="X280">
        <v>278</v>
      </c>
      <c r="Y280" s="15">
        <v>1158</v>
      </c>
      <c r="Z280" s="15">
        <v>9.0999999999999981E+51</v>
      </c>
      <c r="AA280" s="13">
        <v>9528795.8115183227</v>
      </c>
    </row>
    <row r="281" spans="24:27">
      <c r="X281">
        <v>279</v>
      </c>
      <c r="Y281" s="15">
        <v>1159</v>
      </c>
      <c r="Z281" s="15">
        <v>9.3249999999999989E+51</v>
      </c>
      <c r="AA281" s="13">
        <v>9764397.9057591613</v>
      </c>
    </row>
    <row r="282" spans="24:27">
      <c r="X282">
        <v>280</v>
      </c>
      <c r="Y282" s="15">
        <v>1160</v>
      </c>
      <c r="Z282" s="15">
        <v>9.5499999999999997E+51</v>
      </c>
      <c r="AA282" s="13">
        <v>10000000</v>
      </c>
    </row>
    <row r="283" spans="24:27">
      <c r="X283">
        <v>281</v>
      </c>
      <c r="Y283" s="15">
        <v>1161</v>
      </c>
      <c r="Z283" s="15">
        <v>9.7749999999999991E+51</v>
      </c>
      <c r="AA283" s="13">
        <v>10235602.094240837</v>
      </c>
    </row>
    <row r="284" spans="24:27">
      <c r="X284">
        <v>282</v>
      </c>
      <c r="Y284" s="15">
        <v>1162</v>
      </c>
      <c r="Z284" s="15">
        <v>9.9999999999999999E+51</v>
      </c>
      <c r="AA284" s="13">
        <v>10471204.188481675</v>
      </c>
    </row>
    <row r="285" spans="24:27">
      <c r="X285">
        <v>283</v>
      </c>
      <c r="Y285" s="15">
        <v>1163</v>
      </c>
      <c r="Z285" s="15">
        <v>1.225E+52</v>
      </c>
      <c r="AA285" s="13">
        <v>12827225.130890053</v>
      </c>
    </row>
    <row r="286" spans="24:27">
      <c r="X286">
        <v>284</v>
      </c>
      <c r="Y286" s="15">
        <v>1164</v>
      </c>
      <c r="Z286" s="15">
        <v>1.4499999999999997E+52</v>
      </c>
      <c r="AA286" s="13">
        <v>15183246.073298426</v>
      </c>
    </row>
    <row r="287" spans="24:27">
      <c r="X287">
        <v>285</v>
      </c>
      <c r="Y287" s="15">
        <v>1165</v>
      </c>
      <c r="Z287" s="15">
        <v>1.675E+52</v>
      </c>
      <c r="AA287" s="13">
        <v>17539267.015706807</v>
      </c>
    </row>
    <row r="288" spans="24:27">
      <c r="X288">
        <v>286</v>
      </c>
      <c r="Y288" s="15">
        <v>1166</v>
      </c>
      <c r="Z288" s="15">
        <v>1.9000000000000003E+52</v>
      </c>
      <c r="AA288" s="13">
        <v>19895287.958115187</v>
      </c>
    </row>
    <row r="289" spans="24:27">
      <c r="X289">
        <v>287</v>
      </c>
      <c r="Y289" s="15">
        <v>1167</v>
      </c>
      <c r="Z289" s="15">
        <v>2.125E+52</v>
      </c>
      <c r="AA289" s="13">
        <v>22251308.900523562</v>
      </c>
    </row>
    <row r="290" spans="24:27">
      <c r="X290">
        <v>288</v>
      </c>
      <c r="Y290" s="15">
        <v>1168</v>
      </c>
      <c r="Z290" s="15">
        <v>2.35E+52</v>
      </c>
      <c r="AA290" s="13">
        <v>24607329.842931937</v>
      </c>
    </row>
    <row r="291" spans="24:27">
      <c r="X291">
        <v>289</v>
      </c>
      <c r="Y291" s="15">
        <v>1169</v>
      </c>
      <c r="Z291" s="15">
        <v>2.5749999999999997E+52</v>
      </c>
      <c r="AA291" s="13">
        <v>26963350.785340313</v>
      </c>
    </row>
    <row r="292" spans="24:27">
      <c r="X292">
        <v>290</v>
      </c>
      <c r="Y292" s="15">
        <v>1170</v>
      </c>
      <c r="Z292" s="15">
        <v>2.8E+52</v>
      </c>
      <c r="AA292" s="13">
        <v>29319371.727748692</v>
      </c>
    </row>
    <row r="293" spans="24:27">
      <c r="X293">
        <v>291</v>
      </c>
      <c r="Y293" s="15">
        <v>1171</v>
      </c>
      <c r="Z293" s="15">
        <v>3.0250000000000002E+52</v>
      </c>
      <c r="AA293" s="13">
        <v>31675392.670157071</v>
      </c>
    </row>
    <row r="294" spans="24:27">
      <c r="X294">
        <v>292</v>
      </c>
      <c r="Y294" s="15">
        <v>1172</v>
      </c>
      <c r="Z294" s="15">
        <v>3.25E+52</v>
      </c>
      <c r="AA294" s="13">
        <v>34031413.612565443</v>
      </c>
    </row>
    <row r="295" spans="24:27">
      <c r="X295">
        <v>293</v>
      </c>
      <c r="Y295" s="15">
        <v>1173</v>
      </c>
      <c r="Z295" s="15">
        <v>3.4750000000000002E+52</v>
      </c>
      <c r="AA295" s="13">
        <v>36387434.554973826</v>
      </c>
    </row>
    <row r="296" spans="24:27">
      <c r="X296">
        <v>294</v>
      </c>
      <c r="Y296" s="15">
        <v>1174</v>
      </c>
      <c r="Z296" s="15">
        <v>3.7E+52</v>
      </c>
      <c r="AA296" s="13">
        <v>38743455.497382201</v>
      </c>
    </row>
    <row r="297" spans="24:27">
      <c r="X297">
        <v>295</v>
      </c>
      <c r="Y297" s="15">
        <v>1175</v>
      </c>
      <c r="Z297" s="15">
        <v>3.9250000000000002E+52</v>
      </c>
      <c r="AA297" s="13">
        <v>41099476.439790577</v>
      </c>
    </row>
    <row r="298" spans="24:27">
      <c r="X298">
        <v>296</v>
      </c>
      <c r="Y298" s="15">
        <v>1176</v>
      </c>
      <c r="Z298" s="15">
        <v>4.1500000000000005E+52</v>
      </c>
      <c r="AA298" s="13">
        <v>43455497.38219896</v>
      </c>
    </row>
    <row r="299" spans="24:27">
      <c r="X299">
        <v>297</v>
      </c>
      <c r="Y299" s="15">
        <v>1177</v>
      </c>
      <c r="Z299" s="15">
        <v>4.3749999999999997E+52</v>
      </c>
      <c r="AA299" s="13">
        <v>45811518.324607328</v>
      </c>
    </row>
    <row r="300" spans="24:27">
      <c r="X300">
        <v>298</v>
      </c>
      <c r="Y300" s="15">
        <v>1178</v>
      </c>
      <c r="Z300" s="15">
        <v>4.6E+52</v>
      </c>
      <c r="AA300" s="13">
        <v>48167539.26701571</v>
      </c>
    </row>
    <row r="301" spans="24:27">
      <c r="X301">
        <v>299</v>
      </c>
      <c r="Y301" s="15">
        <v>1179</v>
      </c>
      <c r="Z301" s="15">
        <v>4.8250000000000013E+52</v>
      </c>
      <c r="AA301" s="13">
        <v>50523560.209424101</v>
      </c>
    </row>
    <row r="302" spans="24:27">
      <c r="X302">
        <v>300</v>
      </c>
      <c r="Y302" s="15">
        <v>1180</v>
      </c>
      <c r="Z302" s="15">
        <v>5.0500000000000005E+52</v>
      </c>
      <c r="AA302" s="13">
        <v>52879581.151832469</v>
      </c>
    </row>
    <row r="303" spans="24:27">
      <c r="X303">
        <v>301</v>
      </c>
      <c r="Y303" s="15">
        <v>1181</v>
      </c>
      <c r="Z303" s="15">
        <v>5.2749999999999997E+52</v>
      </c>
      <c r="AA303" s="13">
        <v>55235602.094240837</v>
      </c>
    </row>
    <row r="304" spans="24:27">
      <c r="X304">
        <v>302</v>
      </c>
      <c r="Y304" s="15">
        <v>1182</v>
      </c>
      <c r="Z304" s="15">
        <v>5.5E+52</v>
      </c>
      <c r="AA304" s="13">
        <v>57591623.03664922</v>
      </c>
    </row>
    <row r="305" spans="24:27">
      <c r="X305">
        <v>303</v>
      </c>
      <c r="Y305" s="15">
        <v>1183</v>
      </c>
      <c r="Z305" s="15">
        <v>5.7250000000000002E+52</v>
      </c>
      <c r="AA305" s="13">
        <v>59947643.979057595</v>
      </c>
    </row>
    <row r="306" spans="24:27">
      <c r="X306">
        <v>304</v>
      </c>
      <c r="Y306" s="15">
        <v>1184</v>
      </c>
      <c r="Z306" s="15">
        <v>5.9500000000000005E+52</v>
      </c>
      <c r="AA306" s="13">
        <v>62303664.921465978</v>
      </c>
    </row>
    <row r="307" spans="24:27">
      <c r="X307">
        <v>305</v>
      </c>
      <c r="Y307" s="15">
        <v>1185</v>
      </c>
      <c r="Z307" s="15">
        <v>6.1749999999999997E+52</v>
      </c>
      <c r="AA307" s="13">
        <v>64659685.863874346</v>
      </c>
    </row>
    <row r="308" spans="24:27">
      <c r="X308">
        <v>306</v>
      </c>
      <c r="Y308" s="15">
        <v>1186</v>
      </c>
      <c r="Z308" s="15">
        <v>6.3999999999999989E+52</v>
      </c>
      <c r="AA308" s="13">
        <v>67015706.806282714</v>
      </c>
    </row>
    <row r="309" spans="24:27">
      <c r="X309">
        <v>307</v>
      </c>
      <c r="Y309" s="15">
        <v>1187</v>
      </c>
      <c r="Z309" s="15">
        <v>6.6250000000000002E+52</v>
      </c>
      <c r="AA309" s="13">
        <v>69371727.748691097</v>
      </c>
    </row>
    <row r="310" spans="24:27">
      <c r="X310">
        <v>308</v>
      </c>
      <c r="Y310" s="15">
        <v>1188</v>
      </c>
      <c r="Z310" s="15">
        <v>6.8500000000000005E+52</v>
      </c>
      <c r="AA310" s="13">
        <v>71727748.69109948</v>
      </c>
    </row>
    <row r="311" spans="24:27">
      <c r="X311">
        <v>309</v>
      </c>
      <c r="Y311" s="15">
        <v>1189</v>
      </c>
      <c r="Z311" s="15">
        <v>7.0749999999999997E+52</v>
      </c>
      <c r="AA311" s="13">
        <v>74083769.633507848</v>
      </c>
    </row>
    <row r="312" spans="24:27">
      <c r="X312">
        <v>310</v>
      </c>
      <c r="Y312" s="15">
        <v>1190</v>
      </c>
      <c r="Z312" s="15">
        <v>7.3E+52</v>
      </c>
      <c r="AA312" s="13">
        <v>76439790.575916231</v>
      </c>
    </row>
    <row r="313" spans="24:27">
      <c r="X313">
        <v>311</v>
      </c>
      <c r="Y313" s="15">
        <v>1191</v>
      </c>
      <c r="Z313" s="15">
        <v>7.5249999999999992E+52</v>
      </c>
      <c r="AA313" s="13">
        <v>78795811.518324599</v>
      </c>
    </row>
    <row r="314" spans="24:27">
      <c r="X314">
        <v>312</v>
      </c>
      <c r="Y314" s="15">
        <v>1192</v>
      </c>
      <c r="Z314" s="15">
        <v>7.7499999999999994E+52</v>
      </c>
      <c r="AA314" s="13">
        <v>81151832.460732982</v>
      </c>
    </row>
    <row r="315" spans="24:27">
      <c r="X315">
        <v>313</v>
      </c>
      <c r="Y315" s="15">
        <v>1193</v>
      </c>
      <c r="Z315" s="15">
        <v>7.9750000000000007E+52</v>
      </c>
      <c r="AA315" s="13">
        <v>83507853.403141364</v>
      </c>
    </row>
    <row r="316" spans="24:27">
      <c r="X316">
        <v>314</v>
      </c>
      <c r="Y316" s="15">
        <v>1194</v>
      </c>
      <c r="Z316" s="15">
        <v>8.1999999999999989E+52</v>
      </c>
      <c r="AA316" s="13">
        <v>85863874.345549732</v>
      </c>
    </row>
    <row r="317" spans="24:27">
      <c r="X317">
        <v>315</v>
      </c>
      <c r="Y317" s="15">
        <v>1195</v>
      </c>
      <c r="Z317" s="15">
        <v>8.4250000000000002E+52</v>
      </c>
      <c r="AA317" s="13">
        <v>88219895.287958115</v>
      </c>
    </row>
    <row r="318" spans="24:27">
      <c r="X318">
        <v>316</v>
      </c>
      <c r="Y318" s="15">
        <v>1196</v>
      </c>
      <c r="Z318" s="15">
        <v>8.6499999999999994E+52</v>
      </c>
      <c r="AA318" s="13">
        <v>90575916.230366483</v>
      </c>
    </row>
    <row r="319" spans="24:27">
      <c r="X319">
        <v>317</v>
      </c>
      <c r="Y319" s="15">
        <v>1197</v>
      </c>
      <c r="Z319" s="15">
        <v>8.8749999999999997E+52</v>
      </c>
      <c r="AA319" s="13">
        <v>92931937.172774866</v>
      </c>
    </row>
    <row r="320" spans="24:27">
      <c r="X320">
        <v>318</v>
      </c>
      <c r="Y320" s="15">
        <v>1198</v>
      </c>
      <c r="Z320" s="15">
        <v>9.0999999999999978E+52</v>
      </c>
      <c r="AA320" s="13">
        <v>95287958.115183219</v>
      </c>
    </row>
    <row r="321" spans="24:27">
      <c r="X321">
        <v>319</v>
      </c>
      <c r="Y321" s="15">
        <v>1199</v>
      </c>
      <c r="Z321" s="15">
        <v>9.3249999999999991E+52</v>
      </c>
      <c r="AA321" s="13">
        <v>97643979.057591617</v>
      </c>
    </row>
    <row r="322" spans="24:27">
      <c r="X322">
        <v>320</v>
      </c>
      <c r="Y322" s="15">
        <v>1200</v>
      </c>
      <c r="Z322" s="15">
        <v>9.5500000000000005E+52</v>
      </c>
      <c r="AA322" s="13">
        <v>100000000.00000001</v>
      </c>
    </row>
    <row r="323" spans="24:27">
      <c r="X323">
        <v>321</v>
      </c>
      <c r="Y323" s="15">
        <v>1201</v>
      </c>
      <c r="Z323" s="15">
        <v>9.7749999999999997E+52</v>
      </c>
      <c r="AA323" s="13">
        <v>102356020.94240838</v>
      </c>
    </row>
    <row r="324" spans="24:27">
      <c r="X324">
        <v>322</v>
      </c>
      <c r="Y324" s="15">
        <v>1202</v>
      </c>
      <c r="Z324" s="15">
        <v>9.9999999999999999E+52</v>
      </c>
      <c r="AA324" s="13">
        <v>104712041.88481675</v>
      </c>
    </row>
    <row r="325" spans="24:27">
      <c r="X325">
        <v>323</v>
      </c>
      <c r="Y325" s="15">
        <v>1203</v>
      </c>
      <c r="Z325" s="15">
        <v>1.225E+53</v>
      </c>
      <c r="AA325" s="13">
        <v>128272251.30890054</v>
      </c>
    </row>
    <row r="326" spans="24:27">
      <c r="X326">
        <v>324</v>
      </c>
      <c r="Y326" s="15">
        <v>1204</v>
      </c>
      <c r="Z326" s="15">
        <v>1.4499999999999999E+53</v>
      </c>
      <c r="AA326" s="13">
        <v>151832460.73298427</v>
      </c>
    </row>
    <row r="327" spans="24:27">
      <c r="X327">
        <v>325</v>
      </c>
      <c r="Y327" s="15">
        <v>1205</v>
      </c>
      <c r="Z327" s="15">
        <v>1.6749999999999999E+53</v>
      </c>
      <c r="AA327" s="13">
        <v>175392670.15706807</v>
      </c>
    </row>
    <row r="328" spans="24:27">
      <c r="X328">
        <v>326</v>
      </c>
      <c r="Y328" s="15">
        <v>1206</v>
      </c>
      <c r="Z328" s="15">
        <v>1.9000000000000004E+53</v>
      </c>
      <c r="AA328" s="13">
        <v>198952879.58115187</v>
      </c>
    </row>
    <row r="329" spans="24:27">
      <c r="X329">
        <v>327</v>
      </c>
      <c r="Y329" s="15">
        <v>1207</v>
      </c>
      <c r="Z329" s="15">
        <v>2.125E+53</v>
      </c>
      <c r="AA329" s="13">
        <v>222513089.00523561</v>
      </c>
    </row>
    <row r="330" spans="24:27">
      <c r="X330">
        <v>328</v>
      </c>
      <c r="Y330" s="15">
        <v>1208</v>
      </c>
      <c r="Z330" s="15">
        <v>2.3499999999999999E+53</v>
      </c>
      <c r="AA330" s="13">
        <v>246073298.42931938</v>
      </c>
    </row>
    <row r="331" spans="24:27">
      <c r="X331">
        <v>329</v>
      </c>
      <c r="Y331" s="15">
        <v>1209</v>
      </c>
      <c r="Z331" s="15">
        <v>2.5749999999999997E+53</v>
      </c>
      <c r="AA331" s="13">
        <v>269633507.85340309</v>
      </c>
    </row>
    <row r="332" spans="24:27">
      <c r="X332">
        <v>330</v>
      </c>
      <c r="Y332" s="15">
        <v>1210</v>
      </c>
      <c r="Z332" s="15">
        <v>2.8E+53</v>
      </c>
      <c r="AA332" s="13">
        <v>293193717.27748692</v>
      </c>
    </row>
    <row r="333" spans="24:27">
      <c r="X333">
        <v>331</v>
      </c>
      <c r="Y333" s="15">
        <v>1211</v>
      </c>
      <c r="Z333" s="15">
        <v>3.0250000000000002E+53</v>
      </c>
      <c r="AA333" s="13">
        <v>316753926.70157069</v>
      </c>
    </row>
    <row r="334" spans="24:27">
      <c r="X334">
        <v>332</v>
      </c>
      <c r="Y334" s="15">
        <v>1212</v>
      </c>
      <c r="Z334" s="15">
        <v>3.2499999999999997E+53</v>
      </c>
      <c r="AA334" s="13">
        <v>340314136.1256544</v>
      </c>
    </row>
    <row r="335" spans="24:27">
      <c r="X335">
        <v>333</v>
      </c>
      <c r="Y335" s="15">
        <v>1213</v>
      </c>
      <c r="Z335" s="15">
        <v>3.4750000000000003E+53</v>
      </c>
      <c r="AA335" s="13">
        <v>363874345.54973829</v>
      </c>
    </row>
    <row r="336" spans="24:27">
      <c r="X336">
        <v>334</v>
      </c>
      <c r="Y336" s="15">
        <v>1214</v>
      </c>
      <c r="Z336" s="15">
        <v>3.6999999999999998E+53</v>
      </c>
      <c r="AA336" s="13">
        <v>387434554.973822</v>
      </c>
    </row>
    <row r="337" spans="24:27">
      <c r="X337">
        <v>335</v>
      </c>
      <c r="Y337" s="15">
        <v>1215</v>
      </c>
      <c r="Z337" s="15">
        <v>3.9250000000000005E+53</v>
      </c>
      <c r="AA337" s="13">
        <v>410994764.39790583</v>
      </c>
    </row>
    <row r="338" spans="24:27">
      <c r="X338">
        <v>336</v>
      </c>
      <c r="Y338" s="15">
        <v>1216</v>
      </c>
      <c r="Z338" s="15">
        <v>4.1500000000000007E+53</v>
      </c>
      <c r="AA338" s="13">
        <v>434554973.8219896</v>
      </c>
    </row>
    <row r="339" spans="24:27">
      <c r="X339">
        <v>337</v>
      </c>
      <c r="Y339" s="15">
        <v>1217</v>
      </c>
      <c r="Z339" s="15">
        <v>4.3749999999999993E+53</v>
      </c>
      <c r="AA339" s="13">
        <v>458115183.24607325</v>
      </c>
    </row>
    <row r="340" spans="24:27">
      <c r="X340">
        <v>338</v>
      </c>
      <c r="Y340" s="15">
        <v>1218</v>
      </c>
      <c r="Z340" s="15">
        <v>4.6000000000000004E+53</v>
      </c>
      <c r="AA340" s="13">
        <v>481675392.67015713</v>
      </c>
    </row>
    <row r="341" spans="24:27">
      <c r="X341">
        <v>339</v>
      </c>
      <c r="Y341" s="15">
        <v>1219</v>
      </c>
      <c r="Z341" s="15">
        <v>4.8250000000000007E+53</v>
      </c>
      <c r="AA341" s="13">
        <v>505235602.0942409</v>
      </c>
    </row>
    <row r="342" spans="24:27">
      <c r="X342">
        <v>340</v>
      </c>
      <c r="Y342" s="15">
        <v>1220</v>
      </c>
      <c r="Z342" s="15">
        <v>5.0500000000000001E+53</v>
      </c>
      <c r="AA342" s="13">
        <v>528795811.51832461</v>
      </c>
    </row>
    <row r="343" spans="24:27">
      <c r="X343">
        <v>341</v>
      </c>
      <c r="Y343" s="15">
        <v>1221</v>
      </c>
      <c r="Z343" s="15">
        <v>5.2749999999999995E+53</v>
      </c>
      <c r="AA343" s="13">
        <v>552356020.94240832</v>
      </c>
    </row>
    <row r="344" spans="24:27">
      <c r="X344">
        <v>342</v>
      </c>
      <c r="Y344" s="15">
        <v>1222</v>
      </c>
      <c r="Z344" s="15">
        <v>5.4999999999999998E+53</v>
      </c>
      <c r="AA344" s="13">
        <v>575916230.36649215</v>
      </c>
    </row>
    <row r="345" spans="24:27">
      <c r="X345">
        <v>343</v>
      </c>
      <c r="Y345" s="15">
        <v>1223</v>
      </c>
      <c r="Z345" s="15">
        <v>5.7250000000000009E+53</v>
      </c>
      <c r="AA345" s="13">
        <v>599476439.79057598</v>
      </c>
    </row>
    <row r="346" spans="24:27">
      <c r="X346">
        <v>344</v>
      </c>
      <c r="Y346" s="15">
        <v>1224</v>
      </c>
      <c r="Z346" s="15">
        <v>5.9500000000000011E+53</v>
      </c>
      <c r="AA346" s="13">
        <v>623036649.21465981</v>
      </c>
    </row>
    <row r="347" spans="24:27">
      <c r="X347">
        <v>345</v>
      </c>
      <c r="Y347" s="15">
        <v>1225</v>
      </c>
      <c r="Z347" s="15">
        <v>6.1749999999999997E+53</v>
      </c>
      <c r="AA347" s="13">
        <v>646596858.6387434</v>
      </c>
    </row>
    <row r="348" spans="24:27">
      <c r="X348">
        <v>346</v>
      </c>
      <c r="Y348" s="15">
        <v>1226</v>
      </c>
      <c r="Z348" s="15">
        <v>6.3999999999999991E+53</v>
      </c>
      <c r="AA348" s="13">
        <v>670157068.06282711</v>
      </c>
    </row>
    <row r="349" spans="24:27">
      <c r="X349">
        <v>347</v>
      </c>
      <c r="Y349" s="15">
        <v>1227</v>
      </c>
      <c r="Z349" s="15">
        <v>6.6250000000000002E+53</v>
      </c>
      <c r="AA349" s="13">
        <v>693717277.48691106</v>
      </c>
    </row>
    <row r="350" spans="24:27">
      <c r="X350">
        <v>348</v>
      </c>
      <c r="Y350" s="15">
        <v>1228</v>
      </c>
      <c r="Z350" s="15">
        <v>6.8500000000000013E+53</v>
      </c>
      <c r="AA350" s="13">
        <v>717277486.91099489</v>
      </c>
    </row>
    <row r="351" spans="24:27">
      <c r="X351">
        <v>349</v>
      </c>
      <c r="Y351" s="15">
        <v>1229</v>
      </c>
      <c r="Z351" s="15">
        <v>7.074999999999999E+53</v>
      </c>
      <c r="AA351" s="13">
        <v>740837696.33507848</v>
      </c>
    </row>
    <row r="352" spans="24:27">
      <c r="X352">
        <v>350</v>
      </c>
      <c r="Y352" s="15">
        <v>1230</v>
      </c>
      <c r="Z352" s="15">
        <v>7.3000000000000002E+53</v>
      </c>
      <c r="AA352" s="13">
        <v>764397905.75916231</v>
      </c>
    </row>
    <row r="353" spans="24:27">
      <c r="X353">
        <v>351</v>
      </c>
      <c r="Y353" s="15">
        <v>1231</v>
      </c>
      <c r="Z353" s="15">
        <v>7.5249999999999987E+53</v>
      </c>
      <c r="AA353" s="13">
        <v>787958115.18324602</v>
      </c>
    </row>
    <row r="354" spans="24:27">
      <c r="X354">
        <v>352</v>
      </c>
      <c r="Y354" s="15">
        <v>1232</v>
      </c>
      <c r="Z354" s="15">
        <v>7.7499999999999998E+53</v>
      </c>
      <c r="AA354" s="13">
        <v>811518324.60732985</v>
      </c>
    </row>
    <row r="355" spans="24:27">
      <c r="X355">
        <v>353</v>
      </c>
      <c r="Y355" s="15">
        <v>1233</v>
      </c>
      <c r="Z355" s="15">
        <v>7.975000000000001E+53</v>
      </c>
      <c r="AA355" s="13">
        <v>835078534.03141379</v>
      </c>
    </row>
    <row r="356" spans="24:27">
      <c r="X356">
        <v>354</v>
      </c>
      <c r="Y356" s="15">
        <v>1234</v>
      </c>
      <c r="Z356" s="15">
        <v>8.1999999999999987E+53</v>
      </c>
      <c r="AA356" s="13">
        <v>858638743.45549726</v>
      </c>
    </row>
    <row r="357" spans="24:27">
      <c r="X357">
        <v>355</v>
      </c>
      <c r="Y357" s="15">
        <v>1235</v>
      </c>
      <c r="Z357" s="15">
        <v>8.4249999999999998E+53</v>
      </c>
      <c r="AA357" s="13">
        <v>882198952.87958121</v>
      </c>
    </row>
    <row r="358" spans="24:27">
      <c r="X358">
        <v>356</v>
      </c>
      <c r="Y358" s="15">
        <v>1236</v>
      </c>
      <c r="Z358" s="15">
        <v>8.6499999999999992E+53</v>
      </c>
      <c r="AA358" s="13">
        <v>905759162.30366492</v>
      </c>
    </row>
    <row r="359" spans="24:27">
      <c r="X359">
        <v>357</v>
      </c>
      <c r="Y359" s="15">
        <v>1237</v>
      </c>
      <c r="Z359" s="15">
        <v>8.8750000000000003E+53</v>
      </c>
      <c r="AA359" s="13">
        <v>929319371.72774875</v>
      </c>
    </row>
    <row r="360" spans="24:27">
      <c r="X360">
        <v>358</v>
      </c>
      <c r="Y360" s="15">
        <v>1238</v>
      </c>
      <c r="Z360" s="15">
        <v>9.099999999999998E+53</v>
      </c>
      <c r="AA360" s="13">
        <v>952879581.15183234</v>
      </c>
    </row>
    <row r="361" spans="24:27">
      <c r="X361">
        <v>359</v>
      </c>
      <c r="Y361" s="15">
        <v>1239</v>
      </c>
      <c r="Z361" s="15">
        <v>9.3249999999999991E+53</v>
      </c>
      <c r="AA361" s="13">
        <v>976439790.57591617</v>
      </c>
    </row>
    <row r="362" spans="24:27">
      <c r="X362">
        <v>360</v>
      </c>
      <c r="Y362" s="15">
        <v>1240</v>
      </c>
      <c r="Z362" s="15">
        <v>9.5500000000000003E+53</v>
      </c>
      <c r="AA362" s="13">
        <v>1000000000</v>
      </c>
    </row>
    <row r="363" spans="24:27">
      <c r="X363">
        <v>361</v>
      </c>
      <c r="Y363" s="15">
        <v>1241</v>
      </c>
      <c r="Z363" s="15">
        <v>9.7749999999999997E+53</v>
      </c>
      <c r="AA363" s="13">
        <v>1023560209.4240837</v>
      </c>
    </row>
    <row r="364" spans="24:27">
      <c r="X364">
        <v>362</v>
      </c>
      <c r="Y364" s="15">
        <v>1242</v>
      </c>
      <c r="Z364" s="15">
        <v>1.0000000000000001E+54</v>
      </c>
      <c r="AA364" s="13">
        <v>1047120418.8481677</v>
      </c>
    </row>
    <row r="365" spans="24:27">
      <c r="X365">
        <v>363</v>
      </c>
      <c r="Y365" s="15">
        <v>1243</v>
      </c>
      <c r="Z365" s="15">
        <v>1.225E+54</v>
      </c>
      <c r="AA365" s="13">
        <v>1282722513.0890052</v>
      </c>
    </row>
    <row r="366" spans="24:27">
      <c r="X366">
        <v>364</v>
      </c>
      <c r="Y366" s="15">
        <v>1244</v>
      </c>
      <c r="Z366" s="15">
        <v>1.4499999999999998E+54</v>
      </c>
      <c r="AA366" s="13">
        <v>1518324607.3298428</v>
      </c>
    </row>
    <row r="367" spans="24:27">
      <c r="X367">
        <v>365</v>
      </c>
      <c r="Y367" s="15">
        <v>1245</v>
      </c>
      <c r="Z367" s="15">
        <v>1.675E+54</v>
      </c>
      <c r="AA367" s="13">
        <v>1753926701.5706806</v>
      </c>
    </row>
    <row r="368" spans="24:27">
      <c r="X368">
        <v>366</v>
      </c>
      <c r="Y368" s="15">
        <v>1246</v>
      </c>
      <c r="Z368" s="15">
        <v>1.9000000000000005E+54</v>
      </c>
      <c r="AA368" s="13">
        <v>1989528795.8115189</v>
      </c>
    </row>
    <row r="369" spans="24:27">
      <c r="X369">
        <v>367</v>
      </c>
      <c r="Y369" s="15">
        <v>1247</v>
      </c>
      <c r="Z369" s="15">
        <v>2.1249999999999999E+54</v>
      </c>
      <c r="AA369" s="13">
        <v>2225130890.0523558</v>
      </c>
    </row>
    <row r="370" spans="24:27">
      <c r="X370">
        <v>368</v>
      </c>
      <c r="Y370" s="15">
        <v>1248</v>
      </c>
      <c r="Z370" s="15">
        <v>2.35E+54</v>
      </c>
      <c r="AA370" s="13">
        <v>2460732984.2931938</v>
      </c>
    </row>
    <row r="371" spans="24:27">
      <c r="X371">
        <v>369</v>
      </c>
      <c r="Y371" s="15">
        <v>1249</v>
      </c>
      <c r="Z371" s="15">
        <v>2.5749999999999997E+54</v>
      </c>
      <c r="AA371" s="13">
        <v>2696335078.5340314</v>
      </c>
    </row>
    <row r="372" spans="24:27">
      <c r="X372">
        <v>370</v>
      </c>
      <c r="Y372" s="15">
        <v>1250</v>
      </c>
      <c r="Z372" s="15">
        <v>2.8000000000000002E+54</v>
      </c>
      <c r="AA372" s="13">
        <v>2931937172.7748694</v>
      </c>
    </row>
    <row r="373" spans="24:27">
      <c r="X373">
        <v>371</v>
      </c>
      <c r="Y373" s="15">
        <v>1251</v>
      </c>
      <c r="Z373" s="15">
        <v>3.0250000000000002E+54</v>
      </c>
      <c r="AA373" s="13">
        <v>3167539267.015707</v>
      </c>
    </row>
    <row r="374" spans="24:27">
      <c r="X374">
        <v>372</v>
      </c>
      <c r="Y374" s="15">
        <v>1252</v>
      </c>
      <c r="Z374" s="15">
        <v>3.25E+54</v>
      </c>
      <c r="AA374" s="13">
        <v>3403141361.2565446</v>
      </c>
    </row>
    <row r="375" spans="24:27">
      <c r="X375">
        <v>373</v>
      </c>
      <c r="Y375" s="15">
        <v>1253</v>
      </c>
      <c r="Z375" s="15">
        <v>3.4750000000000004E+54</v>
      </c>
      <c r="AA375" s="13">
        <v>3638743455.4973826</v>
      </c>
    </row>
    <row r="376" spans="24:27">
      <c r="X376">
        <v>374</v>
      </c>
      <c r="Y376" s="15">
        <v>1254</v>
      </c>
      <c r="Z376" s="15">
        <v>3.7000000000000002E+54</v>
      </c>
      <c r="AA376" s="13">
        <v>3874345549.7382202</v>
      </c>
    </row>
    <row r="377" spans="24:27">
      <c r="X377">
        <v>375</v>
      </c>
      <c r="Y377" s="15">
        <v>1255</v>
      </c>
      <c r="Z377" s="15">
        <v>3.9249999999999999E+54</v>
      </c>
      <c r="AA377" s="13">
        <v>4109947643.9790578</v>
      </c>
    </row>
    <row r="378" spans="24:27">
      <c r="X378">
        <v>376</v>
      </c>
      <c r="Y378" s="15">
        <v>1256</v>
      </c>
      <c r="Z378" s="15">
        <v>4.1500000000000004E+54</v>
      </c>
      <c r="AA378" s="13">
        <v>4345549738.2198954</v>
      </c>
    </row>
    <row r="379" spans="24:27">
      <c r="X379">
        <v>377</v>
      </c>
      <c r="Y379" s="15">
        <v>1257</v>
      </c>
      <c r="Z379" s="15">
        <v>4.3749999999999994E+54</v>
      </c>
      <c r="AA379" s="13">
        <v>4581151832.4607325</v>
      </c>
    </row>
    <row r="380" spans="24:27">
      <c r="X380">
        <v>378</v>
      </c>
      <c r="Y380" s="15">
        <v>1258</v>
      </c>
      <c r="Z380" s="15">
        <v>4.5999999999999999E+54</v>
      </c>
      <c r="AA380" s="13">
        <v>4816753926.7015705</v>
      </c>
    </row>
    <row r="381" spans="24:27">
      <c r="X381">
        <v>379</v>
      </c>
      <c r="Y381" s="15">
        <v>1259</v>
      </c>
      <c r="Z381" s="15">
        <v>4.825000000000001E+54</v>
      </c>
      <c r="AA381" s="13">
        <v>5052356020.9424095</v>
      </c>
    </row>
    <row r="382" spans="24:27">
      <c r="X382">
        <v>380</v>
      </c>
      <c r="Y382" s="15">
        <v>1260</v>
      </c>
      <c r="Z382" s="15">
        <v>5.0500000000000001E+54</v>
      </c>
      <c r="AA382" s="13">
        <v>5287958115.1832466</v>
      </c>
    </row>
    <row r="383" spans="24:27">
      <c r="X383">
        <v>381</v>
      </c>
      <c r="Y383" s="15">
        <v>1261</v>
      </c>
      <c r="Z383" s="15">
        <v>5.2749999999999998E+54</v>
      </c>
      <c r="AA383" s="13">
        <v>5523560209.4240837</v>
      </c>
    </row>
    <row r="384" spans="24:27">
      <c r="X384">
        <v>382</v>
      </c>
      <c r="Y384" s="15">
        <v>1262</v>
      </c>
      <c r="Z384" s="15">
        <v>5.4999999999999996E+54</v>
      </c>
      <c r="AA384" s="13">
        <v>5759162303.6649208</v>
      </c>
    </row>
    <row r="385" spans="24:27">
      <c r="X385">
        <v>383</v>
      </c>
      <c r="Y385" s="15">
        <v>1263</v>
      </c>
      <c r="Z385" s="15">
        <v>5.7250000000000007E+54</v>
      </c>
      <c r="AA385" s="13">
        <v>5994764397.9057598</v>
      </c>
    </row>
    <row r="386" spans="24:27">
      <c r="X386">
        <v>384</v>
      </c>
      <c r="Y386" s="15">
        <v>1264</v>
      </c>
      <c r="Z386" s="15">
        <v>5.9500000000000011E+54</v>
      </c>
      <c r="AA386" s="13">
        <v>6230366492.1465979</v>
      </c>
    </row>
    <row r="387" spans="24:27">
      <c r="X387">
        <v>385</v>
      </c>
      <c r="Y387" s="15">
        <v>1265</v>
      </c>
      <c r="Z387" s="15">
        <v>6.1749999999999988E+54</v>
      </c>
      <c r="AA387" s="13">
        <v>6465968586.387434</v>
      </c>
    </row>
    <row r="388" spans="24:27">
      <c r="X388">
        <v>386</v>
      </c>
      <c r="Y388" s="15">
        <v>1266</v>
      </c>
      <c r="Z388" s="15">
        <v>6.3999999999999986E+54</v>
      </c>
      <c r="AA388" s="13">
        <v>6701570680.6282711</v>
      </c>
    </row>
    <row r="389" spans="24:27">
      <c r="X389">
        <v>387</v>
      </c>
      <c r="Y389" s="15">
        <v>1267</v>
      </c>
      <c r="Z389" s="15">
        <v>6.6249999999999997E+54</v>
      </c>
      <c r="AA389" s="13">
        <v>6937172774.8691101</v>
      </c>
    </row>
    <row r="390" spans="24:27">
      <c r="X390">
        <v>388</v>
      </c>
      <c r="Y390" s="15">
        <v>1268</v>
      </c>
      <c r="Z390" s="15">
        <v>6.8500000000000008E+54</v>
      </c>
      <c r="AA390" s="13">
        <v>7172774869.1099491</v>
      </c>
    </row>
    <row r="391" spans="24:27">
      <c r="X391">
        <v>389</v>
      </c>
      <c r="Y391" s="15">
        <v>1269</v>
      </c>
      <c r="Z391" s="15">
        <v>7.0749999999999992E+54</v>
      </c>
      <c r="AA391" s="13">
        <v>7408376963.3507843</v>
      </c>
    </row>
    <row r="392" spans="24:27">
      <c r="X392">
        <v>390</v>
      </c>
      <c r="Y392" s="15">
        <v>1270</v>
      </c>
      <c r="Z392" s="15">
        <v>7.3000000000000003E+54</v>
      </c>
      <c r="AA392" s="13">
        <v>7643979057.5916233</v>
      </c>
    </row>
    <row r="393" spans="24:27">
      <c r="X393">
        <v>391</v>
      </c>
      <c r="Y393" s="15">
        <v>1271</v>
      </c>
      <c r="Z393" s="15">
        <v>7.5249999999999987E+54</v>
      </c>
      <c r="AA393" s="13">
        <v>7879581151.8324594</v>
      </c>
    </row>
    <row r="394" spans="24:27">
      <c r="X394">
        <v>392</v>
      </c>
      <c r="Y394" s="15">
        <v>1272</v>
      </c>
      <c r="Z394" s="15">
        <v>7.7499999999999998E+54</v>
      </c>
      <c r="AA394" s="13">
        <v>8115183246.0732985</v>
      </c>
    </row>
    <row r="395" spans="24:27">
      <c r="X395">
        <v>393</v>
      </c>
      <c r="Y395" s="15">
        <v>1273</v>
      </c>
      <c r="Z395" s="15">
        <v>7.975000000000001E+54</v>
      </c>
      <c r="AA395" s="13">
        <v>8350785340.3141375</v>
      </c>
    </row>
    <row r="396" spans="24:27">
      <c r="X396">
        <v>394</v>
      </c>
      <c r="Y396" s="15">
        <v>1274</v>
      </c>
      <c r="Z396" s="15">
        <v>8.1999999999999993E+54</v>
      </c>
      <c r="AA396" s="13">
        <v>8586387434.5549736</v>
      </c>
    </row>
    <row r="397" spans="24:27">
      <c r="X397">
        <v>395</v>
      </c>
      <c r="Y397" s="15">
        <v>1275</v>
      </c>
      <c r="Z397" s="15">
        <v>8.4250000000000005E+54</v>
      </c>
      <c r="AA397" s="13">
        <v>8821989528.7958126</v>
      </c>
    </row>
    <row r="398" spans="24:27">
      <c r="X398">
        <v>396</v>
      </c>
      <c r="Y398" s="15">
        <v>1276</v>
      </c>
      <c r="Z398" s="15">
        <v>8.6500000000000002E+54</v>
      </c>
      <c r="AA398" s="13">
        <v>9057591623.0366497</v>
      </c>
    </row>
    <row r="399" spans="24:27">
      <c r="X399">
        <v>397</v>
      </c>
      <c r="Y399" s="15">
        <v>1277</v>
      </c>
      <c r="Z399" s="15">
        <v>8.875E+54</v>
      </c>
      <c r="AA399" s="13">
        <v>9293193717.2774868</v>
      </c>
    </row>
    <row r="400" spans="24:27">
      <c r="X400">
        <v>398</v>
      </c>
      <c r="Y400" s="15">
        <v>1278</v>
      </c>
      <c r="Z400" s="15">
        <v>9.0999999999999984E+54</v>
      </c>
      <c r="AA400" s="13">
        <v>9528795811.5183239</v>
      </c>
    </row>
    <row r="401" spans="24:27">
      <c r="X401">
        <v>399</v>
      </c>
      <c r="Y401" s="15">
        <v>1279</v>
      </c>
      <c r="Z401" s="15">
        <v>9.3249999999999995E+54</v>
      </c>
      <c r="AA401" s="13">
        <v>9764397905.7591629</v>
      </c>
    </row>
    <row r="402" spans="24:27">
      <c r="X402">
        <v>400</v>
      </c>
      <c r="Y402" s="15">
        <v>1280</v>
      </c>
      <c r="Z402" s="15">
        <v>9.5500000000000006E+54</v>
      </c>
      <c r="AA402" s="13">
        <v>10000000000</v>
      </c>
    </row>
    <row r="403" spans="24:27">
      <c r="X403">
        <v>401</v>
      </c>
      <c r="Y403" s="15">
        <v>1281</v>
      </c>
      <c r="Z403" s="15">
        <v>9.7750000000000003E+54</v>
      </c>
      <c r="AA403" s="13">
        <v>10235602094.240839</v>
      </c>
    </row>
    <row r="404" spans="24:27">
      <c r="X404">
        <v>402</v>
      </c>
      <c r="Y404" s="15">
        <v>1282</v>
      </c>
      <c r="Z404" s="15">
        <v>1E+55</v>
      </c>
      <c r="AA404" s="13">
        <v>10471204188.481676</v>
      </c>
    </row>
    <row r="405" spans="24:27">
      <c r="X405">
        <v>403</v>
      </c>
      <c r="Y405" s="15">
        <v>1283</v>
      </c>
      <c r="Z405" s="15">
        <v>1.225E+55</v>
      </c>
      <c r="AA405" s="13">
        <v>12827225130.890053</v>
      </c>
    </row>
    <row r="406" spans="24:27">
      <c r="X406">
        <v>404</v>
      </c>
      <c r="Y406" s="15">
        <v>1284</v>
      </c>
      <c r="Z406" s="15">
        <v>1.4499999999999997E+55</v>
      </c>
      <c r="AA406" s="13">
        <v>15183246073.298426</v>
      </c>
    </row>
    <row r="407" spans="24:27">
      <c r="X407">
        <v>405</v>
      </c>
      <c r="Y407" s="15">
        <v>1285</v>
      </c>
      <c r="Z407" s="15">
        <v>1.675E+55</v>
      </c>
      <c r="AA407" s="13">
        <v>17539267015.706806</v>
      </c>
    </row>
    <row r="408" spans="24:27">
      <c r="X408">
        <v>406</v>
      </c>
      <c r="Y408" s="15">
        <v>1286</v>
      </c>
      <c r="Z408" s="15">
        <v>1.9000000000000003E+55</v>
      </c>
      <c r="AA408" s="13">
        <v>19895287958.115185</v>
      </c>
    </row>
    <row r="409" spans="24:27">
      <c r="X409">
        <v>407</v>
      </c>
      <c r="Y409" s="15">
        <v>1287</v>
      </c>
      <c r="Z409" s="15">
        <v>2.125E+55</v>
      </c>
      <c r="AA409" s="13">
        <v>22251308900.52356</v>
      </c>
    </row>
    <row r="410" spans="24:27">
      <c r="X410">
        <v>408</v>
      </c>
      <c r="Y410" s="15">
        <v>1288</v>
      </c>
      <c r="Z410" s="15">
        <v>2.35E+55</v>
      </c>
      <c r="AA410" s="13">
        <v>24607329842.931938</v>
      </c>
    </row>
    <row r="411" spans="24:27">
      <c r="X411">
        <v>409</v>
      </c>
      <c r="Y411" s="15">
        <v>1289</v>
      </c>
      <c r="Z411" s="15">
        <v>2.5749999999999998E+55</v>
      </c>
      <c r="AA411" s="13">
        <v>26963350785.340313</v>
      </c>
    </row>
    <row r="412" spans="24:27">
      <c r="X412">
        <v>410</v>
      </c>
      <c r="Y412" s="15">
        <v>1290</v>
      </c>
      <c r="Z412" s="15">
        <v>2.8000000000000001E+55</v>
      </c>
      <c r="AA412" s="13">
        <v>29319371727.748692</v>
      </c>
    </row>
    <row r="413" spans="24:27">
      <c r="X413">
        <v>411</v>
      </c>
      <c r="Y413" s="15">
        <v>1291</v>
      </c>
      <c r="Z413" s="15">
        <v>3.0250000000000004E+55</v>
      </c>
      <c r="AA413" s="13">
        <v>31675392670.157074</v>
      </c>
    </row>
    <row r="414" spans="24:27">
      <c r="X414">
        <v>412</v>
      </c>
      <c r="Y414" s="15">
        <v>1292</v>
      </c>
      <c r="Z414" s="15">
        <v>3.2499999999999996E+55</v>
      </c>
      <c r="AA414" s="13">
        <v>34031413612.565441</v>
      </c>
    </row>
    <row r="415" spans="24:27">
      <c r="X415">
        <v>413</v>
      </c>
      <c r="Y415" s="15">
        <v>1293</v>
      </c>
      <c r="Z415" s="15">
        <v>3.4750000000000004E+55</v>
      </c>
      <c r="AA415" s="13">
        <v>36387434554.973831</v>
      </c>
    </row>
    <row r="416" spans="24:27">
      <c r="X416">
        <v>414</v>
      </c>
      <c r="Y416" s="15">
        <v>1294</v>
      </c>
      <c r="Z416" s="15">
        <v>3.7000000000000002E+55</v>
      </c>
      <c r="AA416" s="13">
        <v>38743455497.382202</v>
      </c>
    </row>
    <row r="417" spans="24:27">
      <c r="X417">
        <v>415</v>
      </c>
      <c r="Y417" s="15">
        <v>1295</v>
      </c>
      <c r="Z417" s="15">
        <v>3.9250000000000005E+55</v>
      </c>
      <c r="AA417" s="13">
        <v>41099476439.790581</v>
      </c>
    </row>
    <row r="418" spans="24:27">
      <c r="X418">
        <v>416</v>
      </c>
      <c r="Y418" s="15">
        <v>1296</v>
      </c>
      <c r="Z418" s="15">
        <v>4.1500000000000008E+55</v>
      </c>
      <c r="AA418" s="13">
        <v>43455497382.198959</v>
      </c>
    </row>
    <row r="419" spans="24:27">
      <c r="X419">
        <v>417</v>
      </c>
      <c r="Y419" s="15">
        <v>1297</v>
      </c>
      <c r="Z419" s="15">
        <v>4.3749999999999994E+55</v>
      </c>
      <c r="AA419" s="13">
        <v>45811518324.607323</v>
      </c>
    </row>
    <row r="420" spans="24:27">
      <c r="X420">
        <v>418</v>
      </c>
      <c r="Y420" s="15">
        <v>1298</v>
      </c>
      <c r="Z420" s="15">
        <v>4.6000000000000003E+55</v>
      </c>
      <c r="AA420" s="13">
        <v>48167539267.015709</v>
      </c>
    </row>
    <row r="421" spans="24:27">
      <c r="X421">
        <v>419</v>
      </c>
      <c r="Y421" s="15">
        <v>1299</v>
      </c>
      <c r="Z421" s="15">
        <v>4.8250000000000011E+55</v>
      </c>
      <c r="AA421" s="13">
        <v>50523560209.424095</v>
      </c>
    </row>
    <row r="422" spans="24:27">
      <c r="X422">
        <v>420</v>
      </c>
      <c r="Y422" s="15">
        <v>1300</v>
      </c>
      <c r="Z422" s="15">
        <v>5.0499999999999998E+55</v>
      </c>
      <c r="AA422" s="13">
        <v>52879581151.832458</v>
      </c>
    </row>
    <row r="423" spans="24:27">
      <c r="X423">
        <v>421</v>
      </c>
      <c r="Y423" s="15">
        <v>1301</v>
      </c>
      <c r="Z423" s="15">
        <v>5.2749999999999996E+55</v>
      </c>
      <c r="AA423" s="13">
        <v>55235602094.240837</v>
      </c>
    </row>
    <row r="424" spans="24:27">
      <c r="X424">
        <v>422</v>
      </c>
      <c r="Y424" s="15">
        <v>1302</v>
      </c>
      <c r="Z424" s="15">
        <v>5.4999999999999993E+55</v>
      </c>
      <c r="AA424" s="13">
        <v>57591623036.649208</v>
      </c>
    </row>
    <row r="425" spans="24:27">
      <c r="X425">
        <v>423</v>
      </c>
      <c r="Y425" s="15">
        <v>1303</v>
      </c>
      <c r="Z425" s="15">
        <v>5.7250000000000002E+55</v>
      </c>
      <c r="AA425" s="13">
        <v>59947643979.057594</v>
      </c>
    </row>
    <row r="426" spans="24:27">
      <c r="X426">
        <v>424</v>
      </c>
      <c r="Y426" s="15">
        <v>1304</v>
      </c>
      <c r="Z426" s="15">
        <v>5.950000000000001E+55</v>
      </c>
      <c r="AA426" s="13">
        <v>62303664921.465981</v>
      </c>
    </row>
    <row r="427" spans="24:27">
      <c r="X427">
        <v>425</v>
      </c>
      <c r="Y427" s="15">
        <v>1305</v>
      </c>
      <c r="Z427" s="15">
        <v>6.1749999999999997E+55</v>
      </c>
      <c r="AA427" s="13">
        <v>64659685863.874344</v>
      </c>
    </row>
    <row r="428" spans="24:27">
      <c r="X428">
        <v>426</v>
      </c>
      <c r="Y428" s="15">
        <v>1306</v>
      </c>
      <c r="Z428" s="15">
        <v>6.3999999999999994E+55</v>
      </c>
      <c r="AA428" s="13">
        <v>67015706806.282715</v>
      </c>
    </row>
    <row r="429" spans="24:27">
      <c r="X429">
        <v>427</v>
      </c>
      <c r="Y429" s="15">
        <v>1307</v>
      </c>
      <c r="Z429" s="15">
        <v>6.6250000000000003E+55</v>
      </c>
      <c r="AA429" s="13">
        <v>69371727748.691101</v>
      </c>
    </row>
    <row r="430" spans="24:27">
      <c r="X430">
        <v>428</v>
      </c>
      <c r="Y430" s="15">
        <v>1308</v>
      </c>
      <c r="Z430" s="15">
        <v>6.8500000000000011E+55</v>
      </c>
      <c r="AA430" s="13">
        <v>71727748691.099487</v>
      </c>
    </row>
    <row r="431" spans="24:27">
      <c r="X431">
        <v>429</v>
      </c>
      <c r="Y431" s="15">
        <v>1309</v>
      </c>
      <c r="Z431" s="15">
        <v>7.0749999999999998E+55</v>
      </c>
      <c r="AA431" s="13">
        <v>74083769633.507858</v>
      </c>
    </row>
    <row r="432" spans="24:27">
      <c r="X432">
        <v>430</v>
      </c>
      <c r="Y432" s="15">
        <v>1310</v>
      </c>
      <c r="Z432" s="15">
        <v>7.3000000000000006E+55</v>
      </c>
      <c r="AA432" s="13">
        <v>76439790575.916245</v>
      </c>
    </row>
    <row r="433" spans="24:27">
      <c r="X433">
        <v>431</v>
      </c>
      <c r="Y433" s="15">
        <v>1311</v>
      </c>
      <c r="Z433" s="15">
        <v>7.5249999999999993E+55</v>
      </c>
      <c r="AA433" s="13">
        <v>78795811518.3246</v>
      </c>
    </row>
    <row r="434" spans="24:27">
      <c r="X434">
        <v>432</v>
      </c>
      <c r="Y434" s="15">
        <v>1312</v>
      </c>
      <c r="Z434" s="15">
        <v>7.7500000000000001E+55</v>
      </c>
      <c r="AA434" s="13">
        <v>81151832460.732986</v>
      </c>
    </row>
    <row r="435" spans="24:27">
      <c r="X435">
        <v>433</v>
      </c>
      <c r="Y435" s="15">
        <v>1313</v>
      </c>
      <c r="Z435" s="15">
        <v>7.975000000000001E+55</v>
      </c>
      <c r="AA435" s="13">
        <v>83507853403.141373</v>
      </c>
    </row>
    <row r="436" spans="24:27">
      <c r="X436">
        <v>434</v>
      </c>
      <c r="Y436" s="15">
        <v>1314</v>
      </c>
      <c r="Z436" s="15">
        <v>8.1999999999999996E+55</v>
      </c>
      <c r="AA436" s="13">
        <v>85863874345.549744</v>
      </c>
    </row>
    <row r="437" spans="24:27">
      <c r="X437">
        <v>435</v>
      </c>
      <c r="Y437" s="15">
        <v>1315</v>
      </c>
      <c r="Z437" s="15">
        <v>8.4250000000000005E+55</v>
      </c>
      <c r="AA437" s="13">
        <v>88219895287.95813</v>
      </c>
    </row>
  </sheetData>
  <mergeCells count="24">
    <mergeCell ref="E49:F49"/>
    <mergeCell ref="E50:F50"/>
    <mergeCell ref="E51:F51"/>
    <mergeCell ref="O41:O42"/>
    <mergeCell ref="O43:O44"/>
    <mergeCell ref="E45:F45"/>
    <mergeCell ref="E46:F46"/>
    <mergeCell ref="E47:F47"/>
    <mergeCell ref="E48:F48"/>
    <mergeCell ref="E66:F66"/>
    <mergeCell ref="E54:F54"/>
    <mergeCell ref="E53:F53"/>
    <mergeCell ref="E52:F52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64:F64"/>
    <mergeCell ref="E65:F65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Sheet1</vt:lpstr>
      <vt:lpstr>Sheet2</vt:lpstr>
      <vt:lpstr>무기확율</vt:lpstr>
      <vt:lpstr>단위환산</vt:lpstr>
      <vt:lpstr>ㅇㅇ</vt:lpstr>
      <vt:lpstr>ㅇ</vt:lpstr>
      <vt:lpstr>ㄹㅇ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2025-08-05T06:39:47Z</dcterms:created>
  <dcterms:modified xsi:type="dcterms:W3CDTF">2025-10-09T20:44:47Z</dcterms:modified>
</cp:coreProperties>
</file>