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아우라\"/>
    </mc:Choice>
  </mc:AlternateContent>
  <xr:revisionPtr revIDLastSave="0" documentId="13_ncr:1_{336999FE-A173-4F26-9FD7-A53D782E4684}" xr6:coauthVersionLast="47" xr6:coauthVersionMax="47" xr10:uidLastSave="{00000000-0000-0000-0000-000000000000}"/>
  <bookViews>
    <workbookView xWindow="-120" yWindow="-120" windowWidth="38640" windowHeight="15720" activeTab="1" xr2:uid="{1F01208C-37A0-4ED2-BEE4-5B146DDE4991}"/>
  </bookViews>
  <sheets>
    <sheet name="비교 " sheetId="1" r:id="rId1"/>
    <sheet name="능력치" sheetId="3" r:id="rId2"/>
    <sheet name="확율계산" sheetId="4" r:id="rId3"/>
    <sheet name="소환횟수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8" i="3" l="1"/>
  <c r="AG48" i="3"/>
  <c r="AN52" i="3"/>
  <c r="AE48" i="3"/>
  <c r="AD48" i="3"/>
  <c r="L72" i="3"/>
  <c r="F98" i="3"/>
  <c r="H98" i="3" s="1"/>
  <c r="F97" i="3"/>
  <c r="H97" i="3" s="1"/>
  <c r="F96" i="3"/>
  <c r="H96" i="3" s="1"/>
  <c r="F95" i="3"/>
  <c r="H95" i="3" s="1"/>
  <c r="F94" i="3"/>
  <c r="H94" i="3" s="1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F82" i="3"/>
  <c r="H82" i="3" s="1"/>
  <c r="F81" i="3"/>
  <c r="H81" i="3" s="1"/>
  <c r="F80" i="3"/>
  <c r="H80" i="3" s="1"/>
  <c r="F79" i="3"/>
  <c r="H79" i="3" s="1"/>
  <c r="F75" i="3"/>
  <c r="H75" i="3" s="1"/>
  <c r="J37" i="3" a="1"/>
  <c r="J37" i="3" s="1"/>
  <c r="J39" i="3"/>
  <c r="R49" i="3"/>
  <c r="L37" i="3" s="1"/>
  <c r="D47" i="3"/>
  <c r="H47" i="3" s="1"/>
  <c r="J47" i="3" s="1"/>
  <c r="D48" i="3"/>
  <c r="H48" i="3" s="1"/>
  <c r="J48" i="3" s="1"/>
  <c r="D49" i="3"/>
  <c r="H49" i="3" s="1"/>
  <c r="J49" i="3" s="1"/>
  <c r="D50" i="3"/>
  <c r="H50" i="3" s="1"/>
  <c r="J50" i="3" s="1"/>
  <c r="D51" i="3"/>
  <c r="H51" i="3" s="1"/>
  <c r="J51" i="3" s="1"/>
  <c r="D52" i="3"/>
  <c r="H52" i="3" s="1"/>
  <c r="J52" i="3" s="1"/>
  <c r="D53" i="3"/>
  <c r="H53" i="3" s="1"/>
  <c r="D54" i="3"/>
  <c r="H54" i="3" s="1"/>
  <c r="D55" i="3"/>
  <c r="H55" i="3" s="1"/>
  <c r="J55" i="3" s="1"/>
  <c r="D56" i="3"/>
  <c r="H56" i="3" s="1"/>
  <c r="J56" i="3" s="1"/>
  <c r="D57" i="3"/>
  <c r="H57" i="3" s="1"/>
  <c r="J57" i="3" s="1"/>
  <c r="D58" i="3"/>
  <c r="H58" i="3" s="1"/>
  <c r="J58" i="3" s="1"/>
  <c r="D59" i="3"/>
  <c r="H59" i="3" s="1"/>
  <c r="J59" i="3" s="1"/>
  <c r="D60" i="3"/>
  <c r="H60" i="3" s="1"/>
  <c r="J60" i="3" s="1"/>
  <c r="D61" i="3"/>
  <c r="H61" i="3" s="1"/>
  <c r="J61" i="3" s="1"/>
  <c r="D62" i="3"/>
  <c r="H62" i="3" s="1"/>
  <c r="J62" i="3" s="1"/>
  <c r="D63" i="3"/>
  <c r="H63" i="3" s="1"/>
  <c r="J63" i="3" s="1"/>
  <c r="D64" i="3"/>
  <c r="H64" i="3" s="1"/>
  <c r="J64" i="3" s="1"/>
  <c r="D65" i="3"/>
  <c r="H65" i="3" s="1"/>
  <c r="D46" i="3"/>
  <c r="H46" i="3" s="1"/>
  <c r="P5" i="3"/>
  <c r="Q5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H30" i="3"/>
  <c r="E30" i="3"/>
  <c r="D30" i="3"/>
  <c r="H29" i="3"/>
  <c r="F29" i="3" s="1"/>
  <c r="E29" i="3"/>
  <c r="D29" i="3"/>
  <c r="H28" i="3"/>
  <c r="F28" i="3" s="1"/>
  <c r="E28" i="3"/>
  <c r="D28" i="3"/>
  <c r="H27" i="3"/>
  <c r="E27" i="3"/>
  <c r="D27" i="3"/>
  <c r="H5" i="3"/>
  <c r="H6" i="3"/>
  <c r="F6" i="3" s="1"/>
  <c r="H7" i="3"/>
  <c r="H8" i="3"/>
  <c r="H9" i="3"/>
  <c r="H10" i="3"/>
  <c r="F10" i="3" s="1"/>
  <c r="H11" i="3"/>
  <c r="F11" i="3" s="1"/>
  <c r="H12" i="3"/>
  <c r="H13" i="3"/>
  <c r="H14" i="3"/>
  <c r="F14" i="3" s="1"/>
  <c r="H15" i="3"/>
  <c r="H16" i="3"/>
  <c r="H17" i="3"/>
  <c r="H18" i="3"/>
  <c r="H19" i="3"/>
  <c r="F19" i="3" s="1"/>
  <c r="H20" i="3"/>
  <c r="F20" i="3" s="1"/>
  <c r="H21" i="3"/>
  <c r="F21" i="3" s="1"/>
  <c r="H22" i="3"/>
  <c r="F22" i="3" s="1"/>
  <c r="H23" i="3"/>
  <c r="F23" i="3" s="1"/>
  <c r="H24" i="3"/>
  <c r="D6" i="3"/>
  <c r="D5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R47" i="3"/>
  <c r="S52" i="3" s="1"/>
  <c r="J4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5" i="3"/>
  <c r="G4" i="3"/>
  <c r="S3" i="3"/>
  <c r="S2" i="3"/>
  <c r="AC57" i="3"/>
  <c r="AC56" i="3"/>
  <c r="AE49" i="3" l="1"/>
  <c r="G63" i="3"/>
  <c r="G51" i="3"/>
  <c r="G62" i="3"/>
  <c r="G50" i="3"/>
  <c r="G61" i="3"/>
  <c r="G60" i="3"/>
  <c r="G58" i="3"/>
  <c r="G59" i="3"/>
  <c r="G47" i="3"/>
  <c r="AF49" i="3"/>
  <c r="G57" i="3"/>
  <c r="G56" i="3"/>
  <c r="G49" i="3"/>
  <c r="G48" i="3"/>
  <c r="G55" i="3"/>
  <c r="G46" i="3"/>
  <c r="G54" i="3"/>
  <c r="G65" i="3"/>
  <c r="G53" i="3"/>
  <c r="G64" i="3"/>
  <c r="G52" i="3"/>
  <c r="C65" i="3"/>
  <c r="C63" i="3"/>
  <c r="C57" i="3"/>
  <c r="C53" i="3"/>
  <c r="C51" i="3"/>
  <c r="I65" i="3"/>
  <c r="K65" i="3"/>
  <c r="C64" i="3"/>
  <c r="C52" i="3"/>
  <c r="C61" i="3"/>
  <c r="C49" i="3"/>
  <c r="C50" i="3"/>
  <c r="C60" i="3"/>
  <c r="C48" i="3"/>
  <c r="C59" i="3"/>
  <c r="C47" i="3"/>
  <c r="C62" i="3"/>
  <c r="C58" i="3"/>
  <c r="C55" i="3"/>
  <c r="C56" i="3"/>
  <c r="C46" i="3"/>
  <c r="C54" i="3"/>
  <c r="L44" i="3"/>
  <c r="S53" i="3"/>
  <c r="S54" i="3"/>
  <c r="AG49" i="3"/>
  <c r="N71" i="3"/>
  <c r="N72" i="3"/>
  <c r="L96" i="3"/>
  <c r="M96" i="3" s="1"/>
  <c r="N96" i="3" s="1"/>
  <c r="L39" i="3"/>
  <c r="F76" i="3"/>
  <c r="H76" i="3" s="1"/>
  <c r="L76" i="3" s="1"/>
  <c r="M76" i="3" s="1"/>
  <c r="N76" i="3" s="1"/>
  <c r="F77" i="3"/>
  <c r="H77" i="3" s="1"/>
  <c r="K77" i="3" s="1"/>
  <c r="F78" i="3"/>
  <c r="H78" i="3" s="1"/>
  <c r="L78" i="3" s="1"/>
  <c r="M78" i="3" s="1"/>
  <c r="N78" i="3" s="1"/>
  <c r="K37" i="3"/>
  <c r="K39" i="3"/>
  <c r="K94" i="3"/>
  <c r="L94" i="3"/>
  <c r="M94" i="3" s="1"/>
  <c r="N94" i="3" s="1"/>
  <c r="L85" i="3"/>
  <c r="M85" i="3" s="1"/>
  <c r="N85" i="3" s="1"/>
  <c r="K85" i="3"/>
  <c r="L75" i="3"/>
  <c r="M75" i="3" s="1"/>
  <c r="N75" i="3" s="1"/>
  <c r="K75" i="3"/>
  <c r="L95" i="3"/>
  <c r="M95" i="3" s="1"/>
  <c r="N95" i="3" s="1"/>
  <c r="K95" i="3"/>
  <c r="L87" i="3"/>
  <c r="M87" i="3" s="1"/>
  <c r="N87" i="3" s="1"/>
  <c r="K87" i="3"/>
  <c r="L88" i="3"/>
  <c r="M88" i="3" s="1"/>
  <c r="N88" i="3" s="1"/>
  <c r="K88" i="3"/>
  <c r="L84" i="3"/>
  <c r="M84" i="3" s="1"/>
  <c r="N84" i="3" s="1"/>
  <c r="K84" i="3"/>
  <c r="L77" i="3"/>
  <c r="M77" i="3" s="1"/>
  <c r="N77" i="3" s="1"/>
  <c r="L89" i="3"/>
  <c r="M89" i="3" s="1"/>
  <c r="N89" i="3" s="1"/>
  <c r="K89" i="3"/>
  <c r="L83" i="3"/>
  <c r="M83" i="3" s="1"/>
  <c r="N83" i="3" s="1"/>
  <c r="K83" i="3"/>
  <c r="L92" i="3"/>
  <c r="M92" i="3" s="1"/>
  <c r="N92" i="3" s="1"/>
  <c r="K92" i="3"/>
  <c r="L98" i="3"/>
  <c r="M98" i="3" s="1"/>
  <c r="N98" i="3" s="1"/>
  <c r="K98" i="3"/>
  <c r="L82" i="3"/>
  <c r="M82" i="3" s="1"/>
  <c r="N82" i="3" s="1"/>
  <c r="K82" i="3"/>
  <c r="L86" i="3"/>
  <c r="M86" i="3" s="1"/>
  <c r="N86" i="3" s="1"/>
  <c r="K86" i="3"/>
  <c r="L90" i="3"/>
  <c r="M90" i="3" s="1"/>
  <c r="N90" i="3" s="1"/>
  <c r="K90" i="3"/>
  <c r="L97" i="3"/>
  <c r="M97" i="3" s="1"/>
  <c r="N97" i="3" s="1"/>
  <c r="K97" i="3"/>
  <c r="L79" i="3"/>
  <c r="M79" i="3" s="1"/>
  <c r="N79" i="3" s="1"/>
  <c r="K79" i="3"/>
  <c r="L91" i="3"/>
  <c r="M91" i="3" s="1"/>
  <c r="N91" i="3" s="1"/>
  <c r="K91" i="3"/>
  <c r="L80" i="3"/>
  <c r="M80" i="3" s="1"/>
  <c r="N80" i="3" s="1"/>
  <c r="K80" i="3"/>
  <c r="L81" i="3"/>
  <c r="M81" i="3" s="1"/>
  <c r="N81" i="3" s="1"/>
  <c r="K81" i="3"/>
  <c r="L93" i="3"/>
  <c r="M93" i="3" s="1"/>
  <c r="N93" i="3" s="1"/>
  <c r="K93" i="3"/>
  <c r="K96" i="3"/>
  <c r="J46" i="3"/>
  <c r="I46" i="3"/>
  <c r="J54" i="3"/>
  <c r="K54" i="3"/>
  <c r="J53" i="3"/>
  <c r="K53" i="3"/>
  <c r="G17" i="3"/>
  <c r="L17" i="3" s="1"/>
  <c r="E25" i="3"/>
  <c r="K56" i="3"/>
  <c r="K55" i="3"/>
  <c r="K52" i="3"/>
  <c r="K63" i="3"/>
  <c r="K51" i="3"/>
  <c r="K62" i="3"/>
  <c r="K50" i="3"/>
  <c r="K61" i="3"/>
  <c r="K49" i="3"/>
  <c r="K60" i="3"/>
  <c r="K48" i="3"/>
  <c r="K59" i="3"/>
  <c r="K47" i="3"/>
  <c r="K58" i="3"/>
  <c r="K46" i="3"/>
  <c r="K57" i="3"/>
  <c r="K64" i="3"/>
  <c r="G30" i="3"/>
  <c r="L30" i="3" s="1"/>
  <c r="G27" i="3"/>
  <c r="L27" i="3" s="1"/>
  <c r="G24" i="3"/>
  <c r="L24" i="3" s="1"/>
  <c r="G12" i="3"/>
  <c r="L12" i="3" s="1"/>
  <c r="J11" i="3"/>
  <c r="G18" i="3"/>
  <c r="L18" i="3" s="1"/>
  <c r="J29" i="3"/>
  <c r="K29" i="3" s="1"/>
  <c r="J28" i="3"/>
  <c r="K28" i="3" s="1"/>
  <c r="F30" i="3"/>
  <c r="G29" i="3"/>
  <c r="G28" i="3"/>
  <c r="F27" i="3"/>
  <c r="J14" i="3"/>
  <c r="J10" i="3"/>
  <c r="J23" i="3"/>
  <c r="J22" i="3"/>
  <c r="J21" i="3"/>
  <c r="K44" i="3"/>
  <c r="J20" i="3"/>
  <c r="J19" i="3"/>
  <c r="G16" i="3"/>
  <c r="J6" i="3"/>
  <c r="G15" i="3"/>
  <c r="G5" i="3"/>
  <c r="G13" i="3"/>
  <c r="G9" i="3"/>
  <c r="G8" i="3"/>
  <c r="G7" i="3"/>
  <c r="F18" i="3"/>
  <c r="G6" i="3"/>
  <c r="F15" i="3"/>
  <c r="F16" i="3"/>
  <c r="J16" i="3" s="1"/>
  <c r="F13" i="3"/>
  <c r="F9" i="3"/>
  <c r="J9" i="3" s="1"/>
  <c r="F5" i="3"/>
  <c r="J5" i="3" s="1"/>
  <c r="G14" i="3"/>
  <c r="G11" i="3"/>
  <c r="F8" i="3"/>
  <c r="J8" i="3" s="1"/>
  <c r="F17" i="3"/>
  <c r="F7" i="3"/>
  <c r="F24" i="3"/>
  <c r="F12" i="3"/>
  <c r="G22" i="3"/>
  <c r="G10" i="3"/>
  <c r="G23" i="3"/>
  <c r="G21" i="3"/>
  <c r="S51" i="3"/>
  <c r="G20" i="3"/>
  <c r="G19" i="3"/>
  <c r="G66" i="3" l="1"/>
  <c r="N99" i="3"/>
  <c r="H99" i="3"/>
  <c r="K76" i="3"/>
  <c r="K78" i="3"/>
  <c r="M18" i="3"/>
  <c r="U18" i="3" s="1"/>
  <c r="M99" i="3"/>
  <c r="K11" i="3"/>
  <c r="T11" i="3" s="1"/>
  <c r="M24" i="3"/>
  <c r="U24" i="3" s="1"/>
  <c r="K19" i="3"/>
  <c r="T19" i="3" s="1"/>
  <c r="K21" i="3"/>
  <c r="T21" i="3" s="1"/>
  <c r="M17" i="3"/>
  <c r="U17" i="3" s="1"/>
  <c r="K22" i="3"/>
  <c r="T22" i="3" s="1"/>
  <c r="K6" i="3"/>
  <c r="T6" i="3" s="1"/>
  <c r="K20" i="3"/>
  <c r="T20" i="3" s="1"/>
  <c r="K23" i="3"/>
  <c r="T23" i="3" s="1"/>
  <c r="M12" i="3"/>
  <c r="U12" i="3" s="1"/>
  <c r="K14" i="3"/>
  <c r="T14" i="3" s="1"/>
  <c r="K10" i="3"/>
  <c r="T10" i="3" s="1"/>
  <c r="J27" i="3"/>
  <c r="K27" i="3" s="1"/>
  <c r="L28" i="3"/>
  <c r="L29" i="3"/>
  <c r="M29" i="3" s="1"/>
  <c r="J30" i="3"/>
  <c r="K30" i="3" s="1"/>
  <c r="M30" i="3"/>
  <c r="N30" i="3" s="1"/>
  <c r="M27" i="3"/>
  <c r="N27" i="3" s="1"/>
  <c r="F25" i="3"/>
  <c r="J24" i="3"/>
  <c r="L7" i="3"/>
  <c r="K8" i="3"/>
  <c r="T8" i="3" s="1"/>
  <c r="L9" i="3"/>
  <c r="L19" i="3"/>
  <c r="L11" i="3"/>
  <c r="L13" i="3"/>
  <c r="L14" i="3"/>
  <c r="L5" i="3"/>
  <c r="L20" i="3"/>
  <c r="K5" i="3"/>
  <c r="T5" i="3" s="1"/>
  <c r="L15" i="3"/>
  <c r="L21" i="3"/>
  <c r="K9" i="3"/>
  <c r="T9" i="3" s="1"/>
  <c r="L23" i="3"/>
  <c r="J13" i="3"/>
  <c r="L16" i="3"/>
  <c r="K16" i="3"/>
  <c r="T16" i="3" s="1"/>
  <c r="L22" i="3"/>
  <c r="J7" i="3"/>
  <c r="L8" i="3"/>
  <c r="L10" i="3"/>
  <c r="J12" i="3"/>
  <c r="L6" i="3"/>
  <c r="J15" i="3"/>
  <c r="J17" i="3"/>
  <c r="J18" i="3"/>
  <c r="G25" i="3"/>
  <c r="G67" i="3" l="1"/>
  <c r="M47" i="3"/>
  <c r="M59" i="3"/>
  <c r="M48" i="3"/>
  <c r="M60" i="3"/>
  <c r="M49" i="3"/>
  <c r="M50" i="3"/>
  <c r="M62" i="3"/>
  <c r="M51" i="3"/>
  <c r="M63" i="3"/>
  <c r="M52" i="3"/>
  <c r="M64" i="3"/>
  <c r="M56" i="3"/>
  <c r="M53" i="3"/>
  <c r="M46" i="3"/>
  <c r="M54" i="3"/>
  <c r="M55" i="3"/>
  <c r="M57" i="3"/>
  <c r="M58" i="3"/>
  <c r="M61" i="3"/>
  <c r="M101" i="3"/>
  <c r="K99" i="3"/>
  <c r="K101" i="3" s="1"/>
  <c r="K17" i="3"/>
  <c r="V17" i="3" s="1"/>
  <c r="W17" i="3" s="1"/>
  <c r="M7" i="3"/>
  <c r="U7" i="3" s="1"/>
  <c r="K15" i="3"/>
  <c r="M21" i="3"/>
  <c r="V21" i="3" s="1"/>
  <c r="W21" i="3" s="1"/>
  <c r="K24" i="3"/>
  <c r="V24" i="3" s="1"/>
  <c r="W24" i="3" s="1"/>
  <c r="M6" i="3"/>
  <c r="V6" i="3" s="1"/>
  <c r="W6" i="3" s="1"/>
  <c r="M15" i="3"/>
  <c r="U15" i="3" s="1"/>
  <c r="K12" i="3"/>
  <c r="V12" i="3" s="1"/>
  <c r="W12" i="3" s="1"/>
  <c r="M10" i="3"/>
  <c r="V10" i="3" s="1"/>
  <c r="W10" i="3" s="1"/>
  <c r="M20" i="3"/>
  <c r="V20" i="3" s="1"/>
  <c r="W20" i="3" s="1"/>
  <c r="M5" i="3"/>
  <c r="K7" i="3"/>
  <c r="M14" i="3"/>
  <c r="U14" i="3" s="1"/>
  <c r="M22" i="3"/>
  <c r="V22" i="3" s="1"/>
  <c r="W22" i="3" s="1"/>
  <c r="M13" i="3"/>
  <c r="U13" i="3" s="1"/>
  <c r="M11" i="3"/>
  <c r="V11" i="3" s="1"/>
  <c r="W11" i="3" s="1"/>
  <c r="M16" i="3"/>
  <c r="V16" i="3" s="1"/>
  <c r="W16" i="3" s="1"/>
  <c r="K13" i="3"/>
  <c r="T13" i="3" s="1"/>
  <c r="M9" i="3"/>
  <c r="V9" i="3" s="1"/>
  <c r="W9" i="3" s="1"/>
  <c r="K18" i="3"/>
  <c r="T18" i="3" s="1"/>
  <c r="N29" i="3"/>
  <c r="M28" i="3"/>
  <c r="N28" i="3" s="1"/>
  <c r="M19" i="3"/>
  <c r="U19" i="3" s="1"/>
  <c r="M23" i="3"/>
  <c r="V23" i="3" s="1"/>
  <c r="W23" i="3" s="1"/>
  <c r="M8" i="3"/>
  <c r="U8" i="3" s="1"/>
  <c r="U6" i="3" l="1"/>
  <c r="V15" i="3"/>
  <c r="W15" i="3" s="1"/>
  <c r="V19" i="3"/>
  <c r="W19" i="3" s="1"/>
  <c r="V7" i="3"/>
  <c r="W7" i="3" s="1"/>
  <c r="U16" i="3"/>
  <c r="T24" i="3"/>
  <c r="R35" i="3" s="1"/>
  <c r="V13" i="3"/>
  <c r="W13" i="3" s="1"/>
  <c r="V14" i="3"/>
  <c r="W14" i="3" s="1"/>
  <c r="T17" i="3"/>
  <c r="T7" i="3"/>
  <c r="T12" i="3"/>
  <c r="T15" i="3"/>
  <c r="U10" i="3"/>
  <c r="V5" i="3"/>
  <c r="W5" i="3" s="1"/>
  <c r="U21" i="3"/>
  <c r="U11" i="3"/>
  <c r="U20" i="3"/>
  <c r="U22" i="3"/>
  <c r="V8" i="3"/>
  <c r="W8" i="3" s="1"/>
  <c r="U23" i="3"/>
  <c r="V18" i="3"/>
  <c r="W18" i="3" s="1"/>
  <c r="U5" i="3"/>
  <c r="U9" i="3"/>
  <c r="U28" i="3" l="1"/>
  <c r="R23" i="3" s="1"/>
  <c r="R20" i="3" l="1"/>
  <c r="R22" i="3"/>
  <c r="R36" i="3"/>
  <c r="R33" i="3" s="1"/>
  <c r="S33" i="3" s="1"/>
  <c r="R12" i="3"/>
  <c r="R17" i="3"/>
  <c r="R24" i="3"/>
  <c r="R18" i="3"/>
  <c r="R14" i="3"/>
  <c r="R15" i="3"/>
  <c r="R13" i="3"/>
  <c r="R6" i="3"/>
  <c r="R8" i="3"/>
  <c r="R7" i="3"/>
  <c r="R19" i="3"/>
  <c r="R16" i="3"/>
  <c r="R5" i="3"/>
  <c r="R9" i="3"/>
  <c r="R10" i="3"/>
  <c r="R21" i="3"/>
  <c r="R11" i="3"/>
  <c r="P49" i="4" l="1"/>
  <c r="I55" i="4"/>
  <c r="J55" i="4" s="1"/>
  <c r="J16" i="5"/>
  <c r="I16" i="5"/>
  <c r="J15" i="5"/>
  <c r="N10" i="5"/>
  <c r="O10" i="5" s="1"/>
  <c r="L9" i="5"/>
  <c r="J9" i="5"/>
  <c r="L8" i="5"/>
  <c r="L7" i="5"/>
  <c r="L6" i="5"/>
  <c r="L5" i="5"/>
  <c r="L4" i="5"/>
  <c r="L3" i="5"/>
  <c r="L2" i="5"/>
  <c r="L1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" i="5"/>
  <c r="C1" i="5"/>
  <c r="C2" i="5" s="1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O70" i="4"/>
  <c r="O65" i="4" s="1"/>
  <c r="N71" i="4"/>
  <c r="N72" i="4"/>
  <c r="O72" i="4" s="1"/>
  <c r="I71" i="4"/>
  <c r="F44" i="4"/>
  <c r="F26" i="4"/>
  <c r="I26" i="4" s="1"/>
  <c r="F27" i="4"/>
  <c r="I27" i="4" s="1"/>
  <c r="F28" i="4"/>
  <c r="I28" i="4" s="1"/>
  <c r="F29" i="4"/>
  <c r="I29" i="4" s="1"/>
  <c r="F30" i="4"/>
  <c r="I30" i="4" s="1"/>
  <c r="F31" i="4"/>
  <c r="I31" i="4" s="1"/>
  <c r="F32" i="4"/>
  <c r="I32" i="4" s="1"/>
  <c r="F33" i="4"/>
  <c r="I33" i="4" s="1"/>
  <c r="F34" i="4"/>
  <c r="I34" i="4" s="1"/>
  <c r="F35" i="4"/>
  <c r="I35" i="4" s="1"/>
  <c r="F36" i="4"/>
  <c r="I36" i="4" s="1"/>
  <c r="F37" i="4"/>
  <c r="I37" i="4" s="1"/>
  <c r="F38" i="4"/>
  <c r="I38" i="4" s="1"/>
  <c r="F39" i="4"/>
  <c r="I39" i="4" s="1"/>
  <c r="F40" i="4"/>
  <c r="I40" i="4" s="1"/>
  <c r="F41" i="4"/>
  <c r="I41" i="4" s="1"/>
  <c r="F42" i="4"/>
  <c r="I42" i="4" s="1"/>
  <c r="F43" i="4"/>
  <c r="I43" i="4" s="1"/>
  <c r="F24" i="4"/>
  <c r="I24" i="4" s="1"/>
  <c r="F25" i="4"/>
  <c r="I25" i="4" s="1"/>
  <c r="M46" i="4" l="1"/>
  <c r="O66" i="4"/>
  <c r="K55" i="4"/>
  <c r="I53" i="4"/>
  <c r="J53" i="4" s="1"/>
  <c r="K53" i="4" s="1"/>
  <c r="I52" i="4"/>
  <c r="J52" i="4" s="1"/>
  <c r="K52" i="4" s="1"/>
  <c r="I51" i="4"/>
  <c r="J51" i="4" s="1"/>
  <c r="K51" i="4" s="1"/>
  <c r="K49" i="4"/>
  <c r="L49" i="4" s="1"/>
  <c r="I60" i="4"/>
  <c r="J60" i="4" s="1"/>
  <c r="K60" i="4" s="1"/>
  <c r="I59" i="4"/>
  <c r="J59" i="4" s="1"/>
  <c r="K59" i="4" s="1"/>
  <c r="I58" i="4"/>
  <c r="J58" i="4" s="1"/>
  <c r="K58" i="4" s="1"/>
  <c r="I57" i="4"/>
  <c r="J57" i="4" s="1"/>
  <c r="K57" i="4" s="1"/>
  <c r="I67" i="4"/>
  <c r="J67" i="4" s="1"/>
  <c r="K67" i="4" s="1"/>
  <c r="I66" i="4"/>
  <c r="J66" i="4" s="1"/>
  <c r="K66" i="4" s="1"/>
  <c r="I54" i="4"/>
  <c r="J54" i="4" s="1"/>
  <c r="K54" i="4" s="1"/>
  <c r="I65" i="4"/>
  <c r="J65" i="4" s="1"/>
  <c r="K65" i="4" s="1"/>
  <c r="I64" i="4"/>
  <c r="J64" i="4" s="1"/>
  <c r="K64" i="4" s="1"/>
  <c r="I63" i="4"/>
  <c r="J63" i="4" s="1"/>
  <c r="K63" i="4" s="1"/>
  <c r="I62" i="4"/>
  <c r="J62" i="4" s="1"/>
  <c r="K62" i="4" s="1"/>
  <c r="I50" i="4"/>
  <c r="J50" i="4" s="1"/>
  <c r="K50" i="4" s="1"/>
  <c r="I61" i="4"/>
  <c r="J61" i="4" s="1"/>
  <c r="K61" i="4" s="1"/>
  <c r="I68" i="4"/>
  <c r="J68" i="4" s="1"/>
  <c r="K68" i="4" s="1"/>
  <c r="I56" i="4"/>
  <c r="J56" i="4" s="1"/>
  <c r="K56" i="4" s="1"/>
  <c r="O14" i="4"/>
  <c r="O5" i="4"/>
  <c r="E9" i="4"/>
  <c r="F9" i="4"/>
  <c r="G9" i="4"/>
  <c r="H9" i="4"/>
  <c r="I9" i="4"/>
  <c r="J9" i="4"/>
  <c r="K9" i="4"/>
  <c r="L9" i="4"/>
  <c r="M9" i="4"/>
  <c r="D9" i="4"/>
  <c r="E19" i="4"/>
  <c r="F19" i="4"/>
  <c r="G19" i="4"/>
  <c r="H19" i="4"/>
  <c r="I19" i="4"/>
  <c r="J19" i="4"/>
  <c r="K19" i="4"/>
  <c r="L19" i="4"/>
  <c r="M19" i="4"/>
  <c r="D19" i="4"/>
  <c r="D44" i="4"/>
  <c r="K69" i="4" l="1"/>
  <c r="I64" i="3"/>
  <c r="I54" i="3" l="1"/>
  <c r="I59" i="3"/>
  <c r="I48" i="3"/>
  <c r="I57" i="3"/>
  <c r="I63" i="3"/>
  <c r="I62" i="3"/>
  <c r="I55" i="3"/>
  <c r="I49" i="3"/>
  <c r="I53" i="3"/>
  <c r="I56" i="3"/>
  <c r="I58" i="3"/>
  <c r="I50" i="3"/>
  <c r="I52" i="3"/>
  <c r="I61" i="3"/>
  <c r="I51" i="3"/>
  <c r="I60" i="3"/>
  <c r="I47" i="3"/>
  <c r="I66" i="3" l="1"/>
  <c r="J65" i="3"/>
  <c r="I67" i="3" l="1"/>
  <c r="N59" i="3"/>
  <c r="N58" i="3"/>
  <c r="N60" i="3"/>
  <c r="N61" i="3"/>
  <c r="N62" i="3"/>
  <c r="N63" i="3"/>
  <c r="N64" i="3"/>
  <c r="N5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<sst xmlns="http://schemas.openxmlformats.org/spreadsheetml/2006/main" count="219" uniqueCount="114">
  <si>
    <t>필드공격력 증가 200000</t>
    <phoneticPr fontId="2" type="noConversion"/>
  </si>
  <si>
    <t>캐릭터 공격력</t>
    <phoneticPr fontId="2" type="noConversion"/>
  </si>
  <si>
    <t>치뎀</t>
    <phoneticPr fontId="2" type="noConversion"/>
  </si>
  <si>
    <t>치확</t>
    <phoneticPr fontId="2" type="noConversion"/>
  </si>
  <si>
    <t>단계</t>
    <phoneticPr fontId="2" type="noConversion"/>
  </si>
  <si>
    <t>장착</t>
    <phoneticPr fontId="2" type="noConversion"/>
  </si>
  <si>
    <t>보유</t>
    <phoneticPr fontId="2" type="noConversion"/>
  </si>
  <si>
    <t>일반</t>
    <phoneticPr fontId="2" type="noConversion"/>
  </si>
  <si>
    <t>고급</t>
  </si>
  <si>
    <t>고급</t>
    <phoneticPr fontId="2" type="noConversion"/>
  </si>
  <si>
    <t>레어</t>
    <phoneticPr fontId="2" type="noConversion"/>
  </si>
  <si>
    <t>영웅</t>
  </si>
  <si>
    <t>영웅</t>
    <phoneticPr fontId="2" type="noConversion"/>
  </si>
  <si>
    <t>전설</t>
  </si>
  <si>
    <t>전설</t>
    <phoneticPr fontId="2" type="noConversion"/>
  </si>
  <si>
    <t>신화</t>
  </si>
  <si>
    <t>신화</t>
    <phoneticPr fontId="2" type="noConversion"/>
  </si>
  <si>
    <t>4등급 40% 3둥급 30% 2둥급 20% 1등급 10 %</t>
    <phoneticPr fontId="2" type="noConversion"/>
  </si>
  <si>
    <t>무기</t>
    <phoneticPr fontId="2" type="noConversion"/>
  </si>
  <si>
    <t>아우라</t>
    <phoneticPr fontId="2" type="noConversion"/>
  </si>
  <si>
    <t>1단계</t>
    <phoneticPr fontId="2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</si>
  <si>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</si>
  <si>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</si>
  <si>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</si>
  <si>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</si>
  <si>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</si>
  <si>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</si>
  <si>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</si>
  <si>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9단계</t>
  </si>
  <si>
    <t>10단계</t>
  </si>
  <si>
    <t>11단계</t>
  </si>
  <si>
    <t>12단계</t>
  </si>
  <si>
    <t>13단계</t>
  </si>
  <si>
    <t>14단계</t>
  </si>
  <si>
    <t>15단계</t>
  </si>
  <si>
    <t>16단계</t>
  </si>
  <si>
    <t>17단계</t>
  </si>
  <si>
    <t>18단계</t>
  </si>
  <si>
    <t>19단계</t>
  </si>
  <si>
    <t>20단계</t>
  </si>
  <si>
    <t>Id(40/30/20/10)</t>
  </si>
  <si>
    <t>노말</t>
  </si>
  <si>
    <t>희귀</t>
  </si>
  <si>
    <t>슬키</t>
    <phoneticPr fontId="2" type="noConversion"/>
  </si>
  <si>
    <t>우리</t>
    <phoneticPr fontId="2" type="noConversion"/>
  </si>
  <si>
    <t>보너스</t>
    <phoneticPr fontId="2" type="noConversion"/>
  </si>
  <si>
    <t>단계</t>
  </si>
  <si>
    <t>확률(%)</t>
  </si>
  <si>
    <t>확률(소수)</t>
  </si>
  <si>
    <t>보상(원)</t>
  </si>
  <si>
    <t>기댓값 항</t>
  </si>
  <si>
    <t xml:space="preserve"> </t>
    <phoneticPr fontId="2" type="noConversion"/>
  </si>
  <si>
    <t>확률</t>
    <phoneticPr fontId="2" type="noConversion"/>
  </si>
  <si>
    <t>값</t>
    <phoneticPr fontId="2" type="noConversion"/>
  </si>
  <si>
    <t>기댓값</t>
    <phoneticPr fontId="2" type="noConversion"/>
  </si>
  <si>
    <t>노말</t>
    <phoneticPr fontId="2" type="noConversion"/>
  </si>
  <si>
    <t>확률*값</t>
    <phoneticPr fontId="2" type="noConversion"/>
  </si>
  <si>
    <t>값치환</t>
    <phoneticPr fontId="2" type="noConversion"/>
  </si>
  <si>
    <t>번뽑음</t>
    <phoneticPr fontId="2" type="noConversion"/>
  </si>
  <si>
    <t>다이아</t>
    <phoneticPr fontId="2" type="noConversion"/>
  </si>
  <si>
    <t>현금</t>
    <phoneticPr fontId="2" type="noConversion"/>
  </si>
  <si>
    <t>2500?</t>
    <phoneticPr fontId="2" type="noConversion"/>
  </si>
  <si>
    <t>횟수</t>
    <phoneticPr fontId="2" type="noConversion"/>
  </si>
  <si>
    <t>장착효과</t>
    <phoneticPr fontId="2" type="noConversion"/>
  </si>
  <si>
    <t>뚫는 스테이지</t>
    <phoneticPr fontId="2" type="noConversion"/>
  </si>
  <si>
    <t>세짐</t>
    <phoneticPr fontId="2" type="noConversion"/>
  </si>
  <si>
    <t>a</t>
    <phoneticPr fontId="2" type="noConversion"/>
  </si>
  <si>
    <t>n</t>
    <phoneticPr fontId="2" type="noConversion"/>
  </si>
  <si>
    <t>s</t>
    <phoneticPr fontId="2" type="noConversion"/>
  </si>
  <si>
    <t>d</t>
    <phoneticPr fontId="2" type="noConversion"/>
  </si>
  <si>
    <t>스테이지</t>
    <phoneticPr fontId="2" type="noConversion"/>
  </si>
  <si>
    <t>보스체력</t>
    <phoneticPr fontId="2" type="noConversion"/>
  </si>
  <si>
    <t>1안</t>
    <phoneticPr fontId="2" type="noConversion"/>
  </si>
  <si>
    <t>2안</t>
  </si>
  <si>
    <t>3안</t>
  </si>
  <si>
    <t>돈</t>
    <phoneticPr fontId="2" type="noConversion"/>
  </si>
  <si>
    <t>썌짐비율</t>
    <phoneticPr fontId="2" type="noConversion"/>
  </si>
  <si>
    <t>보유효과</t>
    <phoneticPr fontId="2" type="noConversion"/>
  </si>
  <si>
    <t>강화횟수</t>
    <phoneticPr fontId="2" type="noConversion"/>
  </si>
  <si>
    <t>확율선택</t>
    <phoneticPr fontId="2" type="noConversion"/>
  </si>
  <si>
    <t>A1</t>
    <phoneticPr fontId="2" type="noConversion"/>
  </si>
  <si>
    <t>D1</t>
    <phoneticPr fontId="2" type="noConversion"/>
  </si>
  <si>
    <t>A2</t>
    <phoneticPr fontId="2" type="noConversion"/>
  </si>
  <si>
    <t>D2</t>
    <phoneticPr fontId="2" type="noConversion"/>
  </si>
  <si>
    <t xml:space="preserve">초기항 </t>
    <phoneticPr fontId="2" type="noConversion"/>
  </si>
  <si>
    <t>총강화석비용</t>
    <phoneticPr fontId="2" type="noConversion"/>
  </si>
  <si>
    <t>보유+장착</t>
    <phoneticPr fontId="2" type="noConversion"/>
  </si>
  <si>
    <t>장착공격력</t>
    <phoneticPr fontId="2" type="noConversion"/>
  </si>
  <si>
    <t>보유공격력</t>
    <phoneticPr fontId="2" type="noConversion"/>
  </si>
  <si>
    <t>각성공격력</t>
    <phoneticPr fontId="2" type="noConversion"/>
  </si>
  <si>
    <t>장착 무기번호</t>
    <phoneticPr fontId="2" type="noConversion"/>
  </si>
  <si>
    <t>200 장착 고정</t>
    <phoneticPr fontId="2" type="noConversion"/>
  </si>
  <si>
    <t>토탈공격력</t>
    <phoneticPr fontId="2" type="noConversion"/>
  </si>
  <si>
    <t>선택</t>
    <phoneticPr fontId="2" type="noConversion"/>
  </si>
  <si>
    <t>가격</t>
    <phoneticPr fontId="2" type="noConversion"/>
  </si>
  <si>
    <t>처음</t>
    <phoneticPr fontId="2" type="noConversion"/>
  </si>
  <si>
    <t>나중</t>
    <phoneticPr fontId="2" type="noConversion"/>
  </si>
  <si>
    <t>뽑음횟수</t>
    <phoneticPr fontId="2" type="noConversion"/>
  </si>
  <si>
    <t>현금슬키</t>
    <phoneticPr fontId="2" type="noConversion"/>
  </si>
  <si>
    <t>현금우리</t>
    <phoneticPr fontId="2" type="noConversion"/>
  </si>
  <si>
    <t>단계치환</t>
    <phoneticPr fontId="2" type="noConversion"/>
  </si>
  <si>
    <t>1회비용</t>
    <phoneticPr fontId="2" type="noConversion"/>
  </si>
  <si>
    <t>24번 뽑을횟수</t>
    <phoneticPr fontId="2" type="noConversion"/>
  </si>
  <si>
    <t>24번 뽑음 개수</t>
    <phoneticPr fontId="2" type="noConversion"/>
  </si>
  <si>
    <t>목표무기</t>
    <phoneticPr fontId="2" type="noConversion"/>
  </si>
  <si>
    <t>19강 뽑을횟수</t>
    <phoneticPr fontId="2" type="noConversion"/>
  </si>
  <si>
    <t>19강 뽑을개수</t>
    <phoneticPr fontId="2" type="noConversion"/>
  </si>
  <si>
    <t>값 치환</t>
    <phoneticPr fontId="2" type="noConversion"/>
  </si>
  <si>
    <t>목표치환</t>
    <phoneticPr fontId="2" type="noConversion"/>
  </si>
  <si>
    <t>무기 강</t>
    <phoneticPr fontId="2" type="noConversion"/>
  </si>
  <si>
    <t>뽑음 횟수</t>
    <phoneticPr fontId="2" type="noConversion"/>
  </si>
  <si>
    <t>1회 가격</t>
    <phoneticPr fontId="2" type="noConversion"/>
  </si>
  <si>
    <t>뽑을 횟 수</t>
    <phoneticPr fontId="2" type="noConversion"/>
  </si>
  <si>
    <t>뽑은  갯수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</si>
</sst>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.000"/>
    <numFmt numFmtId="178" formatCode="0.0"/>
    <numFmt numFmtId="179" formatCode="0.0000"/>
    <numFmt numFmtId="184" formatCode="0.00_ "/>
    <numFmt numFmtId="189" formatCode="0.0000000"/>
    <numFmt numFmtId="199" formatCode="0.00_);[Red]\(0.00\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B5CEA8"/>
      <name val="Consolas"/>
      <family val="3"/>
    </font>
    <font>
      <sz val="10"/>
      <color rgb="FF000000"/>
      <name val="Courier New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ADA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1" applyNumberFormat="1" applyFont="1" applyFill="1">
      <alignment vertical="center"/>
    </xf>
    <xf numFmtId="0" fontId="0" fillId="5" borderId="0" xfId="0" applyFill="1">
      <alignment vertical="center"/>
    </xf>
    <xf numFmtId="2" fontId="0" fillId="5" borderId="0" xfId="0" applyNumberFormat="1" applyFill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1" applyNumberFormat="1" applyFont="1">
      <alignment vertical="center"/>
    </xf>
    <xf numFmtId="41" fontId="0" fillId="0" borderId="0" xfId="2" applyFont="1">
      <alignment vertical="center"/>
    </xf>
    <xf numFmtId="43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2" fontId="0" fillId="9" borderId="0" xfId="0" applyNumberFormat="1" applyFill="1">
      <alignment vertical="center"/>
    </xf>
    <xf numFmtId="9" fontId="0" fillId="0" borderId="0" xfId="0" applyNumberFormat="1">
      <alignment vertical="center"/>
    </xf>
    <xf numFmtId="178" fontId="0" fillId="9" borderId="0" xfId="0" applyNumberFormat="1" applyFill="1">
      <alignment vertical="center"/>
    </xf>
    <xf numFmtId="2" fontId="0" fillId="0" borderId="0" xfId="0" applyNumberFormat="1" applyFill="1">
      <alignment vertical="center"/>
    </xf>
    <xf numFmtId="9" fontId="0" fillId="0" borderId="0" xfId="1" applyFont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2" fontId="0" fillId="10" borderId="0" xfId="0" applyNumberFormat="1" applyFill="1">
      <alignment vertical="center"/>
    </xf>
    <xf numFmtId="178" fontId="0" fillId="10" borderId="0" xfId="0" applyNumberFormat="1" applyFill="1">
      <alignment vertical="center"/>
    </xf>
    <xf numFmtId="0" fontId="0" fillId="12" borderId="0" xfId="0" applyFill="1">
      <alignment vertical="center"/>
    </xf>
    <xf numFmtId="2" fontId="0" fillId="12" borderId="0" xfId="0" applyNumberFormat="1" applyFill="1">
      <alignment vertical="center"/>
    </xf>
    <xf numFmtId="178" fontId="0" fillId="12" borderId="0" xfId="0" applyNumberFormat="1" applyFill="1">
      <alignment vertical="center"/>
    </xf>
    <xf numFmtId="0" fontId="0" fillId="13" borderId="0" xfId="0" applyFill="1">
      <alignment vertical="center"/>
    </xf>
    <xf numFmtId="2" fontId="0" fillId="13" borderId="0" xfId="0" applyNumberFormat="1" applyFill="1">
      <alignment vertical="center"/>
    </xf>
    <xf numFmtId="178" fontId="0" fillId="13" borderId="0" xfId="0" applyNumberFormat="1" applyFill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184" fontId="0" fillId="10" borderId="0" xfId="0" applyNumberFormat="1" applyFill="1">
      <alignment vertical="center"/>
    </xf>
    <xf numFmtId="0" fontId="0" fillId="14" borderId="0" xfId="0" applyFill="1">
      <alignment vertical="center"/>
    </xf>
    <xf numFmtId="184" fontId="0" fillId="14" borderId="0" xfId="0" applyNumberFormat="1" applyFill="1">
      <alignment vertical="center"/>
    </xf>
    <xf numFmtId="184" fontId="0" fillId="9" borderId="0" xfId="0" applyNumberFormat="1" applyFill="1">
      <alignment vertical="center"/>
    </xf>
    <xf numFmtId="184" fontId="0" fillId="13" borderId="0" xfId="0" applyNumberFormat="1" applyFill="1">
      <alignment vertical="center"/>
    </xf>
    <xf numFmtId="2" fontId="0" fillId="15" borderId="0" xfId="0" applyNumberFormat="1" applyFill="1">
      <alignment vertical="center"/>
    </xf>
    <xf numFmtId="0" fontId="0" fillId="13" borderId="0" xfId="1" applyNumberFormat="1" applyFont="1" applyFill="1">
      <alignment vertical="center"/>
    </xf>
    <xf numFmtId="0" fontId="0" fillId="10" borderId="0" xfId="1" applyNumberFormat="1" applyFont="1" applyFill="1">
      <alignment vertical="center"/>
    </xf>
    <xf numFmtId="0" fontId="0" fillId="14" borderId="0" xfId="1" applyNumberFormat="1" applyFont="1" applyFill="1">
      <alignment vertical="center"/>
    </xf>
    <xf numFmtId="0" fontId="0" fillId="9" borderId="0" xfId="1" applyNumberFormat="1" applyFont="1" applyFill="1">
      <alignment vertical="center"/>
    </xf>
    <xf numFmtId="0" fontId="0" fillId="16" borderId="0" xfId="0" applyFill="1">
      <alignment vertical="center"/>
    </xf>
    <xf numFmtId="2" fontId="0" fillId="16" borderId="0" xfId="0" applyNumberFormat="1" applyFill="1">
      <alignment vertical="center"/>
    </xf>
    <xf numFmtId="178" fontId="0" fillId="16" borderId="0" xfId="0" applyNumberFormat="1" applyFill="1">
      <alignment vertical="center"/>
    </xf>
    <xf numFmtId="0" fontId="0" fillId="16" borderId="0" xfId="1" applyNumberFormat="1" applyFont="1" applyFill="1">
      <alignment vertical="center"/>
    </xf>
    <xf numFmtId="184" fontId="0" fillId="16" borderId="0" xfId="0" applyNumberFormat="1" applyFill="1">
      <alignment vertical="center"/>
    </xf>
    <xf numFmtId="179" fontId="0" fillId="10" borderId="0" xfId="0" applyNumberFormat="1" applyFill="1">
      <alignment vertical="center"/>
    </xf>
    <xf numFmtId="179" fontId="0" fillId="14" borderId="0" xfId="0" applyNumberFormat="1" applyFill="1">
      <alignment vertical="center"/>
    </xf>
    <xf numFmtId="179" fontId="0" fillId="9" borderId="0" xfId="0" applyNumberFormat="1" applyFill="1">
      <alignment vertical="center"/>
    </xf>
    <xf numFmtId="179" fontId="0" fillId="16" borderId="0" xfId="0" applyNumberFormat="1" applyFill="1">
      <alignment vertical="center"/>
    </xf>
    <xf numFmtId="179" fontId="0" fillId="13" borderId="0" xfId="0" applyNumberFormat="1" applyFill="1">
      <alignment vertical="center"/>
    </xf>
    <xf numFmtId="9" fontId="0" fillId="0" borderId="0" xfId="1" applyFont="1" applyAlignment="1">
      <alignment horizontal="center" vertical="center"/>
    </xf>
    <xf numFmtId="0" fontId="0" fillId="0" borderId="0" xfId="0" applyFill="1">
      <alignment vertical="center"/>
    </xf>
    <xf numFmtId="0" fontId="0" fillId="17" borderId="0" xfId="0" applyFill="1">
      <alignment vertical="center"/>
    </xf>
    <xf numFmtId="0" fontId="0" fillId="17" borderId="0" xfId="1" applyNumberFormat="1" applyFont="1" applyFill="1">
      <alignment vertical="center"/>
    </xf>
    <xf numFmtId="0" fontId="0" fillId="18" borderId="0" xfId="0" applyFill="1">
      <alignment vertical="center"/>
    </xf>
    <xf numFmtId="2" fontId="0" fillId="18" borderId="0" xfId="0" applyNumberFormat="1" applyFill="1">
      <alignment vertical="center"/>
    </xf>
    <xf numFmtId="178" fontId="0" fillId="18" borderId="0" xfId="0" applyNumberFormat="1" applyFill="1">
      <alignment vertical="center"/>
    </xf>
    <xf numFmtId="0" fontId="0" fillId="18" borderId="0" xfId="1" applyNumberFormat="1" applyFont="1" applyFill="1">
      <alignment vertical="center"/>
    </xf>
    <xf numFmtId="179" fontId="0" fillId="18" borderId="0" xfId="0" applyNumberFormat="1" applyFill="1">
      <alignment vertical="center"/>
    </xf>
    <xf numFmtId="184" fontId="0" fillId="18" borderId="0" xfId="0" applyNumberFormat="1" applyFill="1">
      <alignment vertical="center"/>
    </xf>
    <xf numFmtId="0" fontId="0" fillId="13" borderId="0" xfId="0" applyNumberFormat="1" applyFill="1">
      <alignment vertical="center"/>
    </xf>
    <xf numFmtId="0" fontId="0" fillId="10" borderId="0" xfId="0" applyNumberFormat="1" applyFill="1">
      <alignment vertical="center"/>
    </xf>
    <xf numFmtId="0" fontId="0" fillId="12" borderId="0" xfId="0" applyNumberFormat="1" applyFill="1">
      <alignment vertical="center"/>
    </xf>
    <xf numFmtId="0" fontId="0" fillId="9" borderId="0" xfId="0" applyNumberFormat="1" applyFill="1">
      <alignment vertical="center"/>
    </xf>
    <xf numFmtId="0" fontId="0" fillId="16" borderId="0" xfId="0" applyNumberFormat="1" applyFill="1">
      <alignment vertical="center"/>
    </xf>
    <xf numFmtId="179" fontId="0" fillId="15" borderId="0" xfId="0" applyNumberFormat="1" applyFill="1">
      <alignment vertical="center"/>
    </xf>
    <xf numFmtId="0" fontId="0" fillId="5" borderId="1" xfId="0" applyFill="1" applyBorder="1">
      <alignment vertical="center"/>
    </xf>
    <xf numFmtId="41" fontId="0" fillId="5" borderId="1" xfId="2" applyFont="1" applyFill="1" applyBorder="1">
      <alignment vertical="center"/>
    </xf>
    <xf numFmtId="0" fontId="0" fillId="5" borderId="0" xfId="0" applyFill="1" applyAlignment="1">
      <alignment horizontal="left" vertical="center"/>
    </xf>
    <xf numFmtId="0" fontId="0" fillId="5" borderId="0" xfId="1" applyNumberFormat="1" applyFont="1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" fontId="0" fillId="17" borderId="0" xfId="0" applyNumberFormat="1" applyFill="1">
      <alignment vertical="center"/>
    </xf>
    <xf numFmtId="43" fontId="0" fillId="17" borderId="0" xfId="0" applyNumberFormat="1" applyFill="1">
      <alignment vertical="center"/>
    </xf>
    <xf numFmtId="189" fontId="0" fillId="0" borderId="0" xfId="0" applyNumberFormat="1">
      <alignment vertical="center"/>
    </xf>
    <xf numFmtId="0" fontId="0" fillId="10" borderId="3" xfId="0" applyFill="1" applyBorder="1">
      <alignment vertical="center"/>
    </xf>
    <xf numFmtId="0" fontId="0" fillId="10" borderId="4" xfId="0" applyFill="1" applyBorder="1">
      <alignment vertical="center"/>
    </xf>
    <xf numFmtId="0" fontId="0" fillId="10" borderId="7" xfId="0" applyFill="1" applyBorder="1">
      <alignment vertical="center"/>
    </xf>
    <xf numFmtId="0" fontId="0" fillId="10" borderId="8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8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8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10" borderId="9" xfId="0" applyFill="1" applyBorder="1">
      <alignment vertical="center"/>
    </xf>
    <xf numFmtId="0" fontId="0" fillId="10" borderId="10" xfId="0" applyFill="1" applyBorder="1">
      <alignment vertical="center"/>
    </xf>
    <xf numFmtId="0" fontId="0" fillId="5" borderId="10" xfId="0" applyFill="1" applyBorder="1">
      <alignment vertical="center"/>
    </xf>
    <xf numFmtId="0" fontId="0" fillId="9" borderId="10" xfId="0" applyFill="1" applyBorder="1">
      <alignment vertical="center"/>
    </xf>
    <xf numFmtId="0" fontId="0" fillId="8" borderId="10" xfId="0" applyFill="1" applyBorder="1">
      <alignment vertical="center"/>
    </xf>
    <xf numFmtId="0" fontId="0" fillId="7" borderId="10" xfId="0" applyFill="1" applyBorder="1">
      <alignment vertical="center"/>
    </xf>
    <xf numFmtId="0" fontId="0" fillId="7" borderId="11" xfId="0" applyFill="1" applyBorder="1">
      <alignment vertical="center"/>
    </xf>
    <xf numFmtId="0" fontId="4" fillId="0" borderId="0" xfId="0" applyFont="1" applyAlignment="1">
      <alignment horizontal="left" vertical="center" readingOrder="1"/>
    </xf>
    <xf numFmtId="0" fontId="5" fillId="0" borderId="0" xfId="0" applyFont="1">
      <alignment vertical="center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right" vertical="center" wrapText="1"/>
    </xf>
    <xf numFmtId="199" fontId="0" fillId="10" borderId="0" xfId="0" applyNumberFormat="1" applyFill="1">
      <alignment vertical="center"/>
    </xf>
    <xf numFmtId="0" fontId="0" fillId="19" borderId="0" xfId="0" applyFill="1" applyAlignment="1">
      <alignment vertical="center" wrapText="1"/>
    </xf>
    <xf numFmtId="0" fontId="0" fillId="19" borderId="0" xfId="0" applyFill="1" applyAlignment="1">
      <alignment horizontal="right" vertical="center" wrapText="1"/>
    </xf>
    <xf numFmtId="199" fontId="0" fillId="19" borderId="0" xfId="0" applyNumberFormat="1" applyFill="1">
      <alignment vertical="center"/>
    </xf>
    <xf numFmtId="4" fontId="0" fillId="19" borderId="0" xfId="0" applyNumberFormat="1" applyFill="1" applyAlignment="1">
      <alignment vertical="center" wrapText="1"/>
    </xf>
    <xf numFmtId="0" fontId="0" fillId="13" borderId="0" xfId="0" applyFill="1" applyAlignment="1">
      <alignment vertical="center" wrapText="1"/>
    </xf>
    <xf numFmtId="3" fontId="0" fillId="13" borderId="0" xfId="0" applyNumberFormat="1" applyFill="1" applyAlignment="1">
      <alignment horizontal="right" vertical="center" wrapText="1"/>
    </xf>
    <xf numFmtId="4" fontId="0" fillId="13" borderId="0" xfId="0" applyNumberFormat="1" applyFill="1" applyAlignment="1">
      <alignment vertical="center" wrapText="1"/>
    </xf>
    <xf numFmtId="199" fontId="0" fillId="13" borderId="0" xfId="0" applyNumberFormat="1" applyFill="1">
      <alignment vertical="center"/>
    </xf>
    <xf numFmtId="0" fontId="0" fillId="13" borderId="0" xfId="0" applyFill="1" applyAlignment="1">
      <alignment horizontal="right" vertical="center"/>
    </xf>
    <xf numFmtId="0" fontId="0" fillId="16" borderId="0" xfId="0" applyFill="1" applyAlignment="1">
      <alignment vertical="center" wrapText="1"/>
    </xf>
    <xf numFmtId="3" fontId="0" fillId="16" borderId="0" xfId="0" applyNumberFormat="1" applyFill="1" applyAlignment="1">
      <alignment horizontal="right" vertical="center" wrapText="1"/>
    </xf>
    <xf numFmtId="3" fontId="0" fillId="16" borderId="0" xfId="0" applyNumberFormat="1" applyFill="1" applyAlignment="1">
      <alignment vertical="center" wrapText="1"/>
    </xf>
    <xf numFmtId="199" fontId="0" fillId="16" borderId="0" xfId="0" applyNumberFormat="1" applyFill="1">
      <alignment vertical="center"/>
    </xf>
    <xf numFmtId="4" fontId="0" fillId="16" borderId="0" xfId="0" applyNumberForma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horizontal="right" vertical="center" wrapText="1"/>
    </xf>
    <xf numFmtId="4" fontId="0" fillId="9" borderId="0" xfId="0" applyNumberFormat="1" applyFill="1" applyAlignment="1">
      <alignment vertical="center" wrapText="1"/>
    </xf>
    <xf numFmtId="199" fontId="0" fillId="9" borderId="0" xfId="0" applyNumberFormat="1" applyFill="1">
      <alignment vertical="center"/>
    </xf>
    <xf numFmtId="3" fontId="0" fillId="9" borderId="0" xfId="0" applyNumberFormat="1" applyFill="1" applyAlignment="1">
      <alignment horizontal="right" vertical="center" wrapText="1"/>
    </xf>
    <xf numFmtId="0" fontId="0" fillId="20" borderId="0" xfId="0" applyFill="1" applyAlignment="1">
      <alignment vertical="center" wrapText="1"/>
    </xf>
    <xf numFmtId="1" fontId="0" fillId="20" borderId="0" xfId="0" applyNumberFormat="1" applyFill="1">
      <alignment vertical="center"/>
    </xf>
    <xf numFmtId="177" fontId="0" fillId="20" borderId="0" xfId="0" applyNumberFormat="1" applyFill="1">
      <alignment vertical="center"/>
    </xf>
    <xf numFmtId="41" fontId="0" fillId="20" borderId="0" xfId="2" applyFont="1" applyFill="1">
      <alignment vertical="center"/>
    </xf>
    <xf numFmtId="176" fontId="0" fillId="4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0" fillId="20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0" borderId="2" xfId="0" applyFill="1" applyBorder="1">
      <alignment vertical="center"/>
    </xf>
    <xf numFmtId="41" fontId="0" fillId="20" borderId="1" xfId="2" applyFont="1" applyFill="1" applyBorder="1">
      <alignment vertical="center"/>
    </xf>
    <xf numFmtId="1" fontId="0" fillId="20" borderId="1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43" fontId="0" fillId="4" borderId="1" xfId="0" applyNumberFormat="1" applyFill="1" applyBorder="1">
      <alignment vertical="center"/>
    </xf>
    <xf numFmtId="0" fontId="0" fillId="17" borderId="0" xfId="0" applyFill="1" applyAlignment="1">
      <alignment horizontal="center" vertical="center"/>
    </xf>
    <xf numFmtId="41" fontId="0" fillId="17" borderId="0" xfId="2" applyFont="1" applyFill="1">
      <alignment vertical="center"/>
    </xf>
    <xf numFmtId="0" fontId="0" fillId="5" borderId="0" xfId="0" applyFill="1" applyAlignment="1">
      <alignment horizontal="center" vertical="center"/>
    </xf>
    <xf numFmtId="41" fontId="0" fillId="5" borderId="0" xfId="2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6" borderId="1" xfId="0" applyFill="1" applyBorder="1">
      <alignment vertical="center"/>
    </xf>
    <xf numFmtId="1" fontId="0" fillId="6" borderId="1" xfId="0" applyNumberFormat="1" applyFill="1" applyBorder="1">
      <alignment vertical="center"/>
    </xf>
    <xf numFmtId="199" fontId="0" fillId="6" borderId="1" xfId="0" applyNumberFormat="1" applyFill="1" applyBorder="1">
      <alignment vertical="center"/>
    </xf>
    <xf numFmtId="178" fontId="0" fillId="6" borderId="1" xfId="0" applyNumberFormat="1" applyFill="1" applyBorder="1">
      <alignment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colors>
    <mruColors>
      <color rgb="FFDAD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DD40-9C77-45A2-8328-5BB03AFF8142}">
  <dimension ref="A1:B31"/>
  <sheetViews>
    <sheetView workbookViewId="0">
      <selection activeCell="B26" sqref="B26"/>
    </sheetView>
  </sheetViews>
  <sheetFormatPr defaultRowHeight="16.5" x14ac:dyDescent="0.3"/>
  <cols>
    <col min="1" max="1" width="23.12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>
        <v>3000</v>
      </c>
    </row>
    <row r="3" spans="1:2" x14ac:dyDescent="0.3">
      <c r="B3">
        <v>3000</v>
      </c>
    </row>
    <row r="4" spans="1:2" x14ac:dyDescent="0.3">
      <c r="B4">
        <v>3000</v>
      </c>
    </row>
    <row r="5" spans="1:2" x14ac:dyDescent="0.3">
      <c r="B5">
        <v>3000</v>
      </c>
    </row>
    <row r="6" spans="1:2" x14ac:dyDescent="0.3">
      <c r="B6">
        <v>3000</v>
      </c>
    </row>
    <row r="7" spans="1:2" x14ac:dyDescent="0.3">
      <c r="B7">
        <v>3000</v>
      </c>
    </row>
    <row r="8" spans="1:2" x14ac:dyDescent="0.3">
      <c r="B8">
        <v>3000</v>
      </c>
    </row>
    <row r="9" spans="1:2" x14ac:dyDescent="0.3">
      <c r="B9">
        <v>3000</v>
      </c>
    </row>
    <row r="10" spans="1:2" x14ac:dyDescent="0.3">
      <c r="B10">
        <v>3000</v>
      </c>
    </row>
    <row r="11" spans="1:2" x14ac:dyDescent="0.3">
      <c r="B11">
        <v>3000</v>
      </c>
    </row>
    <row r="12" spans="1:2" x14ac:dyDescent="0.3">
      <c r="B12">
        <v>3000</v>
      </c>
    </row>
    <row r="13" spans="1:2" x14ac:dyDescent="0.3">
      <c r="B13">
        <v>3000</v>
      </c>
    </row>
    <row r="14" spans="1:2" x14ac:dyDescent="0.3">
      <c r="B14">
        <v>3000</v>
      </c>
    </row>
    <row r="15" spans="1:2" x14ac:dyDescent="0.3">
      <c r="B15">
        <v>3000</v>
      </c>
    </row>
    <row r="16" spans="1:2" x14ac:dyDescent="0.3">
      <c r="B16">
        <v>3000</v>
      </c>
    </row>
    <row r="17" spans="1:2" x14ac:dyDescent="0.3">
      <c r="B17" s="1">
        <v>3000</v>
      </c>
    </row>
    <row r="19" spans="1:2" x14ac:dyDescent="0.3">
      <c r="A19" t="s">
        <v>2</v>
      </c>
      <c r="B19">
        <v>400</v>
      </c>
    </row>
    <row r="20" spans="1:2" x14ac:dyDescent="0.3">
      <c r="B20">
        <v>400</v>
      </c>
    </row>
    <row r="21" spans="1:2" x14ac:dyDescent="0.3">
      <c r="B21">
        <v>400</v>
      </c>
    </row>
    <row r="22" spans="1:2" x14ac:dyDescent="0.3">
      <c r="B22">
        <v>400</v>
      </c>
    </row>
    <row r="23" spans="1:2" x14ac:dyDescent="0.3">
      <c r="B23">
        <v>400</v>
      </c>
    </row>
    <row r="24" spans="1:2" x14ac:dyDescent="0.3">
      <c r="B24">
        <v>400</v>
      </c>
    </row>
    <row r="25" spans="1:2" x14ac:dyDescent="0.3">
      <c r="B25">
        <v>400</v>
      </c>
    </row>
    <row r="27" spans="1:2" x14ac:dyDescent="0.3">
      <c r="A27" t="s">
        <v>3</v>
      </c>
      <c r="B27">
        <v>30</v>
      </c>
    </row>
    <row r="28" spans="1:2" x14ac:dyDescent="0.3">
      <c r="B28">
        <v>30</v>
      </c>
    </row>
    <row r="29" spans="1:2" x14ac:dyDescent="0.3">
      <c r="B29">
        <v>30</v>
      </c>
    </row>
    <row r="30" spans="1:2" x14ac:dyDescent="0.3">
      <c r="B30">
        <v>30</v>
      </c>
    </row>
    <row r="31" spans="1:2" x14ac:dyDescent="0.3">
      <c r="B31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ACAF-0ECD-4E35-83E5-CB2EC4A9F249}">
  <dimension ref="A1:BD437"/>
  <sheetViews>
    <sheetView tabSelected="1" topLeftCell="A36" workbookViewId="0">
      <selection activeCell="S42" sqref="S42"/>
    </sheetView>
  </sheetViews>
  <sheetFormatPr defaultRowHeight="16.5" x14ac:dyDescent="0.3"/>
  <cols>
    <col min="5" max="5" width="13" customWidth="1"/>
    <col min="6" max="6" width="13" bestFit="1" customWidth="1"/>
    <col min="7" max="7" width="14.125" customWidth="1"/>
    <col min="8" max="8" width="13.875" bestFit="1" customWidth="1"/>
    <col min="9" max="11" width="13.125" bestFit="1" customWidth="1"/>
    <col min="12" max="12" width="12.375" bestFit="1" customWidth="1"/>
    <col min="13" max="13" width="13.125" bestFit="1" customWidth="1"/>
    <col min="14" max="14" width="10.875" customWidth="1"/>
    <col min="15" max="15" width="12" customWidth="1"/>
    <col min="17" max="17" width="13" customWidth="1"/>
    <col min="18" max="19" width="12.75" bestFit="1" customWidth="1"/>
    <col min="20" max="20" width="11.625" bestFit="1" customWidth="1"/>
    <col min="21" max="21" width="12.75" bestFit="1" customWidth="1"/>
    <col min="22" max="22" width="15.375" bestFit="1" customWidth="1"/>
    <col min="29" max="29" width="6.125" bestFit="1" customWidth="1"/>
    <col min="31" max="31" width="7" customWidth="1"/>
    <col min="33" max="33" width="7.25" customWidth="1"/>
    <col min="35" max="35" width="7.5" customWidth="1"/>
    <col min="37" max="37" width="7.25" customWidth="1"/>
  </cols>
  <sheetData>
    <row r="1" spans="2:37" x14ac:dyDescent="0.3">
      <c r="C1" t="s">
        <v>84</v>
      </c>
      <c r="D1">
        <v>0.8</v>
      </c>
      <c r="G1" t="s">
        <v>51</v>
      </c>
      <c r="O1" t="s">
        <v>66</v>
      </c>
      <c r="P1" t="s">
        <v>67</v>
      </c>
      <c r="Q1" t="s">
        <v>68</v>
      </c>
      <c r="S1" t="s">
        <v>69</v>
      </c>
      <c r="X1" t="s">
        <v>4</v>
      </c>
      <c r="Y1" t="s">
        <v>70</v>
      </c>
      <c r="Z1" t="s">
        <v>71</v>
      </c>
      <c r="AA1" t="s">
        <v>65</v>
      </c>
      <c r="AD1" s="28" t="s">
        <v>43</v>
      </c>
      <c r="AE1" s="28"/>
      <c r="AF1" s="28" t="s">
        <v>72</v>
      </c>
      <c r="AG1" s="28"/>
      <c r="AH1" s="28" t="s">
        <v>73</v>
      </c>
      <c r="AI1" s="28"/>
      <c r="AJ1" s="28" t="s">
        <v>74</v>
      </c>
      <c r="AK1" s="28"/>
    </row>
    <row r="2" spans="2:37" x14ac:dyDescent="0.3">
      <c r="C2" t="s">
        <v>78</v>
      </c>
      <c r="D2">
        <v>200</v>
      </c>
      <c r="E2">
        <v>200</v>
      </c>
      <c r="G2" t="s">
        <v>51</v>
      </c>
      <c r="O2">
        <v>7000</v>
      </c>
      <c r="P2">
        <v>200</v>
      </c>
      <c r="Q2">
        <v>750000000</v>
      </c>
      <c r="S2">
        <f>(2*Q2-2*O2*P2)/(P2*P2-P2)</f>
        <v>37618.090452261305</v>
      </c>
      <c r="X2">
        <v>0</v>
      </c>
      <c r="Y2" s="2">
        <v>880</v>
      </c>
      <c r="Z2" s="2">
        <v>9.5499999999999997E+44</v>
      </c>
      <c r="AA2" s="4">
        <v>1</v>
      </c>
      <c r="AC2" s="27" t="s">
        <v>4</v>
      </c>
      <c r="AD2" s="27" t="s">
        <v>63</v>
      </c>
      <c r="AE2" s="27" t="s">
        <v>6</v>
      </c>
      <c r="AF2" s="27" t="s">
        <v>63</v>
      </c>
      <c r="AG2" s="27" t="s">
        <v>6</v>
      </c>
      <c r="AH2" s="27" t="s">
        <v>63</v>
      </c>
      <c r="AI2" s="27" t="s">
        <v>6</v>
      </c>
      <c r="AJ2" s="27" t="s">
        <v>63</v>
      </c>
      <c r="AK2" s="27" t="s">
        <v>6</v>
      </c>
    </row>
    <row r="3" spans="2:37" x14ac:dyDescent="0.3">
      <c r="C3" t="s">
        <v>79</v>
      </c>
      <c r="D3" s="30">
        <v>0</v>
      </c>
      <c r="O3">
        <v>4500</v>
      </c>
      <c r="P3">
        <v>200</v>
      </c>
      <c r="Q3">
        <v>75000000</v>
      </c>
      <c r="S3">
        <f>(2*Q3-2*O3*P3)/(P3*P3-P3)</f>
        <v>3723.6180904522612</v>
      </c>
      <c r="X3">
        <v>1</v>
      </c>
      <c r="Y3" s="3">
        <v>881</v>
      </c>
      <c r="Z3" s="3">
        <v>9.7749999999999995E+44</v>
      </c>
      <c r="AA3" s="4">
        <v>1.0235602094240837</v>
      </c>
      <c r="AC3" s="29">
        <v>1</v>
      </c>
      <c r="AD3" s="29">
        <v>1</v>
      </c>
      <c r="AE3" s="29">
        <v>0.3</v>
      </c>
      <c r="AF3" s="29">
        <v>1</v>
      </c>
      <c r="AG3" s="29">
        <v>0.3</v>
      </c>
      <c r="AH3" s="29">
        <v>1</v>
      </c>
      <c r="AI3" s="29">
        <v>0.3</v>
      </c>
      <c r="AJ3" s="29">
        <v>1</v>
      </c>
      <c r="AK3" s="29">
        <v>0.3</v>
      </c>
    </row>
    <row r="4" spans="2:37" x14ac:dyDescent="0.3">
      <c r="B4" s="27" t="s">
        <v>75</v>
      </c>
      <c r="C4" s="27" t="s">
        <v>4</v>
      </c>
      <c r="D4" s="27" t="s">
        <v>63</v>
      </c>
      <c r="E4" s="27" t="s">
        <v>77</v>
      </c>
      <c r="F4" s="61">
        <v>0.75</v>
      </c>
      <c r="G4" s="61">
        <f>1-F4</f>
        <v>0.25</v>
      </c>
      <c r="H4" s="27" t="s">
        <v>76</v>
      </c>
      <c r="I4" s="27" t="s">
        <v>64</v>
      </c>
      <c r="J4" s="27" t="s">
        <v>80</v>
      </c>
      <c r="K4" s="27" t="s">
        <v>81</v>
      </c>
      <c r="L4" s="27" t="s">
        <v>82</v>
      </c>
      <c r="M4" s="27" t="s">
        <v>83</v>
      </c>
      <c r="N4" s="27" t="s">
        <v>51</v>
      </c>
      <c r="O4" s="27" t="s">
        <v>85</v>
      </c>
      <c r="P4" s="27" t="s">
        <v>80</v>
      </c>
      <c r="Q4" s="27" t="s">
        <v>81</v>
      </c>
      <c r="S4" s="27" t="s">
        <v>4</v>
      </c>
      <c r="T4" s="27" t="s">
        <v>5</v>
      </c>
      <c r="U4" s="27" t="s">
        <v>6</v>
      </c>
      <c r="V4" s="27" t="s">
        <v>86</v>
      </c>
      <c r="X4">
        <v>2</v>
      </c>
      <c r="Y4" s="3">
        <v>882</v>
      </c>
      <c r="Z4" s="3">
        <v>1.0000000000000001E+45</v>
      </c>
      <c r="AA4" s="4">
        <v>1.0471204188481678</v>
      </c>
      <c r="AC4" s="29">
        <v>2</v>
      </c>
      <c r="AD4" s="29">
        <v>4</v>
      </c>
      <c r="AE4" s="29">
        <v>1.2</v>
      </c>
      <c r="AF4" s="29">
        <v>1</v>
      </c>
      <c r="AG4" s="29">
        <v>1.2</v>
      </c>
      <c r="AH4" s="29">
        <v>4</v>
      </c>
      <c r="AI4" s="29">
        <v>1.2</v>
      </c>
      <c r="AJ4" s="29">
        <v>4</v>
      </c>
      <c r="AK4" s="29">
        <v>1.2</v>
      </c>
    </row>
    <row r="5" spans="2:37" x14ac:dyDescent="0.3">
      <c r="C5" s="29">
        <v>1</v>
      </c>
      <c r="D5" s="29">
        <f>VLOOKUP(C5,AC$3:AK$22,2+(D$3*2),0)</f>
        <v>1</v>
      </c>
      <c r="E5" s="29">
        <f>VLOOKUP(C5,AC3:AK22,3+(D$3*2),0)</f>
        <v>0.3</v>
      </c>
      <c r="F5" s="31">
        <f t="shared" ref="F5:F23" si="0">H5*F$4*100</f>
        <v>113.87434554973821</v>
      </c>
      <c r="G5" s="32">
        <f t="shared" ref="G5:G23" si="1">H5*G$4*100</f>
        <v>37.958115183246072</v>
      </c>
      <c r="H5" s="46">
        <f t="shared" ref="H5:H23" si="2">VLOOKUP(I5,X$1:AA$452,4,FALSE)</f>
        <v>1.5183246073298429</v>
      </c>
      <c r="I5" s="29">
        <v>4</v>
      </c>
      <c r="J5" s="48">
        <f t="shared" ref="J5:J23" si="3">(F5-D5)/$D$2*$D$1</f>
        <v>0.45149738219895286</v>
      </c>
      <c r="K5" s="56">
        <f t="shared" ref="K5:K23" si="4">2*(F5-$D$2*J5)/($D$2*$D$2-$D$2)</f>
        <v>1.1846667894446052E-3</v>
      </c>
      <c r="L5" s="41">
        <f>(G5-E5)/$D$2*$D$1</f>
        <v>0.15063246073298431</v>
      </c>
      <c r="M5" s="56">
        <f t="shared" ref="M5:M23" si="5">2*(G5-$D$2*L5)/($D$2*$D$2-$D$2)</f>
        <v>3.9354889631403077E-4</v>
      </c>
      <c r="O5" s="72">
        <v>100</v>
      </c>
      <c r="P5" s="32">
        <f t="shared" ref="P5:P23" si="6">O5/$D$2*$D$1</f>
        <v>0.4</v>
      </c>
      <c r="Q5" s="76">
        <f t="shared" ref="Q5:Q23" si="7">2*(O5-$D$2*P5)/($D$2*$D$2-$D$2)</f>
        <v>1.0050251256281408E-3</v>
      </c>
      <c r="R5" s="25">
        <f t="shared" ref="R5:R23" si="8">U5/U$28</f>
        <v>1.332772037155846E-5</v>
      </c>
      <c r="S5" s="29">
        <v>1</v>
      </c>
      <c r="T5" s="41">
        <f>$E$2/2*(2*J5+($E$2-1)*K5)</f>
        <v>113.87434554973821</v>
      </c>
      <c r="U5" s="41">
        <f>$E$2/2*(2*L5+($E$2-1)*M5)</f>
        <v>37.958115183246079</v>
      </c>
      <c r="V5" s="41">
        <f>$E$2/2*(2*J5+($E$2-1)*K5)+$E$2/2*(2*L5+($E$2-1)*M5)</f>
        <v>151.83246073298429</v>
      </c>
      <c r="W5" s="41">
        <f t="shared" ref="W5:W23" si="9">V5/H5/100</f>
        <v>1</v>
      </c>
      <c r="X5">
        <v>3</v>
      </c>
      <c r="Y5" s="3">
        <v>883</v>
      </c>
      <c r="Z5" s="3">
        <v>1.225E+45</v>
      </c>
      <c r="AA5" s="4">
        <v>1.2827225130890054</v>
      </c>
      <c r="AC5" s="29">
        <v>3</v>
      </c>
      <c r="AD5" s="29">
        <v>7</v>
      </c>
      <c r="AE5" s="29">
        <v>2.1</v>
      </c>
      <c r="AF5" s="29">
        <v>1</v>
      </c>
      <c r="AG5" s="29">
        <v>2.1</v>
      </c>
      <c r="AH5" s="29">
        <v>7</v>
      </c>
      <c r="AI5" s="29">
        <v>2.1</v>
      </c>
      <c r="AJ5" s="29">
        <v>7</v>
      </c>
      <c r="AK5" s="29">
        <v>2.1</v>
      </c>
    </row>
    <row r="6" spans="2:37" x14ac:dyDescent="0.3">
      <c r="C6" s="29">
        <v>2</v>
      </c>
      <c r="D6" s="29">
        <f>VLOOKUP(C6,AC$3:AK$22,2+(D$3*2),0)</f>
        <v>4</v>
      </c>
      <c r="E6" s="29">
        <f t="shared" ref="E6:E7" si="10">VLOOKUP(C6,AC4:AK23,3+(D$3*2),0)</f>
        <v>1.2</v>
      </c>
      <c r="F6" s="31">
        <f t="shared" si="0"/>
        <v>131.54450261780107</v>
      </c>
      <c r="G6" s="32">
        <f t="shared" si="1"/>
        <v>43.848167539267017</v>
      </c>
      <c r="H6" s="46">
        <f t="shared" si="2"/>
        <v>1.7539267015706808</v>
      </c>
      <c r="I6" s="29">
        <v>5</v>
      </c>
      <c r="J6" s="48">
        <f t="shared" si="3"/>
        <v>0.51017801047120437</v>
      </c>
      <c r="K6" s="56">
        <f t="shared" si="4"/>
        <v>1.4828593227919698E-3</v>
      </c>
      <c r="L6" s="41">
        <f>(G6-E6)/$D$2*$D$1</f>
        <v>0.17059267015706805</v>
      </c>
      <c r="M6" s="56">
        <f t="shared" si="5"/>
        <v>4.8892630692730691E-4</v>
      </c>
      <c r="O6" s="72">
        <v>100</v>
      </c>
      <c r="P6" s="32">
        <f t="shared" si="6"/>
        <v>0.4</v>
      </c>
      <c r="Q6" s="76">
        <f t="shared" si="7"/>
        <v>1.0050251256281408E-3</v>
      </c>
      <c r="R6" s="25">
        <f t="shared" si="8"/>
        <v>1.5395814911972704E-5</v>
      </c>
      <c r="S6" s="29">
        <v>2</v>
      </c>
      <c r="T6" s="41">
        <f>$E$2/2*(2*J6+($E$2-1)*K6)</f>
        <v>131.54450261780107</v>
      </c>
      <c r="U6" s="41">
        <f>$E$2/2*(2*L6+($E$2-1)*M6)</f>
        <v>43.848167539267017</v>
      </c>
      <c r="V6" s="41">
        <f>$E$2/2*(2*J6+($E$2-1)*K6)+$E$2/2*(2*L6+($E$2-1)*M6)</f>
        <v>175.3926701570681</v>
      </c>
      <c r="W6" s="41">
        <f t="shared" si="9"/>
        <v>1.0000000000000002</v>
      </c>
      <c r="X6">
        <v>4</v>
      </c>
      <c r="Y6" s="3">
        <v>884</v>
      </c>
      <c r="Z6" s="3">
        <v>1.4499999999999999E+45</v>
      </c>
      <c r="AA6" s="4">
        <v>1.5183246073298429</v>
      </c>
      <c r="AC6" s="29">
        <v>4</v>
      </c>
      <c r="AD6" s="29">
        <v>10</v>
      </c>
      <c r="AE6" s="29">
        <v>3</v>
      </c>
      <c r="AF6" s="29">
        <v>1</v>
      </c>
      <c r="AG6" s="29">
        <v>3</v>
      </c>
      <c r="AH6" s="29">
        <v>10</v>
      </c>
      <c r="AI6" s="29">
        <v>3</v>
      </c>
      <c r="AJ6" s="29">
        <v>10</v>
      </c>
      <c r="AK6" s="29">
        <v>3</v>
      </c>
    </row>
    <row r="7" spans="2:37" x14ac:dyDescent="0.3">
      <c r="C7" s="29">
        <v>3</v>
      </c>
      <c r="D7" s="29">
        <f t="shared" ref="D7:D24" si="11">VLOOKUP(C7,AC$3:AK$22,2+(D$3*2),0)</f>
        <v>7</v>
      </c>
      <c r="E7" s="29">
        <f t="shared" si="10"/>
        <v>2.1</v>
      </c>
      <c r="F7" s="31">
        <f t="shared" si="0"/>
        <v>149.21465968586392</v>
      </c>
      <c r="G7" s="32">
        <f t="shared" si="1"/>
        <v>49.738219895287969</v>
      </c>
      <c r="H7" s="46">
        <f t="shared" si="2"/>
        <v>1.9895287958115189</v>
      </c>
      <c r="I7" s="29">
        <v>6</v>
      </c>
      <c r="J7" s="48">
        <f t="shared" si="3"/>
        <v>0.56885863874345577</v>
      </c>
      <c r="K7" s="56">
        <f t="shared" si="4"/>
        <v>1.7810518561393353E-3</v>
      </c>
      <c r="L7" s="41">
        <f>(G7-E7)/$D$2*$D$1</f>
        <v>0.19055287958115188</v>
      </c>
      <c r="M7" s="56">
        <f t="shared" si="5"/>
        <v>5.8430371754058261E-4</v>
      </c>
      <c r="O7" s="72">
        <v>100</v>
      </c>
      <c r="P7" s="32">
        <f t="shared" si="6"/>
        <v>0.4</v>
      </c>
      <c r="Q7" s="76">
        <f t="shared" si="7"/>
        <v>1.0050251256281408E-3</v>
      </c>
      <c r="R7" s="25">
        <f t="shared" si="8"/>
        <v>1.746390945238695E-5</v>
      </c>
      <c r="S7" s="29">
        <v>3</v>
      </c>
      <c r="T7" s="41">
        <f>$E$2/2*(2*J7+($E$2-1)*K7)</f>
        <v>149.21465968586395</v>
      </c>
      <c r="U7" s="41">
        <f>$E$2/2*(2*L7+($E$2-1)*M7)</f>
        <v>49.738219895287969</v>
      </c>
      <c r="V7" s="41">
        <f>$E$2/2*(2*J7+($E$2-1)*K7)+$E$2/2*(2*L7+($E$2-1)*M7)</f>
        <v>198.95287958115193</v>
      </c>
      <c r="W7" s="41">
        <f t="shared" si="9"/>
        <v>1.0000000000000002</v>
      </c>
      <c r="X7">
        <v>5</v>
      </c>
      <c r="Y7" s="3">
        <v>885</v>
      </c>
      <c r="Z7" s="3">
        <v>1.675E+45</v>
      </c>
      <c r="AA7" s="4">
        <v>1.7539267015706808</v>
      </c>
      <c r="AC7" s="5">
        <v>5</v>
      </c>
      <c r="AD7" s="5">
        <v>18</v>
      </c>
      <c r="AE7" s="5">
        <v>5.4</v>
      </c>
      <c r="AF7" s="5">
        <v>1</v>
      </c>
      <c r="AG7" s="5">
        <v>5.4</v>
      </c>
      <c r="AH7" s="5">
        <v>18</v>
      </c>
      <c r="AI7" s="5">
        <v>5.4</v>
      </c>
      <c r="AJ7" s="5">
        <v>18</v>
      </c>
      <c r="AK7" s="5">
        <v>5.4</v>
      </c>
    </row>
    <row r="8" spans="2:37" x14ac:dyDescent="0.3">
      <c r="C8" s="29">
        <v>4</v>
      </c>
      <c r="D8" s="29">
        <f t="shared" si="11"/>
        <v>10</v>
      </c>
      <c r="E8" s="29">
        <f>VLOOKUP(C8,AC6:AK24,3+(D$3*2),0)</f>
        <v>3</v>
      </c>
      <c r="F8" s="31">
        <f t="shared" si="0"/>
        <v>166.88481675392671</v>
      </c>
      <c r="G8" s="32">
        <f t="shared" si="1"/>
        <v>55.6282722513089</v>
      </c>
      <c r="H8" s="46">
        <f t="shared" si="2"/>
        <v>2.2251308900523559</v>
      </c>
      <c r="I8" s="29">
        <v>7</v>
      </c>
      <c r="J8" s="48">
        <f t="shared" si="3"/>
        <v>0.62753926701570695</v>
      </c>
      <c r="K8" s="56">
        <f t="shared" si="4"/>
        <v>2.0792443894866999E-3</v>
      </c>
      <c r="L8" s="41">
        <f>(G8-E8)/$D$2*$D$1</f>
        <v>0.21051308900523563</v>
      </c>
      <c r="M8" s="56">
        <f t="shared" si="5"/>
        <v>6.7968112815385809E-4</v>
      </c>
      <c r="N8" s="27" t="s">
        <v>51</v>
      </c>
      <c r="O8" s="72">
        <v>100</v>
      </c>
      <c r="P8" s="32">
        <f t="shared" si="6"/>
        <v>0.4</v>
      </c>
      <c r="Q8" s="76">
        <f t="shared" si="7"/>
        <v>1.0050251256281408E-3</v>
      </c>
      <c r="R8" s="25">
        <f t="shared" si="8"/>
        <v>1.9532003992801192E-5</v>
      </c>
      <c r="S8" s="29">
        <v>4</v>
      </c>
      <c r="T8" s="41">
        <f>$E$2/2*(2*J8+($E$2-1)*K8)</f>
        <v>166.88481675392671</v>
      </c>
      <c r="U8" s="41">
        <f>$E$2/2*(2*L8+($E$2-1)*M8)</f>
        <v>55.628272251308907</v>
      </c>
      <c r="V8" s="41">
        <f>$E$2/2*(2*J8+($E$2-1)*K8)+$E$2/2*(2*L8+($E$2-1)*M8)</f>
        <v>222.51308900523563</v>
      </c>
      <c r="W8" s="41">
        <f t="shared" si="9"/>
        <v>1.0000000000000002</v>
      </c>
      <c r="X8">
        <v>6</v>
      </c>
      <c r="Y8" s="3">
        <v>886</v>
      </c>
      <c r="Z8" s="3">
        <v>1.9000000000000004E+45</v>
      </c>
      <c r="AA8" s="4">
        <v>1.9895287958115189</v>
      </c>
      <c r="AC8" s="5">
        <v>6</v>
      </c>
      <c r="AD8" s="5">
        <v>30</v>
      </c>
      <c r="AE8" s="5">
        <v>9</v>
      </c>
      <c r="AF8" s="5">
        <v>1</v>
      </c>
      <c r="AG8" s="5">
        <v>9</v>
      </c>
      <c r="AH8" s="5">
        <v>30</v>
      </c>
      <c r="AI8" s="5">
        <v>9</v>
      </c>
      <c r="AJ8" s="5">
        <v>30</v>
      </c>
      <c r="AK8" s="5">
        <v>9</v>
      </c>
    </row>
    <row r="9" spans="2:37" x14ac:dyDescent="0.3">
      <c r="C9" s="33">
        <v>5</v>
      </c>
      <c r="D9" s="33">
        <f t="shared" si="11"/>
        <v>18</v>
      </c>
      <c r="E9" s="33">
        <f>VLOOKUP(C9,AC7:AK25,3+(D$3*2),0)</f>
        <v>5.4</v>
      </c>
      <c r="F9" s="34">
        <f t="shared" si="0"/>
        <v>184.55497382198956</v>
      </c>
      <c r="G9" s="35">
        <f t="shared" si="1"/>
        <v>61.518324607329852</v>
      </c>
      <c r="H9" s="46">
        <f t="shared" si="2"/>
        <v>2.4607329842931942</v>
      </c>
      <c r="I9" s="42">
        <v>8</v>
      </c>
      <c r="J9" s="49">
        <f t="shared" si="3"/>
        <v>0.66621989528795833</v>
      </c>
      <c r="K9" s="57">
        <f t="shared" si="4"/>
        <v>2.5784419479596928E-3</v>
      </c>
      <c r="L9" s="43">
        <f>(G9-E9)/$D$2*$D$1</f>
        <v>0.2244732984293194</v>
      </c>
      <c r="M9" s="57">
        <f t="shared" si="5"/>
        <v>8.3536004630482277E-4</v>
      </c>
      <c r="O9" s="73">
        <v>100</v>
      </c>
      <c r="P9" s="35">
        <f t="shared" si="6"/>
        <v>0.4</v>
      </c>
      <c r="Q9" s="76">
        <f t="shared" si="7"/>
        <v>1.0050251256281408E-3</v>
      </c>
      <c r="R9" s="25">
        <f t="shared" si="8"/>
        <v>2.1600098533215437E-5</v>
      </c>
      <c r="S9" s="33">
        <v>5</v>
      </c>
      <c r="T9" s="43">
        <f>$E$2/2*(2*J9+($E$2-1)*K9)</f>
        <v>184.55497382198956</v>
      </c>
      <c r="U9" s="43">
        <f>$E$2/2*(2*L9+($E$2-1)*M9)</f>
        <v>61.518324607329852</v>
      </c>
      <c r="V9" s="43">
        <f>$E$2/2*(2*J9+($E$2-1)*K9)+$E$2/2*(2*L9+($E$2-1)*M9)</f>
        <v>246.07329842931941</v>
      </c>
      <c r="W9" s="43">
        <f t="shared" si="9"/>
        <v>1</v>
      </c>
      <c r="X9">
        <v>7</v>
      </c>
      <c r="Y9" s="3">
        <v>887</v>
      </c>
      <c r="Z9" s="3">
        <v>2.1249999999999999E+45</v>
      </c>
      <c r="AA9" s="4">
        <v>2.2251308900523559</v>
      </c>
      <c r="AC9" s="5">
        <v>7</v>
      </c>
      <c r="AD9" s="5">
        <v>45</v>
      </c>
      <c r="AE9" s="5">
        <v>13.5</v>
      </c>
      <c r="AF9" s="5">
        <v>45</v>
      </c>
      <c r="AG9" s="5">
        <v>13.5</v>
      </c>
      <c r="AH9" s="5">
        <v>45</v>
      </c>
      <c r="AI9" s="5">
        <v>13.5</v>
      </c>
      <c r="AJ9" s="5">
        <v>45</v>
      </c>
      <c r="AK9" s="5">
        <v>13.5</v>
      </c>
    </row>
    <row r="10" spans="2:37" x14ac:dyDescent="0.3">
      <c r="C10" s="33">
        <v>6</v>
      </c>
      <c r="D10" s="33">
        <f t="shared" si="11"/>
        <v>30</v>
      </c>
      <c r="E10" s="33">
        <f>VLOOKUP(C10,AC8:AK26,3+(D$3*2),0)</f>
        <v>9</v>
      </c>
      <c r="F10" s="34">
        <f t="shared" si="0"/>
        <v>202.22513089005236</v>
      </c>
      <c r="G10" s="35">
        <f t="shared" si="1"/>
        <v>67.408376963350776</v>
      </c>
      <c r="H10" s="46">
        <f t="shared" si="2"/>
        <v>2.6963350785340312</v>
      </c>
      <c r="I10" s="42">
        <v>9</v>
      </c>
      <c r="J10" s="49">
        <f t="shared" si="3"/>
        <v>0.68890052356020948</v>
      </c>
      <c r="K10" s="57">
        <f t="shared" si="4"/>
        <v>3.2384435265331891E-3</v>
      </c>
      <c r="L10" s="43">
        <f>(G10-E10)/$D$2*$D$1</f>
        <v>0.23363350785340309</v>
      </c>
      <c r="M10" s="57">
        <f t="shared" si="5"/>
        <v>1.0392801704859375E-3</v>
      </c>
      <c r="O10" s="73">
        <v>100</v>
      </c>
      <c r="P10" s="35">
        <f t="shared" si="6"/>
        <v>0.4</v>
      </c>
      <c r="Q10" s="76">
        <f t="shared" si="7"/>
        <v>1.0050251256281408E-3</v>
      </c>
      <c r="R10" s="25">
        <f t="shared" si="8"/>
        <v>2.3668193073629673E-5</v>
      </c>
      <c r="S10" s="33">
        <v>6</v>
      </c>
      <c r="T10" s="43">
        <f>$E$2/2*(2*J10+($E$2-1)*K10)</f>
        <v>202.22513089005236</v>
      </c>
      <c r="U10" s="43">
        <f>$E$2/2*(2*L10+($E$2-1)*M10)</f>
        <v>67.408376963350776</v>
      </c>
      <c r="V10" s="43">
        <f>$E$2/2*(2*J10+($E$2-1)*K10)+$E$2/2*(2*L10+($E$2-1)*M10)</f>
        <v>269.6335078534031</v>
      </c>
      <c r="W10" s="43">
        <f t="shared" si="9"/>
        <v>1</v>
      </c>
      <c r="X10">
        <v>8</v>
      </c>
      <c r="Y10" s="3">
        <v>888</v>
      </c>
      <c r="Z10" s="3">
        <v>2.3500000000000003E+45</v>
      </c>
      <c r="AA10" s="4">
        <v>2.4607329842931942</v>
      </c>
      <c r="AC10" s="5">
        <v>8</v>
      </c>
      <c r="AD10" s="5">
        <v>72</v>
      </c>
      <c r="AE10" s="5">
        <v>21.6</v>
      </c>
      <c r="AF10" s="5">
        <v>72</v>
      </c>
      <c r="AG10" s="5">
        <v>21.6</v>
      </c>
      <c r="AH10" s="5">
        <v>72</v>
      </c>
      <c r="AI10" s="5">
        <v>21.6</v>
      </c>
      <c r="AJ10" s="5">
        <v>72</v>
      </c>
      <c r="AK10" s="5">
        <v>21.6</v>
      </c>
    </row>
    <row r="11" spans="2:37" x14ac:dyDescent="0.3">
      <c r="C11" s="33">
        <v>7</v>
      </c>
      <c r="D11" s="33">
        <f t="shared" si="11"/>
        <v>45</v>
      </c>
      <c r="E11" s="33">
        <f>VLOOKUP(C11,AC9:AK27,3+(D$3*2),0)</f>
        <v>13.5</v>
      </c>
      <c r="F11" s="34">
        <f t="shared" si="0"/>
        <v>219.8952879581152</v>
      </c>
      <c r="G11" s="35">
        <f t="shared" si="1"/>
        <v>73.298429319371735</v>
      </c>
      <c r="H11" s="46">
        <f t="shared" si="2"/>
        <v>2.9319371727748695</v>
      </c>
      <c r="I11" s="42">
        <v>10</v>
      </c>
      <c r="J11" s="49">
        <f t="shared" si="3"/>
        <v>0.69958115183246083</v>
      </c>
      <c r="K11" s="57">
        <f t="shared" si="4"/>
        <v>4.019048120182063E-3</v>
      </c>
      <c r="L11" s="43">
        <f>(G11-E11)/$D$2*$D$1</f>
        <v>0.23919371727748695</v>
      </c>
      <c r="M11" s="57">
        <f t="shared" si="5"/>
        <v>1.2793811991896654E-3</v>
      </c>
      <c r="O11" s="73">
        <v>100</v>
      </c>
      <c r="P11" s="35">
        <f t="shared" si="6"/>
        <v>0.4</v>
      </c>
      <c r="Q11" s="76">
        <f t="shared" si="7"/>
        <v>1.0050251256281408E-3</v>
      </c>
      <c r="R11" s="25">
        <f t="shared" si="8"/>
        <v>2.5736287614043922E-5</v>
      </c>
      <c r="S11" s="33">
        <v>7</v>
      </c>
      <c r="T11" s="43">
        <f>$E$2/2*(2*J11+($E$2-1)*K11)</f>
        <v>219.8952879581152</v>
      </c>
      <c r="U11" s="43">
        <f>$E$2/2*(2*L11+($E$2-1)*M11)</f>
        <v>73.298429319371735</v>
      </c>
      <c r="V11" s="43">
        <f>$E$2/2*(2*J11+($E$2-1)*K11)+$E$2/2*(2*L11+($E$2-1)*M11)</f>
        <v>293.19371727748694</v>
      </c>
      <c r="W11" s="43">
        <f t="shared" si="9"/>
        <v>1</v>
      </c>
      <c r="X11">
        <v>9</v>
      </c>
      <c r="Y11" s="3">
        <v>889</v>
      </c>
      <c r="Z11" s="3">
        <v>2.5749999999999998E+45</v>
      </c>
      <c r="AA11" s="4">
        <v>2.6963350785340312</v>
      </c>
      <c r="AC11" s="20">
        <v>9</v>
      </c>
      <c r="AD11" s="20">
        <v>90</v>
      </c>
      <c r="AE11" s="20">
        <v>27</v>
      </c>
      <c r="AF11" s="20">
        <v>90</v>
      </c>
      <c r="AG11" s="20">
        <v>27</v>
      </c>
      <c r="AH11" s="20">
        <v>90</v>
      </c>
      <c r="AI11" s="20">
        <v>27</v>
      </c>
      <c r="AJ11" s="20">
        <v>90</v>
      </c>
      <c r="AK11" s="20">
        <v>27</v>
      </c>
    </row>
    <row r="12" spans="2:37" x14ac:dyDescent="0.3">
      <c r="C12" s="33">
        <v>8</v>
      </c>
      <c r="D12" s="33">
        <f t="shared" si="11"/>
        <v>72</v>
      </c>
      <c r="E12" s="33">
        <f>VLOOKUP(C12,AC10:AK28,3+(D$3*2),0)</f>
        <v>21.6</v>
      </c>
      <c r="F12" s="34">
        <f t="shared" si="0"/>
        <v>237.56544502617805</v>
      </c>
      <c r="G12" s="35">
        <f t="shared" si="1"/>
        <v>79.18848167539268</v>
      </c>
      <c r="H12" s="46">
        <f t="shared" si="2"/>
        <v>3.1675392670157074</v>
      </c>
      <c r="I12" s="42">
        <v>11</v>
      </c>
      <c r="J12" s="49">
        <f t="shared" si="3"/>
        <v>0.66226178010471226</v>
      </c>
      <c r="K12" s="57">
        <f t="shared" si="4"/>
        <v>5.2820647741324417E-3</v>
      </c>
      <c r="L12" s="43">
        <f>(G12-E12)/$D$2*$D$1</f>
        <v>0.23035392670157073</v>
      </c>
      <c r="M12" s="57">
        <f t="shared" si="5"/>
        <v>1.6642058459838459E-3</v>
      </c>
      <c r="N12" s="27" t="s">
        <v>51</v>
      </c>
      <c r="O12" s="73">
        <v>100</v>
      </c>
      <c r="P12" s="35">
        <f t="shared" si="6"/>
        <v>0.4</v>
      </c>
      <c r="Q12" s="76">
        <f t="shared" si="7"/>
        <v>1.0050251256281408E-3</v>
      </c>
      <c r="R12" s="25">
        <f t="shared" si="8"/>
        <v>2.7804382154458167E-5</v>
      </c>
      <c r="S12" s="33">
        <v>8</v>
      </c>
      <c r="T12" s="43">
        <f>$E$2/2*(2*J12+($E$2-1)*K12)</f>
        <v>237.56544502617805</v>
      </c>
      <c r="U12" s="43">
        <f>$E$2/2*(2*L12+($E$2-1)*M12)</f>
        <v>79.18848167539268</v>
      </c>
      <c r="V12" s="43">
        <f>$E$2/2*(2*J12+($E$2-1)*K12)+$E$2/2*(2*L12+($E$2-1)*M12)</f>
        <v>316.75392670157072</v>
      </c>
      <c r="W12" s="43">
        <f t="shared" si="9"/>
        <v>0.99999999999999989</v>
      </c>
      <c r="X12">
        <v>10</v>
      </c>
      <c r="Y12" s="3">
        <v>890</v>
      </c>
      <c r="Z12" s="3">
        <v>2.8000000000000002E+45</v>
      </c>
      <c r="AA12" s="4">
        <v>2.9319371727748695</v>
      </c>
      <c r="AC12" s="20">
        <v>10</v>
      </c>
      <c r="AD12" s="20">
        <v>150</v>
      </c>
      <c r="AE12" s="20">
        <v>45</v>
      </c>
      <c r="AF12" s="20">
        <v>150</v>
      </c>
      <c r="AG12" s="20">
        <v>45</v>
      </c>
      <c r="AH12" s="20">
        <v>150</v>
      </c>
      <c r="AI12" s="20">
        <v>45</v>
      </c>
      <c r="AJ12" s="20">
        <v>150</v>
      </c>
      <c r="AK12" s="20">
        <v>45</v>
      </c>
    </row>
    <row r="13" spans="2:37" x14ac:dyDescent="0.3">
      <c r="C13" s="20">
        <v>9</v>
      </c>
      <c r="D13" s="20">
        <f t="shared" si="11"/>
        <v>90</v>
      </c>
      <c r="E13" s="20">
        <f>VLOOKUP(C13,AC11:AK29,3+(D$3*2),0)</f>
        <v>27</v>
      </c>
      <c r="F13" s="21">
        <f t="shared" si="0"/>
        <v>255.23560209424079</v>
      </c>
      <c r="G13" s="23">
        <f t="shared" si="1"/>
        <v>85.078534031413596</v>
      </c>
      <c r="H13" s="46">
        <f t="shared" si="2"/>
        <v>3.403141361256544</v>
      </c>
      <c r="I13" s="20">
        <v>12</v>
      </c>
      <c r="J13" s="50">
        <f t="shared" si="3"/>
        <v>0.66094240837696328</v>
      </c>
      <c r="K13" s="58">
        <f t="shared" si="4"/>
        <v>6.18327238285669E-3</v>
      </c>
      <c r="L13" s="44">
        <f>(G13-E13)/$D$2*$D$1</f>
        <v>0.23231413612565441</v>
      </c>
      <c r="M13" s="58">
        <f t="shared" si="5"/>
        <v>1.9404877792101867E-3</v>
      </c>
      <c r="O13" s="74">
        <v>100</v>
      </c>
      <c r="P13" s="23">
        <f t="shared" si="6"/>
        <v>0.4</v>
      </c>
      <c r="Q13" s="76">
        <f t="shared" si="7"/>
        <v>1.0050251256281408E-3</v>
      </c>
      <c r="R13" s="25">
        <f t="shared" si="8"/>
        <v>2.9872476694872396E-5</v>
      </c>
      <c r="S13" s="20">
        <v>9</v>
      </c>
      <c r="T13" s="44">
        <f>$E$2/2*(2*J13+($E$2-1)*K13)</f>
        <v>255.23560209424079</v>
      </c>
      <c r="U13" s="44">
        <f>$E$2/2*(2*L13+($E$2-1)*M13)</f>
        <v>85.078534031413582</v>
      </c>
      <c r="V13" s="44">
        <f>$E$2/2*(2*J13+($E$2-1)*K13)+$E$2/2*(2*L13+($E$2-1)*M13)</f>
        <v>340.31413612565439</v>
      </c>
      <c r="W13" s="44">
        <f t="shared" si="9"/>
        <v>1</v>
      </c>
      <c r="X13">
        <v>11</v>
      </c>
      <c r="Y13" s="3">
        <v>891</v>
      </c>
      <c r="Z13" s="3">
        <v>3.0250000000000004E+45</v>
      </c>
      <c r="AA13" s="4">
        <v>3.1675392670157074</v>
      </c>
      <c r="AC13" s="20">
        <v>11</v>
      </c>
      <c r="AD13" s="20">
        <v>200</v>
      </c>
      <c r="AE13" s="20">
        <v>66</v>
      </c>
      <c r="AF13" s="20">
        <v>200</v>
      </c>
      <c r="AG13" s="20">
        <v>66</v>
      </c>
      <c r="AH13" s="20">
        <v>200</v>
      </c>
      <c r="AI13" s="20">
        <v>66</v>
      </c>
      <c r="AJ13" s="20">
        <v>200</v>
      </c>
      <c r="AK13" s="20">
        <v>66</v>
      </c>
    </row>
    <row r="14" spans="2:37" x14ac:dyDescent="0.3">
      <c r="C14" s="20">
        <v>10</v>
      </c>
      <c r="D14" s="20">
        <f t="shared" si="11"/>
        <v>150</v>
      </c>
      <c r="E14" s="20">
        <f>VLOOKUP(C14,AC12:AK30,3+(D$3*2),0)</f>
        <v>45</v>
      </c>
      <c r="F14" s="21">
        <f t="shared" si="0"/>
        <v>272.9057591623037</v>
      </c>
      <c r="G14" s="23">
        <f t="shared" si="1"/>
        <v>90.968586387434556</v>
      </c>
      <c r="H14" s="46">
        <f t="shared" si="2"/>
        <v>3.6387434554973823</v>
      </c>
      <c r="I14" s="20">
        <v>13</v>
      </c>
      <c r="J14" s="50">
        <f t="shared" si="3"/>
        <v>0.49162303664921475</v>
      </c>
      <c r="K14" s="58">
        <f t="shared" si="4"/>
        <v>8.7729222026362193E-3</v>
      </c>
      <c r="L14" s="44">
        <f>(G14-E14)/$D$2*$D$1</f>
        <v>0.18387434554973825</v>
      </c>
      <c r="M14" s="58">
        <f t="shared" si="5"/>
        <v>2.7233023757531108E-3</v>
      </c>
      <c r="O14" s="74">
        <v>100</v>
      </c>
      <c r="P14" s="23">
        <f t="shared" si="6"/>
        <v>0.4</v>
      </c>
      <c r="Q14" s="76">
        <f t="shared" si="7"/>
        <v>1.0050251256281408E-3</v>
      </c>
      <c r="R14" s="25">
        <f t="shared" si="8"/>
        <v>3.1940571235286648E-5</v>
      </c>
      <c r="S14" s="20">
        <v>10</v>
      </c>
      <c r="T14" s="44">
        <f>$E$2/2*(2*J14+($E$2-1)*K14)</f>
        <v>272.90575916230375</v>
      </c>
      <c r="U14" s="44">
        <f>$E$2/2*(2*L14+($E$2-1)*M14)</f>
        <v>90.968586387434556</v>
      </c>
      <c r="V14" s="44">
        <f>$E$2/2*(2*J14+($E$2-1)*K14)+$E$2/2*(2*L14+($E$2-1)*M14)</f>
        <v>363.87434554973834</v>
      </c>
      <c r="W14" s="44">
        <f t="shared" si="9"/>
        <v>1.0000000000000002</v>
      </c>
      <c r="X14">
        <v>12</v>
      </c>
      <c r="Y14" s="3">
        <v>892</v>
      </c>
      <c r="Z14" s="3">
        <v>3.2499999999999995E+45</v>
      </c>
      <c r="AA14" s="4">
        <v>3.403141361256544</v>
      </c>
      <c r="AC14" s="20">
        <v>12</v>
      </c>
      <c r="AD14" s="20">
        <v>300</v>
      </c>
      <c r="AE14" s="20">
        <v>90</v>
      </c>
      <c r="AF14" s="20">
        <v>300</v>
      </c>
      <c r="AG14" s="20">
        <v>90</v>
      </c>
      <c r="AH14" s="20">
        <v>300</v>
      </c>
      <c r="AI14" s="20">
        <v>90</v>
      </c>
      <c r="AJ14" s="20">
        <v>300</v>
      </c>
      <c r="AK14" s="20">
        <v>90</v>
      </c>
    </row>
    <row r="15" spans="2:37" x14ac:dyDescent="0.3">
      <c r="C15" s="20">
        <v>11</v>
      </c>
      <c r="D15" s="20">
        <f t="shared" si="11"/>
        <v>200</v>
      </c>
      <c r="E15" s="20">
        <f>VLOOKUP(C15,AC13:AK31,3+(D$3*2),0)</f>
        <v>66</v>
      </c>
      <c r="F15" s="21">
        <f t="shared" si="0"/>
        <v>290.57591623036649</v>
      </c>
      <c r="G15" s="23">
        <f t="shared" si="1"/>
        <v>96.858638743455501</v>
      </c>
      <c r="H15" s="46">
        <f t="shared" si="2"/>
        <v>3.8743455497382198</v>
      </c>
      <c r="I15" s="20">
        <v>14</v>
      </c>
      <c r="J15" s="50">
        <f t="shared" si="3"/>
        <v>0.36230366492146598</v>
      </c>
      <c r="K15" s="58">
        <f t="shared" si="4"/>
        <v>1.0960561972164487E-2</v>
      </c>
      <c r="L15" s="44">
        <f>(G15-E15)/$D$2*$D$1</f>
        <v>0.12343455497382201</v>
      </c>
      <c r="M15" s="58">
        <f t="shared" si="5"/>
        <v>3.6267199873714121E-3</v>
      </c>
      <c r="O15" s="74">
        <v>100</v>
      </c>
      <c r="P15" s="23">
        <f t="shared" si="6"/>
        <v>0.4</v>
      </c>
      <c r="Q15" s="76">
        <f t="shared" si="7"/>
        <v>1.0050251256281408E-3</v>
      </c>
      <c r="R15" s="25">
        <f t="shared" si="8"/>
        <v>3.4008665775700897E-5</v>
      </c>
      <c r="S15" s="20">
        <v>11</v>
      </c>
      <c r="T15" s="44">
        <f>$E$2/2*(2*J15+($E$2-1)*K15)</f>
        <v>290.57591623036643</v>
      </c>
      <c r="U15" s="44">
        <f>$E$2/2*(2*L15+($E$2-1)*M15)</f>
        <v>96.858638743455501</v>
      </c>
      <c r="V15" s="44">
        <f>$E$2/2*(2*J15+($E$2-1)*K15)+$E$2/2*(2*L15+($E$2-1)*M15)</f>
        <v>387.43455497382195</v>
      </c>
      <c r="W15" s="44">
        <f t="shared" si="9"/>
        <v>0.99999999999999989</v>
      </c>
      <c r="X15">
        <v>13</v>
      </c>
      <c r="Y15" s="3">
        <v>893</v>
      </c>
      <c r="Z15" s="3">
        <v>3.475E+45</v>
      </c>
      <c r="AA15" s="4">
        <v>3.6387434554973823</v>
      </c>
      <c r="AC15" s="19">
        <v>13</v>
      </c>
      <c r="AD15" s="19">
        <v>450</v>
      </c>
      <c r="AE15" s="19">
        <v>135</v>
      </c>
      <c r="AF15" s="19">
        <v>450</v>
      </c>
      <c r="AG15" s="19">
        <v>135</v>
      </c>
      <c r="AH15" s="19">
        <v>450</v>
      </c>
      <c r="AI15" s="19">
        <v>135</v>
      </c>
      <c r="AJ15" s="19">
        <v>450</v>
      </c>
      <c r="AK15" s="19">
        <v>135</v>
      </c>
    </row>
    <row r="16" spans="2:37" x14ac:dyDescent="0.3">
      <c r="C16" s="20">
        <v>12</v>
      </c>
      <c r="D16" s="20">
        <f t="shared" si="11"/>
        <v>300</v>
      </c>
      <c r="E16" s="20">
        <f>VLOOKUP(C16,AC14:AK32,3+(D$3*2),0)</f>
        <v>90</v>
      </c>
      <c r="F16" s="21">
        <f t="shared" si="0"/>
        <v>308.24607329842928</v>
      </c>
      <c r="G16" s="23">
        <f t="shared" si="1"/>
        <v>102.74869109947645</v>
      </c>
      <c r="H16" s="46">
        <f t="shared" si="2"/>
        <v>4.1099476439790577</v>
      </c>
      <c r="I16" s="20">
        <v>15</v>
      </c>
      <c r="J16" s="50">
        <f t="shared" si="3"/>
        <v>3.2984293193717124E-2</v>
      </c>
      <c r="K16" s="58">
        <f t="shared" si="4"/>
        <v>1.5158251992949038E-2</v>
      </c>
      <c r="L16" s="44">
        <f>(G16-E16)/$D$2*$D$1</f>
        <v>5.0994764397905783E-2</v>
      </c>
      <c r="M16" s="58">
        <f t="shared" si="5"/>
        <v>4.65074061406509E-3</v>
      </c>
      <c r="N16" s="27" t="s">
        <v>51</v>
      </c>
      <c r="O16" s="74">
        <v>100</v>
      </c>
      <c r="P16" s="23">
        <f t="shared" si="6"/>
        <v>0.4</v>
      </c>
      <c r="Q16" s="76">
        <f t="shared" si="7"/>
        <v>1.0050251256281408E-3</v>
      </c>
      <c r="R16" s="25">
        <f t="shared" si="8"/>
        <v>3.6076760316115139E-5</v>
      </c>
      <c r="S16" s="20">
        <v>12</v>
      </c>
      <c r="T16" s="44">
        <f>$E$2/2*(2*J16+($E$2-1)*K16)</f>
        <v>308.24607329842928</v>
      </c>
      <c r="U16" s="44">
        <f>$E$2/2*(2*L16+($E$2-1)*M16)</f>
        <v>102.74869109947645</v>
      </c>
      <c r="V16" s="44">
        <f>$E$2/2*(2*J16+($E$2-1)*K16)+$E$2/2*(2*L16+($E$2-1)*M16)</f>
        <v>410.99476439790573</v>
      </c>
      <c r="W16" s="44">
        <f t="shared" si="9"/>
        <v>0.99999999999999989</v>
      </c>
      <c r="X16">
        <v>14</v>
      </c>
      <c r="Y16" s="3">
        <v>894</v>
      </c>
      <c r="Z16" s="3">
        <v>3.6999999999999998E+45</v>
      </c>
      <c r="AA16" s="4">
        <v>3.8743455497382198</v>
      </c>
      <c r="AC16" s="19">
        <v>14</v>
      </c>
      <c r="AD16" s="19">
        <v>800</v>
      </c>
      <c r="AE16" s="19">
        <v>240</v>
      </c>
      <c r="AF16" s="19">
        <v>800</v>
      </c>
      <c r="AG16" s="19">
        <v>240</v>
      </c>
      <c r="AH16" s="19">
        <v>800</v>
      </c>
      <c r="AI16" s="19">
        <v>240</v>
      </c>
      <c r="AJ16" s="19">
        <v>800</v>
      </c>
      <c r="AK16" s="19">
        <v>240</v>
      </c>
    </row>
    <row r="17" spans="2:56" x14ac:dyDescent="0.3">
      <c r="C17" s="51">
        <v>13</v>
      </c>
      <c r="D17" s="51">
        <f t="shared" si="11"/>
        <v>450</v>
      </c>
      <c r="E17" s="51">
        <f>VLOOKUP(C17,AC15:AK33,3+(D$3*2),0)</f>
        <v>135</v>
      </c>
      <c r="F17" s="52">
        <f t="shared" si="0"/>
        <v>750</v>
      </c>
      <c r="G17" s="53">
        <f t="shared" si="1"/>
        <v>250</v>
      </c>
      <c r="H17" s="46">
        <f t="shared" si="2"/>
        <v>10</v>
      </c>
      <c r="I17" s="51">
        <v>40</v>
      </c>
      <c r="J17" s="54">
        <f t="shared" si="3"/>
        <v>1.2000000000000002</v>
      </c>
      <c r="K17" s="59">
        <f t="shared" si="4"/>
        <v>2.5628140703517589E-2</v>
      </c>
      <c r="L17" s="55">
        <f>(G17-E17)/$D$2*$D$1</f>
        <v>0.45999999999999996</v>
      </c>
      <c r="M17" s="59">
        <f t="shared" si="5"/>
        <v>7.9396984924623108E-3</v>
      </c>
      <c r="N17" s="27" t="s">
        <v>51</v>
      </c>
      <c r="O17" s="75">
        <v>100</v>
      </c>
      <c r="P17" s="53">
        <f t="shared" si="6"/>
        <v>0.4</v>
      </c>
      <c r="Q17" s="76">
        <f t="shared" si="7"/>
        <v>1.0050251256281408E-3</v>
      </c>
      <c r="R17" s="25">
        <f t="shared" si="8"/>
        <v>8.7779123826471227E-5</v>
      </c>
      <c r="S17" s="51">
        <v>13</v>
      </c>
      <c r="T17" s="55">
        <f>$E$2/2*(2*J17+($E$2-1)*K17)</f>
        <v>750.00000000000011</v>
      </c>
      <c r="U17" s="55">
        <f>$E$2/2*(2*L17+($E$2-1)*M17)</f>
        <v>250</v>
      </c>
      <c r="V17" s="55">
        <f>$E$2/2*(2*J17+($E$2-1)*K17)+$E$2/2*(2*L17+($E$2-1)*M17)</f>
        <v>1000.0000000000001</v>
      </c>
      <c r="W17" s="55">
        <f t="shared" si="9"/>
        <v>1.0000000000000002</v>
      </c>
      <c r="X17">
        <v>15</v>
      </c>
      <c r="Y17" s="3">
        <v>895</v>
      </c>
      <c r="Z17" s="3">
        <v>3.9250000000000002E+45</v>
      </c>
      <c r="AA17" s="4">
        <v>4.1099476439790577</v>
      </c>
      <c r="AC17" s="19">
        <v>15</v>
      </c>
      <c r="AD17" s="19">
        <v>1100</v>
      </c>
      <c r="AE17" s="19">
        <v>320</v>
      </c>
      <c r="AF17" s="19">
        <v>1100</v>
      </c>
      <c r="AG17" s="19">
        <v>320</v>
      </c>
      <c r="AH17" s="19">
        <v>1100</v>
      </c>
      <c r="AI17" s="19">
        <v>320</v>
      </c>
      <c r="AJ17" s="19">
        <v>1100</v>
      </c>
      <c r="AK17" s="19">
        <v>320</v>
      </c>
    </row>
    <row r="18" spans="2:56" x14ac:dyDescent="0.3">
      <c r="B18">
        <v>2</v>
      </c>
      <c r="C18" s="51">
        <v>14</v>
      </c>
      <c r="D18" s="51">
        <f t="shared" si="11"/>
        <v>800</v>
      </c>
      <c r="E18" s="51">
        <f>VLOOKUP(C18,AC16:AK34,3+(D$3*2),0)</f>
        <v>240</v>
      </c>
      <c r="F18" s="52">
        <f t="shared" si="0"/>
        <v>2198.9528795811525</v>
      </c>
      <c r="G18" s="53">
        <f t="shared" si="1"/>
        <v>732.98429319371735</v>
      </c>
      <c r="H18" s="46">
        <f t="shared" si="2"/>
        <v>29.319371727748695</v>
      </c>
      <c r="I18" s="51">
        <v>50</v>
      </c>
      <c r="J18" s="54">
        <f>(F18-D18)/$D$2*$D$1</f>
        <v>5.5958115183246102</v>
      </c>
      <c r="K18" s="59">
        <f t="shared" si="4"/>
        <v>5.4260832960614597E-2</v>
      </c>
      <c r="L18" s="55">
        <f>(G18-E18)/$D$2*$D$1</f>
        <v>1.9719371727748696</v>
      </c>
      <c r="M18" s="59">
        <f t="shared" si="5"/>
        <v>1.7014917519534843E-2</v>
      </c>
      <c r="O18" s="75">
        <v>100</v>
      </c>
      <c r="P18" s="53">
        <f t="shared" si="6"/>
        <v>0.4</v>
      </c>
      <c r="Q18" s="76">
        <f t="shared" si="7"/>
        <v>1.0050251256281408E-3</v>
      </c>
      <c r="R18" s="25">
        <f t="shared" si="8"/>
        <v>2.5736287614043924E-4</v>
      </c>
      <c r="S18" s="51">
        <v>14</v>
      </c>
      <c r="T18" s="55">
        <f>$E$2/2*(2*J18+($E$2-1)*K18)</f>
        <v>2198.9528795811525</v>
      </c>
      <c r="U18" s="55">
        <f>$E$2/2*(2*L18+($E$2-1)*M18)</f>
        <v>732.98429319371735</v>
      </c>
      <c r="V18" s="55">
        <f>$E$2/2*(2*J18+($E$2-1)*K18)+$E$2/2*(2*L18+($E$2-1)*M18)</f>
        <v>2931.9371727748699</v>
      </c>
      <c r="W18" s="55">
        <f t="shared" si="9"/>
        <v>1.0000000000000002</v>
      </c>
      <c r="X18">
        <v>16</v>
      </c>
      <c r="Y18" s="3">
        <v>896</v>
      </c>
      <c r="Z18" s="3">
        <v>4.1500000000000006E+45</v>
      </c>
      <c r="AA18" s="4">
        <v>4.345549738219896</v>
      </c>
      <c r="AC18" s="19">
        <v>16</v>
      </c>
      <c r="AD18" s="19">
        <v>1500</v>
      </c>
      <c r="AE18" s="19">
        <v>450</v>
      </c>
      <c r="AF18" s="19">
        <v>1500</v>
      </c>
      <c r="AG18" s="19">
        <v>450</v>
      </c>
      <c r="AH18" s="19">
        <v>1500</v>
      </c>
      <c r="AI18" s="19">
        <v>450</v>
      </c>
      <c r="AJ18" s="19">
        <v>1500</v>
      </c>
      <c r="AK18" s="19">
        <v>450</v>
      </c>
    </row>
    <row r="19" spans="2:56" x14ac:dyDescent="0.3">
      <c r="B19">
        <v>10</v>
      </c>
      <c r="C19" s="51">
        <v>15</v>
      </c>
      <c r="D19" s="51">
        <f t="shared" si="11"/>
        <v>1100</v>
      </c>
      <c r="E19" s="51">
        <f>VLOOKUP(C19,AC17:AK35,3+(D$3*2),0)</f>
        <v>320</v>
      </c>
      <c r="F19" s="52">
        <f t="shared" si="0"/>
        <v>3965.9685863874342</v>
      </c>
      <c r="G19" s="53">
        <f t="shared" si="1"/>
        <v>1321.9895287958116</v>
      </c>
      <c r="H19" s="46">
        <f t="shared" si="2"/>
        <v>52.879581151832461</v>
      </c>
      <c r="I19" s="51">
        <v>60</v>
      </c>
      <c r="J19" s="54">
        <f t="shared" si="3"/>
        <v>11.463874345549739</v>
      </c>
      <c r="K19" s="59">
        <f t="shared" si="4"/>
        <v>8.4080086295351075E-2</v>
      </c>
      <c r="L19" s="55">
        <f>(G19-E19)/$D$2*$D$1</f>
        <v>4.0079581151832464</v>
      </c>
      <c r="M19" s="59">
        <f t="shared" si="5"/>
        <v>2.6150648530611172E-2</v>
      </c>
      <c r="O19" s="75">
        <v>100</v>
      </c>
      <c r="P19" s="53">
        <f t="shared" si="6"/>
        <v>0.4</v>
      </c>
      <c r="Q19" s="76">
        <f t="shared" si="7"/>
        <v>1.0050251256281408E-3</v>
      </c>
      <c r="R19" s="25">
        <f t="shared" si="8"/>
        <v>4.6417233018186368E-4</v>
      </c>
      <c r="S19" s="51">
        <v>15</v>
      </c>
      <c r="T19" s="55">
        <f>$E$2/2*(2*J19+($E$2-1)*K19)</f>
        <v>3965.9685863874342</v>
      </c>
      <c r="U19" s="55">
        <f>$E$2/2*(2*L19+($E$2-1)*M19)</f>
        <v>1321.9895287958118</v>
      </c>
      <c r="V19" s="55">
        <f>$E$2/2*(2*J19+($E$2-1)*K19)+$E$2/2*(2*L19+($E$2-1)*M19)</f>
        <v>5287.9581151832463</v>
      </c>
      <c r="W19" s="55">
        <f t="shared" si="9"/>
        <v>1</v>
      </c>
      <c r="X19">
        <v>17</v>
      </c>
      <c r="Y19" s="3">
        <v>897</v>
      </c>
      <c r="Z19" s="3">
        <v>4.3749999999999998E+45</v>
      </c>
      <c r="AA19" s="4">
        <v>4.5811518324607325</v>
      </c>
      <c r="AC19" s="18">
        <v>17</v>
      </c>
      <c r="AD19" s="18">
        <v>2000</v>
      </c>
      <c r="AE19" s="18">
        <v>600</v>
      </c>
      <c r="AF19" s="18">
        <v>2000</v>
      </c>
      <c r="AG19" s="18">
        <v>600</v>
      </c>
      <c r="AH19" s="18">
        <v>2000</v>
      </c>
      <c r="AI19" s="18">
        <v>600</v>
      </c>
      <c r="AJ19" s="18">
        <v>2000</v>
      </c>
      <c r="AK19" s="18">
        <v>600</v>
      </c>
    </row>
    <row r="20" spans="2:56" x14ac:dyDescent="0.3">
      <c r="C20" s="51">
        <v>16</v>
      </c>
      <c r="D20" s="51">
        <f t="shared" si="11"/>
        <v>1500</v>
      </c>
      <c r="E20" s="51">
        <f>VLOOKUP(C20,AC18:AK36,3+(D$3*2),0)</f>
        <v>450</v>
      </c>
      <c r="F20" s="52">
        <f t="shared" si="0"/>
        <v>7500</v>
      </c>
      <c r="G20" s="53">
        <f t="shared" si="1"/>
        <v>2500</v>
      </c>
      <c r="H20" s="46">
        <f t="shared" si="2"/>
        <v>100</v>
      </c>
      <c r="I20" s="51">
        <v>80</v>
      </c>
      <c r="J20" s="54">
        <f t="shared" si="3"/>
        <v>24</v>
      </c>
      <c r="K20" s="59">
        <f t="shared" si="4"/>
        <v>0.135678391959799</v>
      </c>
      <c r="L20" s="55">
        <f>(G20-E20)/$D$2*$D$1</f>
        <v>8.2000000000000011</v>
      </c>
      <c r="M20" s="59">
        <f t="shared" si="5"/>
        <v>4.321608040201004E-2</v>
      </c>
      <c r="O20" s="75">
        <v>100</v>
      </c>
      <c r="P20" s="53">
        <f t="shared" si="6"/>
        <v>0.4</v>
      </c>
      <c r="Q20" s="76">
        <f t="shared" si="7"/>
        <v>1.0050251256281408E-3</v>
      </c>
      <c r="R20" s="25">
        <f t="shared" si="8"/>
        <v>8.7779123826471227E-4</v>
      </c>
      <c r="S20" s="51">
        <v>16</v>
      </c>
      <c r="T20" s="55">
        <f>$E$2/2*(2*J20+($E$2-1)*K20)</f>
        <v>7500</v>
      </c>
      <c r="U20" s="55">
        <f>$E$2/2*(2*L20+($E$2-1)*M20)</f>
        <v>2500</v>
      </c>
      <c r="V20" s="55">
        <f>$E$2/2*(2*J20+($E$2-1)*K20)+$E$2/2*(2*L20+($E$2-1)*M20)</f>
        <v>10000</v>
      </c>
      <c r="W20" s="55">
        <f t="shared" si="9"/>
        <v>1</v>
      </c>
      <c r="X20">
        <v>18</v>
      </c>
      <c r="Y20" s="3">
        <v>898</v>
      </c>
      <c r="Z20" s="3">
        <v>4.5999999999999996E+45</v>
      </c>
      <c r="AA20" s="4">
        <v>4.81675392670157</v>
      </c>
      <c r="AC20" s="18">
        <v>18</v>
      </c>
      <c r="AD20" s="18">
        <v>3000</v>
      </c>
      <c r="AE20" s="18">
        <v>900</v>
      </c>
      <c r="AF20" s="18">
        <v>3000</v>
      </c>
      <c r="AG20" s="18">
        <v>900</v>
      </c>
      <c r="AH20" s="18">
        <v>3000</v>
      </c>
      <c r="AI20" s="18">
        <v>900</v>
      </c>
      <c r="AJ20" s="18">
        <v>3000</v>
      </c>
      <c r="AK20" s="18">
        <v>900</v>
      </c>
    </row>
    <row r="21" spans="2:56" x14ac:dyDescent="0.3">
      <c r="B21">
        <v>25</v>
      </c>
      <c r="C21" s="36">
        <v>17</v>
      </c>
      <c r="D21" s="36">
        <f t="shared" si="11"/>
        <v>2000</v>
      </c>
      <c r="E21" s="36">
        <f>VLOOKUP(C21,AC19:AK37,3+(D$3*2),0)</f>
        <v>600</v>
      </c>
      <c r="F21" s="37">
        <f t="shared" si="0"/>
        <v>57329.842931937172</v>
      </c>
      <c r="G21" s="38">
        <f t="shared" si="1"/>
        <v>19109.94764397906</v>
      </c>
      <c r="H21" s="46">
        <f t="shared" si="2"/>
        <v>764.39790575916231</v>
      </c>
      <c r="I21" s="36">
        <v>110</v>
      </c>
      <c r="J21" s="47">
        <f t="shared" si="3"/>
        <v>221.31937172774872</v>
      </c>
      <c r="K21" s="60">
        <f t="shared" si="4"/>
        <v>0.65658133599936808</v>
      </c>
      <c r="L21" s="45">
        <f>(G21-E21)/$D$2*$D$1</f>
        <v>74.039790575916243</v>
      </c>
      <c r="M21" s="60">
        <f t="shared" si="5"/>
        <v>0.21618037833144782</v>
      </c>
      <c r="O21" s="71">
        <v>100</v>
      </c>
      <c r="P21" s="38">
        <f t="shared" si="6"/>
        <v>0.4</v>
      </c>
      <c r="Q21" s="76">
        <f t="shared" si="7"/>
        <v>1.0050251256281408E-3</v>
      </c>
      <c r="R21" s="25">
        <f t="shared" si="8"/>
        <v>6.7098178422328797E-3</v>
      </c>
      <c r="S21" s="36">
        <v>17</v>
      </c>
      <c r="T21" s="45">
        <f>$E$2/2*(2*J21+($E$2-1)*K21)</f>
        <v>57329.842931937172</v>
      </c>
      <c r="U21" s="45">
        <f>$E$2/2*(2*L21+($E$2-1)*M21)</f>
        <v>19109.94764397906</v>
      </c>
      <c r="V21" s="45">
        <f>$E$2/2*(2*J21+($E$2-1)*K21)+$E$2/2*(2*L21+($E$2-1)*M21)</f>
        <v>76439.790575916239</v>
      </c>
      <c r="W21" s="45">
        <f t="shared" si="9"/>
        <v>1.0000000000000002</v>
      </c>
      <c r="X21">
        <v>19</v>
      </c>
      <c r="Y21" s="3">
        <v>899</v>
      </c>
      <c r="Z21" s="3">
        <v>4.8250000000000007E+45</v>
      </c>
      <c r="AA21" s="4">
        <v>5.0523560209424092</v>
      </c>
      <c r="AC21" s="18">
        <v>19</v>
      </c>
      <c r="AD21" s="18">
        <v>4500</v>
      </c>
      <c r="AE21" s="18">
        <v>1350</v>
      </c>
      <c r="AF21" s="18">
        <v>4500</v>
      </c>
      <c r="AG21" s="18">
        <v>1350</v>
      </c>
      <c r="AH21" s="18">
        <v>4500</v>
      </c>
      <c r="AI21" s="18">
        <v>1350</v>
      </c>
      <c r="AJ21" s="18">
        <v>4500</v>
      </c>
      <c r="AK21" s="18">
        <v>1350</v>
      </c>
    </row>
    <row r="22" spans="2:56" x14ac:dyDescent="0.3">
      <c r="B22">
        <v>50</v>
      </c>
      <c r="C22" s="36">
        <v>18</v>
      </c>
      <c r="D22" s="36">
        <f t="shared" si="11"/>
        <v>3000</v>
      </c>
      <c r="E22" s="36">
        <f>VLOOKUP(C22,AC20:AK38,3+(D$3*2),0)</f>
        <v>900</v>
      </c>
      <c r="F22" s="37">
        <f t="shared" si="0"/>
        <v>219895.28795811519</v>
      </c>
      <c r="G22" s="38">
        <f t="shared" si="1"/>
        <v>73298.429319371731</v>
      </c>
      <c r="H22" s="46">
        <f t="shared" si="2"/>
        <v>2931.9371727748694</v>
      </c>
      <c r="I22" s="36">
        <v>130</v>
      </c>
      <c r="J22" s="47">
        <f t="shared" si="3"/>
        <v>867.58115183246082</v>
      </c>
      <c r="K22" s="60">
        <f t="shared" si="4"/>
        <v>2.3306059091267848</v>
      </c>
      <c r="L22" s="45">
        <f>(G22-E22)/$D$2*$D$1</f>
        <v>289.59371727748697</v>
      </c>
      <c r="M22" s="60">
        <f t="shared" si="5"/>
        <v>0.77284853587308222</v>
      </c>
      <c r="O22" s="71">
        <v>100</v>
      </c>
      <c r="P22" s="38">
        <f t="shared" si="6"/>
        <v>0.4</v>
      </c>
      <c r="Q22" s="76">
        <f t="shared" si="7"/>
        <v>1.0050251256281408E-3</v>
      </c>
      <c r="R22" s="25">
        <f t="shared" si="8"/>
        <v>2.573628761404392E-2</v>
      </c>
      <c r="S22" s="36">
        <v>18</v>
      </c>
      <c r="T22" s="45">
        <f>$E$2/2*(2*J22+($E$2-1)*K22)</f>
        <v>219895.28795811519</v>
      </c>
      <c r="U22" s="45">
        <f>$E$2/2*(2*L22+($E$2-1)*M22)</f>
        <v>73298.429319371731</v>
      </c>
      <c r="V22" s="45">
        <f>$E$2/2*(2*J22+($E$2-1)*K22)+$E$2/2*(2*L22+($E$2-1)*M22)</f>
        <v>293193.71727748693</v>
      </c>
      <c r="W22" s="45">
        <f t="shared" si="9"/>
        <v>1</v>
      </c>
      <c r="X22">
        <v>20</v>
      </c>
      <c r="Y22" s="3">
        <v>900</v>
      </c>
      <c r="Z22" s="3">
        <v>5.0499999999999999E+45</v>
      </c>
      <c r="AA22" s="4">
        <v>5.2879581151832458</v>
      </c>
      <c r="AC22" s="18">
        <v>20</v>
      </c>
      <c r="AD22" s="18">
        <v>7000</v>
      </c>
      <c r="AE22" s="18">
        <v>2100</v>
      </c>
      <c r="AF22" s="18">
        <v>7000</v>
      </c>
      <c r="AG22" s="18">
        <v>2100</v>
      </c>
      <c r="AH22" s="18">
        <v>7000</v>
      </c>
      <c r="AI22" s="18">
        <v>2100</v>
      </c>
      <c r="AJ22" s="18">
        <v>7000</v>
      </c>
      <c r="AK22" s="18">
        <v>2100</v>
      </c>
    </row>
    <row r="23" spans="2:56" x14ac:dyDescent="0.3">
      <c r="B23">
        <v>100</v>
      </c>
      <c r="C23" s="36">
        <v>19</v>
      </c>
      <c r="D23" s="36">
        <f t="shared" si="11"/>
        <v>4500</v>
      </c>
      <c r="E23" s="36">
        <f>VLOOKUP(C23,AC21:AK39,3+(D$3*2),0)</f>
        <v>1350</v>
      </c>
      <c r="F23" s="37">
        <f t="shared" si="0"/>
        <v>750000</v>
      </c>
      <c r="G23" s="38">
        <f t="shared" si="1"/>
        <v>250000</v>
      </c>
      <c r="H23" s="46">
        <f t="shared" si="2"/>
        <v>10000</v>
      </c>
      <c r="I23" s="36">
        <v>160</v>
      </c>
      <c r="J23" s="47">
        <f t="shared" si="3"/>
        <v>2982</v>
      </c>
      <c r="K23" s="60">
        <f t="shared" si="4"/>
        <v>7.7185929648241203</v>
      </c>
      <c r="L23" s="45">
        <f>(G23-E23)/$D$2*$D$1</f>
        <v>994.6</v>
      </c>
      <c r="M23" s="60">
        <f t="shared" si="5"/>
        <v>2.5668341708542712</v>
      </c>
      <c r="O23" s="71">
        <v>100</v>
      </c>
      <c r="P23" s="38">
        <f t="shared" si="6"/>
        <v>0.4</v>
      </c>
      <c r="Q23" s="76">
        <f t="shared" si="7"/>
        <v>1.0050251256281408E-3</v>
      </c>
      <c r="R23" s="25">
        <f t="shared" si="8"/>
        <v>8.7779123826471225E-2</v>
      </c>
      <c r="S23" s="36">
        <v>19</v>
      </c>
      <c r="T23" s="45">
        <f>$E$2/2*(2*J23+($E$2-1)*K23)</f>
        <v>750000</v>
      </c>
      <c r="U23" s="45">
        <f>$E$2/2*(2*L23+($E$2-1)*M23)</f>
        <v>250000</v>
      </c>
      <c r="V23" s="45">
        <f>$E$2/2*(2*J23+($E$2-1)*K23)+$E$2/2*(2*L23+($E$2-1)*M23)</f>
        <v>1000000</v>
      </c>
      <c r="W23" s="45">
        <f t="shared" si="9"/>
        <v>1</v>
      </c>
      <c r="X23">
        <v>21</v>
      </c>
      <c r="Y23" s="3">
        <v>901</v>
      </c>
      <c r="Z23" s="3">
        <v>5.2749999999999997E+45</v>
      </c>
      <c r="AA23" s="4">
        <v>5.5235602094240832</v>
      </c>
    </row>
    <row r="24" spans="2:56" x14ac:dyDescent="0.3">
      <c r="B24">
        <v>400</v>
      </c>
      <c r="C24" s="36">
        <v>20</v>
      </c>
      <c r="D24" s="36">
        <f t="shared" si="11"/>
        <v>7000</v>
      </c>
      <c r="E24" s="36">
        <f>VLOOKUP(C24,AC22:AK40,3+(D$3*2),0)</f>
        <v>2100</v>
      </c>
      <c r="F24" s="37">
        <f>H24*F$4*100</f>
        <v>7500000.0000000019</v>
      </c>
      <c r="G24" s="38">
        <f>H24*G$4*100</f>
        <v>2500000.0000000005</v>
      </c>
      <c r="H24" s="46">
        <f>VLOOKUP(I24,X$1:AA$452,4,FALSE)</f>
        <v>100000.00000000001</v>
      </c>
      <c r="I24" s="36">
        <v>200</v>
      </c>
      <c r="J24" s="47">
        <f>(F24-D24)/$D$2*$D$1</f>
        <v>29972.000000000007</v>
      </c>
      <c r="K24" s="60">
        <f>2*(F24-$D$2*J24)/($D$2*$D$2-$D$2)</f>
        <v>75.658291457286438</v>
      </c>
      <c r="L24" s="45">
        <f>(G24-E24)/$D$2*$D$1</f>
        <v>9991.6000000000022</v>
      </c>
      <c r="M24" s="60">
        <f>2*(G24-$D$2*L24)/($D$2*$D$2-$D$2)</f>
        <v>25.210050251256281</v>
      </c>
      <c r="N24" s="27" t="s">
        <v>51</v>
      </c>
      <c r="O24" s="71">
        <v>100</v>
      </c>
      <c r="P24" s="38">
        <f>O24/$D$2*$D$1</f>
        <v>0.4</v>
      </c>
      <c r="Q24" s="76">
        <f>2*(O24-$D$2*P24)/($D$2*$D$2-$D$2)</f>
        <v>1.0050251256281408E-3</v>
      </c>
      <c r="R24" s="25">
        <f>U24/U$28</f>
        <v>0.87779123826471239</v>
      </c>
      <c r="S24" s="36">
        <v>20</v>
      </c>
      <c r="T24" s="45">
        <f>$E$2/2*(2*J24+($E$2-1)*K24)</f>
        <v>7500000.0000000019</v>
      </c>
      <c r="U24" s="45">
        <f>$E$2/2*(2*L24+($E$2-1)*M24)</f>
        <v>2500000.0000000005</v>
      </c>
      <c r="V24" s="45">
        <f>$E$2/2*(2*J24+($E$2-1)*K24)+$E$2/2*(2*L24+($E$2-1)*M24)</f>
        <v>10000000.000000002</v>
      </c>
      <c r="W24" s="45">
        <f>V24/H24/100</f>
        <v>1</v>
      </c>
      <c r="X24">
        <v>22</v>
      </c>
      <c r="Y24" s="3">
        <v>902</v>
      </c>
      <c r="Z24" s="3">
        <v>5.4999999999999995E+45</v>
      </c>
      <c r="AA24" s="4">
        <v>5.7591623036649207</v>
      </c>
    </row>
    <row r="25" spans="2:56" ht="17.25" thickBot="1" x14ac:dyDescent="0.35">
      <c r="E25" s="62">
        <f>SUM(E5:E24)</f>
        <v>6379.1</v>
      </c>
      <c r="F25" s="24">
        <f>SUM(F5:F24)</f>
        <v>8544172.7748691123</v>
      </c>
      <c r="G25" s="15">
        <f>SUM(G5:G24)</f>
        <v>2848057.5916230371</v>
      </c>
      <c r="I25" t="s">
        <v>51</v>
      </c>
      <c r="J25" t="s">
        <v>51</v>
      </c>
      <c r="L25" s="22" t="s">
        <v>51</v>
      </c>
      <c r="S25" s="65">
        <v>21</v>
      </c>
      <c r="T25" s="65">
        <v>0</v>
      </c>
      <c r="U25" s="65">
        <v>0</v>
      </c>
      <c r="V25" s="65">
        <v>0</v>
      </c>
      <c r="W25" s="65">
        <v>0</v>
      </c>
      <c r="X25">
        <v>23</v>
      </c>
      <c r="Y25" s="3">
        <v>903</v>
      </c>
      <c r="Z25" s="3">
        <v>5.7250000000000005E+45</v>
      </c>
      <c r="AA25" s="4">
        <v>5.9947643979057599</v>
      </c>
      <c r="AC25" s="27" t="s">
        <v>4</v>
      </c>
      <c r="AD25" t="s">
        <v>43</v>
      </c>
      <c r="AE25" s="27" t="s">
        <v>72</v>
      </c>
      <c r="AF25" s="27" t="s">
        <v>73</v>
      </c>
      <c r="AG25" s="27" t="s">
        <v>74</v>
      </c>
    </row>
    <row r="26" spans="2:56" x14ac:dyDescent="0.3">
      <c r="S26" s="65">
        <v>22</v>
      </c>
      <c r="T26" s="65">
        <v>0</v>
      </c>
      <c r="U26" s="65">
        <v>0</v>
      </c>
      <c r="V26" s="65">
        <v>0</v>
      </c>
      <c r="W26" s="65">
        <v>0</v>
      </c>
      <c r="X26">
        <v>24</v>
      </c>
      <c r="Y26" s="3">
        <v>904</v>
      </c>
      <c r="Z26" s="3">
        <v>5.950000000000001E+45</v>
      </c>
      <c r="AA26" s="4">
        <v>6.2303664921465982</v>
      </c>
      <c r="AC26" s="29">
        <v>1</v>
      </c>
      <c r="AD26" s="92">
        <v>8.76</v>
      </c>
      <c r="AE26" s="106">
        <v>7.22</v>
      </c>
      <c r="AF26" s="93">
        <v>11</v>
      </c>
      <c r="AG26" s="93">
        <v>1</v>
      </c>
    </row>
    <row r="27" spans="2:56" x14ac:dyDescent="0.3">
      <c r="C27" s="65">
        <v>21</v>
      </c>
      <c r="D27" s="65" t="e">
        <f t="shared" ref="D27:D30" si="12">VLOOKUP(C27,AC$3:AK$22,2+(D$3*2),0)</f>
        <v>#N/A</v>
      </c>
      <c r="E27" s="65" t="e">
        <f>VLOOKUP(C27,AC25:AH43,3+(D$3*2),0)</f>
        <v>#N/A</v>
      </c>
      <c r="F27" s="66">
        <f t="shared" ref="F27:F29" si="13">H27*F$4*100</f>
        <v>75</v>
      </c>
      <c r="G27" s="67">
        <f t="shared" ref="G27:G29" si="14">H27*G$4*100</f>
        <v>25</v>
      </c>
      <c r="H27" s="66">
        <f t="shared" ref="H27:H29" si="15">VLOOKUP(I27,X$1:AA$452,4,FALSE)</f>
        <v>1</v>
      </c>
      <c r="I27" s="65">
        <v>0</v>
      </c>
      <c r="J27" s="68" t="e">
        <f t="shared" ref="J27:J29" si="16">(F27-D27)/$D$2*$D$1</f>
        <v>#N/A</v>
      </c>
      <c r="K27" s="69" t="e">
        <f t="shared" ref="K27:K29" si="17">2*(F27-$D$2*J27)/($D$2*$D$2-$D$2)</f>
        <v>#N/A</v>
      </c>
      <c r="L27" s="70" t="e">
        <f>(G27-E27)/$D$2*$D$1</f>
        <v>#N/A</v>
      </c>
      <c r="M27" s="69" t="e">
        <f t="shared" ref="M27:M29" si="18">2*(G27-$D$2*L27)/($D$2*$D$2-$D$2)</f>
        <v>#N/A</v>
      </c>
      <c r="N27" s="65" t="e">
        <f>(2*L27-2*M27*#REF!)/(#REF!*#REF!-#REF!)</f>
        <v>#N/A</v>
      </c>
      <c r="S27" s="65">
        <v>23</v>
      </c>
      <c r="T27" s="65">
        <v>0</v>
      </c>
      <c r="U27" s="65">
        <v>0</v>
      </c>
      <c r="V27" s="65">
        <v>0</v>
      </c>
      <c r="W27" s="65">
        <v>0</v>
      </c>
      <c r="X27">
        <v>25</v>
      </c>
      <c r="Y27" s="3">
        <v>905</v>
      </c>
      <c r="Z27" s="3">
        <v>6.1750000000000001E+45</v>
      </c>
      <c r="AA27" s="4">
        <v>6.4659685863874348</v>
      </c>
      <c r="AC27" s="29">
        <v>2</v>
      </c>
      <c r="AD27" s="94">
        <v>12.3</v>
      </c>
      <c r="AE27" s="107">
        <v>9.3160000000000007</v>
      </c>
      <c r="AF27" s="95">
        <v>10</v>
      </c>
      <c r="AG27" s="95">
        <v>4</v>
      </c>
    </row>
    <row r="28" spans="2:56" x14ac:dyDescent="0.3">
      <c r="C28" s="65">
        <v>22</v>
      </c>
      <c r="D28" s="65" t="e">
        <f t="shared" si="12"/>
        <v>#N/A</v>
      </c>
      <c r="E28" s="65" t="e">
        <f>VLOOKUP(C28,AC26:AH44,3+(D$3*2),0)</f>
        <v>#N/A</v>
      </c>
      <c r="F28" s="66">
        <f t="shared" si="13"/>
        <v>75</v>
      </c>
      <c r="G28" s="67">
        <f t="shared" si="14"/>
        <v>25</v>
      </c>
      <c r="H28" s="66">
        <f t="shared" si="15"/>
        <v>1</v>
      </c>
      <c r="I28" s="65">
        <v>0</v>
      </c>
      <c r="J28" s="68" t="e">
        <f t="shared" si="16"/>
        <v>#N/A</v>
      </c>
      <c r="K28" s="69" t="e">
        <f t="shared" si="17"/>
        <v>#N/A</v>
      </c>
      <c r="L28" s="70" t="e">
        <f>(G28-E28)/$D$2*$D$1</f>
        <v>#N/A</v>
      </c>
      <c r="M28" s="69" t="e">
        <f t="shared" si="18"/>
        <v>#N/A</v>
      </c>
      <c r="N28" s="65" t="e">
        <f>(2*L28-2*M28*#REF!)/(#REF!*#REF!-#REF!)</f>
        <v>#N/A</v>
      </c>
      <c r="U28" s="26">
        <f>SUM(U5:U27)</f>
        <v>2848057.5916230371</v>
      </c>
      <c r="X28">
        <v>26</v>
      </c>
      <c r="Y28" s="3">
        <v>906</v>
      </c>
      <c r="Z28" s="3">
        <v>6.3999999999999993E+45</v>
      </c>
      <c r="AA28" s="4">
        <v>6.7015706806282713</v>
      </c>
      <c r="AC28" s="29">
        <v>3</v>
      </c>
      <c r="AD28" s="94">
        <v>13.5</v>
      </c>
      <c r="AE28" s="107">
        <v>11.2</v>
      </c>
      <c r="AF28" s="95">
        <v>11</v>
      </c>
      <c r="AG28" s="95">
        <v>7</v>
      </c>
      <c r="AL28" s="113">
        <v>8.76</v>
      </c>
      <c r="AM28">
        <v>12.3</v>
      </c>
      <c r="AN28">
        <v>13.5</v>
      </c>
      <c r="AO28">
        <v>12.4</v>
      </c>
      <c r="AP28">
        <v>11.3</v>
      </c>
      <c r="AQ28">
        <v>10.199999999999999</v>
      </c>
      <c r="AR28">
        <v>9.1</v>
      </c>
      <c r="AS28">
        <v>7.5</v>
      </c>
      <c r="AT28">
        <v>5.4</v>
      </c>
      <c r="AU28">
        <v>3.4</v>
      </c>
      <c r="AV28">
        <v>2.8</v>
      </c>
      <c r="AW28">
        <v>1.9</v>
      </c>
      <c r="AX28">
        <v>0.8</v>
      </c>
      <c r="AY28">
        <v>0.3</v>
      </c>
      <c r="AZ28">
        <v>0.15</v>
      </c>
      <c r="BA28">
        <v>0.12</v>
      </c>
      <c r="BB28">
        <v>0.04</v>
      </c>
      <c r="BC28">
        <v>0.02</v>
      </c>
      <c r="BD28">
        <v>0.01</v>
      </c>
    </row>
    <row r="29" spans="2:56" x14ac:dyDescent="0.3">
      <c r="C29" s="65">
        <v>23</v>
      </c>
      <c r="D29" s="65" t="e">
        <f t="shared" si="12"/>
        <v>#N/A</v>
      </c>
      <c r="E29" s="65" t="e">
        <f>VLOOKUP(C29,AC27:AH45,3+(D$3*2),0)</f>
        <v>#N/A</v>
      </c>
      <c r="F29" s="66">
        <f t="shared" si="13"/>
        <v>75</v>
      </c>
      <c r="G29" s="67">
        <f t="shared" si="14"/>
        <v>25</v>
      </c>
      <c r="H29" s="66">
        <f t="shared" si="15"/>
        <v>1</v>
      </c>
      <c r="I29" s="65">
        <v>0</v>
      </c>
      <c r="J29" s="68" t="e">
        <f t="shared" si="16"/>
        <v>#N/A</v>
      </c>
      <c r="K29" s="69" t="e">
        <f t="shared" si="17"/>
        <v>#N/A</v>
      </c>
      <c r="L29" s="70" t="e">
        <f>(G29-E29)/$D$2*$D$1</f>
        <v>#N/A</v>
      </c>
      <c r="M29" s="69" t="e">
        <f t="shared" si="18"/>
        <v>#N/A</v>
      </c>
      <c r="N29" s="65" t="e">
        <f>(2*L29-2*M29*#REF!)/(#REF!*#REF!-#REF!)</f>
        <v>#N/A</v>
      </c>
      <c r="X29">
        <v>27</v>
      </c>
      <c r="Y29" s="3">
        <v>907</v>
      </c>
      <c r="Z29" s="3">
        <v>6.625000000000001E+45</v>
      </c>
      <c r="AA29" s="4">
        <v>6.9371727748691114</v>
      </c>
      <c r="AC29" s="29">
        <v>4</v>
      </c>
      <c r="AD29" s="94">
        <v>12.4</v>
      </c>
      <c r="AE29" s="107">
        <v>11.2</v>
      </c>
      <c r="AF29" s="95">
        <v>12</v>
      </c>
      <c r="AG29" s="95">
        <v>10</v>
      </c>
    </row>
    <row r="30" spans="2:56" x14ac:dyDescent="0.3">
      <c r="C30" s="65">
        <v>24</v>
      </c>
      <c r="D30" s="65" t="e">
        <f t="shared" si="12"/>
        <v>#N/A</v>
      </c>
      <c r="E30" s="65" t="e">
        <f>VLOOKUP(C30,AC28:AH46,3+(D$3*2),0)</f>
        <v>#N/A</v>
      </c>
      <c r="F30" s="66">
        <f>H30*F$4*100</f>
        <v>75</v>
      </c>
      <c r="G30" s="67">
        <f>H30*G$4*100</f>
        <v>25</v>
      </c>
      <c r="H30" s="66">
        <f>VLOOKUP(I30,X$1:AA$452,4,FALSE)</f>
        <v>1</v>
      </c>
      <c r="I30" s="65">
        <v>0</v>
      </c>
      <c r="J30" s="68" t="e">
        <f>(F30-D30)/$D$2*$D$1</f>
        <v>#N/A</v>
      </c>
      <c r="K30" s="69" t="e">
        <f>2*(F30-$D$2*J30)/($D$2*$D$2-$D$2)</f>
        <v>#N/A</v>
      </c>
      <c r="L30" s="70" t="e">
        <f>(G30-E30)/$D$2*$D$1</f>
        <v>#N/A</v>
      </c>
      <c r="M30" s="69" t="e">
        <f>2*(G30-$D$2*L30)/($D$2*$D$2-$D$2)</f>
        <v>#N/A</v>
      </c>
      <c r="N30" s="65" t="e">
        <f>(2*L30-2*M30*#REF!)/(#REF!*#REF!-#REF!)</f>
        <v>#N/A</v>
      </c>
      <c r="X30">
        <v>28</v>
      </c>
      <c r="Y30" s="3">
        <v>908</v>
      </c>
      <c r="Z30" s="3">
        <v>6.8500000000000002E+45</v>
      </c>
      <c r="AA30" s="4">
        <v>7.172774869109948</v>
      </c>
      <c r="AC30" s="5">
        <v>5</v>
      </c>
      <c r="AD30" s="96">
        <v>11.3</v>
      </c>
      <c r="AE30" s="108">
        <v>11.2</v>
      </c>
      <c r="AF30" s="97">
        <v>12</v>
      </c>
      <c r="AG30" s="97">
        <v>18</v>
      </c>
      <c r="AL30" s="114">
        <v>10</v>
      </c>
      <c r="AM30">
        <v>9</v>
      </c>
      <c r="AN30">
        <v>8.5</v>
      </c>
      <c r="AO30">
        <v>8</v>
      </c>
      <c r="AP30">
        <v>7.5</v>
      </c>
      <c r="AQ30">
        <v>7</v>
      </c>
      <c r="AR30">
        <v>6.5</v>
      </c>
      <c r="AS30">
        <v>6</v>
      </c>
      <c r="AT30">
        <v>5.5</v>
      </c>
      <c r="AU30">
        <v>5</v>
      </c>
      <c r="AV30">
        <v>4.5</v>
      </c>
      <c r="AW30">
        <v>4</v>
      </c>
      <c r="AX30">
        <v>3.5</v>
      </c>
      <c r="AY30">
        <v>3</v>
      </c>
      <c r="AZ30">
        <v>2.5</v>
      </c>
      <c r="BA30">
        <v>2</v>
      </c>
      <c r="BB30">
        <v>1.5</v>
      </c>
      <c r="BC30">
        <v>1</v>
      </c>
      <c r="BD30">
        <v>0.5</v>
      </c>
    </row>
    <row r="31" spans="2:56" x14ac:dyDescent="0.3">
      <c r="Q31" t="s">
        <v>90</v>
      </c>
      <c r="R31">
        <v>20</v>
      </c>
      <c r="V31" t="s">
        <v>91</v>
      </c>
      <c r="X31">
        <v>29</v>
      </c>
      <c r="Y31" s="3">
        <v>909</v>
      </c>
      <c r="Z31" s="3">
        <v>7.0749999999999993E+45</v>
      </c>
      <c r="AA31" s="4">
        <v>7.4083769633507845</v>
      </c>
      <c r="AC31" s="5">
        <v>6</v>
      </c>
      <c r="AD31" s="96">
        <v>10.199999999999999</v>
      </c>
      <c r="AE31" s="108">
        <v>11.2</v>
      </c>
      <c r="AF31" s="97">
        <v>9</v>
      </c>
      <c r="AG31" s="97">
        <v>30</v>
      </c>
    </row>
    <row r="32" spans="2:56" x14ac:dyDescent="0.3">
      <c r="F32" s="24"/>
      <c r="L32" s="22"/>
      <c r="V32" s="45">
        <v>57329.842931937172</v>
      </c>
      <c r="X32">
        <v>30</v>
      </c>
      <c r="Y32" s="3">
        <v>910</v>
      </c>
      <c r="Z32" s="3">
        <v>7.300000000000001E+45</v>
      </c>
      <c r="AA32" s="4">
        <v>7.6439790575916247</v>
      </c>
      <c r="AC32" s="5">
        <v>7</v>
      </c>
      <c r="AD32" s="96">
        <v>9.1</v>
      </c>
      <c r="AE32" s="108">
        <v>10</v>
      </c>
      <c r="AF32" s="97">
        <v>8</v>
      </c>
      <c r="AG32" s="97">
        <v>45</v>
      </c>
      <c r="AM32" s="113">
        <v>8.76</v>
      </c>
    </row>
    <row r="33" spans="1:40" x14ac:dyDescent="0.3">
      <c r="Q33" t="s">
        <v>92</v>
      </c>
      <c r="R33" s="25">
        <f>(R35+R36+R37)</f>
        <v>103480.57591623039</v>
      </c>
      <c r="S33" s="22">
        <f>(V35+W35)/R33/100</f>
        <v>1</v>
      </c>
      <c r="V33" s="45">
        <v>219895.28795811519</v>
      </c>
      <c r="X33">
        <v>31</v>
      </c>
      <c r="Y33" s="3">
        <v>911</v>
      </c>
      <c r="Z33" s="3">
        <v>7.5249999999999989E+45</v>
      </c>
      <c r="AA33" s="4">
        <v>7.8795811518324594</v>
      </c>
      <c r="AC33" s="5">
        <v>8</v>
      </c>
      <c r="AD33" s="96">
        <v>7.5</v>
      </c>
      <c r="AE33" s="108">
        <v>9</v>
      </c>
      <c r="AF33" s="97">
        <v>7</v>
      </c>
      <c r="AG33" s="97">
        <v>72</v>
      </c>
      <c r="AM33">
        <v>12.3</v>
      </c>
      <c r="AN33" s="114">
        <v>10</v>
      </c>
    </row>
    <row r="34" spans="1:40" x14ac:dyDescent="0.3">
      <c r="R34" s="25"/>
      <c r="V34" s="45">
        <v>750000</v>
      </c>
      <c r="X34">
        <v>32</v>
      </c>
      <c r="Y34" s="3">
        <v>912</v>
      </c>
      <c r="Z34" s="3">
        <v>7.7500000000000006E+45</v>
      </c>
      <c r="AA34" s="4">
        <v>8.1151832460732987</v>
      </c>
      <c r="AC34" s="20">
        <v>9</v>
      </c>
      <c r="AD34" s="98">
        <v>5.4</v>
      </c>
      <c r="AE34" s="109">
        <v>7.5</v>
      </c>
      <c r="AF34" s="99">
        <v>6</v>
      </c>
      <c r="AG34" s="99">
        <v>90</v>
      </c>
      <c r="AM34">
        <v>13.5</v>
      </c>
      <c r="AN34">
        <v>9</v>
      </c>
    </row>
    <row r="35" spans="1:40" x14ac:dyDescent="0.3">
      <c r="Q35" t="s">
        <v>87</v>
      </c>
      <c r="R35" s="25">
        <f>VLOOKUP(R31,S5:V27,2,FALSE)/100</f>
        <v>75000.000000000015</v>
      </c>
      <c r="V35" s="45">
        <v>7500000</v>
      </c>
      <c r="W35" s="26">
        <v>2848057.5916230371</v>
      </c>
      <c r="X35">
        <v>33</v>
      </c>
      <c r="Y35" s="3">
        <v>913</v>
      </c>
      <c r="Z35" s="3">
        <v>7.9749999999999998E+45</v>
      </c>
      <c r="AA35" s="4">
        <v>8.3507853403141361</v>
      </c>
      <c r="AC35" s="20">
        <v>10</v>
      </c>
      <c r="AD35" s="98">
        <v>3.4</v>
      </c>
      <c r="AE35" s="109">
        <v>5.5</v>
      </c>
      <c r="AF35" s="99">
        <v>5</v>
      </c>
      <c r="AG35" s="99">
        <v>150</v>
      </c>
      <c r="AM35">
        <v>12.4</v>
      </c>
      <c r="AN35">
        <v>8.5</v>
      </c>
    </row>
    <row r="36" spans="1:40" x14ac:dyDescent="0.3">
      <c r="H36" s="143"/>
      <c r="I36" s="145" t="s">
        <v>59</v>
      </c>
      <c r="J36" s="143" t="s">
        <v>97</v>
      </c>
      <c r="K36" s="144" t="s">
        <v>98</v>
      </c>
      <c r="L36" s="144" t="s">
        <v>99</v>
      </c>
      <c r="Q36" t="s">
        <v>88</v>
      </c>
      <c r="R36" s="25">
        <f>U28/100</f>
        <v>28480.575916230373</v>
      </c>
      <c r="X36">
        <v>34</v>
      </c>
      <c r="Y36" s="3">
        <v>914</v>
      </c>
      <c r="Z36" s="3">
        <v>8.199999999999999E+45</v>
      </c>
      <c r="AA36" s="4">
        <v>8.5863874345549736</v>
      </c>
      <c r="AC36" s="20">
        <v>11</v>
      </c>
      <c r="AD36" s="98">
        <v>2.8</v>
      </c>
      <c r="AE36" s="109">
        <v>3.3</v>
      </c>
      <c r="AF36" s="99">
        <v>4</v>
      </c>
      <c r="AG36" s="99">
        <v>200</v>
      </c>
      <c r="AM36">
        <v>11.3</v>
      </c>
      <c r="AN36">
        <v>8</v>
      </c>
    </row>
    <row r="37" spans="1:40" x14ac:dyDescent="0.3">
      <c r="H37" s="143" t="s">
        <v>95</v>
      </c>
      <c r="I37" s="146">
        <v>68000</v>
      </c>
      <c r="J37" s="147" cm="1">
        <f t="array" ref="J37">VLOOKUP(MATCH(MIN(ABS(소환횟수!D1:D1000 - I37)), ABS(소환횟수!D1:D1000 - I37), 0),소환횟수!A1:D1000,3,1)</f>
        <v>272</v>
      </c>
      <c r="K37" s="148">
        <f>I37/R$47</f>
        <v>59000</v>
      </c>
      <c r="L37" s="149">
        <f>I37/R$49</f>
        <v>12157.575757575758</v>
      </c>
      <c r="Q37" t="s">
        <v>89</v>
      </c>
      <c r="X37">
        <v>35</v>
      </c>
      <c r="Y37" s="3">
        <v>915</v>
      </c>
      <c r="Z37" s="3">
        <v>8.4250000000000007E+45</v>
      </c>
      <c r="AA37" s="4">
        <v>8.8219895287958128</v>
      </c>
      <c r="AC37" s="20">
        <v>12</v>
      </c>
      <c r="AD37" s="98">
        <v>1.9</v>
      </c>
      <c r="AE37" s="109">
        <v>2.04</v>
      </c>
      <c r="AF37" s="99">
        <v>3</v>
      </c>
      <c r="AG37" s="99">
        <v>300</v>
      </c>
      <c r="AM37">
        <v>10.199999999999999</v>
      </c>
      <c r="AN37">
        <v>7.5</v>
      </c>
    </row>
    <row r="38" spans="1:40" x14ac:dyDescent="0.3">
      <c r="H38" s="143"/>
      <c r="I38" s="140"/>
      <c r="J38" s="138"/>
      <c r="K38" s="141" t="s">
        <v>51</v>
      </c>
      <c r="L38" s="142" t="s">
        <v>51</v>
      </c>
      <c r="X38">
        <v>36</v>
      </c>
      <c r="Y38" s="3">
        <v>916</v>
      </c>
      <c r="Z38" s="3">
        <v>8.6499999999999999E+45</v>
      </c>
      <c r="AA38" s="4">
        <v>9.0575916230366502</v>
      </c>
      <c r="AC38" s="19">
        <v>13</v>
      </c>
      <c r="AD38" s="100">
        <v>0.8</v>
      </c>
      <c r="AE38" s="110">
        <v>0.76500000000000001</v>
      </c>
      <c r="AF38" s="101">
        <v>1</v>
      </c>
      <c r="AG38" s="101">
        <v>450</v>
      </c>
      <c r="AM38">
        <v>9.1</v>
      </c>
      <c r="AN38">
        <v>7</v>
      </c>
    </row>
    <row r="39" spans="1:40" x14ac:dyDescent="0.3">
      <c r="H39" s="143" t="s">
        <v>96</v>
      </c>
      <c r="I39" s="146">
        <v>100000</v>
      </c>
      <c r="J39" s="147">
        <f>I39/(I44/2)</f>
        <v>666.66666666666663</v>
      </c>
      <c r="K39" s="148">
        <f>I39/R$47</f>
        <v>86764.705882352937</v>
      </c>
      <c r="L39" s="149">
        <f>I39/R$49</f>
        <v>17878.78787878788</v>
      </c>
      <c r="X39">
        <v>37</v>
      </c>
      <c r="Y39" s="3">
        <v>917</v>
      </c>
      <c r="Z39" s="3">
        <v>8.874999999999999E+45</v>
      </c>
      <c r="AA39" s="4">
        <v>9.2931937172774859</v>
      </c>
      <c r="AC39" s="19">
        <v>14</v>
      </c>
      <c r="AD39" s="100">
        <v>0.3</v>
      </c>
      <c r="AE39" s="110">
        <v>0.254</v>
      </c>
      <c r="AF39" s="101">
        <v>0.7</v>
      </c>
      <c r="AG39" s="101">
        <v>800</v>
      </c>
      <c r="AM39">
        <v>7.5</v>
      </c>
      <c r="AN39">
        <v>6.5</v>
      </c>
    </row>
    <row r="40" spans="1:40" x14ac:dyDescent="0.3">
      <c r="X40">
        <v>38</v>
      </c>
      <c r="Y40" s="3">
        <v>918</v>
      </c>
      <c r="Z40" s="3">
        <v>9.0999999999999982E+45</v>
      </c>
      <c r="AA40" s="4">
        <v>9.5287958115183233</v>
      </c>
      <c r="AC40" s="19">
        <v>15</v>
      </c>
      <c r="AD40" s="100">
        <v>0.15</v>
      </c>
      <c r="AE40" s="110">
        <v>0.16</v>
      </c>
      <c r="AF40" s="101">
        <v>0.5</v>
      </c>
      <c r="AG40" s="101">
        <v>1100</v>
      </c>
      <c r="AM40">
        <v>5.4</v>
      </c>
      <c r="AN40">
        <v>6</v>
      </c>
    </row>
    <row r="41" spans="1:40" x14ac:dyDescent="0.3">
      <c r="X41">
        <v>39</v>
      </c>
      <c r="Y41" s="3">
        <v>919</v>
      </c>
      <c r="Z41" s="3">
        <v>9.3249999999999986E+45</v>
      </c>
      <c r="AA41" s="4">
        <v>9.7643979057591608</v>
      </c>
      <c r="AC41" s="19">
        <v>16</v>
      </c>
      <c r="AD41" s="100">
        <v>0.12</v>
      </c>
      <c r="AE41" s="110">
        <v>0.11</v>
      </c>
      <c r="AF41" s="101">
        <v>0.1</v>
      </c>
      <c r="AG41" s="101">
        <v>1500</v>
      </c>
      <c r="AM41">
        <v>3.4</v>
      </c>
      <c r="AN41">
        <v>5.5</v>
      </c>
    </row>
    <row r="42" spans="1:40" x14ac:dyDescent="0.3">
      <c r="K42" s="12"/>
      <c r="L42" s="14"/>
      <c r="X42">
        <v>40</v>
      </c>
      <c r="Y42" s="3">
        <v>920</v>
      </c>
      <c r="Z42" s="3">
        <v>9.5500000000000003E+45</v>
      </c>
      <c r="AA42" s="4">
        <v>10</v>
      </c>
      <c r="AC42" s="18">
        <v>17</v>
      </c>
      <c r="AD42" s="102">
        <v>0.04</v>
      </c>
      <c r="AE42" s="111">
        <v>0.02</v>
      </c>
      <c r="AF42" s="103">
        <v>0.03</v>
      </c>
      <c r="AG42" s="103">
        <v>2000</v>
      </c>
      <c r="AM42">
        <v>2.8</v>
      </c>
      <c r="AN42">
        <v>5</v>
      </c>
    </row>
    <row r="43" spans="1:40" x14ac:dyDescent="0.3">
      <c r="H43" s="152" t="s">
        <v>110</v>
      </c>
      <c r="I43" s="152" t="s">
        <v>111</v>
      </c>
      <c r="J43" s="152" t="s">
        <v>59</v>
      </c>
      <c r="K43" s="152" t="s">
        <v>98</v>
      </c>
      <c r="L43" s="152" t="s">
        <v>99</v>
      </c>
      <c r="X43">
        <v>41</v>
      </c>
      <c r="Y43" s="3">
        <v>921</v>
      </c>
      <c r="Z43" s="3">
        <v>9.7749999999999995E+45</v>
      </c>
      <c r="AA43" s="4">
        <v>10.235602094240837</v>
      </c>
      <c r="AC43" s="18">
        <v>18</v>
      </c>
      <c r="AD43" s="102">
        <v>0.02</v>
      </c>
      <c r="AE43" s="111">
        <v>0.01</v>
      </c>
      <c r="AF43" s="103">
        <v>0.02</v>
      </c>
      <c r="AG43" s="103">
        <v>3000</v>
      </c>
      <c r="AM43">
        <v>1.9</v>
      </c>
      <c r="AN43">
        <v>4.5</v>
      </c>
    </row>
    <row r="44" spans="1:40" x14ac:dyDescent="0.3">
      <c r="A44" t="s">
        <v>93</v>
      </c>
      <c r="B44" s="30">
        <v>1</v>
      </c>
      <c r="H44" s="152">
        <v>6000</v>
      </c>
      <c r="I44" s="152">
        <v>300</v>
      </c>
      <c r="J44" s="153">
        <f>H44*I44</f>
        <v>1800000</v>
      </c>
      <c r="K44" s="154">
        <f>J44/R47</f>
        <v>1561764.7058823528</v>
      </c>
      <c r="L44" s="154">
        <f>J44/R49</f>
        <v>321818.18181818182</v>
      </c>
      <c r="X44">
        <v>42</v>
      </c>
      <c r="Y44" s="3">
        <v>922</v>
      </c>
      <c r="Z44" s="3">
        <v>9.9999999999999999E+45</v>
      </c>
      <c r="AA44" s="4">
        <v>10.471204188481675</v>
      </c>
      <c r="AC44" s="18">
        <v>19</v>
      </c>
      <c r="AD44" s="102">
        <v>0.01</v>
      </c>
      <c r="AE44" s="111">
        <v>5.0000000000000001E-3</v>
      </c>
      <c r="AF44" s="103">
        <v>0.01</v>
      </c>
      <c r="AG44" s="103">
        <v>4500</v>
      </c>
      <c r="AM44">
        <v>0.8</v>
      </c>
      <c r="AN44">
        <v>4</v>
      </c>
    </row>
    <row r="45" spans="1:40" ht="33.75" thickBot="1" x14ac:dyDescent="0.35">
      <c r="B45" s="7" t="s">
        <v>46</v>
      </c>
      <c r="C45" s="7" t="s">
        <v>47</v>
      </c>
      <c r="D45" s="7" t="s">
        <v>48</v>
      </c>
      <c r="E45" s="39" t="s">
        <v>49</v>
      </c>
      <c r="F45" s="39"/>
      <c r="G45" s="7" t="s">
        <v>50</v>
      </c>
      <c r="H45" s="7" t="s">
        <v>51</v>
      </c>
      <c r="I45" s="7" t="s">
        <v>107</v>
      </c>
      <c r="J45" s="7" t="s">
        <v>108</v>
      </c>
      <c r="K45" s="7" t="s">
        <v>51</v>
      </c>
      <c r="L45" s="7" t="s">
        <v>109</v>
      </c>
      <c r="M45" s="7" t="s">
        <v>112</v>
      </c>
      <c r="N45" s="7" t="s">
        <v>113</v>
      </c>
      <c r="O45" t="s">
        <v>51</v>
      </c>
      <c r="X45">
        <v>43</v>
      </c>
      <c r="Y45" s="3">
        <v>923</v>
      </c>
      <c r="Z45" s="3">
        <v>1.2250000000000002E+46</v>
      </c>
      <c r="AA45" s="4">
        <v>12.827225130890055</v>
      </c>
      <c r="AC45" s="18">
        <v>20</v>
      </c>
      <c r="AD45" s="104">
        <v>0</v>
      </c>
      <c r="AE45" s="112">
        <v>0</v>
      </c>
      <c r="AF45" s="105">
        <v>0</v>
      </c>
      <c r="AG45" s="105">
        <v>0</v>
      </c>
      <c r="AM45">
        <v>0.3</v>
      </c>
      <c r="AN45">
        <v>3.5</v>
      </c>
    </row>
    <row r="46" spans="1:40" x14ac:dyDescent="0.3">
      <c r="B46" s="115">
        <v>1</v>
      </c>
      <c r="C46" s="115">
        <f>D46*100</f>
        <v>7.22</v>
      </c>
      <c r="D46" s="115">
        <f>VLOOKUP(B46,AC$25:AG$45,2+B$44,FALSE)/100</f>
        <v>7.22E-2</v>
      </c>
      <c r="E46" s="116">
        <v>1</v>
      </c>
      <c r="F46" s="116"/>
      <c r="G46" s="115">
        <f>D46*E46</f>
        <v>7.22E-2</v>
      </c>
      <c r="H46" s="117">
        <f>D46*H$44</f>
        <v>433.2</v>
      </c>
      <c r="I46" s="29">
        <f>H46*E46</f>
        <v>433.2</v>
      </c>
      <c r="J46" s="29">
        <f>E46*H46</f>
        <v>433.2</v>
      </c>
      <c r="K46" s="29">
        <f t="shared" ref="K46:K63" si="19">E46*H46</f>
        <v>433.2</v>
      </c>
      <c r="L46" s="155">
        <v>1</v>
      </c>
      <c r="M46" s="158">
        <f>E46/G$66</f>
        <v>2.8792412924703598E-9</v>
      </c>
      <c r="N46" s="156">
        <v>0</v>
      </c>
      <c r="P46" s="63" t="s">
        <v>94</v>
      </c>
      <c r="Q46" s="63">
        <v>59000</v>
      </c>
      <c r="R46" s="63" t="s">
        <v>43</v>
      </c>
      <c r="X46">
        <v>44</v>
      </c>
      <c r="Y46" s="3">
        <v>924</v>
      </c>
      <c r="Z46" s="3">
        <v>1.4499999999999999E+46</v>
      </c>
      <c r="AA46" s="4">
        <v>15.183246073298429</v>
      </c>
      <c r="AC46" s="82">
        <v>21</v>
      </c>
      <c r="AD46" s="82">
        <v>0</v>
      </c>
      <c r="AE46" s="82">
        <v>0</v>
      </c>
      <c r="AF46" s="82">
        <v>0</v>
      </c>
      <c r="AG46" s="82">
        <v>0</v>
      </c>
      <c r="AM46">
        <v>0.15</v>
      </c>
      <c r="AN46">
        <v>3</v>
      </c>
    </row>
    <row r="47" spans="1:40" x14ac:dyDescent="0.3">
      <c r="B47" s="115">
        <v>2</v>
      </c>
      <c r="C47" s="115">
        <f t="shared" ref="C47:C65" si="20">D47*100</f>
        <v>9.3160000000000007</v>
      </c>
      <c r="D47" s="115">
        <f>VLOOKUP(B47,AC$25:AG$45,2+B$44,FALSE)/100</f>
        <v>9.3160000000000007E-2</v>
      </c>
      <c r="E47" s="116">
        <v>5</v>
      </c>
      <c r="F47" s="116"/>
      <c r="G47" s="115">
        <f t="shared" ref="G47:G65" si="21">D47*E47</f>
        <v>0.46580000000000005</v>
      </c>
      <c r="H47" s="117">
        <f>D47*H$44</f>
        <v>558.96</v>
      </c>
      <c r="I47" s="29">
        <f t="shared" ref="I47:I65" si="22">H47*E47</f>
        <v>2794.8</v>
      </c>
      <c r="J47" s="29">
        <f t="shared" ref="J47:J64" si="23">E47*H47</f>
        <v>2794.8</v>
      </c>
      <c r="K47" s="29">
        <f t="shared" si="19"/>
        <v>2794.8</v>
      </c>
      <c r="L47" s="155">
        <v>2</v>
      </c>
      <c r="M47" s="158">
        <f t="shared" ref="M47:M64" si="24">E47/G$66</f>
        <v>1.4396206462351799E-8</v>
      </c>
      <c r="N47" s="156">
        <v>0</v>
      </c>
      <c r="P47" s="63" t="s">
        <v>59</v>
      </c>
      <c r="Q47" s="63">
        <v>68000</v>
      </c>
      <c r="R47" s="63">
        <f>Q47/Q46</f>
        <v>1.152542372881356</v>
      </c>
      <c r="X47">
        <v>45</v>
      </c>
      <c r="Y47" s="3">
        <v>925</v>
      </c>
      <c r="Z47" s="3">
        <v>1.675E+46</v>
      </c>
      <c r="AA47" s="4">
        <v>17.539267015706809</v>
      </c>
      <c r="AC47" s="82">
        <v>22</v>
      </c>
      <c r="AD47" s="82">
        <v>0</v>
      </c>
      <c r="AE47" s="82">
        <v>0</v>
      </c>
      <c r="AF47" s="82">
        <v>0</v>
      </c>
      <c r="AG47" s="82">
        <v>0</v>
      </c>
      <c r="AM47">
        <v>0.12</v>
      </c>
      <c r="AN47">
        <v>2.5</v>
      </c>
    </row>
    <row r="48" spans="1:40" x14ac:dyDescent="0.3">
      <c r="B48" s="115">
        <v>3</v>
      </c>
      <c r="C48" s="115">
        <f t="shared" si="20"/>
        <v>11.2</v>
      </c>
      <c r="D48" s="115">
        <f>VLOOKUP(B48,AC$25:AG$45,2+B$44,FALSE)/100</f>
        <v>0.11199999999999999</v>
      </c>
      <c r="E48" s="116">
        <v>25</v>
      </c>
      <c r="F48" s="116"/>
      <c r="G48" s="115">
        <f t="shared" si="21"/>
        <v>2.8</v>
      </c>
      <c r="H48" s="117">
        <f>D48*H$44</f>
        <v>671.99999999999989</v>
      </c>
      <c r="I48" s="29">
        <f t="shared" si="22"/>
        <v>16799.999999999996</v>
      </c>
      <c r="J48" s="29">
        <f t="shared" si="23"/>
        <v>16799.999999999996</v>
      </c>
      <c r="K48" s="29">
        <f t="shared" si="19"/>
        <v>16799.999999999996</v>
      </c>
      <c r="L48" s="155">
        <v>3</v>
      </c>
      <c r="M48" s="158">
        <f t="shared" si="24"/>
        <v>7.1981032311758998E-8</v>
      </c>
      <c r="N48" s="156">
        <v>0</v>
      </c>
      <c r="P48" s="63" t="s">
        <v>94</v>
      </c>
      <c r="Q48" s="63">
        <v>59000</v>
      </c>
      <c r="R48" s="63" t="s">
        <v>44</v>
      </c>
      <c r="W48">
        <v>2</v>
      </c>
      <c r="X48">
        <v>46</v>
      </c>
      <c r="Y48" s="3">
        <v>926</v>
      </c>
      <c r="Z48" s="3">
        <v>1.9000000000000002E+46</v>
      </c>
      <c r="AA48" s="4">
        <v>19.895287958115187</v>
      </c>
      <c r="AD48">
        <f>SUM(AD26:AD47)</f>
        <v>100.00000000000003</v>
      </c>
      <c r="AE48">
        <f>SUM(AE26:AE47)</f>
        <v>100</v>
      </c>
      <c r="AF48">
        <f t="shared" ref="AF48:AG48" si="25">SUM(AF26:AF47)</f>
        <v>100.36</v>
      </c>
      <c r="AG48">
        <f t="shared" si="25"/>
        <v>14277</v>
      </c>
      <c r="AM48">
        <v>0.04</v>
      </c>
      <c r="AN48">
        <v>2</v>
      </c>
    </row>
    <row r="49" spans="2:40" x14ac:dyDescent="0.3">
      <c r="B49" s="115">
        <v>4</v>
      </c>
      <c r="C49" s="115">
        <f t="shared" si="20"/>
        <v>11.2</v>
      </c>
      <c r="D49" s="115">
        <f>VLOOKUP(B49,AC$25:AG$45,2+B$44,FALSE)/100</f>
        <v>0.11199999999999999</v>
      </c>
      <c r="E49" s="116">
        <v>125</v>
      </c>
      <c r="F49" s="116"/>
      <c r="G49" s="115">
        <f t="shared" si="21"/>
        <v>13.999999999999998</v>
      </c>
      <c r="H49" s="117">
        <f>D49*H$44</f>
        <v>671.99999999999989</v>
      </c>
      <c r="I49" s="29">
        <f t="shared" si="22"/>
        <v>83999.999999999985</v>
      </c>
      <c r="J49" s="29">
        <f t="shared" si="23"/>
        <v>83999.999999999985</v>
      </c>
      <c r="K49" s="29">
        <f t="shared" si="19"/>
        <v>83999.999999999985</v>
      </c>
      <c r="L49" s="155">
        <v>4</v>
      </c>
      <c r="M49" s="158">
        <f t="shared" si="24"/>
        <v>3.5990516155879501E-7</v>
      </c>
      <c r="N49" s="156">
        <v>0</v>
      </c>
      <c r="P49" s="63" t="s">
        <v>59</v>
      </c>
      <c r="Q49" s="63">
        <v>330000</v>
      </c>
      <c r="R49" s="63">
        <f>Q49/Q48</f>
        <v>5.593220338983051</v>
      </c>
      <c r="W49">
        <v>10</v>
      </c>
      <c r="X49">
        <v>47</v>
      </c>
      <c r="Y49" s="3">
        <v>927</v>
      </c>
      <c r="Z49" s="3">
        <v>2.1249999999999999E+46</v>
      </c>
      <c r="AA49" s="4">
        <v>22.251308900523561</v>
      </c>
      <c r="AE49">
        <f>AD48-AE48</f>
        <v>0</v>
      </c>
      <c r="AF49">
        <f t="shared" ref="AF49:AG49" si="26">AE48-AF48</f>
        <v>-0.35999999999999943</v>
      </c>
      <c r="AG49">
        <f t="shared" si="26"/>
        <v>-14176.64</v>
      </c>
      <c r="AM49">
        <v>0.02</v>
      </c>
      <c r="AN49">
        <v>1.5</v>
      </c>
    </row>
    <row r="50" spans="2:40" x14ac:dyDescent="0.3">
      <c r="B50" s="118">
        <v>5</v>
      </c>
      <c r="C50" s="118">
        <f t="shared" si="20"/>
        <v>11.2</v>
      </c>
      <c r="D50" s="118">
        <f>VLOOKUP(B50,AC$25:AG$45,2+B$44,FALSE)/100</f>
        <v>0.11199999999999999</v>
      </c>
      <c r="E50" s="119">
        <v>625</v>
      </c>
      <c r="F50" s="119"/>
      <c r="G50" s="118">
        <f t="shared" si="21"/>
        <v>69.999999999999986</v>
      </c>
      <c r="H50" s="120">
        <f>D50*H$44</f>
        <v>671.99999999999989</v>
      </c>
      <c r="I50" s="81">
        <f t="shared" si="22"/>
        <v>419999.99999999994</v>
      </c>
      <c r="J50" s="81">
        <f t="shared" si="23"/>
        <v>419999.99999999994</v>
      </c>
      <c r="K50" s="81">
        <f t="shared" si="19"/>
        <v>419999.99999999994</v>
      </c>
      <c r="L50" s="155">
        <v>5</v>
      </c>
      <c r="M50" s="158">
        <f t="shared" si="24"/>
        <v>1.799525807793975E-6</v>
      </c>
      <c r="N50" s="156">
        <v>0</v>
      </c>
      <c r="X50">
        <v>48</v>
      </c>
      <c r="Y50" s="3">
        <v>928</v>
      </c>
      <c r="Z50" s="3">
        <v>2.3500000000000003E+46</v>
      </c>
      <c r="AA50" s="4">
        <v>24.607329842931943</v>
      </c>
      <c r="AM50">
        <v>0.01</v>
      </c>
      <c r="AN50">
        <v>1</v>
      </c>
    </row>
    <row r="51" spans="2:40" x14ac:dyDescent="0.3">
      <c r="B51" s="118">
        <v>6</v>
      </c>
      <c r="C51" s="118">
        <f t="shared" si="20"/>
        <v>11.2</v>
      </c>
      <c r="D51" s="118">
        <f>VLOOKUP(B51,AC$25:AG$45,2+B$44,FALSE)/100</f>
        <v>0.11199999999999999</v>
      </c>
      <c r="E51" s="119">
        <v>3125</v>
      </c>
      <c r="F51" s="119"/>
      <c r="G51" s="118">
        <f t="shared" si="21"/>
        <v>349.99999999999994</v>
      </c>
      <c r="H51" s="120">
        <f>D51*H$44</f>
        <v>671.99999999999989</v>
      </c>
      <c r="I51" s="81">
        <f t="shared" si="22"/>
        <v>2099999.9999999995</v>
      </c>
      <c r="J51" s="81">
        <f t="shared" si="23"/>
        <v>2099999.9999999995</v>
      </c>
      <c r="K51" s="81">
        <f t="shared" si="19"/>
        <v>2099999.9999999995</v>
      </c>
      <c r="L51" s="155">
        <v>6</v>
      </c>
      <c r="M51" s="158">
        <f t="shared" si="24"/>
        <v>8.9976290389698745E-6</v>
      </c>
      <c r="N51" s="156">
        <v>0</v>
      </c>
      <c r="P51" s="150" t="s">
        <v>43</v>
      </c>
      <c r="Q51" s="63" t="s">
        <v>60</v>
      </c>
      <c r="R51" s="151">
        <v>50000</v>
      </c>
      <c r="S51" s="151">
        <f>R51*R47</f>
        <v>57627.118644067799</v>
      </c>
      <c r="W51">
        <v>25</v>
      </c>
      <c r="X51">
        <v>49</v>
      </c>
      <c r="Y51" s="3">
        <v>929</v>
      </c>
      <c r="Z51" s="3">
        <v>2.5749999999999997E+46</v>
      </c>
      <c r="AA51" s="4">
        <v>26.963350785340314</v>
      </c>
      <c r="AN51">
        <v>0.5</v>
      </c>
    </row>
    <row r="52" spans="2:40" x14ac:dyDescent="0.3">
      <c r="B52" s="118">
        <v>7</v>
      </c>
      <c r="C52" s="118">
        <f t="shared" si="20"/>
        <v>10</v>
      </c>
      <c r="D52" s="118">
        <f>VLOOKUP(B52,AC$25:AG$45,2+B$44,FALSE)/100</f>
        <v>0.1</v>
      </c>
      <c r="E52" s="119">
        <v>15625</v>
      </c>
      <c r="F52" s="119"/>
      <c r="G52" s="121">
        <f t="shared" si="21"/>
        <v>1562.5</v>
      </c>
      <c r="H52" s="120">
        <f>D52*H$44</f>
        <v>600</v>
      </c>
      <c r="I52" s="81">
        <f t="shared" si="22"/>
        <v>9375000</v>
      </c>
      <c r="J52" s="81">
        <f t="shared" si="23"/>
        <v>9375000</v>
      </c>
      <c r="K52" s="81">
        <f t="shared" si="19"/>
        <v>9375000</v>
      </c>
      <c r="L52" s="155">
        <v>7</v>
      </c>
      <c r="M52" s="158">
        <f t="shared" si="24"/>
        <v>4.4988145194849372E-5</v>
      </c>
      <c r="N52" s="156">
        <v>0</v>
      </c>
      <c r="P52" s="150"/>
      <c r="Q52" s="63" t="s">
        <v>59</v>
      </c>
      <c r="R52" s="151">
        <v>100000</v>
      </c>
      <c r="S52" s="151">
        <f>R52/R47</f>
        <v>86764.705882352937</v>
      </c>
      <c r="W52">
        <v>50</v>
      </c>
      <c r="X52">
        <v>50</v>
      </c>
      <c r="Y52" s="3">
        <v>930</v>
      </c>
      <c r="Z52" s="3">
        <v>2.8000000000000002E+46</v>
      </c>
      <c r="AA52" s="4">
        <v>29.319371727748695</v>
      </c>
      <c r="AN52">
        <f>SUM(AN33:AN51)</f>
        <v>95.5</v>
      </c>
    </row>
    <row r="53" spans="2:40" x14ac:dyDescent="0.3">
      <c r="B53" s="118">
        <v>8</v>
      </c>
      <c r="C53" s="118">
        <f t="shared" si="20"/>
        <v>9</v>
      </c>
      <c r="D53" s="118">
        <f>VLOOKUP(B53,AC$25:AG$45,2+B$44,FALSE)/100</f>
        <v>0.09</v>
      </c>
      <c r="E53" s="119">
        <v>78125</v>
      </c>
      <c r="F53" s="119"/>
      <c r="G53" s="121">
        <f t="shared" si="21"/>
        <v>7031.25</v>
      </c>
      <c r="H53" s="120">
        <f>D53*H$44</f>
        <v>540</v>
      </c>
      <c r="I53" s="81">
        <f t="shared" si="22"/>
        <v>42187500</v>
      </c>
      <c r="J53" s="81">
        <f t="shared" si="23"/>
        <v>42187500</v>
      </c>
      <c r="K53" s="81">
        <f t="shared" si="19"/>
        <v>42187500</v>
      </c>
      <c r="L53" s="155">
        <v>8</v>
      </c>
      <c r="M53" s="158">
        <f t="shared" si="24"/>
        <v>2.2494072597424686E-4</v>
      </c>
      <c r="N53" s="156">
        <v>0</v>
      </c>
      <c r="P53" s="150" t="s">
        <v>44</v>
      </c>
      <c r="Q53" s="63" t="s">
        <v>60</v>
      </c>
      <c r="R53" s="151">
        <v>50000</v>
      </c>
      <c r="S53" s="151">
        <f>R53*R49</f>
        <v>279661.01694915257</v>
      </c>
      <c r="W53">
        <v>100</v>
      </c>
      <c r="X53">
        <v>51</v>
      </c>
      <c r="Y53" s="3">
        <v>931</v>
      </c>
      <c r="Z53" s="3">
        <v>3.0250000000000001E+46</v>
      </c>
      <c r="AA53" s="4">
        <v>31.67539267015707</v>
      </c>
    </row>
    <row r="54" spans="2:40" x14ac:dyDescent="0.3">
      <c r="B54" s="132">
        <v>9</v>
      </c>
      <c r="C54" s="132">
        <f t="shared" si="20"/>
        <v>7.5</v>
      </c>
      <c r="D54" s="132">
        <f>VLOOKUP(B54,AC$25:AG$45,2+B$44,FALSE)/100</f>
        <v>7.4999999999999997E-2</v>
      </c>
      <c r="E54" s="133">
        <v>390625</v>
      </c>
      <c r="F54" s="133"/>
      <c r="G54" s="134">
        <f t="shared" si="21"/>
        <v>29296.875</v>
      </c>
      <c r="H54" s="135">
        <f>D54*H$44</f>
        <v>450</v>
      </c>
      <c r="I54" s="20">
        <f t="shared" si="22"/>
        <v>175781250</v>
      </c>
      <c r="J54" s="20">
        <f t="shared" si="23"/>
        <v>175781250</v>
      </c>
      <c r="K54" s="20">
        <f t="shared" si="19"/>
        <v>175781250</v>
      </c>
      <c r="L54" s="155">
        <v>9</v>
      </c>
      <c r="M54" s="158">
        <f t="shared" si="24"/>
        <v>1.1247036298712343E-3</v>
      </c>
      <c r="N54" s="156">
        <v>0</v>
      </c>
      <c r="P54" s="150"/>
      <c r="Q54" s="63" t="s">
        <v>59</v>
      </c>
      <c r="R54" s="151">
        <v>100000</v>
      </c>
      <c r="S54" s="151">
        <f>R54/R49</f>
        <v>17878.78787878788</v>
      </c>
      <c r="W54">
        <v>400</v>
      </c>
      <c r="X54">
        <v>52</v>
      </c>
      <c r="Y54" s="3">
        <v>932</v>
      </c>
      <c r="Z54" s="3">
        <v>3.2499999999999995E+46</v>
      </c>
      <c r="AA54" s="4">
        <v>34.031413612565444</v>
      </c>
    </row>
    <row r="55" spans="2:40" x14ac:dyDescent="0.3">
      <c r="B55" s="132">
        <v>10</v>
      </c>
      <c r="C55" s="132">
        <f t="shared" si="20"/>
        <v>5.5</v>
      </c>
      <c r="D55" s="132">
        <f>VLOOKUP(B55,AC$25:AG$45,2+B$44,FALSE)/100</f>
        <v>5.5E-2</v>
      </c>
      <c r="E55" s="136">
        <v>1953125</v>
      </c>
      <c r="F55" s="136"/>
      <c r="G55" s="134">
        <f t="shared" si="21"/>
        <v>107421.875</v>
      </c>
      <c r="H55" s="135">
        <f>D55*H$44</f>
        <v>330</v>
      </c>
      <c r="I55" s="20">
        <f t="shared" si="22"/>
        <v>644531250</v>
      </c>
      <c r="J55" s="20">
        <f t="shared" si="23"/>
        <v>644531250</v>
      </c>
      <c r="K55" s="20">
        <f t="shared" si="19"/>
        <v>644531250</v>
      </c>
      <c r="L55" s="155">
        <v>10</v>
      </c>
      <c r="M55" s="158">
        <f t="shared" si="24"/>
        <v>5.6235181493561716E-3</v>
      </c>
      <c r="N55" s="156">
        <v>0</v>
      </c>
      <c r="X55">
        <v>53</v>
      </c>
      <c r="Y55" s="3">
        <v>933</v>
      </c>
      <c r="Z55" s="3">
        <v>3.475E+46</v>
      </c>
      <c r="AA55" s="4">
        <v>36.387434554973822</v>
      </c>
      <c r="AC55" t="s">
        <v>69</v>
      </c>
    </row>
    <row r="56" spans="2:40" x14ac:dyDescent="0.3">
      <c r="B56" s="132">
        <v>11</v>
      </c>
      <c r="C56" s="132">
        <f t="shared" si="20"/>
        <v>3.3000000000000003</v>
      </c>
      <c r="D56" s="132">
        <f>VLOOKUP(B56,AC$25:AG$45,2+B$44,FALSE)/100</f>
        <v>3.3000000000000002E-2</v>
      </c>
      <c r="E56" s="136">
        <v>9765625</v>
      </c>
      <c r="F56" s="136"/>
      <c r="G56" s="134">
        <f t="shared" si="21"/>
        <v>322265.625</v>
      </c>
      <c r="H56" s="135">
        <f>D56*H$44</f>
        <v>198</v>
      </c>
      <c r="I56" s="20">
        <f t="shared" si="22"/>
        <v>1933593750</v>
      </c>
      <c r="J56" s="20">
        <f t="shared" si="23"/>
        <v>1933593750</v>
      </c>
      <c r="K56" s="20">
        <f t="shared" si="19"/>
        <v>1933593750</v>
      </c>
      <c r="L56" s="155">
        <v>11</v>
      </c>
      <c r="M56" s="158">
        <f t="shared" si="24"/>
        <v>2.8117590746780857E-2</v>
      </c>
      <c r="N56" s="156">
        <v>0</v>
      </c>
      <c r="X56">
        <v>54</v>
      </c>
      <c r="Y56" s="3">
        <v>934</v>
      </c>
      <c r="Z56" s="3">
        <v>3.6999999999999999E+46</v>
      </c>
      <c r="AA56" s="4">
        <v>38.7434554973822</v>
      </c>
      <c r="AC56" t="e">
        <f>(2*#REF!-2*#REF!*#REF!)/(#REF!*#REF!-#REF!)</f>
        <v>#REF!</v>
      </c>
    </row>
    <row r="57" spans="2:40" x14ac:dyDescent="0.3">
      <c r="B57" s="132">
        <v>12</v>
      </c>
      <c r="C57" s="132">
        <f t="shared" si="20"/>
        <v>2.04</v>
      </c>
      <c r="D57" s="132">
        <f>VLOOKUP(B57,AC$25:AG$45,2+B$44,FALSE)/100</f>
        <v>2.0400000000000001E-2</v>
      </c>
      <c r="E57" s="136">
        <v>48828125</v>
      </c>
      <c r="F57" s="136"/>
      <c r="G57" s="134">
        <f t="shared" si="21"/>
        <v>996093.75000000012</v>
      </c>
      <c r="H57" s="135">
        <f>D57*H$44</f>
        <v>122.4</v>
      </c>
      <c r="I57" s="20">
        <f t="shared" si="22"/>
        <v>5976562500</v>
      </c>
      <c r="J57" s="20">
        <f t="shared" si="23"/>
        <v>5976562500</v>
      </c>
      <c r="K57" s="20">
        <f t="shared" si="19"/>
        <v>5976562500</v>
      </c>
      <c r="L57" s="155">
        <v>12</v>
      </c>
      <c r="M57" s="158">
        <f t="shared" si="24"/>
        <v>0.14058795373390429</v>
      </c>
      <c r="N57" s="157">
        <f t="shared" ref="N54:N64" si="27">I$66/E57</f>
        <v>42677.909740093441</v>
      </c>
      <c r="X57">
        <v>55</v>
      </c>
      <c r="Y57" s="3">
        <v>935</v>
      </c>
      <c r="Z57" s="3">
        <v>3.9249999999999998E+46</v>
      </c>
      <c r="AA57" s="4">
        <v>41.099476439790578</v>
      </c>
      <c r="AC57" t="e">
        <f>(2*#REF!-2*#REF!*#REF!)/(#REF!*#REF!-#REF!)</f>
        <v>#REF!</v>
      </c>
    </row>
    <row r="58" spans="2:40" x14ac:dyDescent="0.3">
      <c r="B58" s="127">
        <v>13</v>
      </c>
      <c r="C58" s="127">
        <f t="shared" si="20"/>
        <v>0.76500000000000001</v>
      </c>
      <c r="D58" s="127">
        <f>VLOOKUP(B58,AC$25:AG$45,2+B$44,FALSE)/100</f>
        <v>7.6500000000000005E-3</v>
      </c>
      <c r="E58" s="128">
        <v>244140625</v>
      </c>
      <c r="F58" s="128"/>
      <c r="G58" s="129">
        <f t="shared" si="21"/>
        <v>1867675.7812500002</v>
      </c>
      <c r="H58" s="130">
        <f>D58*H$44</f>
        <v>45.900000000000006</v>
      </c>
      <c r="I58" s="51">
        <f t="shared" si="22"/>
        <v>11206054687.500002</v>
      </c>
      <c r="J58" s="51">
        <f t="shared" si="23"/>
        <v>11206054687.500002</v>
      </c>
      <c r="K58" s="51">
        <f t="shared" si="19"/>
        <v>11206054687.500002</v>
      </c>
      <c r="L58" s="155">
        <v>13</v>
      </c>
      <c r="M58" s="158">
        <f t="shared" si="24"/>
        <v>0.70293976866952146</v>
      </c>
      <c r="N58" s="157">
        <f t="shared" si="27"/>
        <v>8535.5819480186874</v>
      </c>
      <c r="X58">
        <v>56</v>
      </c>
      <c r="Y58" s="3">
        <v>936</v>
      </c>
      <c r="Z58" s="3">
        <v>4.1500000000000003E+46</v>
      </c>
      <c r="AA58" s="4">
        <v>43.455497382198956</v>
      </c>
    </row>
    <row r="59" spans="2:40" x14ac:dyDescent="0.3">
      <c r="B59" s="127">
        <v>14</v>
      </c>
      <c r="C59" s="127">
        <f t="shared" si="20"/>
        <v>0.254</v>
      </c>
      <c r="D59" s="127">
        <f>VLOOKUP(B59,AC$25:AG$45,2+B$44,FALSE)/100</f>
        <v>2.5400000000000002E-3</v>
      </c>
      <c r="E59" s="128">
        <v>1220703125</v>
      </c>
      <c r="F59" s="128"/>
      <c r="G59" s="131">
        <f t="shared" si="21"/>
        <v>3100585.9375</v>
      </c>
      <c r="H59" s="130">
        <f>D59*H$44</f>
        <v>15.24</v>
      </c>
      <c r="I59" s="51">
        <f t="shared" si="22"/>
        <v>18603515625</v>
      </c>
      <c r="J59" s="51">
        <f t="shared" si="23"/>
        <v>18603515625</v>
      </c>
      <c r="K59" s="51">
        <f t="shared" si="19"/>
        <v>18603515625</v>
      </c>
      <c r="L59" s="155">
        <v>14</v>
      </c>
      <c r="M59" s="158">
        <f t="shared" si="24"/>
        <v>3.5146988433476074</v>
      </c>
      <c r="N59" s="157">
        <f t="shared" si="27"/>
        <v>1707.1163896037376</v>
      </c>
      <c r="X59">
        <v>57</v>
      </c>
      <c r="Y59" s="3">
        <v>937</v>
      </c>
      <c r="Z59" s="3">
        <v>4.3749999999999997E+46</v>
      </c>
      <c r="AA59" s="4">
        <v>45.811518324607327</v>
      </c>
    </row>
    <row r="60" spans="2:40" x14ac:dyDescent="0.3">
      <c r="B60" s="127">
        <v>15</v>
      </c>
      <c r="C60" s="127">
        <f t="shared" si="20"/>
        <v>0.16</v>
      </c>
      <c r="D60" s="127">
        <f>VLOOKUP(B60,AC$25:AG$45,2+B$44,FALSE)/100</f>
        <v>1.6000000000000001E-3</v>
      </c>
      <c r="E60" s="128">
        <v>6103515625</v>
      </c>
      <c r="F60" s="128"/>
      <c r="G60" s="131">
        <f t="shared" si="21"/>
        <v>9765625</v>
      </c>
      <c r="H60" s="130">
        <f>D60*H$44</f>
        <v>9.6</v>
      </c>
      <c r="I60" s="51">
        <f t="shared" si="22"/>
        <v>58593750000</v>
      </c>
      <c r="J60" s="51">
        <f t="shared" si="23"/>
        <v>58593750000</v>
      </c>
      <c r="K60" s="51">
        <f t="shared" si="19"/>
        <v>58593750000</v>
      </c>
      <c r="L60" s="155">
        <v>15</v>
      </c>
      <c r="M60" s="156">
        <f t="shared" si="24"/>
        <v>17.573494216738037</v>
      </c>
      <c r="N60" s="157">
        <f t="shared" si="27"/>
        <v>341.42327792074752</v>
      </c>
      <c r="X60">
        <v>58</v>
      </c>
      <c r="Y60" s="3">
        <v>938</v>
      </c>
      <c r="Z60" s="3">
        <v>4.6000000000000001E+46</v>
      </c>
      <c r="AA60" s="4">
        <v>48.167539267015712</v>
      </c>
    </row>
    <row r="61" spans="2:40" x14ac:dyDescent="0.3">
      <c r="B61" s="127">
        <v>16</v>
      </c>
      <c r="C61" s="127">
        <f t="shared" si="20"/>
        <v>0.11</v>
      </c>
      <c r="D61" s="127">
        <f>VLOOKUP(B61,AC$25:AG$45,2+B$44,FALSE)/100</f>
        <v>1.1000000000000001E-3</v>
      </c>
      <c r="E61" s="128">
        <v>30517578125</v>
      </c>
      <c r="F61" s="128"/>
      <c r="G61" s="131">
        <f t="shared" si="21"/>
        <v>33569335.9375</v>
      </c>
      <c r="H61" s="130">
        <f>D61*H$44</f>
        <v>6.6000000000000005</v>
      </c>
      <c r="I61" s="51">
        <f t="shared" si="22"/>
        <v>201416015625.00003</v>
      </c>
      <c r="J61" s="51">
        <f t="shared" si="23"/>
        <v>201416015625.00003</v>
      </c>
      <c r="K61" s="51">
        <f t="shared" si="19"/>
        <v>201416015625.00003</v>
      </c>
      <c r="L61" s="155">
        <v>16</v>
      </c>
      <c r="M61" s="156">
        <f t="shared" si="24"/>
        <v>87.867471083690191</v>
      </c>
      <c r="N61" s="157">
        <f t="shared" si="27"/>
        <v>68.284655584149505</v>
      </c>
      <c r="X61">
        <v>59</v>
      </c>
      <c r="Y61" s="3">
        <v>939</v>
      </c>
      <c r="Z61" s="3">
        <v>4.8250000000000006E+46</v>
      </c>
      <c r="AA61" s="4">
        <v>50.52356020942409</v>
      </c>
    </row>
    <row r="62" spans="2:40" x14ac:dyDescent="0.3">
      <c r="B62" s="122">
        <v>17</v>
      </c>
      <c r="C62" s="122">
        <f t="shared" si="20"/>
        <v>0.02</v>
      </c>
      <c r="D62" s="122">
        <f>VLOOKUP(B62,AC$25:AG$45,2+B$44,FALSE)/100</f>
        <v>2.0000000000000001E-4</v>
      </c>
      <c r="E62" s="123">
        <v>152587890625</v>
      </c>
      <c r="F62" s="123"/>
      <c r="G62" s="124">
        <f t="shared" si="21"/>
        <v>30517578.125</v>
      </c>
      <c r="H62" s="125">
        <f>D62*H$44</f>
        <v>1.2</v>
      </c>
      <c r="I62" s="36">
        <f t="shared" si="22"/>
        <v>183105468750</v>
      </c>
      <c r="J62" s="36">
        <f t="shared" si="23"/>
        <v>183105468750</v>
      </c>
      <c r="K62" s="36">
        <f t="shared" si="19"/>
        <v>183105468750</v>
      </c>
      <c r="L62" s="155">
        <v>17</v>
      </c>
      <c r="M62" s="156">
        <f t="shared" si="24"/>
        <v>439.3373554184509</v>
      </c>
      <c r="N62" s="157">
        <f t="shared" si="27"/>
        <v>13.656931116829901</v>
      </c>
      <c r="X62">
        <v>60</v>
      </c>
      <c r="Y62" s="3">
        <v>940</v>
      </c>
      <c r="Z62" s="3">
        <v>5.05E+46</v>
      </c>
      <c r="AA62" s="4">
        <v>52.879581151832461</v>
      </c>
    </row>
    <row r="63" spans="2:40" x14ac:dyDescent="0.3">
      <c r="B63" s="122">
        <v>18</v>
      </c>
      <c r="C63" s="122">
        <f t="shared" si="20"/>
        <v>0.01</v>
      </c>
      <c r="D63" s="122">
        <f>VLOOKUP(B63,AC$25:AG$45,2+B$44,FALSE)/100</f>
        <v>1E-4</v>
      </c>
      <c r="E63" s="123">
        <v>762939453125</v>
      </c>
      <c r="F63" s="123"/>
      <c r="G63" s="124">
        <f t="shared" si="21"/>
        <v>76293945.3125</v>
      </c>
      <c r="H63" s="125">
        <f>D63*H$44</f>
        <v>0.6</v>
      </c>
      <c r="I63" s="36">
        <f t="shared" si="22"/>
        <v>457763671875</v>
      </c>
      <c r="J63" s="36">
        <f t="shared" si="23"/>
        <v>457763671875</v>
      </c>
      <c r="K63" s="36">
        <f t="shared" si="19"/>
        <v>457763671875</v>
      </c>
      <c r="L63" s="155">
        <v>18</v>
      </c>
      <c r="M63" s="156">
        <f t="shared" si="24"/>
        <v>2196.6867770922545</v>
      </c>
      <c r="N63" s="157">
        <f t="shared" si="27"/>
        <v>2.73138622336598</v>
      </c>
      <c r="X63">
        <v>61</v>
      </c>
      <c r="Y63" s="3">
        <v>941</v>
      </c>
      <c r="Z63" s="3">
        <v>5.2749999999999994E+46</v>
      </c>
      <c r="AA63" s="4">
        <v>55.235602094240832</v>
      </c>
    </row>
    <row r="64" spans="2:40" x14ac:dyDescent="0.3">
      <c r="B64" s="122">
        <v>19</v>
      </c>
      <c r="C64" s="122">
        <f t="shared" si="20"/>
        <v>5.0000000000000001E-3</v>
      </c>
      <c r="D64" s="122">
        <f>VLOOKUP(B64,AC$25:AG$45,2+B$44,FALSE)/100</f>
        <v>5.0000000000000002E-5</v>
      </c>
      <c r="E64" s="123">
        <v>3814697265625</v>
      </c>
      <c r="F64" s="123"/>
      <c r="G64" s="124">
        <f t="shared" si="21"/>
        <v>190734863.28125</v>
      </c>
      <c r="H64" s="125">
        <f>D64*H$44</f>
        <v>0.3</v>
      </c>
      <c r="I64" s="36">
        <f t="shared" si="22"/>
        <v>1144409179687.5</v>
      </c>
      <c r="J64" s="36">
        <f t="shared" si="23"/>
        <v>1144409179687.5</v>
      </c>
      <c r="K64" s="36">
        <f>E64*H64</f>
        <v>1144409179687.5</v>
      </c>
      <c r="L64" s="155">
        <v>19</v>
      </c>
      <c r="M64" s="156">
        <f t="shared" si="24"/>
        <v>10983.433885461272</v>
      </c>
      <c r="N64" s="157">
        <f t="shared" si="27"/>
        <v>0.54627724467319605</v>
      </c>
      <c r="X64">
        <v>62</v>
      </c>
      <c r="Y64" s="3">
        <v>942</v>
      </c>
      <c r="Z64" s="3">
        <v>5.4999999999999998E+46</v>
      </c>
      <c r="AA64" s="4">
        <v>57.591623036649217</v>
      </c>
    </row>
    <row r="65" spans="2:27" x14ac:dyDescent="0.3">
      <c r="B65" s="122">
        <v>20</v>
      </c>
      <c r="C65" s="122">
        <f t="shared" si="20"/>
        <v>0</v>
      </c>
      <c r="D65" s="122">
        <f>VLOOKUP(B65,AC$25:AG$45,2+B$44,FALSE)/100</f>
        <v>0</v>
      </c>
      <c r="E65" s="126">
        <v>19073486328125</v>
      </c>
      <c r="F65" s="126"/>
      <c r="G65" s="122">
        <f t="shared" si="21"/>
        <v>0</v>
      </c>
      <c r="H65" s="125">
        <f>D65*H$44</f>
        <v>0</v>
      </c>
      <c r="I65" s="36">
        <f t="shared" si="22"/>
        <v>0</v>
      </c>
      <c r="J65" s="36">
        <f>SUM(J46:J64)</f>
        <v>2083882311528</v>
      </c>
      <c r="K65" s="36">
        <f>E65*H65</f>
        <v>0</v>
      </c>
      <c r="L65" s="155"/>
      <c r="M65" s="155"/>
      <c r="N65" s="155"/>
      <c r="X65">
        <v>63</v>
      </c>
      <c r="Y65" s="3">
        <v>943</v>
      </c>
      <c r="Z65" s="3">
        <v>5.7250000000000003E+46</v>
      </c>
      <c r="AA65" s="4">
        <v>59.947643979057595</v>
      </c>
    </row>
    <row r="66" spans="2:27" x14ac:dyDescent="0.3">
      <c r="B66" s="8" t="s">
        <v>51</v>
      </c>
      <c r="C66" s="8" t="s">
        <v>51</v>
      </c>
      <c r="D66" s="8" t="s">
        <v>51</v>
      </c>
      <c r="E66" s="40" t="s">
        <v>51</v>
      </c>
      <c r="F66" s="40"/>
      <c r="G66" s="137">
        <f>SUM(G46:G64)</f>
        <v>347313718.588</v>
      </c>
      <c r="I66" s="82">
        <f>SUM(I46:I64)</f>
        <v>2083882311528</v>
      </c>
      <c r="X66">
        <v>64</v>
      </c>
      <c r="Y66" s="3">
        <v>944</v>
      </c>
      <c r="Z66" s="3">
        <v>5.9500000000000007E+46</v>
      </c>
      <c r="AA66" s="4">
        <v>62.30366492146598</v>
      </c>
    </row>
    <row r="67" spans="2:27" x14ac:dyDescent="0.3">
      <c r="F67" t="s">
        <v>105</v>
      </c>
      <c r="G67" s="138">
        <f>E64/G66</f>
        <v>10983.433885461272</v>
      </c>
      <c r="H67" t="s">
        <v>106</v>
      </c>
      <c r="I67" s="139">
        <f>I66/E64</f>
        <v>0.54627724467319605</v>
      </c>
      <c r="J67" t="s">
        <v>51</v>
      </c>
      <c r="X67">
        <v>65</v>
      </c>
      <c r="Y67" s="3">
        <v>945</v>
      </c>
      <c r="Z67" s="3">
        <v>6.1750000000000001E+46</v>
      </c>
      <c r="AA67" s="4">
        <v>64.659685863874344</v>
      </c>
    </row>
    <row r="68" spans="2:27" x14ac:dyDescent="0.3">
      <c r="K68" t="s">
        <v>51</v>
      </c>
      <c r="X68">
        <v>66</v>
      </c>
      <c r="Y68" s="3">
        <v>946</v>
      </c>
      <c r="Z68" s="3">
        <v>6.3999999999999996E+46</v>
      </c>
      <c r="AA68" s="4">
        <v>67.015706806282722</v>
      </c>
    </row>
    <row r="69" spans="2:27" x14ac:dyDescent="0.3">
      <c r="X69">
        <v>67</v>
      </c>
      <c r="Y69" s="3">
        <v>947</v>
      </c>
      <c r="Z69" s="3">
        <v>6.625000000000001E+46</v>
      </c>
      <c r="AA69" s="4">
        <v>69.371727748691114</v>
      </c>
    </row>
    <row r="70" spans="2:27" x14ac:dyDescent="0.3">
      <c r="K70" t="s">
        <v>51</v>
      </c>
      <c r="X70">
        <v>68</v>
      </c>
      <c r="Y70" s="3">
        <v>948</v>
      </c>
      <c r="Z70" s="3">
        <v>6.8500000000000004E+46</v>
      </c>
      <c r="AA70" s="4">
        <v>71.727748691099478</v>
      </c>
    </row>
    <row r="71" spans="2:27" x14ac:dyDescent="0.3">
      <c r="J71" s="81" t="s">
        <v>101</v>
      </c>
      <c r="K71" s="77" t="s">
        <v>59</v>
      </c>
      <c r="L71" s="78">
        <v>6000000</v>
      </c>
      <c r="M71" t="s">
        <v>99</v>
      </c>
      <c r="N71" s="14">
        <f>L71/R49</f>
        <v>1072727.2727272727</v>
      </c>
      <c r="X71">
        <v>69</v>
      </c>
      <c r="Y71" s="3">
        <v>949</v>
      </c>
      <c r="Z71" s="3">
        <v>7.0749999999999998E+46</v>
      </c>
      <c r="AA71" s="4">
        <v>74.083769633507856</v>
      </c>
    </row>
    <row r="72" spans="2:27" x14ac:dyDescent="0.3">
      <c r="B72" t="s">
        <v>51</v>
      </c>
      <c r="J72" s="79">
        <v>100</v>
      </c>
      <c r="K72" s="77" t="s">
        <v>97</v>
      </c>
      <c r="L72" s="78">
        <f>L71/J72</f>
        <v>60000</v>
      </c>
      <c r="M72" t="s">
        <v>98</v>
      </c>
      <c r="N72" s="14">
        <f>L71/R47</f>
        <v>5205882.3529411759</v>
      </c>
      <c r="X72">
        <v>70</v>
      </c>
      <c r="Y72" s="3">
        <v>950</v>
      </c>
      <c r="Z72" s="3">
        <v>7.3000000000000003E+46</v>
      </c>
      <c r="AA72" s="4">
        <v>76.439790575916234</v>
      </c>
    </row>
    <row r="73" spans="2:27" x14ac:dyDescent="0.3">
      <c r="C73" t="s">
        <v>17</v>
      </c>
      <c r="M73" t="s">
        <v>104</v>
      </c>
      <c r="N73">
        <v>21</v>
      </c>
      <c r="X73">
        <v>71</v>
      </c>
      <c r="Y73" s="3">
        <v>951</v>
      </c>
      <c r="Z73" s="3">
        <v>7.5249999999999997E+46</v>
      </c>
      <c r="AA73" s="4">
        <v>78.795811518324612</v>
      </c>
    </row>
    <row r="74" spans="2:27" x14ac:dyDescent="0.3">
      <c r="H74" t="s">
        <v>52</v>
      </c>
      <c r="I74" t="s">
        <v>53</v>
      </c>
      <c r="K74" t="s">
        <v>56</v>
      </c>
      <c r="M74" t="s">
        <v>57</v>
      </c>
      <c r="N74" t="s">
        <v>100</v>
      </c>
      <c r="X74">
        <v>72</v>
      </c>
      <c r="Y74" s="3">
        <v>952</v>
      </c>
      <c r="Z74" s="3">
        <v>7.7500000000000001E+46</v>
      </c>
      <c r="AA74" s="4">
        <v>81.15183246073299</v>
      </c>
    </row>
    <row r="75" spans="2:27" x14ac:dyDescent="0.3">
      <c r="B75" s="29" t="s">
        <v>55</v>
      </c>
      <c r="C75" s="83">
        <v>1.9</v>
      </c>
      <c r="D75" s="29">
        <v>1</v>
      </c>
      <c r="E75" s="29" t="s">
        <v>41</v>
      </c>
      <c r="F75" s="29">
        <f>C75</f>
        <v>1.9</v>
      </c>
      <c r="G75" s="48">
        <v>0.4</v>
      </c>
      <c r="H75" s="48">
        <f>F75*G75/100</f>
        <v>7.6E-3</v>
      </c>
      <c r="I75" s="29">
        <v>1</v>
      </c>
      <c r="J75" s="29"/>
      <c r="K75" s="29">
        <f>H75*I75</f>
        <v>7.6E-3</v>
      </c>
      <c r="L75" s="29">
        <f>H75*L$72</f>
        <v>456</v>
      </c>
      <c r="M75" s="29">
        <f>I75*L75</f>
        <v>456</v>
      </c>
      <c r="N75" s="29">
        <f>M75/VLOOKUP(N$73,D$75:K$98,6,FALSE)*IF(D75&gt;N$73,0,1)</f>
        <v>4.7815065599999996E-12</v>
      </c>
      <c r="X75">
        <v>73</v>
      </c>
      <c r="Y75" s="3">
        <v>953</v>
      </c>
      <c r="Z75" s="3">
        <v>7.9750000000000006E+46</v>
      </c>
      <c r="AA75" s="4">
        <v>83.507853403141368</v>
      </c>
    </row>
    <row r="76" spans="2:27" x14ac:dyDescent="0.3">
      <c r="B76" s="82" t="s">
        <v>8</v>
      </c>
      <c r="C76" s="84">
        <v>4</v>
      </c>
      <c r="D76" s="29">
        <v>2</v>
      </c>
      <c r="E76" s="29"/>
      <c r="F76" s="29">
        <f>F$75</f>
        <v>1.9</v>
      </c>
      <c r="G76" s="48">
        <v>0.3</v>
      </c>
      <c r="H76" s="48">
        <f>F76*G76/100</f>
        <v>5.6999999999999993E-3</v>
      </c>
      <c r="I76" s="29">
        <v>5</v>
      </c>
      <c r="J76" s="29"/>
      <c r="K76" s="29">
        <f>H76*I76</f>
        <v>2.8499999999999998E-2</v>
      </c>
      <c r="L76" s="29">
        <f>H76*L$72</f>
        <v>341.99999999999994</v>
      </c>
      <c r="M76" s="29">
        <f>I76*L76</f>
        <v>1709.9999999999998</v>
      </c>
      <c r="N76" s="29">
        <f>M76/VLOOKUP(N$73,D$75:K$98,6,FALSE)*IF(D76&gt;N$73,0,1)</f>
        <v>1.7930649599999997E-11</v>
      </c>
      <c r="X76">
        <v>74</v>
      </c>
      <c r="Y76" s="3">
        <v>954</v>
      </c>
      <c r="Z76" s="3">
        <v>8.199999999999999E+46</v>
      </c>
      <c r="AA76" s="4">
        <v>85.863874345549732</v>
      </c>
    </row>
    <row r="77" spans="2:27" x14ac:dyDescent="0.3">
      <c r="B77" s="81" t="s">
        <v>42</v>
      </c>
      <c r="C77" s="85">
        <v>45</v>
      </c>
      <c r="D77" s="29">
        <v>3</v>
      </c>
      <c r="E77" s="29"/>
      <c r="F77" s="29">
        <f>F$75</f>
        <v>1.9</v>
      </c>
      <c r="G77" s="48">
        <v>0.2</v>
      </c>
      <c r="H77" s="48">
        <f>F77*G77/100</f>
        <v>3.8E-3</v>
      </c>
      <c r="I77" s="29">
        <v>25</v>
      </c>
      <c r="J77" s="29"/>
      <c r="K77" s="29">
        <f>H77*I77</f>
        <v>9.5000000000000001E-2</v>
      </c>
      <c r="L77" s="29">
        <f>H77*L$72</f>
        <v>228</v>
      </c>
      <c r="M77" s="29">
        <f>I77*L77</f>
        <v>5700</v>
      </c>
      <c r="N77" s="29">
        <f>M77/VLOOKUP(N$73,D$75:K$98,6,FALSE)*IF(D77&gt;N$73,0,1)</f>
        <v>5.9768832000000002E-11</v>
      </c>
      <c r="X77">
        <v>75</v>
      </c>
      <c r="Y77" s="3">
        <v>955</v>
      </c>
      <c r="Z77" s="3">
        <v>8.4250000000000004E+46</v>
      </c>
      <c r="AA77" s="4">
        <v>88.219895287958124</v>
      </c>
    </row>
    <row r="78" spans="2:27" x14ac:dyDescent="0.3">
      <c r="B78" s="20" t="s">
        <v>11</v>
      </c>
      <c r="C78" s="86">
        <v>44</v>
      </c>
      <c r="D78" s="29">
        <v>4</v>
      </c>
      <c r="E78" s="29"/>
      <c r="F78" s="29">
        <f>F$75</f>
        <v>1.9</v>
      </c>
      <c r="G78" s="48">
        <v>0.1</v>
      </c>
      <c r="H78" s="48">
        <f>F78*G78/100</f>
        <v>1.9E-3</v>
      </c>
      <c r="I78" s="29">
        <v>125</v>
      </c>
      <c r="J78" s="29"/>
      <c r="K78" s="29">
        <f>H78*I78</f>
        <v>0.23749999999999999</v>
      </c>
      <c r="L78" s="29">
        <f>H78*L$72</f>
        <v>114</v>
      </c>
      <c r="M78" s="29">
        <f>I78*L78</f>
        <v>14250</v>
      </c>
      <c r="N78" s="29">
        <f>M78/VLOOKUP(N$73,D$75:K$98,6,FALSE)*IF(D78&gt;N$73,0,1)</f>
        <v>1.4942208E-10</v>
      </c>
      <c r="X78">
        <v>76</v>
      </c>
      <c r="Y78" s="3">
        <v>956</v>
      </c>
      <c r="Z78" s="3">
        <v>8.6499999999999988E+46</v>
      </c>
      <c r="AA78" s="4">
        <v>90.575916230366488</v>
      </c>
    </row>
    <row r="79" spans="2:27" x14ac:dyDescent="0.3">
      <c r="B79" s="51" t="s">
        <v>13</v>
      </c>
      <c r="C79" s="87">
        <v>5</v>
      </c>
      <c r="D79" s="63">
        <v>5</v>
      </c>
      <c r="E79" s="63" t="s">
        <v>8</v>
      </c>
      <c r="F79" s="63">
        <f>C76</f>
        <v>4</v>
      </c>
      <c r="G79" s="64">
        <v>0.4</v>
      </c>
      <c r="H79" s="64">
        <f>F79*G79/100</f>
        <v>1.6E-2</v>
      </c>
      <c r="I79" s="63">
        <v>625</v>
      </c>
      <c r="J79" s="63"/>
      <c r="K79" s="63">
        <f>H79*I79</f>
        <v>10</v>
      </c>
      <c r="L79" s="63">
        <f>H79*L$72</f>
        <v>960</v>
      </c>
      <c r="M79" s="63">
        <f>I79*L79</f>
        <v>600000</v>
      </c>
      <c r="N79" s="63">
        <f>M79/VLOOKUP(N$73,D$75:K$98,6,FALSE)*IF(D79&gt;N$73,0,1)</f>
        <v>6.2914559999999997E-9</v>
      </c>
      <c r="X79">
        <v>77</v>
      </c>
      <c r="Y79" s="3">
        <v>957</v>
      </c>
      <c r="Z79" s="3">
        <v>8.8749999999999993E+46</v>
      </c>
      <c r="AA79" s="4">
        <v>92.931937172774866</v>
      </c>
    </row>
    <row r="80" spans="2:27" x14ac:dyDescent="0.3">
      <c r="B80" s="36" t="s">
        <v>15</v>
      </c>
      <c r="C80" s="88">
        <v>0.1</v>
      </c>
      <c r="D80" s="63">
        <v>6</v>
      </c>
      <c r="E80" s="63"/>
      <c r="F80" s="63">
        <f>C76</f>
        <v>4</v>
      </c>
      <c r="G80" s="64">
        <v>0.3</v>
      </c>
      <c r="H80" s="64">
        <f>F80*G80/100</f>
        <v>1.2E-2</v>
      </c>
      <c r="I80" s="63">
        <v>3125</v>
      </c>
      <c r="J80" s="63"/>
      <c r="K80" s="63">
        <f>H80*I80</f>
        <v>37.5</v>
      </c>
      <c r="L80" s="63">
        <f>H80*L$72</f>
        <v>720</v>
      </c>
      <c r="M80" s="63">
        <f>I80*L80</f>
        <v>2250000</v>
      </c>
      <c r="N80" s="63">
        <f>M80/VLOOKUP(N$73,D$75:K$98,6,FALSE)*IF(D80&gt;N$73,0,1)</f>
        <v>2.3592959999999999E-8</v>
      </c>
      <c r="X80">
        <v>78</v>
      </c>
      <c r="Y80" s="3">
        <v>958</v>
      </c>
      <c r="Z80" s="3">
        <v>9.0999999999999987E+46</v>
      </c>
      <c r="AA80" s="4">
        <v>95.28795811518323</v>
      </c>
    </row>
    <row r="81" spans="4:27" x14ac:dyDescent="0.3">
      <c r="D81" s="63">
        <v>7</v>
      </c>
      <c r="E81" s="63"/>
      <c r="F81" s="63">
        <f>C76</f>
        <v>4</v>
      </c>
      <c r="G81" s="64">
        <v>0.2</v>
      </c>
      <c r="H81" s="64">
        <f>F81*G81/100</f>
        <v>8.0000000000000002E-3</v>
      </c>
      <c r="I81" s="63">
        <v>15625</v>
      </c>
      <c r="J81" s="63"/>
      <c r="K81" s="63">
        <f>H81*I81</f>
        <v>125</v>
      </c>
      <c r="L81" s="63">
        <f>H81*L$72</f>
        <v>480</v>
      </c>
      <c r="M81" s="63">
        <f>I81*L81</f>
        <v>7500000</v>
      </c>
      <c r="N81" s="63">
        <f>M81/VLOOKUP(N$73,D$75:K$98,6,FALSE)*IF(D81&gt;N$73,0,1)</f>
        <v>7.8643199999999996E-8</v>
      </c>
      <c r="X81">
        <v>79</v>
      </c>
      <c r="Y81" s="3">
        <v>959</v>
      </c>
      <c r="Z81" s="3">
        <v>9.3249999999999991E+46</v>
      </c>
      <c r="AA81" s="4">
        <v>97.643979057591622</v>
      </c>
    </row>
    <row r="82" spans="4:27" x14ac:dyDescent="0.3">
      <c r="D82" s="63">
        <v>8</v>
      </c>
      <c r="E82" s="63"/>
      <c r="F82" s="63">
        <f>C76</f>
        <v>4</v>
      </c>
      <c r="G82" s="64">
        <v>0.1</v>
      </c>
      <c r="H82" s="64">
        <f>F82*G82/100</f>
        <v>4.0000000000000001E-3</v>
      </c>
      <c r="I82" s="63">
        <v>78125</v>
      </c>
      <c r="J82" s="63"/>
      <c r="K82" s="63">
        <f>H82*I82</f>
        <v>312.5</v>
      </c>
      <c r="L82" s="63">
        <f>H82*L$72</f>
        <v>240</v>
      </c>
      <c r="M82" s="63">
        <f>I82*L82</f>
        <v>18750000</v>
      </c>
      <c r="N82" s="63">
        <f>M82/VLOOKUP(N$73,D$75:K$98,6,FALSE)*IF(D82&gt;N$73,0,1)</f>
        <v>1.9660800000000001E-7</v>
      </c>
      <c r="X82">
        <v>80</v>
      </c>
      <c r="Y82" s="3">
        <v>960</v>
      </c>
      <c r="Z82" s="3">
        <v>9.5499999999999996E+46</v>
      </c>
      <c r="AA82" s="4">
        <v>100</v>
      </c>
    </row>
    <row r="83" spans="4:27" x14ac:dyDescent="0.3">
      <c r="D83" s="5">
        <v>9</v>
      </c>
      <c r="E83" s="5" t="s">
        <v>42</v>
      </c>
      <c r="F83" s="5">
        <f>C77</f>
        <v>45</v>
      </c>
      <c r="G83" s="80">
        <v>0.4</v>
      </c>
      <c r="H83" s="80">
        <f>F83*G83/100</f>
        <v>0.18</v>
      </c>
      <c r="I83" s="5">
        <v>390625</v>
      </c>
      <c r="J83" s="5"/>
      <c r="K83" s="5">
        <f>H83*I83</f>
        <v>70312.5</v>
      </c>
      <c r="L83" s="5">
        <f>H83*L$72</f>
        <v>10800</v>
      </c>
      <c r="M83" s="5">
        <f>I83*L83</f>
        <v>4218750000</v>
      </c>
      <c r="N83" s="5">
        <f>M83/VLOOKUP(N$73,D$75:K$98,6,FALSE)*IF(D83&gt;N$73,0,1)</f>
        <v>4.4236800000000003E-5</v>
      </c>
      <c r="X83">
        <v>81</v>
      </c>
      <c r="Y83" s="3">
        <v>961</v>
      </c>
      <c r="Z83" s="3">
        <v>9.775E+46</v>
      </c>
      <c r="AA83" s="4">
        <v>102.35602094240838</v>
      </c>
    </row>
    <row r="84" spans="4:27" x14ac:dyDescent="0.3">
      <c r="D84" s="5">
        <v>10</v>
      </c>
      <c r="E84" s="5"/>
      <c r="F84" s="5">
        <f>C77</f>
        <v>45</v>
      </c>
      <c r="G84" s="80">
        <v>0.3</v>
      </c>
      <c r="H84" s="80">
        <f>F84*G84/100</f>
        <v>0.13500000000000001</v>
      </c>
      <c r="I84" s="5">
        <v>1953125</v>
      </c>
      <c r="J84" s="5"/>
      <c r="K84" s="5">
        <f>H84*I84</f>
        <v>263671.875</v>
      </c>
      <c r="L84" s="5">
        <f>H84*L$72</f>
        <v>8100.0000000000009</v>
      </c>
      <c r="M84" s="5">
        <f>I84*L84</f>
        <v>15820312500.000002</v>
      </c>
      <c r="N84" s="5">
        <f>M84/VLOOKUP(N$73,D$75:K$98,6,FALSE)*IF(D84&gt;N$73,0,1)</f>
        <v>1.6588800000000002E-4</v>
      </c>
      <c r="X84">
        <v>82</v>
      </c>
      <c r="Y84" s="3">
        <v>962</v>
      </c>
      <c r="Z84" s="3">
        <v>1E+47</v>
      </c>
      <c r="AA84" s="4">
        <v>104.71204188481676</v>
      </c>
    </row>
    <row r="85" spans="4:27" x14ac:dyDescent="0.3">
      <c r="D85" s="5">
        <v>11</v>
      </c>
      <c r="E85" s="5"/>
      <c r="F85" s="5">
        <f>C77</f>
        <v>45</v>
      </c>
      <c r="G85" s="80">
        <v>0.2</v>
      </c>
      <c r="H85" s="80">
        <f>F85*G85/100</f>
        <v>0.09</v>
      </c>
      <c r="I85" s="5">
        <v>9765625</v>
      </c>
      <c r="J85" s="5"/>
      <c r="K85" s="5">
        <f>H85*I85</f>
        <v>878906.25</v>
      </c>
      <c r="L85" s="5">
        <f>H85*L$72</f>
        <v>5400</v>
      </c>
      <c r="M85" s="5">
        <f>I85*L85</f>
        <v>52734375000</v>
      </c>
      <c r="N85" s="5">
        <f>M85/VLOOKUP(N$73,D$75:K$98,6,FALSE)*IF(D85&gt;N$73,0,1)</f>
        <v>5.5296000000000002E-4</v>
      </c>
      <c r="X85">
        <v>83</v>
      </c>
      <c r="Y85" s="3">
        <v>963</v>
      </c>
      <c r="Z85" s="3">
        <v>1.2250000000000001E+47</v>
      </c>
      <c r="AA85" s="4">
        <v>128.27225130890054</v>
      </c>
    </row>
    <row r="86" spans="4:27" x14ac:dyDescent="0.3">
      <c r="D86" s="5">
        <v>12</v>
      </c>
      <c r="E86" s="5"/>
      <c r="F86" s="5">
        <f>C77</f>
        <v>45</v>
      </c>
      <c r="G86" s="80">
        <v>0.1</v>
      </c>
      <c r="H86" s="80">
        <f>F86*G86/100</f>
        <v>4.4999999999999998E-2</v>
      </c>
      <c r="I86" s="5">
        <v>48828125</v>
      </c>
      <c r="J86" s="5"/>
      <c r="K86" s="5">
        <f>H86*I86</f>
        <v>2197265.625</v>
      </c>
      <c r="L86" s="5">
        <f>H86*L$72</f>
        <v>2700</v>
      </c>
      <c r="M86" s="5">
        <f>I86*L86</f>
        <v>131835937500</v>
      </c>
      <c r="N86" s="5">
        <f>M86/VLOOKUP(N$73,D$75:K$98,6,FALSE)*IF(D86&gt;N$73,0,1)</f>
        <v>1.3824E-3</v>
      </c>
      <c r="X86">
        <v>84</v>
      </c>
      <c r="Y86" s="3">
        <v>964</v>
      </c>
      <c r="Z86" s="3">
        <v>1.4499999999999999E+47</v>
      </c>
      <c r="AA86" s="4">
        <v>151.83246073298429</v>
      </c>
    </row>
    <row r="87" spans="4:27" x14ac:dyDescent="0.3">
      <c r="D87" s="20">
        <v>13</v>
      </c>
      <c r="E87" s="20" t="s">
        <v>11</v>
      </c>
      <c r="F87" s="20">
        <f>C78</f>
        <v>44</v>
      </c>
      <c r="G87" s="50">
        <v>0.4</v>
      </c>
      <c r="H87" s="50">
        <f>F87*G87/100</f>
        <v>0.17600000000000002</v>
      </c>
      <c r="I87" s="20">
        <v>244140625</v>
      </c>
      <c r="J87" s="20"/>
      <c r="K87" s="20">
        <f>H87*I87</f>
        <v>42968750.000000007</v>
      </c>
      <c r="L87" s="20">
        <f>H87*L$72</f>
        <v>10560.000000000002</v>
      </c>
      <c r="M87" s="20">
        <f>I87*L87</f>
        <v>2578125000000.0005</v>
      </c>
      <c r="N87" s="20">
        <f>M87/VLOOKUP(N$73,D$75:K$98,6,FALSE)*IF(D87&gt;N$73,0,1)</f>
        <v>2.7033600000000005E-2</v>
      </c>
      <c r="X87">
        <v>85</v>
      </c>
      <c r="Y87" s="3">
        <v>965</v>
      </c>
      <c r="Z87" s="3">
        <v>1.6750000000000001E+47</v>
      </c>
      <c r="AA87" s="4">
        <v>175.3926701570681</v>
      </c>
    </row>
    <row r="88" spans="4:27" x14ac:dyDescent="0.3">
      <c r="D88" s="20">
        <v>14</v>
      </c>
      <c r="E88" s="20"/>
      <c r="F88" s="20">
        <f>C78</f>
        <v>44</v>
      </c>
      <c r="G88" s="50">
        <v>0.3</v>
      </c>
      <c r="H88" s="50">
        <f>F88*G88/100</f>
        <v>0.13200000000000001</v>
      </c>
      <c r="I88" s="20">
        <v>1220703125</v>
      </c>
      <c r="J88" s="20"/>
      <c r="K88" s="20">
        <f>H88*I88</f>
        <v>161132812.5</v>
      </c>
      <c r="L88" s="20">
        <f>H88*L$72</f>
        <v>7920</v>
      </c>
      <c r="M88" s="20">
        <f>I88*L88</f>
        <v>9667968750000</v>
      </c>
      <c r="N88" s="20">
        <f>M88/VLOOKUP(N$73,D$75:K$98,6,FALSE)*IF(D88&gt;N$73,0,1)</f>
        <v>0.10137599999999999</v>
      </c>
      <c r="X88">
        <v>86</v>
      </c>
      <c r="Y88" s="3">
        <v>966</v>
      </c>
      <c r="Z88" s="3">
        <v>1.9000000000000002E+47</v>
      </c>
      <c r="AA88" s="4">
        <v>198.95287958115185</v>
      </c>
    </row>
    <row r="89" spans="4:27" x14ac:dyDescent="0.3">
      <c r="D89" s="20">
        <v>15</v>
      </c>
      <c r="E89" s="20"/>
      <c r="F89" s="20">
        <f>C78</f>
        <v>44</v>
      </c>
      <c r="G89" s="50">
        <v>0.2</v>
      </c>
      <c r="H89" s="50">
        <f>F89*G89/100</f>
        <v>8.8000000000000009E-2</v>
      </c>
      <c r="I89" s="20">
        <v>6103515625</v>
      </c>
      <c r="J89" s="20"/>
      <c r="K89" s="20">
        <f>H89*I89</f>
        <v>537109375</v>
      </c>
      <c r="L89" s="20">
        <f>H89*L$72</f>
        <v>5280.0000000000009</v>
      </c>
      <c r="M89" s="20">
        <f>I89*L89</f>
        <v>32226562500000.004</v>
      </c>
      <c r="N89" s="20">
        <f>M89/VLOOKUP(N$73,D$75:K$98,6,FALSE)*IF(D89&gt;N$73,0,1)</f>
        <v>0.33792000000000005</v>
      </c>
      <c r="X89">
        <v>87</v>
      </c>
      <c r="Y89" s="3">
        <v>967</v>
      </c>
      <c r="Z89" s="3">
        <v>2.1249999999999998E+47</v>
      </c>
      <c r="AA89" s="4">
        <v>222.5130890052356</v>
      </c>
    </row>
    <row r="90" spans="4:27" x14ac:dyDescent="0.3">
      <c r="D90" s="20">
        <v>16</v>
      </c>
      <c r="E90" s="20"/>
      <c r="F90" s="20">
        <f>C78</f>
        <v>44</v>
      </c>
      <c r="G90" s="50">
        <v>0.1</v>
      </c>
      <c r="H90" s="50">
        <f>F90*G90/100</f>
        <v>4.4000000000000004E-2</v>
      </c>
      <c r="I90" s="20">
        <v>30517578125</v>
      </c>
      <c r="J90" s="20"/>
      <c r="K90" s="20">
        <f>H90*I90</f>
        <v>1342773437.5000002</v>
      </c>
      <c r="L90" s="20">
        <f>H90*L$72</f>
        <v>2640.0000000000005</v>
      </c>
      <c r="M90" s="20">
        <f>I90*L90</f>
        <v>80566406250000.016</v>
      </c>
      <c r="N90" s="20">
        <f>M90/VLOOKUP(N$73,D$75:K$98,6,FALSE)*IF(D90&gt;N$73,0,1)</f>
        <v>0.84480000000000022</v>
      </c>
      <c r="X90">
        <v>88</v>
      </c>
      <c r="Y90" s="3">
        <v>968</v>
      </c>
      <c r="Z90" s="3">
        <v>2.3500000000000002E+47</v>
      </c>
      <c r="AA90" s="4">
        <v>246.07329842931941</v>
      </c>
    </row>
    <row r="91" spans="4:27" x14ac:dyDescent="0.3">
      <c r="D91" s="51">
        <v>17</v>
      </c>
      <c r="E91" s="51" t="s">
        <v>13</v>
      </c>
      <c r="F91" s="51">
        <f>C79</f>
        <v>5</v>
      </c>
      <c r="G91" s="54">
        <v>0.4</v>
      </c>
      <c r="H91" s="54">
        <f>F91*G91/100</f>
        <v>0.02</v>
      </c>
      <c r="I91" s="51">
        <v>152587890625</v>
      </c>
      <c r="J91" s="51" t="s">
        <v>51</v>
      </c>
      <c r="K91" s="51">
        <f>H91*I91</f>
        <v>3051757812.5</v>
      </c>
      <c r="L91" s="51">
        <f>H91*L$72</f>
        <v>1200</v>
      </c>
      <c r="M91" s="51">
        <f>I91*L91</f>
        <v>183105468750000</v>
      </c>
      <c r="N91" s="51">
        <f>M91/VLOOKUP(N$73,D$75:K$98,6,FALSE)*IF(D91&gt;N$73,0,1)</f>
        <v>1.92</v>
      </c>
      <c r="X91">
        <v>89</v>
      </c>
      <c r="Y91" s="3">
        <v>969</v>
      </c>
      <c r="Z91" s="3">
        <v>2.5749999999999998E+47</v>
      </c>
      <c r="AA91" s="4">
        <v>269.63350785340316</v>
      </c>
    </row>
    <row r="92" spans="4:27" x14ac:dyDescent="0.3">
      <c r="D92" s="51">
        <v>18</v>
      </c>
      <c r="E92" s="51"/>
      <c r="F92" s="51">
        <f>C79</f>
        <v>5</v>
      </c>
      <c r="G92" s="54">
        <v>0.3</v>
      </c>
      <c r="H92" s="54">
        <f>F92*G92/100</f>
        <v>1.4999999999999999E-2</v>
      </c>
      <c r="I92" s="51">
        <v>762939453125</v>
      </c>
      <c r="J92" s="51" t="s">
        <v>51</v>
      </c>
      <c r="K92" s="51">
        <f>H92*I92</f>
        <v>11444091796.875</v>
      </c>
      <c r="L92" s="51">
        <f>H92*L$72</f>
        <v>900</v>
      </c>
      <c r="M92" s="51">
        <f>I92*L92</f>
        <v>686645507812500</v>
      </c>
      <c r="N92" s="51">
        <f>M92/VLOOKUP(N$73,D$75:K$98,6,FALSE)*IF(D92&gt;N$73,0,1)</f>
        <v>7.2</v>
      </c>
      <c r="X92">
        <v>90</v>
      </c>
      <c r="Y92" s="3">
        <v>970</v>
      </c>
      <c r="Z92" s="3">
        <v>2.8000000000000003E+47</v>
      </c>
      <c r="AA92" s="4">
        <v>293.19371727748694</v>
      </c>
    </row>
    <row r="93" spans="4:27" x14ac:dyDescent="0.3">
      <c r="D93" s="51">
        <v>19</v>
      </c>
      <c r="E93" s="51"/>
      <c r="F93" s="51">
        <f>C79</f>
        <v>5</v>
      </c>
      <c r="G93" s="54">
        <v>0.2</v>
      </c>
      <c r="H93" s="54">
        <f>F93*G93/100</f>
        <v>0.01</v>
      </c>
      <c r="I93" s="51">
        <v>3814697265625</v>
      </c>
      <c r="J93" s="51" t="s">
        <v>51</v>
      </c>
      <c r="K93" s="51">
        <f>H93*I93</f>
        <v>38146972656.25</v>
      </c>
      <c r="L93" s="51">
        <f>H93*L$72</f>
        <v>600</v>
      </c>
      <c r="M93" s="51">
        <f>I93*L93</f>
        <v>2288818359375000</v>
      </c>
      <c r="N93" s="51">
        <f>M93/VLOOKUP(N$73,D$75:K$98,6,FALSE)*IF(D93&gt;N$73,0,1)</f>
        <v>24</v>
      </c>
      <c r="X93">
        <v>91</v>
      </c>
      <c r="Y93" s="3">
        <v>971</v>
      </c>
      <c r="Z93" s="3">
        <v>3.0249999999999999E+47</v>
      </c>
      <c r="AA93" s="4">
        <v>316.75392670157066</v>
      </c>
    </row>
    <row r="94" spans="4:27" x14ac:dyDescent="0.3">
      <c r="D94" s="51">
        <v>20</v>
      </c>
      <c r="E94" s="51"/>
      <c r="F94" s="51">
        <f>C79</f>
        <v>5</v>
      </c>
      <c r="G94" s="54">
        <v>0.1</v>
      </c>
      <c r="H94" s="54">
        <f>F94*G94/100</f>
        <v>5.0000000000000001E-3</v>
      </c>
      <c r="I94" s="51">
        <v>19073486328125</v>
      </c>
      <c r="J94" s="51" t="s">
        <v>51</v>
      </c>
      <c r="K94" s="51">
        <f>H94*I94</f>
        <v>95367431640.625</v>
      </c>
      <c r="L94" s="51">
        <f>H94*L$72</f>
        <v>300</v>
      </c>
      <c r="M94" s="51">
        <f>I94*L94</f>
        <v>5722045898437500</v>
      </c>
      <c r="N94" s="51">
        <f>M94/VLOOKUP(N$73,D$75:K$98,6,FALSE)*IF(D94&gt;N$73,0,1)</f>
        <v>60</v>
      </c>
      <c r="X94">
        <v>92</v>
      </c>
      <c r="Y94" s="3">
        <v>972</v>
      </c>
      <c r="Z94" s="3">
        <v>3.2499999999999995E+47</v>
      </c>
      <c r="AA94" s="4">
        <v>340.31413612565439</v>
      </c>
    </row>
    <row r="95" spans="4:27" x14ac:dyDescent="0.3">
      <c r="D95" s="36">
        <v>21</v>
      </c>
      <c r="E95" s="36" t="s">
        <v>15</v>
      </c>
      <c r="F95" s="36">
        <f>C80</f>
        <v>0.1</v>
      </c>
      <c r="G95" s="47">
        <v>0.4</v>
      </c>
      <c r="H95" s="47">
        <f>F95*G95/100</f>
        <v>4.0000000000000007E-4</v>
      </c>
      <c r="I95" s="36">
        <v>95367431640625</v>
      </c>
      <c r="J95" s="36" t="s">
        <v>51</v>
      </c>
      <c r="K95" s="36">
        <f>H95*I95</f>
        <v>38146972656.250008</v>
      </c>
      <c r="L95" s="36">
        <f>H95*L$72</f>
        <v>24.000000000000004</v>
      </c>
      <c r="M95" s="36">
        <f>I95*L95</f>
        <v>2288818359375000.5</v>
      </c>
      <c r="N95" s="36">
        <f>M95/VLOOKUP(N$73,D$75:K$98,6,FALSE)*IF(D95&gt;N$73,0,1)</f>
        <v>24.000000000000004</v>
      </c>
      <c r="X95">
        <v>93</v>
      </c>
      <c r="Y95" s="3">
        <v>973</v>
      </c>
      <c r="Z95" s="3">
        <v>3.475E+47</v>
      </c>
      <c r="AA95" s="4">
        <v>363.87434554973822</v>
      </c>
    </row>
    <row r="96" spans="4:27" x14ac:dyDescent="0.3">
      <c r="D96" s="36">
        <v>22</v>
      </c>
      <c r="E96" s="36"/>
      <c r="F96" s="36">
        <f>C80</f>
        <v>0.1</v>
      </c>
      <c r="G96" s="47">
        <v>0.3</v>
      </c>
      <c r="H96" s="47">
        <f>F96*G96/100</f>
        <v>2.9999999999999997E-4</v>
      </c>
      <c r="I96" s="36">
        <v>476837158203125</v>
      </c>
      <c r="J96" s="36" t="s">
        <v>51</v>
      </c>
      <c r="K96" s="36">
        <f>H96*I96</f>
        <v>143051147460.9375</v>
      </c>
      <c r="L96" s="36">
        <f>H96*L$72</f>
        <v>18</v>
      </c>
      <c r="M96" s="36">
        <f>I96*L96</f>
        <v>8583068847656250</v>
      </c>
      <c r="N96" s="36">
        <f>M96/VLOOKUP(N$73,D$75:K$98,6,FALSE)*IF(D96&gt;N$73,0,1)</f>
        <v>0</v>
      </c>
      <c r="X96">
        <v>94</v>
      </c>
      <c r="Y96" s="3">
        <v>974</v>
      </c>
      <c r="Z96" s="3">
        <v>3.7000000000000004E+47</v>
      </c>
      <c r="AA96" s="4">
        <v>387.43455497382206</v>
      </c>
    </row>
    <row r="97" spans="4:27" x14ac:dyDescent="0.3">
      <c r="D97" s="36">
        <v>23</v>
      </c>
      <c r="E97" s="36"/>
      <c r="F97" s="36">
        <f>C80</f>
        <v>0.1</v>
      </c>
      <c r="G97" s="47">
        <v>0.2</v>
      </c>
      <c r="H97" s="47">
        <f>F97*G97/100</f>
        <v>2.0000000000000004E-4</v>
      </c>
      <c r="I97" s="36">
        <v>2384185791015625</v>
      </c>
      <c r="J97" s="36" t="s">
        <v>51</v>
      </c>
      <c r="K97" s="36">
        <f>H97*I97</f>
        <v>476837158203.12506</v>
      </c>
      <c r="L97" s="36">
        <f>H97*L$72</f>
        <v>12.000000000000002</v>
      </c>
      <c r="M97" s="36">
        <f>I97*L97</f>
        <v>2.8610229492187504E+16</v>
      </c>
      <c r="N97" s="36">
        <f>M97/VLOOKUP(N$73,D$75:K$98,6,FALSE)*IF(D97&gt;N$73,0,1)</f>
        <v>0</v>
      </c>
      <c r="X97">
        <v>95</v>
      </c>
      <c r="Y97" s="3">
        <v>975</v>
      </c>
      <c r="Z97" s="3">
        <v>3.9249999999999996E+47</v>
      </c>
      <c r="AA97" s="4">
        <v>410.99476439790573</v>
      </c>
    </row>
    <row r="98" spans="4:27" x14ac:dyDescent="0.3">
      <c r="D98" s="36">
        <v>24</v>
      </c>
      <c r="E98" s="36"/>
      <c r="F98" s="36">
        <f>C80</f>
        <v>0.1</v>
      </c>
      <c r="G98" s="47">
        <v>0.1</v>
      </c>
      <c r="H98" s="47">
        <f>F98*G98/100</f>
        <v>1.0000000000000002E-4</v>
      </c>
      <c r="I98" s="36">
        <v>1.1920928955078124E+16</v>
      </c>
      <c r="J98" s="36" t="s">
        <v>51</v>
      </c>
      <c r="K98" s="36">
        <f>H98*I98</f>
        <v>1192092895507.8125</v>
      </c>
      <c r="L98" s="36">
        <f>H98*L$72</f>
        <v>6.0000000000000009</v>
      </c>
      <c r="M98" s="36">
        <f>I98*L98</f>
        <v>7.1525573730468752E+16</v>
      </c>
      <c r="N98" s="36">
        <f>M98/VLOOKUP(N$73,D$75:K$98,6,FALSE)*IF(D98&gt;N$73,0,1)</f>
        <v>0</v>
      </c>
      <c r="O98" t="s">
        <v>51</v>
      </c>
      <c r="X98">
        <v>96</v>
      </c>
      <c r="Y98" s="3">
        <v>976</v>
      </c>
      <c r="Z98" s="3">
        <v>4.1500000000000005E+47</v>
      </c>
      <c r="AA98" s="4">
        <v>434.55497382198962</v>
      </c>
    </row>
    <row r="99" spans="4:27" x14ac:dyDescent="0.3">
      <c r="G99" t="s">
        <v>51</v>
      </c>
      <c r="H99" s="11">
        <f>SUM(H75:H98)</f>
        <v>1</v>
      </c>
      <c r="I99" t="s">
        <v>51</v>
      </c>
      <c r="J99" s="65" t="s">
        <v>54</v>
      </c>
      <c r="K99" s="65">
        <f>SUM(K75:K98)</f>
        <v>2000225822750.9937</v>
      </c>
      <c r="L99" t="s">
        <v>51</v>
      </c>
      <c r="M99">
        <f>SUM(M75:M98)</f>
        <v>1.2001354936505962E+17</v>
      </c>
      <c r="N99" s="62">
        <f>SUM(N75:N98)</f>
        <v>118.43327539016752</v>
      </c>
      <c r="X99">
        <v>97</v>
      </c>
      <c r="Y99" s="3">
        <v>977</v>
      </c>
      <c r="Z99" s="3">
        <v>4.3749999999999997E+47</v>
      </c>
      <c r="AA99" s="4">
        <v>458.11518324607329</v>
      </c>
    </row>
    <row r="100" spans="4:27" x14ac:dyDescent="0.3">
      <c r="F100" t="s">
        <v>51</v>
      </c>
      <c r="H100" t="s">
        <v>51</v>
      </c>
      <c r="J100" t="s">
        <v>51</v>
      </c>
      <c r="N100" s="12"/>
      <c r="X100">
        <v>98</v>
      </c>
      <c r="Y100" s="3">
        <v>978</v>
      </c>
      <c r="Z100" s="3">
        <v>4.5999999999999997E+47</v>
      </c>
      <c r="AA100" s="4">
        <v>481.67539267015707</v>
      </c>
    </row>
    <row r="101" spans="4:27" x14ac:dyDescent="0.3">
      <c r="F101" t="s">
        <v>51</v>
      </c>
      <c r="H101" t="s">
        <v>51</v>
      </c>
      <c r="J101" s="63" t="s">
        <v>102</v>
      </c>
      <c r="K101" s="89">
        <f>I98/K99</f>
        <v>5959.7915492775583</v>
      </c>
      <c r="L101" s="63" t="s">
        <v>103</v>
      </c>
      <c r="M101" s="90">
        <f>M99/I98</f>
        <v>10.067466203121342</v>
      </c>
      <c r="N101" s="91" t="s">
        <v>51</v>
      </c>
      <c r="X101">
        <v>99</v>
      </c>
      <c r="Y101" s="3">
        <v>979</v>
      </c>
      <c r="Z101" s="3">
        <v>4.8250000000000006E+47</v>
      </c>
      <c r="AA101" s="4">
        <v>505.2356020942409</v>
      </c>
    </row>
    <row r="102" spans="4:27" x14ac:dyDescent="0.3">
      <c r="X102">
        <v>100</v>
      </c>
      <c r="Y102" s="3">
        <v>980</v>
      </c>
      <c r="Z102" s="3">
        <v>5.0499999999999998E+47</v>
      </c>
      <c r="AA102" s="4">
        <v>528.79581151832463</v>
      </c>
    </row>
    <row r="103" spans="4:27" x14ac:dyDescent="0.3">
      <c r="X103">
        <v>101</v>
      </c>
      <c r="Y103" s="3">
        <v>981</v>
      </c>
      <c r="Z103" s="3">
        <v>5.2749999999999998E+47</v>
      </c>
      <c r="AA103" s="4">
        <v>552.35602094240835</v>
      </c>
    </row>
    <row r="104" spans="4:27" x14ac:dyDescent="0.3">
      <c r="X104">
        <v>102</v>
      </c>
      <c r="Y104" s="3">
        <v>982</v>
      </c>
      <c r="Z104" s="3">
        <v>5.4999999999999998E+47</v>
      </c>
      <c r="AA104" s="4">
        <v>575.91623036649219</v>
      </c>
    </row>
    <row r="105" spans="4:27" x14ac:dyDescent="0.3">
      <c r="X105">
        <v>103</v>
      </c>
      <c r="Y105" s="3">
        <v>983</v>
      </c>
      <c r="Z105" s="3">
        <v>5.7250000000000007E+47</v>
      </c>
      <c r="AA105" s="4">
        <v>599.47643979057602</v>
      </c>
    </row>
    <row r="106" spans="4:27" x14ac:dyDescent="0.3">
      <c r="X106">
        <v>104</v>
      </c>
      <c r="Y106" s="3">
        <v>984</v>
      </c>
      <c r="Z106" s="3">
        <v>5.9500000000000007E+47</v>
      </c>
      <c r="AA106" s="4">
        <v>623.03664921465975</v>
      </c>
    </row>
    <row r="107" spans="4:27" x14ac:dyDescent="0.3">
      <c r="X107">
        <v>105</v>
      </c>
      <c r="Y107" s="3">
        <v>985</v>
      </c>
      <c r="Z107" s="3">
        <v>6.1749999999999999E+47</v>
      </c>
      <c r="AA107" s="4">
        <v>646.59685863874347</v>
      </c>
    </row>
    <row r="108" spans="4:27" x14ac:dyDescent="0.3">
      <c r="X108">
        <v>106</v>
      </c>
      <c r="Y108" s="3">
        <v>986</v>
      </c>
      <c r="Z108" s="3">
        <v>6.4E+47</v>
      </c>
      <c r="AA108" s="4">
        <v>670.15706806282719</v>
      </c>
    </row>
    <row r="109" spans="4:27" x14ac:dyDescent="0.3">
      <c r="X109">
        <v>107</v>
      </c>
      <c r="Y109" s="3">
        <v>987</v>
      </c>
      <c r="Z109" s="3">
        <v>6.6250000000000008E+47</v>
      </c>
      <c r="AA109" s="4">
        <v>693.71727748691114</v>
      </c>
    </row>
    <row r="110" spans="4:27" x14ac:dyDescent="0.3">
      <c r="X110">
        <v>108</v>
      </c>
      <c r="Y110" s="3">
        <v>988</v>
      </c>
      <c r="Z110" s="3">
        <v>6.8500000000000008E+47</v>
      </c>
      <c r="AA110" s="4">
        <v>717.27748691099487</v>
      </c>
    </row>
    <row r="111" spans="4:27" x14ac:dyDescent="0.3">
      <c r="X111">
        <v>109</v>
      </c>
      <c r="Y111" s="3">
        <v>989</v>
      </c>
      <c r="Z111" s="3">
        <v>7.0749999999999992E+47</v>
      </c>
      <c r="AA111" s="4">
        <v>740.83769633507848</v>
      </c>
    </row>
    <row r="112" spans="4:27" x14ac:dyDescent="0.3">
      <c r="X112">
        <v>110</v>
      </c>
      <c r="Y112" s="3">
        <v>990</v>
      </c>
      <c r="Z112" s="3">
        <v>7.3000000000000001E+47</v>
      </c>
      <c r="AA112" s="4">
        <v>764.39790575916231</v>
      </c>
    </row>
    <row r="113" spans="24:27" x14ac:dyDescent="0.3">
      <c r="X113">
        <v>111</v>
      </c>
      <c r="Y113" s="3">
        <v>991</v>
      </c>
      <c r="Z113" s="3">
        <v>7.5250000000000001E+47</v>
      </c>
      <c r="AA113" s="4">
        <v>787.95811518324615</v>
      </c>
    </row>
    <row r="114" spans="24:27" x14ac:dyDescent="0.3">
      <c r="X114">
        <v>112</v>
      </c>
      <c r="Y114" s="3">
        <v>992</v>
      </c>
      <c r="Z114" s="3">
        <v>7.7500000000000001E+47</v>
      </c>
      <c r="AA114" s="4">
        <v>811.51832460732987</v>
      </c>
    </row>
    <row r="115" spans="24:27" x14ac:dyDescent="0.3">
      <c r="X115">
        <v>113</v>
      </c>
      <c r="Y115" s="3">
        <v>993</v>
      </c>
      <c r="Z115" s="3">
        <v>7.9750000000000002E+47</v>
      </c>
      <c r="AA115" s="4">
        <v>835.07853403141371</v>
      </c>
    </row>
    <row r="116" spans="24:27" x14ac:dyDescent="0.3">
      <c r="X116">
        <v>114</v>
      </c>
      <c r="Y116" s="3">
        <v>994</v>
      </c>
      <c r="Z116" s="3">
        <v>8.1999999999999986E+47</v>
      </c>
      <c r="AA116" s="4">
        <v>858.63874345549721</v>
      </c>
    </row>
    <row r="117" spans="24:27" x14ac:dyDescent="0.3">
      <c r="X117">
        <v>115</v>
      </c>
      <c r="Y117" s="3">
        <v>995</v>
      </c>
      <c r="Z117" s="3">
        <v>8.4250000000000002E+47</v>
      </c>
      <c r="AA117" s="4">
        <v>882.19895287958116</v>
      </c>
    </row>
    <row r="118" spans="24:27" x14ac:dyDescent="0.3">
      <c r="X118">
        <v>116</v>
      </c>
      <c r="Y118" s="3">
        <v>996</v>
      </c>
      <c r="Z118" s="3">
        <v>8.6499999999999986E+47</v>
      </c>
      <c r="AA118" s="4">
        <v>905.75916230366477</v>
      </c>
    </row>
    <row r="119" spans="24:27" x14ac:dyDescent="0.3">
      <c r="X119">
        <v>117</v>
      </c>
      <c r="Y119" s="3">
        <v>997</v>
      </c>
      <c r="Z119" s="3">
        <v>8.8749999999999987E+47</v>
      </c>
      <c r="AA119" s="4">
        <v>929.3193717277486</v>
      </c>
    </row>
    <row r="120" spans="24:27" x14ac:dyDescent="0.3">
      <c r="X120">
        <v>118</v>
      </c>
      <c r="Y120" s="3">
        <v>998</v>
      </c>
      <c r="Z120" s="3">
        <v>9.0999999999999987E+47</v>
      </c>
      <c r="AA120" s="4">
        <v>952.87958115183233</v>
      </c>
    </row>
    <row r="121" spans="24:27" x14ac:dyDescent="0.3">
      <c r="X121">
        <v>119</v>
      </c>
      <c r="Y121" s="3">
        <v>999</v>
      </c>
      <c r="Z121" s="3">
        <v>9.3249999999999987E+47</v>
      </c>
      <c r="AA121" s="4">
        <v>976.43979057591616</v>
      </c>
    </row>
    <row r="122" spans="24:27" x14ac:dyDescent="0.3">
      <c r="X122">
        <v>120</v>
      </c>
      <c r="Y122" s="3">
        <v>1000</v>
      </c>
      <c r="Z122" s="3">
        <v>9.5500000000000004E+47</v>
      </c>
      <c r="AA122" s="4">
        <v>1000.0000000000001</v>
      </c>
    </row>
    <row r="123" spans="24:27" x14ac:dyDescent="0.3">
      <c r="X123">
        <v>121</v>
      </c>
      <c r="Y123" s="3">
        <v>1001</v>
      </c>
      <c r="Z123" s="3">
        <v>9.7749999999999988E+47</v>
      </c>
      <c r="AA123" s="4">
        <v>1023.5602094240837</v>
      </c>
    </row>
    <row r="124" spans="24:27" x14ac:dyDescent="0.3">
      <c r="X124">
        <v>122</v>
      </c>
      <c r="Y124" s="3">
        <v>1002</v>
      </c>
      <c r="Z124" s="3">
        <v>1E+48</v>
      </c>
      <c r="AA124" s="4">
        <v>1047.1204188481677</v>
      </c>
    </row>
    <row r="125" spans="24:27" x14ac:dyDescent="0.3">
      <c r="X125">
        <v>123</v>
      </c>
      <c r="Y125" s="3">
        <v>1003</v>
      </c>
      <c r="Z125" s="3">
        <v>1.2250000000000001E+48</v>
      </c>
      <c r="AA125" s="4">
        <v>1282.7225130890054</v>
      </c>
    </row>
    <row r="126" spans="24:27" x14ac:dyDescent="0.3">
      <c r="X126">
        <v>124</v>
      </c>
      <c r="Y126" s="3">
        <v>1004</v>
      </c>
      <c r="Z126" s="3">
        <v>1.4499999999999998E+48</v>
      </c>
      <c r="AA126" s="4">
        <v>1518.3246073298428</v>
      </c>
    </row>
    <row r="127" spans="24:27" x14ac:dyDescent="0.3">
      <c r="X127">
        <v>125</v>
      </c>
      <c r="Y127" s="3">
        <v>1005</v>
      </c>
      <c r="Z127" s="3">
        <v>1.675E+48</v>
      </c>
      <c r="AA127" s="4">
        <v>1753.9267015706807</v>
      </c>
    </row>
    <row r="128" spans="24:27" x14ac:dyDescent="0.3">
      <c r="X128">
        <v>126</v>
      </c>
      <c r="Y128" s="3">
        <v>1006</v>
      </c>
      <c r="Z128" s="3">
        <v>1.9000000000000003E+48</v>
      </c>
      <c r="AA128" s="4">
        <v>1989.5287958115186</v>
      </c>
    </row>
    <row r="129" spans="24:27" x14ac:dyDescent="0.3">
      <c r="X129">
        <v>127</v>
      </c>
      <c r="Y129" s="3">
        <v>1007</v>
      </c>
      <c r="Z129" s="3">
        <v>2.125E+48</v>
      </c>
      <c r="AA129" s="4">
        <v>2225.1308900523563</v>
      </c>
    </row>
    <row r="130" spans="24:27" x14ac:dyDescent="0.3">
      <c r="X130">
        <v>128</v>
      </c>
      <c r="Y130" s="3">
        <v>1008</v>
      </c>
      <c r="Z130" s="3">
        <v>2.3500000000000001E+48</v>
      </c>
      <c r="AA130" s="4">
        <v>2460.732984293194</v>
      </c>
    </row>
    <row r="131" spans="24:27" x14ac:dyDescent="0.3">
      <c r="X131">
        <v>129</v>
      </c>
      <c r="Y131" s="3">
        <v>1009</v>
      </c>
      <c r="Z131" s="3">
        <v>2.5749999999999998E+48</v>
      </c>
      <c r="AA131" s="4">
        <v>2696.3350785340313</v>
      </c>
    </row>
    <row r="132" spans="24:27" x14ac:dyDescent="0.3">
      <c r="X132">
        <v>130</v>
      </c>
      <c r="Y132" s="3">
        <v>1010</v>
      </c>
      <c r="Z132" s="3">
        <v>2.8000000000000001E+48</v>
      </c>
      <c r="AA132" s="4">
        <v>2931.9371727748694</v>
      </c>
    </row>
    <row r="133" spans="24:27" x14ac:dyDescent="0.3">
      <c r="X133">
        <v>131</v>
      </c>
      <c r="Y133" s="3">
        <v>1011</v>
      </c>
      <c r="Z133" s="3">
        <v>3.0250000000000002E+48</v>
      </c>
      <c r="AA133" s="4">
        <v>3167.5392670157071</v>
      </c>
    </row>
    <row r="134" spans="24:27" x14ac:dyDescent="0.3">
      <c r="X134">
        <v>132</v>
      </c>
      <c r="Y134" s="3">
        <v>1012</v>
      </c>
      <c r="Z134" s="3">
        <v>3.2499999999999999E+48</v>
      </c>
      <c r="AA134" s="4">
        <v>3403.1413612565443</v>
      </c>
    </row>
    <row r="135" spans="24:27" x14ac:dyDescent="0.3">
      <c r="X135">
        <v>133</v>
      </c>
      <c r="Y135" s="3">
        <v>1013</v>
      </c>
      <c r="Z135" s="3">
        <v>3.4750000000000002E+48</v>
      </c>
      <c r="AA135" s="4">
        <v>3638.7434554973825</v>
      </c>
    </row>
    <row r="136" spans="24:27" x14ac:dyDescent="0.3">
      <c r="X136">
        <v>134</v>
      </c>
      <c r="Y136" s="3">
        <v>1014</v>
      </c>
      <c r="Z136" s="3">
        <v>3.6999999999999999E+48</v>
      </c>
      <c r="AA136" s="4">
        <v>3874.3455497382201</v>
      </c>
    </row>
    <row r="137" spans="24:27" x14ac:dyDescent="0.3">
      <c r="X137">
        <v>135</v>
      </c>
      <c r="Y137" s="3">
        <v>1015</v>
      </c>
      <c r="Z137" s="3">
        <v>3.9250000000000003E+48</v>
      </c>
      <c r="AA137" s="4">
        <v>4109.9476439790578</v>
      </c>
    </row>
    <row r="138" spans="24:27" x14ac:dyDescent="0.3">
      <c r="X138">
        <v>136</v>
      </c>
      <c r="Y138" s="3">
        <v>1016</v>
      </c>
      <c r="Z138" s="3">
        <v>4.1500000000000006E+48</v>
      </c>
      <c r="AA138" s="4">
        <v>4345.5497382198964</v>
      </c>
    </row>
    <row r="139" spans="24:27" x14ac:dyDescent="0.3">
      <c r="X139">
        <v>137</v>
      </c>
      <c r="Y139" s="3">
        <v>1017</v>
      </c>
      <c r="Z139" s="3">
        <v>4.3749999999999997E+48</v>
      </c>
      <c r="AA139" s="4">
        <v>4581.1518324607332</v>
      </c>
    </row>
    <row r="140" spans="24:27" x14ac:dyDescent="0.3">
      <c r="X140">
        <v>138</v>
      </c>
      <c r="Y140" s="3">
        <v>1018</v>
      </c>
      <c r="Z140" s="3">
        <v>4.6E+48</v>
      </c>
      <c r="AA140" s="4">
        <v>4816.7539267015709</v>
      </c>
    </row>
    <row r="141" spans="24:27" x14ac:dyDescent="0.3">
      <c r="X141">
        <v>139</v>
      </c>
      <c r="Y141" s="3">
        <v>1019</v>
      </c>
      <c r="Z141" s="3">
        <v>4.825000000000001E+48</v>
      </c>
      <c r="AA141" s="4">
        <v>5052.3560209424095</v>
      </c>
    </row>
    <row r="142" spans="24:27" x14ac:dyDescent="0.3">
      <c r="X142">
        <v>140</v>
      </c>
      <c r="Y142" s="3">
        <v>1020</v>
      </c>
      <c r="Z142" s="3">
        <v>5.0500000000000001E+48</v>
      </c>
      <c r="AA142" s="4">
        <v>5287.9581151832463</v>
      </c>
    </row>
    <row r="143" spans="24:27" x14ac:dyDescent="0.3">
      <c r="X143">
        <v>141</v>
      </c>
      <c r="Y143" s="3">
        <v>1021</v>
      </c>
      <c r="Z143" s="3">
        <v>5.2749999999999998E+48</v>
      </c>
      <c r="AA143" s="4">
        <v>5523.560209424084</v>
      </c>
    </row>
    <row r="144" spans="24:27" x14ac:dyDescent="0.3">
      <c r="X144">
        <v>142</v>
      </c>
      <c r="Y144" s="3">
        <v>1022</v>
      </c>
      <c r="Z144" s="3">
        <v>5.4999999999999995E+48</v>
      </c>
      <c r="AA144" s="4">
        <v>5759.1623036649207</v>
      </c>
    </row>
    <row r="145" spans="24:27" x14ac:dyDescent="0.3">
      <c r="X145">
        <v>143</v>
      </c>
      <c r="Y145" s="3">
        <v>1023</v>
      </c>
      <c r="Z145" s="3">
        <v>5.7250000000000005E+48</v>
      </c>
      <c r="AA145" s="4">
        <v>5994.7643979057602</v>
      </c>
    </row>
    <row r="146" spans="24:27" x14ac:dyDescent="0.3">
      <c r="X146">
        <v>144</v>
      </c>
      <c r="Y146" s="3">
        <v>1024</v>
      </c>
      <c r="Z146" s="3">
        <v>5.9500000000000009E+48</v>
      </c>
      <c r="AA146" s="4">
        <v>6230.3664921465979</v>
      </c>
    </row>
    <row r="147" spans="24:27" x14ac:dyDescent="0.3">
      <c r="X147">
        <v>145</v>
      </c>
      <c r="Y147" s="3">
        <v>1025</v>
      </c>
      <c r="Z147" s="3">
        <v>6.1749999999999993E+48</v>
      </c>
      <c r="AA147" s="4">
        <v>6465.9685863874338</v>
      </c>
    </row>
    <row r="148" spans="24:27" x14ac:dyDescent="0.3">
      <c r="X148">
        <v>146</v>
      </c>
      <c r="Y148" s="3">
        <v>1026</v>
      </c>
      <c r="Z148" s="3">
        <v>6.399999999999999E+48</v>
      </c>
      <c r="AA148" s="4">
        <v>6701.5706806282715</v>
      </c>
    </row>
    <row r="149" spans="24:27" x14ac:dyDescent="0.3">
      <c r="X149">
        <v>147</v>
      </c>
      <c r="Y149" s="3">
        <v>1027</v>
      </c>
      <c r="Z149" s="3">
        <v>6.625E+48</v>
      </c>
      <c r="AA149" s="4">
        <v>6937.1727748691101</v>
      </c>
    </row>
    <row r="150" spans="24:27" x14ac:dyDescent="0.3">
      <c r="X150">
        <v>148</v>
      </c>
      <c r="Y150" s="3">
        <v>1028</v>
      </c>
      <c r="Z150" s="3">
        <v>6.850000000000001E+48</v>
      </c>
      <c r="AA150" s="4">
        <v>7172.7748691099487</v>
      </c>
    </row>
    <row r="151" spans="24:27" x14ac:dyDescent="0.3">
      <c r="X151">
        <v>149</v>
      </c>
      <c r="Y151" s="3">
        <v>1029</v>
      </c>
      <c r="Z151" s="3">
        <v>7.0749999999999994E+48</v>
      </c>
      <c r="AA151" s="4">
        <v>7408.3769633507845</v>
      </c>
    </row>
    <row r="152" spans="24:27" x14ac:dyDescent="0.3">
      <c r="X152">
        <v>150</v>
      </c>
      <c r="Y152" s="3">
        <v>1030</v>
      </c>
      <c r="Z152" s="3">
        <v>7.3000000000000004E+48</v>
      </c>
      <c r="AA152" s="4">
        <v>7643.979057591624</v>
      </c>
    </row>
    <row r="153" spans="24:27" x14ac:dyDescent="0.3">
      <c r="X153">
        <v>151</v>
      </c>
      <c r="Y153" s="3">
        <v>1031</v>
      </c>
      <c r="Z153" s="3">
        <v>7.5249999999999988E+48</v>
      </c>
      <c r="AA153" s="4">
        <v>7879.5811518324599</v>
      </c>
    </row>
    <row r="154" spans="24:27" x14ac:dyDescent="0.3">
      <c r="X154">
        <v>152</v>
      </c>
      <c r="Y154" s="3">
        <v>1032</v>
      </c>
      <c r="Z154" s="3">
        <v>7.7499999999999998E+48</v>
      </c>
      <c r="AA154" s="4">
        <v>8115.1832460732985</v>
      </c>
    </row>
    <row r="155" spans="24:27" x14ac:dyDescent="0.3">
      <c r="X155">
        <v>153</v>
      </c>
      <c r="Y155" s="3">
        <v>1033</v>
      </c>
      <c r="Z155" s="3">
        <v>7.9750000000000008E+48</v>
      </c>
      <c r="AA155" s="4">
        <v>8350.785340314138</v>
      </c>
    </row>
    <row r="156" spans="24:27" x14ac:dyDescent="0.3">
      <c r="X156">
        <v>154</v>
      </c>
      <c r="Y156" s="3">
        <v>1034</v>
      </c>
      <c r="Z156" s="3">
        <v>8.1999999999999992E+48</v>
      </c>
      <c r="AA156" s="4">
        <v>8586.3874345549739</v>
      </c>
    </row>
    <row r="157" spans="24:27" x14ac:dyDescent="0.3">
      <c r="X157">
        <v>155</v>
      </c>
      <c r="Y157" s="3">
        <v>1035</v>
      </c>
      <c r="Z157" s="3">
        <v>8.4250000000000002E+48</v>
      </c>
      <c r="AA157" s="4">
        <v>8821.9895287958116</v>
      </c>
    </row>
    <row r="158" spans="24:27" x14ac:dyDescent="0.3">
      <c r="X158">
        <v>156</v>
      </c>
      <c r="Y158" s="3">
        <v>1036</v>
      </c>
      <c r="Z158" s="3">
        <v>8.6499999999999999E+48</v>
      </c>
      <c r="AA158" s="4">
        <v>9057.5916230366493</v>
      </c>
    </row>
    <row r="159" spans="24:27" x14ac:dyDescent="0.3">
      <c r="X159">
        <v>157</v>
      </c>
      <c r="Y159" s="3">
        <v>1037</v>
      </c>
      <c r="Z159" s="3">
        <v>8.8749999999999996E+48</v>
      </c>
      <c r="AA159" s="4">
        <v>9293.1937172774869</v>
      </c>
    </row>
    <row r="160" spans="24:27" x14ac:dyDescent="0.3">
      <c r="X160">
        <v>158</v>
      </c>
      <c r="Y160" s="3">
        <v>1038</v>
      </c>
      <c r="Z160" s="3">
        <v>9.099999999999998E+48</v>
      </c>
      <c r="AA160" s="4">
        <v>9528.7958115183228</v>
      </c>
    </row>
    <row r="161" spans="24:27" x14ac:dyDescent="0.3">
      <c r="X161">
        <v>159</v>
      </c>
      <c r="Y161" s="3">
        <v>1039</v>
      </c>
      <c r="Z161" s="3">
        <v>9.324999999999999E+48</v>
      </c>
      <c r="AA161" s="4">
        <v>9764.3979057591623</v>
      </c>
    </row>
    <row r="162" spans="24:27" x14ac:dyDescent="0.3">
      <c r="X162">
        <v>160</v>
      </c>
      <c r="Y162" s="3">
        <v>1040</v>
      </c>
      <c r="Z162" s="3">
        <v>9.5500000000000001E+48</v>
      </c>
      <c r="AA162" s="4">
        <v>10000</v>
      </c>
    </row>
    <row r="163" spans="24:27" x14ac:dyDescent="0.3">
      <c r="X163">
        <v>161</v>
      </c>
      <c r="Y163" s="3">
        <v>1041</v>
      </c>
      <c r="Z163" s="3">
        <v>9.7749999999999998E+48</v>
      </c>
      <c r="AA163" s="4">
        <v>10235.602094240838</v>
      </c>
    </row>
    <row r="164" spans="24:27" x14ac:dyDescent="0.3">
      <c r="X164">
        <v>162</v>
      </c>
      <c r="Y164" s="3">
        <v>1042</v>
      </c>
      <c r="Z164" s="3">
        <v>1.0000000000000001E+49</v>
      </c>
      <c r="AA164" s="4">
        <v>10471.204188481677</v>
      </c>
    </row>
    <row r="165" spans="24:27" x14ac:dyDescent="0.3">
      <c r="X165">
        <v>163</v>
      </c>
      <c r="Y165" s="3">
        <v>1043</v>
      </c>
      <c r="Z165" s="3">
        <v>1.225E+49</v>
      </c>
      <c r="AA165" s="4">
        <v>12827.225130890054</v>
      </c>
    </row>
    <row r="166" spans="24:27" x14ac:dyDescent="0.3">
      <c r="X166">
        <v>164</v>
      </c>
      <c r="Y166" s="3">
        <v>1044</v>
      </c>
      <c r="Z166" s="3">
        <v>1.4499999999999997E+49</v>
      </c>
      <c r="AA166" s="4">
        <v>15183.246073298427</v>
      </c>
    </row>
    <row r="167" spans="24:27" x14ac:dyDescent="0.3">
      <c r="X167">
        <v>165</v>
      </c>
      <c r="Y167" s="3">
        <v>1045</v>
      </c>
      <c r="Z167" s="3">
        <v>1.675E+49</v>
      </c>
      <c r="AA167" s="4">
        <v>17539.267015706806</v>
      </c>
    </row>
    <row r="168" spans="24:27" x14ac:dyDescent="0.3">
      <c r="X168">
        <v>166</v>
      </c>
      <c r="Y168" s="3">
        <v>1046</v>
      </c>
      <c r="Z168" s="3">
        <v>1.9000000000000005E+49</v>
      </c>
      <c r="AA168" s="4">
        <v>19895.28795811519</v>
      </c>
    </row>
    <row r="169" spans="24:27" x14ac:dyDescent="0.3">
      <c r="X169">
        <v>167</v>
      </c>
      <c r="Y169" s="3">
        <v>1047</v>
      </c>
      <c r="Z169" s="3">
        <v>2.1249999999999999E+49</v>
      </c>
      <c r="AA169" s="4">
        <v>22251.30890052356</v>
      </c>
    </row>
    <row r="170" spans="24:27" x14ac:dyDescent="0.3">
      <c r="X170">
        <v>168</v>
      </c>
      <c r="Y170" s="3">
        <v>1048</v>
      </c>
      <c r="Z170" s="3">
        <v>2.3499999999999999E+49</v>
      </c>
      <c r="AA170" s="4">
        <v>24607.329842931937</v>
      </c>
    </row>
    <row r="171" spans="24:27" x14ac:dyDescent="0.3">
      <c r="X171">
        <v>169</v>
      </c>
      <c r="Y171" s="3">
        <v>1049</v>
      </c>
      <c r="Z171" s="3">
        <v>2.5749999999999998E+49</v>
      </c>
      <c r="AA171" s="4">
        <v>26963.350785340313</v>
      </c>
    </row>
    <row r="172" spans="24:27" x14ac:dyDescent="0.3">
      <c r="X172">
        <v>170</v>
      </c>
      <c r="Y172" s="3">
        <v>1050</v>
      </c>
      <c r="Z172" s="3">
        <v>2.8000000000000003E+49</v>
      </c>
      <c r="AA172" s="4">
        <v>29319.371727748694</v>
      </c>
    </row>
    <row r="173" spans="24:27" x14ac:dyDescent="0.3">
      <c r="X173">
        <v>171</v>
      </c>
      <c r="Y173" s="3">
        <v>1051</v>
      </c>
      <c r="Z173" s="3">
        <v>3.0250000000000003E+49</v>
      </c>
      <c r="AA173" s="4">
        <v>31675.392670157071</v>
      </c>
    </row>
    <row r="174" spans="24:27" x14ac:dyDescent="0.3">
      <c r="X174">
        <v>172</v>
      </c>
      <c r="Y174" s="3">
        <v>1052</v>
      </c>
      <c r="Z174" s="3">
        <v>3.2499999999999997E+49</v>
      </c>
      <c r="AA174" s="4">
        <v>34031.41361256544</v>
      </c>
    </row>
    <row r="175" spans="24:27" x14ac:dyDescent="0.3">
      <c r="X175">
        <v>173</v>
      </c>
      <c r="Y175" s="3">
        <v>1053</v>
      </c>
      <c r="Z175" s="3">
        <v>3.4750000000000002E+49</v>
      </c>
      <c r="AA175" s="4">
        <v>36387.434554973828</v>
      </c>
    </row>
    <row r="176" spans="24:27" x14ac:dyDescent="0.3">
      <c r="X176">
        <v>174</v>
      </c>
      <c r="Y176" s="3">
        <v>1054</v>
      </c>
      <c r="Z176" s="3">
        <v>3.6999999999999997E+49</v>
      </c>
      <c r="AA176" s="4">
        <v>38743.455497382194</v>
      </c>
    </row>
    <row r="177" spans="24:27" x14ac:dyDescent="0.3">
      <c r="X177">
        <v>175</v>
      </c>
      <c r="Y177" s="3">
        <v>1055</v>
      </c>
      <c r="Z177" s="3">
        <v>3.9250000000000001E+49</v>
      </c>
      <c r="AA177" s="4">
        <v>41099.476439790582</v>
      </c>
    </row>
    <row r="178" spans="24:27" x14ac:dyDescent="0.3">
      <c r="X178">
        <v>176</v>
      </c>
      <c r="Y178" s="3">
        <v>1056</v>
      </c>
      <c r="Z178" s="3">
        <v>4.1500000000000006E+49</v>
      </c>
      <c r="AA178" s="4">
        <v>43455.497382198962</v>
      </c>
    </row>
    <row r="179" spans="24:27" x14ac:dyDescent="0.3">
      <c r="X179">
        <v>177</v>
      </c>
      <c r="Y179" s="3">
        <v>1057</v>
      </c>
      <c r="Z179" s="3">
        <v>4.3749999999999996E+49</v>
      </c>
      <c r="AA179" s="4">
        <v>45811.518324607328</v>
      </c>
    </row>
    <row r="180" spans="24:27" x14ac:dyDescent="0.3">
      <c r="X180">
        <v>178</v>
      </c>
      <c r="Y180" s="3">
        <v>1058</v>
      </c>
      <c r="Z180" s="3">
        <v>4.6E+49</v>
      </c>
      <c r="AA180" s="4">
        <v>48167.539267015709</v>
      </c>
    </row>
    <row r="181" spans="24:27" x14ac:dyDescent="0.3">
      <c r="X181">
        <v>179</v>
      </c>
      <c r="Y181" s="3">
        <v>1059</v>
      </c>
      <c r="Z181" s="3">
        <v>4.8250000000000016E+49</v>
      </c>
      <c r="AA181" s="4">
        <v>50523.560209424104</v>
      </c>
    </row>
    <row r="182" spans="24:27" x14ac:dyDescent="0.3">
      <c r="X182">
        <v>180</v>
      </c>
      <c r="Y182" s="3">
        <v>1060</v>
      </c>
      <c r="Z182" s="3">
        <v>5.0500000000000005E+49</v>
      </c>
      <c r="AA182" s="4">
        <v>52879.58115183247</v>
      </c>
    </row>
    <row r="183" spans="24:27" x14ac:dyDescent="0.3">
      <c r="X183">
        <v>181</v>
      </c>
      <c r="Y183" s="3">
        <v>1061</v>
      </c>
      <c r="Z183" s="3">
        <v>5.2749999999999994E+49</v>
      </c>
      <c r="AA183" s="4">
        <v>55235.602094240836</v>
      </c>
    </row>
    <row r="184" spans="24:27" x14ac:dyDescent="0.3">
      <c r="X184">
        <v>182</v>
      </c>
      <c r="Y184" s="3">
        <v>1062</v>
      </c>
      <c r="Z184" s="3">
        <v>5.4999999999999994E+49</v>
      </c>
      <c r="AA184" s="4">
        <v>57591.623036649209</v>
      </c>
    </row>
    <row r="185" spans="24:27" x14ac:dyDescent="0.3">
      <c r="X185">
        <v>183</v>
      </c>
      <c r="Y185" s="3">
        <v>1063</v>
      </c>
      <c r="Z185" s="3">
        <v>5.7250000000000004E+49</v>
      </c>
      <c r="AA185" s="4">
        <v>59947.643979057597</v>
      </c>
    </row>
    <row r="186" spans="24:27" x14ac:dyDescent="0.3">
      <c r="X186">
        <v>184</v>
      </c>
      <c r="Y186" s="3">
        <v>1064</v>
      </c>
      <c r="Z186" s="3">
        <v>5.9500000000000014E+49</v>
      </c>
      <c r="AA186" s="4">
        <v>62303.664921465985</v>
      </c>
    </row>
    <row r="187" spans="24:27" x14ac:dyDescent="0.3">
      <c r="X187">
        <v>185</v>
      </c>
      <c r="Y187" s="3">
        <v>1065</v>
      </c>
      <c r="Z187" s="3">
        <v>6.1749999999999993E+49</v>
      </c>
      <c r="AA187" s="4">
        <v>64659.685863874343</v>
      </c>
    </row>
    <row r="188" spans="24:27" x14ac:dyDescent="0.3">
      <c r="X188">
        <v>186</v>
      </c>
      <c r="Y188" s="3">
        <v>1066</v>
      </c>
      <c r="Z188" s="3">
        <v>6.3999999999999992E+49</v>
      </c>
      <c r="AA188" s="4">
        <v>67015.706806282717</v>
      </c>
    </row>
    <row r="189" spans="24:27" x14ac:dyDescent="0.3">
      <c r="X189">
        <v>187</v>
      </c>
      <c r="Y189" s="3">
        <v>1067</v>
      </c>
      <c r="Z189" s="3">
        <v>6.6250000000000002E+49</v>
      </c>
      <c r="AA189" s="4">
        <v>69371.727748691104</v>
      </c>
    </row>
    <row r="190" spans="24:27" x14ac:dyDescent="0.3">
      <c r="X190">
        <v>188</v>
      </c>
      <c r="Y190" s="3">
        <v>1068</v>
      </c>
      <c r="Z190" s="3">
        <v>6.8500000000000012E+49</v>
      </c>
      <c r="AA190" s="4">
        <v>71727.748691099492</v>
      </c>
    </row>
    <row r="191" spans="24:27" x14ac:dyDescent="0.3">
      <c r="X191">
        <v>189</v>
      </c>
      <c r="Y191" s="3">
        <v>1069</v>
      </c>
      <c r="Z191" s="3">
        <v>7.0749999999999991E+49</v>
      </c>
      <c r="AA191" s="4">
        <v>74083.769633507851</v>
      </c>
    </row>
    <row r="192" spans="24:27" x14ac:dyDescent="0.3">
      <c r="X192">
        <v>190</v>
      </c>
      <c r="Y192" s="3">
        <v>1070</v>
      </c>
      <c r="Z192" s="3">
        <v>7.3000000000000001E+49</v>
      </c>
      <c r="AA192" s="4">
        <v>76439.790575916239</v>
      </c>
    </row>
    <row r="193" spans="24:27" x14ac:dyDescent="0.3">
      <c r="X193">
        <v>191</v>
      </c>
      <c r="Y193" s="3">
        <v>1071</v>
      </c>
      <c r="Z193" s="3">
        <v>7.5249999999999991E+49</v>
      </c>
      <c r="AA193" s="4">
        <v>78795.811518324597</v>
      </c>
    </row>
    <row r="194" spans="24:27" x14ac:dyDescent="0.3">
      <c r="X194">
        <v>192</v>
      </c>
      <c r="Y194" s="3">
        <v>1072</v>
      </c>
      <c r="Z194" s="3">
        <v>7.7500000000000001E+49</v>
      </c>
      <c r="AA194" s="4">
        <v>81151.832460732985</v>
      </c>
    </row>
    <row r="195" spans="24:27" x14ac:dyDescent="0.3">
      <c r="X195">
        <v>193</v>
      </c>
      <c r="Y195" s="3">
        <v>1073</v>
      </c>
      <c r="Z195" s="3">
        <v>7.9750000000000011E+49</v>
      </c>
      <c r="AA195" s="4">
        <v>83507.853403141373</v>
      </c>
    </row>
    <row r="196" spans="24:27" x14ac:dyDescent="0.3">
      <c r="X196">
        <v>194</v>
      </c>
      <c r="Y196" s="3">
        <v>1074</v>
      </c>
      <c r="Z196" s="3">
        <v>8.199999999999999E+49</v>
      </c>
      <c r="AA196" s="4">
        <v>85863.874345549732</v>
      </c>
    </row>
    <row r="197" spans="24:27" x14ac:dyDescent="0.3">
      <c r="X197">
        <v>195</v>
      </c>
      <c r="Y197" s="3">
        <v>1075</v>
      </c>
      <c r="Z197" s="3">
        <v>8.425E+49</v>
      </c>
      <c r="AA197" s="4">
        <v>88219.895287958119</v>
      </c>
    </row>
    <row r="198" spans="24:27" x14ac:dyDescent="0.3">
      <c r="X198">
        <v>196</v>
      </c>
      <c r="Y198" s="3">
        <v>1076</v>
      </c>
      <c r="Z198" s="3">
        <v>8.6499999999999999E+49</v>
      </c>
      <c r="AA198" s="4">
        <v>90575.916230366493</v>
      </c>
    </row>
    <row r="199" spans="24:27" x14ac:dyDescent="0.3">
      <c r="X199">
        <v>197</v>
      </c>
      <c r="Y199" s="3">
        <v>1077</v>
      </c>
      <c r="Z199" s="3">
        <v>8.8749999999999999E+49</v>
      </c>
      <c r="AA199" s="4">
        <v>92931.937172774866</v>
      </c>
    </row>
    <row r="200" spans="24:27" x14ac:dyDescent="0.3">
      <c r="X200">
        <v>198</v>
      </c>
      <c r="Y200" s="3">
        <v>1078</v>
      </c>
      <c r="Z200" s="3">
        <v>9.0999999999999978E+49</v>
      </c>
      <c r="AA200" s="4">
        <v>95287.958115183224</v>
      </c>
    </row>
    <row r="201" spans="24:27" x14ac:dyDescent="0.3">
      <c r="X201">
        <v>199</v>
      </c>
      <c r="Y201" s="3">
        <v>1079</v>
      </c>
      <c r="Z201" s="3">
        <v>9.3249999999999988E+49</v>
      </c>
      <c r="AA201" s="4">
        <v>97643.979057591612</v>
      </c>
    </row>
    <row r="202" spans="24:27" x14ac:dyDescent="0.3">
      <c r="X202">
        <v>200</v>
      </c>
      <c r="Y202" s="3">
        <v>1080</v>
      </c>
      <c r="Z202" s="3">
        <v>9.5500000000000008E+49</v>
      </c>
      <c r="AA202" s="4">
        <v>100000.00000000001</v>
      </c>
    </row>
    <row r="203" spans="24:27" x14ac:dyDescent="0.3">
      <c r="X203">
        <v>201</v>
      </c>
      <c r="Y203" s="3">
        <v>1081</v>
      </c>
      <c r="Z203" s="3">
        <v>9.7750000000000008E+49</v>
      </c>
      <c r="AA203" s="4">
        <v>102356.02094240839</v>
      </c>
    </row>
    <row r="204" spans="24:27" x14ac:dyDescent="0.3">
      <c r="X204">
        <v>202</v>
      </c>
      <c r="Y204" s="3">
        <v>1082</v>
      </c>
      <c r="Z204" s="3">
        <v>1.0000000000000001E+50</v>
      </c>
      <c r="AA204" s="4">
        <v>104712.04188481676</v>
      </c>
    </row>
    <row r="205" spans="24:27" x14ac:dyDescent="0.3">
      <c r="X205">
        <v>203</v>
      </c>
      <c r="Y205" s="3">
        <v>1083</v>
      </c>
      <c r="Z205" s="3">
        <v>1.225E+50</v>
      </c>
      <c r="AA205" s="4">
        <v>128272.25130890054</v>
      </c>
    </row>
    <row r="206" spans="24:27" x14ac:dyDescent="0.3">
      <c r="X206">
        <v>204</v>
      </c>
      <c r="Y206" s="3">
        <v>1084</v>
      </c>
      <c r="Z206" s="3">
        <v>1.4499999999999998E+50</v>
      </c>
      <c r="AA206" s="4">
        <v>151832.46073298427</v>
      </c>
    </row>
    <row r="207" spans="24:27" x14ac:dyDescent="0.3">
      <c r="X207">
        <v>205</v>
      </c>
      <c r="Y207" s="3">
        <v>1085</v>
      </c>
      <c r="Z207" s="3">
        <v>1.675E+50</v>
      </c>
      <c r="AA207" s="4">
        <v>175392.67015706806</v>
      </c>
    </row>
    <row r="208" spans="24:27" x14ac:dyDescent="0.3">
      <c r="X208">
        <v>206</v>
      </c>
      <c r="Y208" s="3">
        <v>1086</v>
      </c>
      <c r="Z208" s="3">
        <v>1.9000000000000004E+50</v>
      </c>
      <c r="AA208" s="4">
        <v>198952.87958115188</v>
      </c>
    </row>
    <row r="209" spans="24:27" x14ac:dyDescent="0.3">
      <c r="X209">
        <v>207</v>
      </c>
      <c r="Y209" s="3">
        <v>1087</v>
      </c>
      <c r="Z209" s="3">
        <v>2.1249999999999999E+50</v>
      </c>
      <c r="AA209" s="4">
        <v>222513.08900523561</v>
      </c>
    </row>
    <row r="210" spans="24:27" x14ac:dyDescent="0.3">
      <c r="X210">
        <v>208</v>
      </c>
      <c r="Y210" s="3">
        <v>1088</v>
      </c>
      <c r="Z210" s="3">
        <v>2.3499999999999999E+50</v>
      </c>
      <c r="AA210" s="4">
        <v>246073.29842931937</v>
      </c>
    </row>
    <row r="211" spans="24:27" x14ac:dyDescent="0.3">
      <c r="X211">
        <v>209</v>
      </c>
      <c r="Y211" s="3">
        <v>1089</v>
      </c>
      <c r="Z211" s="3">
        <v>2.5749999999999998E+50</v>
      </c>
      <c r="AA211" s="4">
        <v>269633.50785340311</v>
      </c>
    </row>
    <row r="212" spans="24:27" x14ac:dyDescent="0.3">
      <c r="X212">
        <v>210</v>
      </c>
      <c r="Y212" s="3">
        <v>1090</v>
      </c>
      <c r="Z212" s="3">
        <v>2.8000000000000002E+50</v>
      </c>
      <c r="AA212" s="4">
        <v>293193.71727748693</v>
      </c>
    </row>
    <row r="213" spans="24:27" x14ac:dyDescent="0.3">
      <c r="X213">
        <v>211</v>
      </c>
      <c r="Y213" s="3">
        <v>1091</v>
      </c>
      <c r="Z213" s="3">
        <v>3.0250000000000002E+50</v>
      </c>
      <c r="AA213" s="4">
        <v>316753.92670157069</v>
      </c>
    </row>
    <row r="214" spans="24:27" x14ac:dyDescent="0.3">
      <c r="X214">
        <v>212</v>
      </c>
      <c r="Y214" s="3">
        <v>1092</v>
      </c>
      <c r="Z214" s="3">
        <v>3.2499999999999997E+50</v>
      </c>
      <c r="AA214" s="4">
        <v>340314.13612565445</v>
      </c>
    </row>
    <row r="215" spans="24:27" x14ac:dyDescent="0.3">
      <c r="X215">
        <v>213</v>
      </c>
      <c r="Y215" s="3">
        <v>1093</v>
      </c>
      <c r="Z215" s="3">
        <v>3.4750000000000001E+50</v>
      </c>
      <c r="AA215" s="4">
        <v>363874.34554973827</v>
      </c>
    </row>
    <row r="216" spans="24:27" x14ac:dyDescent="0.3">
      <c r="X216">
        <v>214</v>
      </c>
      <c r="Y216" s="3">
        <v>1094</v>
      </c>
      <c r="Z216" s="3">
        <v>3.7000000000000001E+50</v>
      </c>
      <c r="AA216" s="4">
        <v>387434.55497382203</v>
      </c>
    </row>
    <row r="217" spans="24:27" x14ac:dyDescent="0.3">
      <c r="X217">
        <v>215</v>
      </c>
      <c r="Y217" s="3">
        <v>1095</v>
      </c>
      <c r="Z217" s="3">
        <v>3.925E+50</v>
      </c>
      <c r="AA217" s="4">
        <v>410994.76439790579</v>
      </c>
    </row>
    <row r="218" spans="24:27" x14ac:dyDescent="0.3">
      <c r="X218">
        <v>216</v>
      </c>
      <c r="Y218" s="3">
        <v>1096</v>
      </c>
      <c r="Z218" s="3">
        <v>4.1500000000000008E+50</v>
      </c>
      <c r="AA218" s="4">
        <v>434554.97382198961</v>
      </c>
    </row>
    <row r="219" spans="24:27" x14ac:dyDescent="0.3">
      <c r="X219">
        <v>217</v>
      </c>
      <c r="Y219" s="3">
        <v>1097</v>
      </c>
      <c r="Z219" s="3">
        <v>4.375E+50</v>
      </c>
      <c r="AA219" s="4">
        <v>458115.18324607331</v>
      </c>
    </row>
    <row r="220" spans="24:27" x14ac:dyDescent="0.3">
      <c r="X220">
        <v>218</v>
      </c>
      <c r="Y220" s="3">
        <v>1098</v>
      </c>
      <c r="Z220" s="3">
        <v>4.5999999999999999E+50</v>
      </c>
      <c r="AA220" s="4">
        <v>481675.39267015707</v>
      </c>
    </row>
    <row r="221" spans="24:27" x14ac:dyDescent="0.3">
      <c r="X221">
        <v>219</v>
      </c>
      <c r="Y221" s="3">
        <v>1099</v>
      </c>
      <c r="Z221" s="3">
        <v>4.8250000000000007E+50</v>
      </c>
      <c r="AA221" s="4">
        <v>505235.60209424095</v>
      </c>
    </row>
    <row r="222" spans="24:27" x14ac:dyDescent="0.3">
      <c r="X222">
        <v>220</v>
      </c>
      <c r="Y222" s="3">
        <v>1100</v>
      </c>
      <c r="Z222" s="3">
        <v>5.0499999999999999E+50</v>
      </c>
      <c r="AA222" s="4">
        <v>528795.81151832466</v>
      </c>
    </row>
    <row r="223" spans="24:27" x14ac:dyDescent="0.3">
      <c r="X223">
        <v>221</v>
      </c>
      <c r="Y223" s="3">
        <v>1101</v>
      </c>
      <c r="Z223" s="3">
        <v>5.2749999999999998E+50</v>
      </c>
      <c r="AA223" s="4">
        <v>552356.02094240836</v>
      </c>
    </row>
    <row r="224" spans="24:27" x14ac:dyDescent="0.3">
      <c r="X224">
        <v>222</v>
      </c>
      <c r="Y224" s="3">
        <v>1102</v>
      </c>
      <c r="Z224" s="3">
        <v>5.4999999999999998E+50</v>
      </c>
      <c r="AA224" s="4">
        <v>575916.23036649218</v>
      </c>
    </row>
    <row r="225" spans="24:27" x14ac:dyDescent="0.3">
      <c r="X225">
        <v>223</v>
      </c>
      <c r="Y225" s="3">
        <v>1103</v>
      </c>
      <c r="Z225" s="3">
        <v>5.7250000000000006E+50</v>
      </c>
      <c r="AA225" s="4">
        <v>599476.439790576</v>
      </c>
    </row>
    <row r="226" spans="24:27" x14ac:dyDescent="0.3">
      <c r="X226">
        <v>224</v>
      </c>
      <c r="Y226" s="3">
        <v>1104</v>
      </c>
      <c r="Z226" s="3">
        <v>5.9500000000000006E+50</v>
      </c>
      <c r="AA226" s="4">
        <v>623036.64921465982</v>
      </c>
    </row>
    <row r="227" spans="24:27" x14ac:dyDescent="0.3">
      <c r="X227">
        <v>225</v>
      </c>
      <c r="Y227" s="3">
        <v>1105</v>
      </c>
      <c r="Z227" s="3">
        <v>6.1749999999999997E+50</v>
      </c>
      <c r="AA227" s="4">
        <v>646596.8586387434</v>
      </c>
    </row>
    <row r="228" spans="24:27" x14ac:dyDescent="0.3">
      <c r="X228">
        <v>226</v>
      </c>
      <c r="Y228" s="3">
        <v>1106</v>
      </c>
      <c r="Z228" s="3">
        <v>6.3999999999999988E+50</v>
      </c>
      <c r="AA228" s="4">
        <v>670157.06806282711</v>
      </c>
    </row>
    <row r="229" spans="24:27" x14ac:dyDescent="0.3">
      <c r="X229">
        <v>227</v>
      </c>
      <c r="Y229" s="3">
        <v>1107</v>
      </c>
      <c r="Z229" s="3">
        <v>6.6249999999999996E+50</v>
      </c>
      <c r="AA229" s="4">
        <v>693717.27748691093</v>
      </c>
    </row>
    <row r="230" spans="24:27" x14ac:dyDescent="0.3">
      <c r="X230">
        <v>228</v>
      </c>
      <c r="Y230" s="3">
        <v>1108</v>
      </c>
      <c r="Z230" s="3">
        <v>6.8500000000000012E+50</v>
      </c>
      <c r="AA230" s="4">
        <v>717277.48691099486</v>
      </c>
    </row>
    <row r="231" spans="24:27" x14ac:dyDescent="0.3">
      <c r="X231">
        <v>229</v>
      </c>
      <c r="Y231" s="3">
        <v>1109</v>
      </c>
      <c r="Z231" s="3">
        <v>7.0749999999999996E+50</v>
      </c>
      <c r="AA231" s="4">
        <v>740837.69633507857</v>
      </c>
    </row>
    <row r="232" spans="24:27" x14ac:dyDescent="0.3">
      <c r="X232">
        <v>230</v>
      </c>
      <c r="Y232" s="3">
        <v>1110</v>
      </c>
      <c r="Z232" s="3">
        <v>7.3000000000000003E+50</v>
      </c>
      <c r="AA232" s="4">
        <v>764397.90575916239</v>
      </c>
    </row>
    <row r="233" spans="24:27" x14ac:dyDescent="0.3">
      <c r="X233">
        <v>231</v>
      </c>
      <c r="Y233" s="3">
        <v>1111</v>
      </c>
      <c r="Z233" s="3">
        <v>7.5249999999999995E+50</v>
      </c>
      <c r="AA233" s="4">
        <v>787958.11518324609</v>
      </c>
    </row>
    <row r="234" spans="24:27" x14ac:dyDescent="0.3">
      <c r="X234">
        <v>232</v>
      </c>
      <c r="Y234" s="3">
        <v>1112</v>
      </c>
      <c r="Z234" s="3">
        <v>7.7500000000000003E+50</v>
      </c>
      <c r="AA234" s="4">
        <v>811518.32460732991</v>
      </c>
    </row>
    <row r="235" spans="24:27" x14ac:dyDescent="0.3">
      <c r="X235">
        <v>233</v>
      </c>
      <c r="Y235" s="3">
        <v>1113</v>
      </c>
      <c r="Z235" s="3">
        <v>7.9750000000000011E+50</v>
      </c>
      <c r="AA235" s="4">
        <v>835078.53403141373</v>
      </c>
    </row>
    <row r="236" spans="24:27" x14ac:dyDescent="0.3">
      <c r="X236">
        <v>234</v>
      </c>
      <c r="Y236" s="3">
        <v>1114</v>
      </c>
      <c r="Z236" s="3">
        <v>8.1999999999999985E+50</v>
      </c>
      <c r="AA236" s="4">
        <v>858638.74345549732</v>
      </c>
    </row>
    <row r="237" spans="24:27" x14ac:dyDescent="0.3">
      <c r="X237">
        <v>235</v>
      </c>
      <c r="Y237" s="3">
        <v>1115</v>
      </c>
      <c r="Z237" s="3">
        <v>8.425000000000001E+50</v>
      </c>
      <c r="AA237" s="4">
        <v>882198.95287958125</v>
      </c>
    </row>
    <row r="238" spans="24:27" x14ac:dyDescent="0.3">
      <c r="X238">
        <v>236</v>
      </c>
      <c r="Y238" s="3">
        <v>1116</v>
      </c>
      <c r="Z238" s="3">
        <v>8.6500000000000001E+50</v>
      </c>
      <c r="AA238" s="4">
        <v>905759.16230366495</v>
      </c>
    </row>
    <row r="239" spans="24:27" x14ac:dyDescent="0.3">
      <c r="X239">
        <v>237</v>
      </c>
      <c r="Y239" s="3">
        <v>1117</v>
      </c>
      <c r="Z239" s="3">
        <v>8.8749999999999993E+50</v>
      </c>
      <c r="AA239" s="4">
        <v>929319.37172774866</v>
      </c>
    </row>
    <row r="240" spans="24:27" x14ac:dyDescent="0.3">
      <c r="X240">
        <v>238</v>
      </c>
      <c r="Y240" s="3">
        <v>1118</v>
      </c>
      <c r="Z240" s="3">
        <v>9.0999999999999984E+50</v>
      </c>
      <c r="AA240" s="4">
        <v>952879.58115183236</v>
      </c>
    </row>
    <row r="241" spans="24:27" x14ac:dyDescent="0.3">
      <c r="X241">
        <v>239</v>
      </c>
      <c r="Y241" s="3">
        <v>1119</v>
      </c>
      <c r="Z241" s="3">
        <v>9.3249999999999992E+50</v>
      </c>
      <c r="AA241" s="4">
        <v>976439.79057591618</v>
      </c>
    </row>
    <row r="242" spans="24:27" x14ac:dyDescent="0.3">
      <c r="X242">
        <v>240</v>
      </c>
      <c r="Y242" s="3">
        <v>1120</v>
      </c>
      <c r="Z242" s="3">
        <v>9.55E+50</v>
      </c>
      <c r="AA242" s="4">
        <v>1000000</v>
      </c>
    </row>
    <row r="243" spans="24:27" x14ac:dyDescent="0.3">
      <c r="X243">
        <v>241</v>
      </c>
      <c r="Y243" s="3">
        <v>1121</v>
      </c>
      <c r="Z243" s="3">
        <v>9.7749999999999991E+50</v>
      </c>
      <c r="AA243" s="4">
        <v>1023560.2094240837</v>
      </c>
    </row>
    <row r="244" spans="24:27" x14ac:dyDescent="0.3">
      <c r="X244">
        <v>242</v>
      </c>
      <c r="Y244" s="3">
        <v>1122</v>
      </c>
      <c r="Z244" s="3">
        <v>9.9999999999999999E+50</v>
      </c>
      <c r="AA244" s="4">
        <v>1047120.4188481675</v>
      </c>
    </row>
    <row r="245" spans="24:27" x14ac:dyDescent="0.3">
      <c r="X245">
        <v>243</v>
      </c>
      <c r="Y245" s="3">
        <v>1123</v>
      </c>
      <c r="Z245" s="3">
        <v>1.2250000000000001E+51</v>
      </c>
      <c r="AA245" s="4">
        <v>1282722.5130890054</v>
      </c>
    </row>
    <row r="246" spans="24:27" x14ac:dyDescent="0.3">
      <c r="X246">
        <v>244</v>
      </c>
      <c r="Y246" s="3">
        <v>1124</v>
      </c>
      <c r="Z246" s="3">
        <v>1.4499999999999998E+51</v>
      </c>
      <c r="AA246" s="4">
        <v>1518324.6073298426</v>
      </c>
    </row>
    <row r="247" spans="24:27" x14ac:dyDescent="0.3">
      <c r="X247">
        <v>245</v>
      </c>
      <c r="Y247" s="3">
        <v>1125</v>
      </c>
      <c r="Z247" s="3">
        <v>1.6750000000000001E+51</v>
      </c>
      <c r="AA247" s="4">
        <v>1753926.7015706808</v>
      </c>
    </row>
    <row r="248" spans="24:27" x14ac:dyDescent="0.3">
      <c r="X248">
        <v>246</v>
      </c>
      <c r="Y248" s="3">
        <v>1126</v>
      </c>
      <c r="Z248" s="3">
        <v>1.9000000000000002E+51</v>
      </c>
      <c r="AA248" s="4">
        <v>1989528.7958115186</v>
      </c>
    </row>
    <row r="249" spans="24:27" x14ac:dyDescent="0.3">
      <c r="X249">
        <v>247</v>
      </c>
      <c r="Y249" s="3">
        <v>1127</v>
      </c>
      <c r="Z249" s="3">
        <v>2.125E+51</v>
      </c>
      <c r="AA249" s="4">
        <v>2225130.8900523563</v>
      </c>
    </row>
    <row r="250" spans="24:27" x14ac:dyDescent="0.3">
      <c r="X250">
        <v>248</v>
      </c>
      <c r="Y250" s="3">
        <v>1128</v>
      </c>
      <c r="Z250" s="3">
        <v>2.3500000000000001E+51</v>
      </c>
      <c r="AA250" s="4">
        <v>2460732.984293194</v>
      </c>
    </row>
    <row r="251" spans="24:27" x14ac:dyDescent="0.3">
      <c r="X251">
        <v>249</v>
      </c>
      <c r="Y251" s="3">
        <v>1129</v>
      </c>
      <c r="Z251" s="3">
        <v>2.5749999999999999E+51</v>
      </c>
      <c r="AA251" s="4">
        <v>2696335.0785340313</v>
      </c>
    </row>
    <row r="252" spans="24:27" x14ac:dyDescent="0.3">
      <c r="X252">
        <v>250</v>
      </c>
      <c r="Y252" s="3">
        <v>1130</v>
      </c>
      <c r="Z252" s="3">
        <v>2.8E+51</v>
      </c>
      <c r="AA252" s="4">
        <v>2931937.1727748695</v>
      </c>
    </row>
    <row r="253" spans="24:27" x14ac:dyDescent="0.3">
      <c r="X253">
        <v>251</v>
      </c>
      <c r="Y253" s="3">
        <v>1131</v>
      </c>
      <c r="Z253" s="3">
        <v>3.0249999999999998E+51</v>
      </c>
      <c r="AA253" s="4">
        <v>3167539.2670157067</v>
      </c>
    </row>
    <row r="254" spans="24:27" x14ac:dyDescent="0.3">
      <c r="X254">
        <v>252</v>
      </c>
      <c r="Y254" s="3">
        <v>1132</v>
      </c>
      <c r="Z254" s="3">
        <v>3.25E+51</v>
      </c>
      <c r="AA254" s="4">
        <v>3403141.3612565445</v>
      </c>
    </row>
    <row r="255" spans="24:27" x14ac:dyDescent="0.3">
      <c r="X255">
        <v>253</v>
      </c>
      <c r="Y255" s="3">
        <v>1133</v>
      </c>
      <c r="Z255" s="3">
        <v>3.4750000000000001E+51</v>
      </c>
      <c r="AA255" s="4">
        <v>3638743.4554973822</v>
      </c>
    </row>
    <row r="256" spans="24:27" x14ac:dyDescent="0.3">
      <c r="X256">
        <v>254</v>
      </c>
      <c r="Y256" s="3">
        <v>1134</v>
      </c>
      <c r="Z256" s="3">
        <v>3.7000000000000002E+51</v>
      </c>
      <c r="AA256" s="4">
        <v>3874345.5497382204</v>
      </c>
    </row>
    <row r="257" spans="24:27" x14ac:dyDescent="0.3">
      <c r="X257">
        <v>255</v>
      </c>
      <c r="Y257" s="3">
        <v>1135</v>
      </c>
      <c r="Z257" s="3">
        <v>3.9250000000000004E+51</v>
      </c>
      <c r="AA257" s="4">
        <v>4109947.6439790581</v>
      </c>
    </row>
    <row r="258" spans="24:27" x14ac:dyDescent="0.3">
      <c r="X258">
        <v>256</v>
      </c>
      <c r="Y258" s="3">
        <v>1136</v>
      </c>
      <c r="Z258" s="3">
        <v>4.1500000000000005E+51</v>
      </c>
      <c r="AA258" s="4">
        <v>4345549.7382198963</v>
      </c>
    </row>
    <row r="259" spans="24:27" x14ac:dyDescent="0.3">
      <c r="X259">
        <v>257</v>
      </c>
      <c r="Y259" s="3">
        <v>1137</v>
      </c>
      <c r="Z259" s="3">
        <v>4.375E+51</v>
      </c>
      <c r="AA259" s="4">
        <v>4581151.8324607331</v>
      </c>
    </row>
    <row r="260" spans="24:27" x14ac:dyDescent="0.3">
      <c r="X260">
        <v>258</v>
      </c>
      <c r="Y260" s="3">
        <v>1138</v>
      </c>
      <c r="Z260" s="3">
        <v>4.6000000000000001E+51</v>
      </c>
      <c r="AA260" s="4">
        <v>4816753.9267015709</v>
      </c>
    </row>
    <row r="261" spans="24:27" x14ac:dyDescent="0.3">
      <c r="X261">
        <v>259</v>
      </c>
      <c r="Y261" s="3">
        <v>1139</v>
      </c>
      <c r="Z261" s="3">
        <v>4.8250000000000009E+51</v>
      </c>
      <c r="AA261" s="4">
        <v>5052356.0209424095</v>
      </c>
    </row>
    <row r="262" spans="24:27" x14ac:dyDescent="0.3">
      <c r="X262">
        <v>260</v>
      </c>
      <c r="Y262" s="3">
        <v>1140</v>
      </c>
      <c r="Z262" s="3">
        <v>5.0500000000000004E+51</v>
      </c>
      <c r="AA262" s="4">
        <v>5287958.1151832463</v>
      </c>
    </row>
    <row r="263" spans="24:27" x14ac:dyDescent="0.3">
      <c r="X263">
        <v>261</v>
      </c>
      <c r="Y263" s="3">
        <v>1141</v>
      </c>
      <c r="Z263" s="3">
        <v>5.2749999999999998E+51</v>
      </c>
      <c r="AA263" s="4">
        <v>5523560.2094240841</v>
      </c>
    </row>
    <row r="264" spans="24:27" x14ac:dyDescent="0.3">
      <c r="X264">
        <v>262</v>
      </c>
      <c r="Y264" s="3">
        <v>1142</v>
      </c>
      <c r="Z264" s="3">
        <v>5.4999999999999993E+51</v>
      </c>
      <c r="AA264" s="4">
        <v>5759162.3036649209</v>
      </c>
    </row>
    <row r="265" spans="24:27" x14ac:dyDescent="0.3">
      <c r="X265">
        <v>263</v>
      </c>
      <c r="Y265" s="3">
        <v>1143</v>
      </c>
      <c r="Z265" s="3">
        <v>5.7250000000000008E+51</v>
      </c>
      <c r="AA265" s="4">
        <v>5994764.3979057604</v>
      </c>
    </row>
    <row r="266" spans="24:27" x14ac:dyDescent="0.3">
      <c r="X266">
        <v>264</v>
      </c>
      <c r="Y266" s="3">
        <v>1144</v>
      </c>
      <c r="Z266" s="3">
        <v>5.9500000000000009E+51</v>
      </c>
      <c r="AA266" s="4">
        <v>6230366.4921465982</v>
      </c>
    </row>
    <row r="267" spans="24:27" x14ac:dyDescent="0.3">
      <c r="X267">
        <v>265</v>
      </c>
      <c r="Y267" s="3">
        <v>1145</v>
      </c>
      <c r="Z267" s="3">
        <v>6.1749999999999997E+51</v>
      </c>
      <c r="AA267" s="4">
        <v>6465968.586387434</v>
      </c>
    </row>
    <row r="268" spans="24:27" x14ac:dyDescent="0.3">
      <c r="X268">
        <v>266</v>
      </c>
      <c r="Y268" s="3">
        <v>1146</v>
      </c>
      <c r="Z268" s="3">
        <v>6.3999999999999992E+51</v>
      </c>
      <c r="AA268" s="4">
        <v>6701570.6806282718</v>
      </c>
    </row>
    <row r="269" spans="24:27" x14ac:dyDescent="0.3">
      <c r="X269">
        <v>267</v>
      </c>
      <c r="Y269" s="3">
        <v>1147</v>
      </c>
      <c r="Z269" s="3">
        <v>6.625E+51</v>
      </c>
      <c r="AA269" s="4">
        <v>6937172.7748691104</v>
      </c>
    </row>
    <row r="270" spans="24:27" x14ac:dyDescent="0.3">
      <c r="X270">
        <v>268</v>
      </c>
      <c r="Y270" s="3">
        <v>1148</v>
      </c>
      <c r="Z270" s="3">
        <v>6.8500000000000008E+51</v>
      </c>
      <c r="AA270" s="4">
        <v>7172774.8691099491</v>
      </c>
    </row>
    <row r="271" spans="24:27" x14ac:dyDescent="0.3">
      <c r="X271">
        <v>269</v>
      </c>
      <c r="Y271" s="3">
        <v>1149</v>
      </c>
      <c r="Z271" s="3">
        <v>7.0749999999999989E+51</v>
      </c>
      <c r="AA271" s="4">
        <v>7408376.963350784</v>
      </c>
    </row>
    <row r="272" spans="24:27" x14ac:dyDescent="0.3">
      <c r="X272">
        <v>270</v>
      </c>
      <c r="Y272" s="3">
        <v>1150</v>
      </c>
      <c r="Z272" s="3">
        <v>7.300000000000001E+51</v>
      </c>
      <c r="AA272" s="4">
        <v>7643979.0575916246</v>
      </c>
    </row>
    <row r="273" spans="24:27" x14ac:dyDescent="0.3">
      <c r="X273">
        <v>271</v>
      </c>
      <c r="Y273" s="3">
        <v>1151</v>
      </c>
      <c r="Z273" s="3">
        <v>7.5249999999999992E+51</v>
      </c>
      <c r="AA273" s="4">
        <v>7879581.1518324604</v>
      </c>
    </row>
    <row r="274" spans="24:27" x14ac:dyDescent="0.3">
      <c r="X274">
        <v>272</v>
      </c>
      <c r="Y274" s="3">
        <v>1152</v>
      </c>
      <c r="Z274" s="3">
        <v>7.7499999999999999E+51</v>
      </c>
      <c r="AA274" s="4">
        <v>8115183.2460732991</v>
      </c>
    </row>
    <row r="275" spans="24:27" x14ac:dyDescent="0.3">
      <c r="X275">
        <v>273</v>
      </c>
      <c r="Y275" s="3">
        <v>1153</v>
      </c>
      <c r="Z275" s="3">
        <v>7.9750000000000007E+51</v>
      </c>
      <c r="AA275" s="4">
        <v>8350785.3403141368</v>
      </c>
    </row>
    <row r="276" spans="24:27" x14ac:dyDescent="0.3">
      <c r="X276">
        <v>274</v>
      </c>
      <c r="Y276" s="3">
        <v>1154</v>
      </c>
      <c r="Z276" s="3">
        <v>8.1999999999999989E+51</v>
      </c>
      <c r="AA276" s="4">
        <v>8586387.4345549736</v>
      </c>
    </row>
    <row r="277" spans="24:27" x14ac:dyDescent="0.3">
      <c r="X277">
        <v>275</v>
      </c>
      <c r="Y277" s="3">
        <v>1155</v>
      </c>
      <c r="Z277" s="3">
        <v>8.4249999999999997E+51</v>
      </c>
      <c r="AA277" s="4">
        <v>8821989.5287958123</v>
      </c>
    </row>
    <row r="278" spans="24:27" x14ac:dyDescent="0.3">
      <c r="X278">
        <v>276</v>
      </c>
      <c r="Y278" s="3">
        <v>1156</v>
      </c>
      <c r="Z278" s="3">
        <v>8.6500000000000005E+51</v>
      </c>
      <c r="AA278" s="4">
        <v>9057591.6230366491</v>
      </c>
    </row>
    <row r="279" spans="24:27" x14ac:dyDescent="0.3">
      <c r="X279">
        <v>277</v>
      </c>
      <c r="Y279" s="3">
        <v>1157</v>
      </c>
      <c r="Z279" s="3">
        <v>8.8749999999999999E+51</v>
      </c>
      <c r="AA279" s="4">
        <v>9293193.7172774877</v>
      </c>
    </row>
    <row r="280" spans="24:27" x14ac:dyDescent="0.3">
      <c r="X280">
        <v>278</v>
      </c>
      <c r="Y280" s="3">
        <v>1158</v>
      </c>
      <c r="Z280" s="3">
        <v>9.0999999999999981E+51</v>
      </c>
      <c r="AA280" s="4">
        <v>9528795.8115183227</v>
      </c>
    </row>
    <row r="281" spans="24:27" x14ac:dyDescent="0.3">
      <c r="X281">
        <v>279</v>
      </c>
      <c r="Y281" s="3">
        <v>1159</v>
      </c>
      <c r="Z281" s="3">
        <v>9.3249999999999989E+51</v>
      </c>
      <c r="AA281" s="4">
        <v>9764397.9057591613</v>
      </c>
    </row>
    <row r="282" spans="24:27" x14ac:dyDescent="0.3">
      <c r="X282">
        <v>280</v>
      </c>
      <c r="Y282" s="3">
        <v>1160</v>
      </c>
      <c r="Z282" s="3">
        <v>9.5499999999999997E+51</v>
      </c>
      <c r="AA282" s="4">
        <v>10000000</v>
      </c>
    </row>
    <row r="283" spans="24:27" x14ac:dyDescent="0.3">
      <c r="X283">
        <v>281</v>
      </c>
      <c r="Y283" s="3">
        <v>1161</v>
      </c>
      <c r="Z283" s="3">
        <v>9.7749999999999991E+51</v>
      </c>
      <c r="AA283" s="4">
        <v>10235602.094240837</v>
      </c>
    </row>
    <row r="284" spans="24:27" x14ac:dyDescent="0.3">
      <c r="X284">
        <v>282</v>
      </c>
      <c r="Y284" s="3">
        <v>1162</v>
      </c>
      <c r="Z284" s="3">
        <v>9.9999999999999999E+51</v>
      </c>
      <c r="AA284" s="4">
        <v>10471204.188481675</v>
      </c>
    </row>
    <row r="285" spans="24:27" x14ac:dyDescent="0.3">
      <c r="X285">
        <v>283</v>
      </c>
      <c r="Y285" s="3">
        <v>1163</v>
      </c>
      <c r="Z285" s="3">
        <v>1.225E+52</v>
      </c>
      <c r="AA285" s="4">
        <v>12827225.130890053</v>
      </c>
    </row>
    <row r="286" spans="24:27" x14ac:dyDescent="0.3">
      <c r="X286">
        <v>284</v>
      </c>
      <c r="Y286" s="3">
        <v>1164</v>
      </c>
      <c r="Z286" s="3">
        <v>1.4499999999999997E+52</v>
      </c>
      <c r="AA286" s="4">
        <v>15183246.073298426</v>
      </c>
    </row>
    <row r="287" spans="24:27" x14ac:dyDescent="0.3">
      <c r="X287">
        <v>285</v>
      </c>
      <c r="Y287" s="3">
        <v>1165</v>
      </c>
      <c r="Z287" s="3">
        <v>1.675E+52</v>
      </c>
      <c r="AA287" s="4">
        <v>17539267.015706807</v>
      </c>
    </row>
    <row r="288" spans="24:27" x14ac:dyDescent="0.3">
      <c r="X288">
        <v>286</v>
      </c>
      <c r="Y288" s="3">
        <v>1166</v>
      </c>
      <c r="Z288" s="3">
        <v>1.9000000000000003E+52</v>
      </c>
      <c r="AA288" s="4">
        <v>19895287.958115187</v>
      </c>
    </row>
    <row r="289" spans="24:27" x14ac:dyDescent="0.3">
      <c r="X289">
        <v>287</v>
      </c>
      <c r="Y289" s="3">
        <v>1167</v>
      </c>
      <c r="Z289" s="3">
        <v>2.125E+52</v>
      </c>
      <c r="AA289" s="4">
        <v>22251308.900523562</v>
      </c>
    </row>
    <row r="290" spans="24:27" x14ac:dyDescent="0.3">
      <c r="X290">
        <v>288</v>
      </c>
      <c r="Y290" s="3">
        <v>1168</v>
      </c>
      <c r="Z290" s="3">
        <v>2.35E+52</v>
      </c>
      <c r="AA290" s="4">
        <v>24607329.842931937</v>
      </c>
    </row>
    <row r="291" spans="24:27" x14ac:dyDescent="0.3">
      <c r="X291">
        <v>289</v>
      </c>
      <c r="Y291" s="3">
        <v>1169</v>
      </c>
      <c r="Z291" s="3">
        <v>2.5749999999999997E+52</v>
      </c>
      <c r="AA291" s="4">
        <v>26963350.785340313</v>
      </c>
    </row>
    <row r="292" spans="24:27" x14ac:dyDescent="0.3">
      <c r="X292">
        <v>290</v>
      </c>
      <c r="Y292" s="3">
        <v>1170</v>
      </c>
      <c r="Z292" s="3">
        <v>2.8E+52</v>
      </c>
      <c r="AA292" s="4">
        <v>29319371.727748692</v>
      </c>
    </row>
    <row r="293" spans="24:27" x14ac:dyDescent="0.3">
      <c r="X293">
        <v>291</v>
      </c>
      <c r="Y293" s="3">
        <v>1171</v>
      </c>
      <c r="Z293" s="3">
        <v>3.0250000000000002E+52</v>
      </c>
      <c r="AA293" s="4">
        <v>31675392.670157071</v>
      </c>
    </row>
    <row r="294" spans="24:27" x14ac:dyDescent="0.3">
      <c r="X294">
        <v>292</v>
      </c>
      <c r="Y294" s="3">
        <v>1172</v>
      </c>
      <c r="Z294" s="3">
        <v>3.25E+52</v>
      </c>
      <c r="AA294" s="4">
        <v>34031413.612565443</v>
      </c>
    </row>
    <row r="295" spans="24:27" x14ac:dyDescent="0.3">
      <c r="X295">
        <v>293</v>
      </c>
      <c r="Y295" s="3">
        <v>1173</v>
      </c>
      <c r="Z295" s="3">
        <v>3.4750000000000002E+52</v>
      </c>
      <c r="AA295" s="4">
        <v>36387434.554973826</v>
      </c>
    </row>
    <row r="296" spans="24:27" x14ac:dyDescent="0.3">
      <c r="X296">
        <v>294</v>
      </c>
      <c r="Y296" s="3">
        <v>1174</v>
      </c>
      <c r="Z296" s="3">
        <v>3.7E+52</v>
      </c>
      <c r="AA296" s="4">
        <v>38743455.497382201</v>
      </c>
    </row>
    <row r="297" spans="24:27" x14ac:dyDescent="0.3">
      <c r="X297">
        <v>295</v>
      </c>
      <c r="Y297" s="3">
        <v>1175</v>
      </c>
      <c r="Z297" s="3">
        <v>3.9250000000000002E+52</v>
      </c>
      <c r="AA297" s="4">
        <v>41099476.439790577</v>
      </c>
    </row>
    <row r="298" spans="24:27" x14ac:dyDescent="0.3">
      <c r="X298">
        <v>296</v>
      </c>
      <c r="Y298" s="3">
        <v>1176</v>
      </c>
      <c r="Z298" s="3">
        <v>4.1500000000000005E+52</v>
      </c>
      <c r="AA298" s="4">
        <v>43455497.38219896</v>
      </c>
    </row>
    <row r="299" spans="24:27" x14ac:dyDescent="0.3">
      <c r="X299">
        <v>297</v>
      </c>
      <c r="Y299" s="3">
        <v>1177</v>
      </c>
      <c r="Z299" s="3">
        <v>4.3749999999999997E+52</v>
      </c>
      <c r="AA299" s="4">
        <v>45811518.324607328</v>
      </c>
    </row>
    <row r="300" spans="24:27" x14ac:dyDescent="0.3">
      <c r="X300">
        <v>298</v>
      </c>
      <c r="Y300" s="3">
        <v>1178</v>
      </c>
      <c r="Z300" s="3">
        <v>4.6E+52</v>
      </c>
      <c r="AA300" s="4">
        <v>48167539.26701571</v>
      </c>
    </row>
    <row r="301" spans="24:27" x14ac:dyDescent="0.3">
      <c r="X301">
        <v>299</v>
      </c>
      <c r="Y301" s="3">
        <v>1179</v>
      </c>
      <c r="Z301" s="3">
        <v>4.8250000000000013E+52</v>
      </c>
      <c r="AA301" s="4">
        <v>50523560.209424101</v>
      </c>
    </row>
    <row r="302" spans="24:27" x14ac:dyDescent="0.3">
      <c r="X302">
        <v>300</v>
      </c>
      <c r="Y302" s="3">
        <v>1180</v>
      </c>
      <c r="Z302" s="3">
        <v>5.0500000000000005E+52</v>
      </c>
      <c r="AA302" s="4">
        <v>52879581.151832469</v>
      </c>
    </row>
    <row r="303" spans="24:27" x14ac:dyDescent="0.3">
      <c r="X303">
        <v>301</v>
      </c>
      <c r="Y303" s="3">
        <v>1181</v>
      </c>
      <c r="Z303" s="3">
        <v>5.2749999999999997E+52</v>
      </c>
      <c r="AA303" s="4">
        <v>55235602.094240837</v>
      </c>
    </row>
    <row r="304" spans="24:27" x14ac:dyDescent="0.3">
      <c r="X304">
        <v>302</v>
      </c>
      <c r="Y304" s="3">
        <v>1182</v>
      </c>
      <c r="Z304" s="3">
        <v>5.5E+52</v>
      </c>
      <c r="AA304" s="4">
        <v>57591623.03664922</v>
      </c>
    </row>
    <row r="305" spans="24:27" x14ac:dyDescent="0.3">
      <c r="X305">
        <v>303</v>
      </c>
      <c r="Y305" s="3">
        <v>1183</v>
      </c>
      <c r="Z305" s="3">
        <v>5.7250000000000002E+52</v>
      </c>
      <c r="AA305" s="4">
        <v>59947643.979057595</v>
      </c>
    </row>
    <row r="306" spans="24:27" x14ac:dyDescent="0.3">
      <c r="X306">
        <v>304</v>
      </c>
      <c r="Y306" s="3">
        <v>1184</v>
      </c>
      <c r="Z306" s="3">
        <v>5.9500000000000005E+52</v>
      </c>
      <c r="AA306" s="4">
        <v>62303664.921465978</v>
      </c>
    </row>
    <row r="307" spans="24:27" x14ac:dyDescent="0.3">
      <c r="X307">
        <v>305</v>
      </c>
      <c r="Y307" s="3">
        <v>1185</v>
      </c>
      <c r="Z307" s="3">
        <v>6.1749999999999997E+52</v>
      </c>
      <c r="AA307" s="4">
        <v>64659685.863874346</v>
      </c>
    </row>
    <row r="308" spans="24:27" x14ac:dyDescent="0.3">
      <c r="X308">
        <v>306</v>
      </c>
      <c r="Y308" s="3">
        <v>1186</v>
      </c>
      <c r="Z308" s="3">
        <v>6.3999999999999989E+52</v>
      </c>
      <c r="AA308" s="4">
        <v>67015706.806282714</v>
      </c>
    </row>
    <row r="309" spans="24:27" x14ac:dyDescent="0.3">
      <c r="X309">
        <v>307</v>
      </c>
      <c r="Y309" s="3">
        <v>1187</v>
      </c>
      <c r="Z309" s="3">
        <v>6.6250000000000002E+52</v>
      </c>
      <c r="AA309" s="4">
        <v>69371727.748691097</v>
      </c>
    </row>
    <row r="310" spans="24:27" x14ac:dyDescent="0.3">
      <c r="X310">
        <v>308</v>
      </c>
      <c r="Y310" s="3">
        <v>1188</v>
      </c>
      <c r="Z310" s="3">
        <v>6.8500000000000005E+52</v>
      </c>
      <c r="AA310" s="4">
        <v>71727748.69109948</v>
      </c>
    </row>
    <row r="311" spans="24:27" x14ac:dyDescent="0.3">
      <c r="X311">
        <v>309</v>
      </c>
      <c r="Y311" s="3">
        <v>1189</v>
      </c>
      <c r="Z311" s="3">
        <v>7.0749999999999997E+52</v>
      </c>
      <c r="AA311" s="4">
        <v>74083769.633507848</v>
      </c>
    </row>
    <row r="312" spans="24:27" x14ac:dyDescent="0.3">
      <c r="X312">
        <v>310</v>
      </c>
      <c r="Y312" s="3">
        <v>1190</v>
      </c>
      <c r="Z312" s="3">
        <v>7.3E+52</v>
      </c>
      <c r="AA312" s="4">
        <v>76439790.575916231</v>
      </c>
    </row>
    <row r="313" spans="24:27" x14ac:dyDescent="0.3">
      <c r="X313">
        <v>311</v>
      </c>
      <c r="Y313" s="3">
        <v>1191</v>
      </c>
      <c r="Z313" s="3">
        <v>7.5249999999999992E+52</v>
      </c>
      <c r="AA313" s="4">
        <v>78795811.518324599</v>
      </c>
    </row>
    <row r="314" spans="24:27" x14ac:dyDescent="0.3">
      <c r="X314">
        <v>312</v>
      </c>
      <c r="Y314" s="3">
        <v>1192</v>
      </c>
      <c r="Z314" s="3">
        <v>7.7499999999999994E+52</v>
      </c>
      <c r="AA314" s="4">
        <v>81151832.460732982</v>
      </c>
    </row>
    <row r="315" spans="24:27" x14ac:dyDescent="0.3">
      <c r="X315">
        <v>313</v>
      </c>
      <c r="Y315" s="3">
        <v>1193</v>
      </c>
      <c r="Z315" s="3">
        <v>7.9750000000000007E+52</v>
      </c>
      <c r="AA315" s="4">
        <v>83507853.403141364</v>
      </c>
    </row>
    <row r="316" spans="24:27" x14ac:dyDescent="0.3">
      <c r="X316">
        <v>314</v>
      </c>
      <c r="Y316" s="3">
        <v>1194</v>
      </c>
      <c r="Z316" s="3">
        <v>8.1999999999999989E+52</v>
      </c>
      <c r="AA316" s="4">
        <v>85863874.345549732</v>
      </c>
    </row>
    <row r="317" spans="24:27" x14ac:dyDescent="0.3">
      <c r="X317">
        <v>315</v>
      </c>
      <c r="Y317" s="3">
        <v>1195</v>
      </c>
      <c r="Z317" s="3">
        <v>8.4250000000000002E+52</v>
      </c>
      <c r="AA317" s="4">
        <v>88219895.287958115</v>
      </c>
    </row>
    <row r="318" spans="24:27" x14ac:dyDescent="0.3">
      <c r="X318">
        <v>316</v>
      </c>
      <c r="Y318" s="3">
        <v>1196</v>
      </c>
      <c r="Z318" s="3">
        <v>8.6499999999999994E+52</v>
      </c>
      <c r="AA318" s="4">
        <v>90575916.230366483</v>
      </c>
    </row>
    <row r="319" spans="24:27" x14ac:dyDescent="0.3">
      <c r="X319">
        <v>317</v>
      </c>
      <c r="Y319" s="3">
        <v>1197</v>
      </c>
      <c r="Z319" s="3">
        <v>8.8749999999999997E+52</v>
      </c>
      <c r="AA319" s="4">
        <v>92931937.172774866</v>
      </c>
    </row>
    <row r="320" spans="24:27" x14ac:dyDescent="0.3">
      <c r="X320">
        <v>318</v>
      </c>
      <c r="Y320" s="3">
        <v>1198</v>
      </c>
      <c r="Z320" s="3">
        <v>9.0999999999999978E+52</v>
      </c>
      <c r="AA320" s="4">
        <v>95287958.115183219</v>
      </c>
    </row>
    <row r="321" spans="24:27" x14ac:dyDescent="0.3">
      <c r="X321">
        <v>319</v>
      </c>
      <c r="Y321" s="3">
        <v>1199</v>
      </c>
      <c r="Z321" s="3">
        <v>9.3249999999999991E+52</v>
      </c>
      <c r="AA321" s="4">
        <v>97643979.057591617</v>
      </c>
    </row>
    <row r="322" spans="24:27" x14ac:dyDescent="0.3">
      <c r="X322">
        <v>320</v>
      </c>
      <c r="Y322" s="3">
        <v>1200</v>
      </c>
      <c r="Z322" s="3">
        <v>9.5500000000000005E+52</v>
      </c>
      <c r="AA322" s="4">
        <v>100000000.00000001</v>
      </c>
    </row>
    <row r="323" spans="24:27" x14ac:dyDescent="0.3">
      <c r="X323">
        <v>321</v>
      </c>
      <c r="Y323" s="3">
        <v>1201</v>
      </c>
      <c r="Z323" s="3">
        <v>9.7749999999999997E+52</v>
      </c>
      <c r="AA323" s="4">
        <v>102356020.94240838</v>
      </c>
    </row>
    <row r="324" spans="24:27" x14ac:dyDescent="0.3">
      <c r="X324">
        <v>322</v>
      </c>
      <c r="Y324" s="3">
        <v>1202</v>
      </c>
      <c r="Z324" s="3">
        <v>9.9999999999999999E+52</v>
      </c>
      <c r="AA324" s="4">
        <v>104712041.88481675</v>
      </c>
    </row>
    <row r="325" spans="24:27" x14ac:dyDescent="0.3">
      <c r="X325">
        <v>323</v>
      </c>
      <c r="Y325" s="3">
        <v>1203</v>
      </c>
      <c r="Z325" s="3">
        <v>1.225E+53</v>
      </c>
      <c r="AA325" s="4">
        <v>128272251.30890054</v>
      </c>
    </row>
    <row r="326" spans="24:27" x14ac:dyDescent="0.3">
      <c r="X326">
        <v>324</v>
      </c>
      <c r="Y326" s="3">
        <v>1204</v>
      </c>
      <c r="Z326" s="3">
        <v>1.4499999999999999E+53</v>
      </c>
      <c r="AA326" s="4">
        <v>151832460.73298427</v>
      </c>
    </row>
    <row r="327" spans="24:27" x14ac:dyDescent="0.3">
      <c r="X327">
        <v>325</v>
      </c>
      <c r="Y327" s="3">
        <v>1205</v>
      </c>
      <c r="Z327" s="3">
        <v>1.6749999999999999E+53</v>
      </c>
      <c r="AA327" s="4">
        <v>175392670.15706807</v>
      </c>
    </row>
    <row r="328" spans="24:27" x14ac:dyDescent="0.3">
      <c r="X328">
        <v>326</v>
      </c>
      <c r="Y328" s="3">
        <v>1206</v>
      </c>
      <c r="Z328" s="3">
        <v>1.9000000000000004E+53</v>
      </c>
      <c r="AA328" s="4">
        <v>198952879.58115187</v>
      </c>
    </row>
    <row r="329" spans="24:27" x14ac:dyDescent="0.3">
      <c r="X329">
        <v>327</v>
      </c>
      <c r="Y329" s="3">
        <v>1207</v>
      </c>
      <c r="Z329" s="3">
        <v>2.125E+53</v>
      </c>
      <c r="AA329" s="4">
        <v>222513089.00523561</v>
      </c>
    </row>
    <row r="330" spans="24:27" x14ac:dyDescent="0.3">
      <c r="X330">
        <v>328</v>
      </c>
      <c r="Y330" s="3">
        <v>1208</v>
      </c>
      <c r="Z330" s="3">
        <v>2.3499999999999999E+53</v>
      </c>
      <c r="AA330" s="4">
        <v>246073298.42931938</v>
      </c>
    </row>
    <row r="331" spans="24:27" x14ac:dyDescent="0.3">
      <c r="X331">
        <v>329</v>
      </c>
      <c r="Y331" s="3">
        <v>1209</v>
      </c>
      <c r="Z331" s="3">
        <v>2.5749999999999997E+53</v>
      </c>
      <c r="AA331" s="4">
        <v>269633507.85340309</v>
      </c>
    </row>
    <row r="332" spans="24:27" x14ac:dyDescent="0.3">
      <c r="X332">
        <v>330</v>
      </c>
      <c r="Y332" s="3">
        <v>1210</v>
      </c>
      <c r="Z332" s="3">
        <v>2.8E+53</v>
      </c>
      <c r="AA332" s="4">
        <v>293193717.27748692</v>
      </c>
    </row>
    <row r="333" spans="24:27" x14ac:dyDescent="0.3">
      <c r="X333">
        <v>331</v>
      </c>
      <c r="Y333" s="3">
        <v>1211</v>
      </c>
      <c r="Z333" s="3">
        <v>3.0250000000000002E+53</v>
      </c>
      <c r="AA333" s="4">
        <v>316753926.70157069</v>
      </c>
    </row>
    <row r="334" spans="24:27" x14ac:dyDescent="0.3">
      <c r="X334">
        <v>332</v>
      </c>
      <c r="Y334" s="3">
        <v>1212</v>
      </c>
      <c r="Z334" s="3">
        <v>3.2499999999999997E+53</v>
      </c>
      <c r="AA334" s="4">
        <v>340314136.1256544</v>
      </c>
    </row>
    <row r="335" spans="24:27" x14ac:dyDescent="0.3">
      <c r="X335">
        <v>333</v>
      </c>
      <c r="Y335" s="3">
        <v>1213</v>
      </c>
      <c r="Z335" s="3">
        <v>3.4750000000000003E+53</v>
      </c>
      <c r="AA335" s="4">
        <v>363874345.54973829</v>
      </c>
    </row>
    <row r="336" spans="24:27" x14ac:dyDescent="0.3">
      <c r="X336">
        <v>334</v>
      </c>
      <c r="Y336" s="3">
        <v>1214</v>
      </c>
      <c r="Z336" s="3">
        <v>3.6999999999999998E+53</v>
      </c>
      <c r="AA336" s="4">
        <v>387434554.973822</v>
      </c>
    </row>
    <row r="337" spans="24:27" x14ac:dyDescent="0.3">
      <c r="X337">
        <v>335</v>
      </c>
      <c r="Y337" s="3">
        <v>1215</v>
      </c>
      <c r="Z337" s="3">
        <v>3.9250000000000005E+53</v>
      </c>
      <c r="AA337" s="4">
        <v>410994764.39790583</v>
      </c>
    </row>
    <row r="338" spans="24:27" x14ac:dyDescent="0.3">
      <c r="X338">
        <v>336</v>
      </c>
      <c r="Y338" s="3">
        <v>1216</v>
      </c>
      <c r="Z338" s="3">
        <v>4.1500000000000007E+53</v>
      </c>
      <c r="AA338" s="4">
        <v>434554973.8219896</v>
      </c>
    </row>
    <row r="339" spans="24:27" x14ac:dyDescent="0.3">
      <c r="X339">
        <v>337</v>
      </c>
      <c r="Y339" s="3">
        <v>1217</v>
      </c>
      <c r="Z339" s="3">
        <v>4.3749999999999993E+53</v>
      </c>
      <c r="AA339" s="4">
        <v>458115183.24607325</v>
      </c>
    </row>
    <row r="340" spans="24:27" x14ac:dyDescent="0.3">
      <c r="X340">
        <v>338</v>
      </c>
      <c r="Y340" s="3">
        <v>1218</v>
      </c>
      <c r="Z340" s="3">
        <v>4.6000000000000004E+53</v>
      </c>
      <c r="AA340" s="4">
        <v>481675392.67015713</v>
      </c>
    </row>
    <row r="341" spans="24:27" x14ac:dyDescent="0.3">
      <c r="X341">
        <v>339</v>
      </c>
      <c r="Y341" s="3">
        <v>1219</v>
      </c>
      <c r="Z341" s="3">
        <v>4.8250000000000007E+53</v>
      </c>
      <c r="AA341" s="4">
        <v>505235602.0942409</v>
      </c>
    </row>
    <row r="342" spans="24:27" x14ac:dyDescent="0.3">
      <c r="X342">
        <v>340</v>
      </c>
      <c r="Y342" s="3">
        <v>1220</v>
      </c>
      <c r="Z342" s="3">
        <v>5.0500000000000001E+53</v>
      </c>
      <c r="AA342" s="4">
        <v>528795811.51832461</v>
      </c>
    </row>
    <row r="343" spans="24:27" x14ac:dyDescent="0.3">
      <c r="X343">
        <v>341</v>
      </c>
      <c r="Y343" s="3">
        <v>1221</v>
      </c>
      <c r="Z343" s="3">
        <v>5.2749999999999995E+53</v>
      </c>
      <c r="AA343" s="4">
        <v>552356020.94240832</v>
      </c>
    </row>
    <row r="344" spans="24:27" x14ac:dyDescent="0.3">
      <c r="X344">
        <v>342</v>
      </c>
      <c r="Y344" s="3">
        <v>1222</v>
      </c>
      <c r="Z344" s="3">
        <v>5.4999999999999998E+53</v>
      </c>
      <c r="AA344" s="4">
        <v>575916230.36649215</v>
      </c>
    </row>
    <row r="345" spans="24:27" x14ac:dyDescent="0.3">
      <c r="X345">
        <v>343</v>
      </c>
      <c r="Y345" s="3">
        <v>1223</v>
      </c>
      <c r="Z345" s="3">
        <v>5.7250000000000009E+53</v>
      </c>
      <c r="AA345" s="4">
        <v>599476439.79057598</v>
      </c>
    </row>
    <row r="346" spans="24:27" x14ac:dyDescent="0.3">
      <c r="X346">
        <v>344</v>
      </c>
      <c r="Y346" s="3">
        <v>1224</v>
      </c>
      <c r="Z346" s="3">
        <v>5.9500000000000011E+53</v>
      </c>
      <c r="AA346" s="4">
        <v>623036649.21465981</v>
      </c>
    </row>
    <row r="347" spans="24:27" x14ac:dyDescent="0.3">
      <c r="X347">
        <v>345</v>
      </c>
      <c r="Y347" s="3">
        <v>1225</v>
      </c>
      <c r="Z347" s="3">
        <v>6.1749999999999997E+53</v>
      </c>
      <c r="AA347" s="4">
        <v>646596858.6387434</v>
      </c>
    </row>
    <row r="348" spans="24:27" x14ac:dyDescent="0.3">
      <c r="X348">
        <v>346</v>
      </c>
      <c r="Y348" s="3">
        <v>1226</v>
      </c>
      <c r="Z348" s="3">
        <v>6.3999999999999991E+53</v>
      </c>
      <c r="AA348" s="4">
        <v>670157068.06282711</v>
      </c>
    </row>
    <row r="349" spans="24:27" x14ac:dyDescent="0.3">
      <c r="X349">
        <v>347</v>
      </c>
      <c r="Y349" s="3">
        <v>1227</v>
      </c>
      <c r="Z349" s="3">
        <v>6.6250000000000002E+53</v>
      </c>
      <c r="AA349" s="4">
        <v>693717277.48691106</v>
      </c>
    </row>
    <row r="350" spans="24:27" x14ac:dyDescent="0.3">
      <c r="X350">
        <v>348</v>
      </c>
      <c r="Y350" s="3">
        <v>1228</v>
      </c>
      <c r="Z350" s="3">
        <v>6.8500000000000013E+53</v>
      </c>
      <c r="AA350" s="4">
        <v>717277486.91099489</v>
      </c>
    </row>
    <row r="351" spans="24:27" x14ac:dyDescent="0.3">
      <c r="X351">
        <v>349</v>
      </c>
      <c r="Y351" s="3">
        <v>1229</v>
      </c>
      <c r="Z351" s="3">
        <v>7.074999999999999E+53</v>
      </c>
      <c r="AA351" s="4">
        <v>740837696.33507848</v>
      </c>
    </row>
    <row r="352" spans="24:27" x14ac:dyDescent="0.3">
      <c r="X352">
        <v>350</v>
      </c>
      <c r="Y352" s="3">
        <v>1230</v>
      </c>
      <c r="Z352" s="3">
        <v>7.3000000000000002E+53</v>
      </c>
      <c r="AA352" s="4">
        <v>764397905.75916231</v>
      </c>
    </row>
    <row r="353" spans="24:27" x14ac:dyDescent="0.3">
      <c r="X353">
        <v>351</v>
      </c>
      <c r="Y353" s="3">
        <v>1231</v>
      </c>
      <c r="Z353" s="3">
        <v>7.5249999999999987E+53</v>
      </c>
      <c r="AA353" s="4">
        <v>787958115.18324602</v>
      </c>
    </row>
    <row r="354" spans="24:27" x14ac:dyDescent="0.3">
      <c r="X354">
        <v>352</v>
      </c>
      <c r="Y354" s="3">
        <v>1232</v>
      </c>
      <c r="Z354" s="3">
        <v>7.7499999999999998E+53</v>
      </c>
      <c r="AA354" s="4">
        <v>811518324.60732985</v>
      </c>
    </row>
    <row r="355" spans="24:27" x14ac:dyDescent="0.3">
      <c r="X355">
        <v>353</v>
      </c>
      <c r="Y355" s="3">
        <v>1233</v>
      </c>
      <c r="Z355" s="3">
        <v>7.975000000000001E+53</v>
      </c>
      <c r="AA355" s="4">
        <v>835078534.03141379</v>
      </c>
    </row>
    <row r="356" spans="24:27" x14ac:dyDescent="0.3">
      <c r="X356">
        <v>354</v>
      </c>
      <c r="Y356" s="3">
        <v>1234</v>
      </c>
      <c r="Z356" s="3">
        <v>8.1999999999999987E+53</v>
      </c>
      <c r="AA356" s="4">
        <v>858638743.45549726</v>
      </c>
    </row>
    <row r="357" spans="24:27" x14ac:dyDescent="0.3">
      <c r="X357">
        <v>355</v>
      </c>
      <c r="Y357" s="3">
        <v>1235</v>
      </c>
      <c r="Z357" s="3">
        <v>8.4249999999999998E+53</v>
      </c>
      <c r="AA357" s="4">
        <v>882198952.87958121</v>
      </c>
    </row>
    <row r="358" spans="24:27" x14ac:dyDescent="0.3">
      <c r="X358">
        <v>356</v>
      </c>
      <c r="Y358" s="3">
        <v>1236</v>
      </c>
      <c r="Z358" s="3">
        <v>8.6499999999999992E+53</v>
      </c>
      <c r="AA358" s="4">
        <v>905759162.30366492</v>
      </c>
    </row>
    <row r="359" spans="24:27" x14ac:dyDescent="0.3">
      <c r="X359">
        <v>357</v>
      </c>
      <c r="Y359" s="3">
        <v>1237</v>
      </c>
      <c r="Z359" s="3">
        <v>8.8750000000000003E+53</v>
      </c>
      <c r="AA359" s="4">
        <v>929319371.72774875</v>
      </c>
    </row>
    <row r="360" spans="24:27" x14ac:dyDescent="0.3">
      <c r="X360">
        <v>358</v>
      </c>
      <c r="Y360" s="3">
        <v>1238</v>
      </c>
      <c r="Z360" s="3">
        <v>9.099999999999998E+53</v>
      </c>
      <c r="AA360" s="4">
        <v>952879581.15183234</v>
      </c>
    </row>
    <row r="361" spans="24:27" x14ac:dyDescent="0.3">
      <c r="X361">
        <v>359</v>
      </c>
      <c r="Y361" s="3">
        <v>1239</v>
      </c>
      <c r="Z361" s="3">
        <v>9.3249999999999991E+53</v>
      </c>
      <c r="AA361" s="4">
        <v>976439790.57591617</v>
      </c>
    </row>
    <row r="362" spans="24:27" x14ac:dyDescent="0.3">
      <c r="X362">
        <v>360</v>
      </c>
      <c r="Y362" s="3">
        <v>1240</v>
      </c>
      <c r="Z362" s="3">
        <v>9.5500000000000003E+53</v>
      </c>
      <c r="AA362" s="4">
        <v>1000000000</v>
      </c>
    </row>
    <row r="363" spans="24:27" x14ac:dyDescent="0.3">
      <c r="X363">
        <v>361</v>
      </c>
      <c r="Y363" s="3">
        <v>1241</v>
      </c>
      <c r="Z363" s="3">
        <v>9.7749999999999997E+53</v>
      </c>
      <c r="AA363" s="4">
        <v>1023560209.4240837</v>
      </c>
    </row>
    <row r="364" spans="24:27" x14ac:dyDescent="0.3">
      <c r="X364">
        <v>362</v>
      </c>
      <c r="Y364" s="3">
        <v>1242</v>
      </c>
      <c r="Z364" s="3">
        <v>1.0000000000000001E+54</v>
      </c>
      <c r="AA364" s="4">
        <v>1047120418.8481677</v>
      </c>
    </row>
    <row r="365" spans="24:27" x14ac:dyDescent="0.3">
      <c r="X365">
        <v>363</v>
      </c>
      <c r="Y365" s="3">
        <v>1243</v>
      </c>
      <c r="Z365" s="3">
        <v>1.225E+54</v>
      </c>
      <c r="AA365" s="4">
        <v>1282722513.0890052</v>
      </c>
    </row>
    <row r="366" spans="24:27" x14ac:dyDescent="0.3">
      <c r="X366">
        <v>364</v>
      </c>
      <c r="Y366" s="3">
        <v>1244</v>
      </c>
      <c r="Z366" s="3">
        <v>1.4499999999999998E+54</v>
      </c>
      <c r="AA366" s="4">
        <v>1518324607.3298428</v>
      </c>
    </row>
    <row r="367" spans="24:27" x14ac:dyDescent="0.3">
      <c r="X367">
        <v>365</v>
      </c>
      <c r="Y367" s="3">
        <v>1245</v>
      </c>
      <c r="Z367" s="3">
        <v>1.675E+54</v>
      </c>
      <c r="AA367" s="4">
        <v>1753926701.5706806</v>
      </c>
    </row>
    <row r="368" spans="24:27" x14ac:dyDescent="0.3">
      <c r="X368">
        <v>366</v>
      </c>
      <c r="Y368" s="3">
        <v>1246</v>
      </c>
      <c r="Z368" s="3">
        <v>1.9000000000000005E+54</v>
      </c>
      <c r="AA368" s="4">
        <v>1989528795.8115189</v>
      </c>
    </row>
    <row r="369" spans="24:27" x14ac:dyDescent="0.3">
      <c r="X369">
        <v>367</v>
      </c>
      <c r="Y369" s="3">
        <v>1247</v>
      </c>
      <c r="Z369" s="3">
        <v>2.1249999999999999E+54</v>
      </c>
      <c r="AA369" s="4">
        <v>2225130890.0523558</v>
      </c>
    </row>
    <row r="370" spans="24:27" x14ac:dyDescent="0.3">
      <c r="X370">
        <v>368</v>
      </c>
      <c r="Y370" s="3">
        <v>1248</v>
      </c>
      <c r="Z370" s="3">
        <v>2.35E+54</v>
      </c>
      <c r="AA370" s="4">
        <v>2460732984.2931938</v>
      </c>
    </row>
    <row r="371" spans="24:27" x14ac:dyDescent="0.3">
      <c r="X371">
        <v>369</v>
      </c>
      <c r="Y371" s="3">
        <v>1249</v>
      </c>
      <c r="Z371" s="3">
        <v>2.5749999999999997E+54</v>
      </c>
      <c r="AA371" s="4">
        <v>2696335078.5340314</v>
      </c>
    </row>
    <row r="372" spans="24:27" x14ac:dyDescent="0.3">
      <c r="X372">
        <v>370</v>
      </c>
      <c r="Y372" s="3">
        <v>1250</v>
      </c>
      <c r="Z372" s="3">
        <v>2.8000000000000002E+54</v>
      </c>
      <c r="AA372" s="4">
        <v>2931937172.7748694</v>
      </c>
    </row>
    <row r="373" spans="24:27" x14ac:dyDescent="0.3">
      <c r="X373">
        <v>371</v>
      </c>
      <c r="Y373" s="3">
        <v>1251</v>
      </c>
      <c r="Z373" s="3">
        <v>3.0250000000000002E+54</v>
      </c>
      <c r="AA373" s="4">
        <v>3167539267.015707</v>
      </c>
    </row>
    <row r="374" spans="24:27" x14ac:dyDescent="0.3">
      <c r="X374">
        <v>372</v>
      </c>
      <c r="Y374" s="3">
        <v>1252</v>
      </c>
      <c r="Z374" s="3">
        <v>3.25E+54</v>
      </c>
      <c r="AA374" s="4">
        <v>3403141361.2565446</v>
      </c>
    </row>
    <row r="375" spans="24:27" x14ac:dyDescent="0.3">
      <c r="X375">
        <v>373</v>
      </c>
      <c r="Y375" s="3">
        <v>1253</v>
      </c>
      <c r="Z375" s="3">
        <v>3.4750000000000004E+54</v>
      </c>
      <c r="AA375" s="4">
        <v>3638743455.4973826</v>
      </c>
    </row>
    <row r="376" spans="24:27" x14ac:dyDescent="0.3">
      <c r="X376">
        <v>374</v>
      </c>
      <c r="Y376" s="3">
        <v>1254</v>
      </c>
      <c r="Z376" s="3">
        <v>3.7000000000000002E+54</v>
      </c>
      <c r="AA376" s="4">
        <v>3874345549.7382202</v>
      </c>
    </row>
    <row r="377" spans="24:27" x14ac:dyDescent="0.3">
      <c r="X377">
        <v>375</v>
      </c>
      <c r="Y377" s="3">
        <v>1255</v>
      </c>
      <c r="Z377" s="3">
        <v>3.9249999999999999E+54</v>
      </c>
      <c r="AA377" s="4">
        <v>4109947643.9790578</v>
      </c>
    </row>
    <row r="378" spans="24:27" x14ac:dyDescent="0.3">
      <c r="X378">
        <v>376</v>
      </c>
      <c r="Y378" s="3">
        <v>1256</v>
      </c>
      <c r="Z378" s="3">
        <v>4.1500000000000004E+54</v>
      </c>
      <c r="AA378" s="4">
        <v>4345549738.2198954</v>
      </c>
    </row>
    <row r="379" spans="24:27" x14ac:dyDescent="0.3">
      <c r="X379">
        <v>377</v>
      </c>
      <c r="Y379" s="3">
        <v>1257</v>
      </c>
      <c r="Z379" s="3">
        <v>4.3749999999999994E+54</v>
      </c>
      <c r="AA379" s="4">
        <v>4581151832.4607325</v>
      </c>
    </row>
    <row r="380" spans="24:27" x14ac:dyDescent="0.3">
      <c r="X380">
        <v>378</v>
      </c>
      <c r="Y380" s="3">
        <v>1258</v>
      </c>
      <c r="Z380" s="3">
        <v>4.5999999999999999E+54</v>
      </c>
      <c r="AA380" s="4">
        <v>4816753926.7015705</v>
      </c>
    </row>
    <row r="381" spans="24:27" x14ac:dyDescent="0.3">
      <c r="X381">
        <v>379</v>
      </c>
      <c r="Y381" s="3">
        <v>1259</v>
      </c>
      <c r="Z381" s="3">
        <v>4.825000000000001E+54</v>
      </c>
      <c r="AA381" s="4">
        <v>5052356020.9424095</v>
      </c>
    </row>
    <row r="382" spans="24:27" x14ac:dyDescent="0.3">
      <c r="X382">
        <v>380</v>
      </c>
      <c r="Y382" s="3">
        <v>1260</v>
      </c>
      <c r="Z382" s="3">
        <v>5.0500000000000001E+54</v>
      </c>
      <c r="AA382" s="4">
        <v>5287958115.1832466</v>
      </c>
    </row>
    <row r="383" spans="24:27" x14ac:dyDescent="0.3">
      <c r="X383">
        <v>381</v>
      </c>
      <c r="Y383" s="3">
        <v>1261</v>
      </c>
      <c r="Z383" s="3">
        <v>5.2749999999999998E+54</v>
      </c>
      <c r="AA383" s="4">
        <v>5523560209.4240837</v>
      </c>
    </row>
    <row r="384" spans="24:27" x14ac:dyDescent="0.3">
      <c r="X384">
        <v>382</v>
      </c>
      <c r="Y384" s="3">
        <v>1262</v>
      </c>
      <c r="Z384" s="3">
        <v>5.4999999999999996E+54</v>
      </c>
      <c r="AA384" s="4">
        <v>5759162303.6649208</v>
      </c>
    </row>
    <row r="385" spans="24:27" x14ac:dyDescent="0.3">
      <c r="X385">
        <v>383</v>
      </c>
      <c r="Y385" s="3">
        <v>1263</v>
      </c>
      <c r="Z385" s="3">
        <v>5.7250000000000007E+54</v>
      </c>
      <c r="AA385" s="4">
        <v>5994764397.9057598</v>
      </c>
    </row>
    <row r="386" spans="24:27" x14ac:dyDescent="0.3">
      <c r="X386">
        <v>384</v>
      </c>
      <c r="Y386" s="3">
        <v>1264</v>
      </c>
      <c r="Z386" s="3">
        <v>5.9500000000000011E+54</v>
      </c>
      <c r="AA386" s="4">
        <v>6230366492.1465979</v>
      </c>
    </row>
    <row r="387" spans="24:27" x14ac:dyDescent="0.3">
      <c r="X387">
        <v>385</v>
      </c>
      <c r="Y387" s="3">
        <v>1265</v>
      </c>
      <c r="Z387" s="3">
        <v>6.1749999999999988E+54</v>
      </c>
      <c r="AA387" s="4">
        <v>6465968586.387434</v>
      </c>
    </row>
    <row r="388" spans="24:27" x14ac:dyDescent="0.3">
      <c r="X388">
        <v>386</v>
      </c>
      <c r="Y388" s="3">
        <v>1266</v>
      </c>
      <c r="Z388" s="3">
        <v>6.3999999999999986E+54</v>
      </c>
      <c r="AA388" s="4">
        <v>6701570680.6282711</v>
      </c>
    </row>
    <row r="389" spans="24:27" x14ac:dyDescent="0.3">
      <c r="X389">
        <v>387</v>
      </c>
      <c r="Y389" s="3">
        <v>1267</v>
      </c>
      <c r="Z389" s="3">
        <v>6.6249999999999997E+54</v>
      </c>
      <c r="AA389" s="4">
        <v>6937172774.8691101</v>
      </c>
    </row>
    <row r="390" spans="24:27" x14ac:dyDescent="0.3">
      <c r="X390">
        <v>388</v>
      </c>
      <c r="Y390" s="3">
        <v>1268</v>
      </c>
      <c r="Z390" s="3">
        <v>6.8500000000000008E+54</v>
      </c>
      <c r="AA390" s="4">
        <v>7172774869.1099491</v>
      </c>
    </row>
    <row r="391" spans="24:27" x14ac:dyDescent="0.3">
      <c r="X391">
        <v>389</v>
      </c>
      <c r="Y391" s="3">
        <v>1269</v>
      </c>
      <c r="Z391" s="3">
        <v>7.0749999999999992E+54</v>
      </c>
      <c r="AA391" s="4">
        <v>7408376963.3507843</v>
      </c>
    </row>
    <row r="392" spans="24:27" x14ac:dyDescent="0.3">
      <c r="X392">
        <v>390</v>
      </c>
      <c r="Y392" s="3">
        <v>1270</v>
      </c>
      <c r="Z392" s="3">
        <v>7.3000000000000003E+54</v>
      </c>
      <c r="AA392" s="4">
        <v>7643979057.5916233</v>
      </c>
    </row>
    <row r="393" spans="24:27" x14ac:dyDescent="0.3">
      <c r="X393">
        <v>391</v>
      </c>
      <c r="Y393" s="3">
        <v>1271</v>
      </c>
      <c r="Z393" s="3">
        <v>7.5249999999999987E+54</v>
      </c>
      <c r="AA393" s="4">
        <v>7879581151.8324594</v>
      </c>
    </row>
    <row r="394" spans="24:27" x14ac:dyDescent="0.3">
      <c r="X394">
        <v>392</v>
      </c>
      <c r="Y394" s="3">
        <v>1272</v>
      </c>
      <c r="Z394" s="3">
        <v>7.7499999999999998E+54</v>
      </c>
      <c r="AA394" s="4">
        <v>8115183246.0732985</v>
      </c>
    </row>
    <row r="395" spans="24:27" x14ac:dyDescent="0.3">
      <c r="X395">
        <v>393</v>
      </c>
      <c r="Y395" s="3">
        <v>1273</v>
      </c>
      <c r="Z395" s="3">
        <v>7.975000000000001E+54</v>
      </c>
      <c r="AA395" s="4">
        <v>8350785340.3141375</v>
      </c>
    </row>
    <row r="396" spans="24:27" x14ac:dyDescent="0.3">
      <c r="X396">
        <v>394</v>
      </c>
      <c r="Y396" s="3">
        <v>1274</v>
      </c>
      <c r="Z396" s="3">
        <v>8.1999999999999993E+54</v>
      </c>
      <c r="AA396" s="4">
        <v>8586387434.5549736</v>
      </c>
    </row>
    <row r="397" spans="24:27" x14ac:dyDescent="0.3">
      <c r="X397">
        <v>395</v>
      </c>
      <c r="Y397" s="3">
        <v>1275</v>
      </c>
      <c r="Z397" s="3">
        <v>8.4250000000000005E+54</v>
      </c>
      <c r="AA397" s="4">
        <v>8821989528.7958126</v>
      </c>
    </row>
    <row r="398" spans="24:27" x14ac:dyDescent="0.3">
      <c r="X398">
        <v>396</v>
      </c>
      <c r="Y398" s="3">
        <v>1276</v>
      </c>
      <c r="Z398" s="3">
        <v>8.6500000000000002E+54</v>
      </c>
      <c r="AA398" s="4">
        <v>9057591623.0366497</v>
      </c>
    </row>
    <row r="399" spans="24:27" x14ac:dyDescent="0.3">
      <c r="X399">
        <v>397</v>
      </c>
      <c r="Y399" s="3">
        <v>1277</v>
      </c>
      <c r="Z399" s="3">
        <v>8.875E+54</v>
      </c>
      <c r="AA399" s="4">
        <v>9293193717.2774868</v>
      </c>
    </row>
    <row r="400" spans="24:27" x14ac:dyDescent="0.3">
      <c r="X400">
        <v>398</v>
      </c>
      <c r="Y400" s="3">
        <v>1278</v>
      </c>
      <c r="Z400" s="3">
        <v>9.0999999999999984E+54</v>
      </c>
      <c r="AA400" s="4">
        <v>9528795811.5183239</v>
      </c>
    </row>
    <row r="401" spans="24:27" x14ac:dyDescent="0.3">
      <c r="X401">
        <v>399</v>
      </c>
      <c r="Y401" s="3">
        <v>1279</v>
      </c>
      <c r="Z401" s="3">
        <v>9.3249999999999995E+54</v>
      </c>
      <c r="AA401" s="4">
        <v>9764397905.7591629</v>
      </c>
    </row>
    <row r="402" spans="24:27" x14ac:dyDescent="0.3">
      <c r="X402">
        <v>400</v>
      </c>
      <c r="Y402" s="3">
        <v>1280</v>
      </c>
      <c r="Z402" s="3">
        <v>9.5500000000000006E+54</v>
      </c>
      <c r="AA402" s="4">
        <v>10000000000</v>
      </c>
    </row>
    <row r="403" spans="24:27" x14ac:dyDescent="0.3">
      <c r="X403">
        <v>401</v>
      </c>
      <c r="Y403" s="3">
        <v>1281</v>
      </c>
      <c r="Z403" s="3">
        <v>9.7750000000000003E+54</v>
      </c>
      <c r="AA403" s="4">
        <v>10235602094.240839</v>
      </c>
    </row>
    <row r="404" spans="24:27" x14ac:dyDescent="0.3">
      <c r="X404">
        <v>402</v>
      </c>
      <c r="Y404" s="3">
        <v>1282</v>
      </c>
      <c r="Z404" s="3">
        <v>1E+55</v>
      </c>
      <c r="AA404" s="4">
        <v>10471204188.481676</v>
      </c>
    </row>
    <row r="405" spans="24:27" x14ac:dyDescent="0.3">
      <c r="X405">
        <v>403</v>
      </c>
      <c r="Y405" s="3">
        <v>1283</v>
      </c>
      <c r="Z405" s="3">
        <v>1.225E+55</v>
      </c>
      <c r="AA405" s="4">
        <v>12827225130.890053</v>
      </c>
    </row>
    <row r="406" spans="24:27" x14ac:dyDescent="0.3">
      <c r="X406">
        <v>404</v>
      </c>
      <c r="Y406" s="3">
        <v>1284</v>
      </c>
      <c r="Z406" s="3">
        <v>1.4499999999999997E+55</v>
      </c>
      <c r="AA406" s="4">
        <v>15183246073.298426</v>
      </c>
    </row>
    <row r="407" spans="24:27" x14ac:dyDescent="0.3">
      <c r="X407">
        <v>405</v>
      </c>
      <c r="Y407" s="3">
        <v>1285</v>
      </c>
      <c r="Z407" s="3">
        <v>1.675E+55</v>
      </c>
      <c r="AA407" s="4">
        <v>17539267015.706806</v>
      </c>
    </row>
    <row r="408" spans="24:27" x14ac:dyDescent="0.3">
      <c r="X408">
        <v>406</v>
      </c>
      <c r="Y408" s="3">
        <v>1286</v>
      </c>
      <c r="Z408" s="3">
        <v>1.9000000000000003E+55</v>
      </c>
      <c r="AA408" s="4">
        <v>19895287958.115185</v>
      </c>
    </row>
    <row r="409" spans="24:27" x14ac:dyDescent="0.3">
      <c r="X409">
        <v>407</v>
      </c>
      <c r="Y409" s="3">
        <v>1287</v>
      </c>
      <c r="Z409" s="3">
        <v>2.125E+55</v>
      </c>
      <c r="AA409" s="4">
        <v>22251308900.52356</v>
      </c>
    </row>
    <row r="410" spans="24:27" x14ac:dyDescent="0.3">
      <c r="X410">
        <v>408</v>
      </c>
      <c r="Y410" s="3">
        <v>1288</v>
      </c>
      <c r="Z410" s="3">
        <v>2.35E+55</v>
      </c>
      <c r="AA410" s="4">
        <v>24607329842.931938</v>
      </c>
    </row>
    <row r="411" spans="24:27" x14ac:dyDescent="0.3">
      <c r="X411">
        <v>409</v>
      </c>
      <c r="Y411" s="3">
        <v>1289</v>
      </c>
      <c r="Z411" s="3">
        <v>2.5749999999999998E+55</v>
      </c>
      <c r="AA411" s="4">
        <v>26963350785.340313</v>
      </c>
    </row>
    <row r="412" spans="24:27" x14ac:dyDescent="0.3">
      <c r="X412">
        <v>410</v>
      </c>
      <c r="Y412" s="3">
        <v>1290</v>
      </c>
      <c r="Z412" s="3">
        <v>2.8000000000000001E+55</v>
      </c>
      <c r="AA412" s="4">
        <v>29319371727.748692</v>
      </c>
    </row>
    <row r="413" spans="24:27" x14ac:dyDescent="0.3">
      <c r="X413">
        <v>411</v>
      </c>
      <c r="Y413" s="3">
        <v>1291</v>
      </c>
      <c r="Z413" s="3">
        <v>3.0250000000000004E+55</v>
      </c>
      <c r="AA413" s="4">
        <v>31675392670.157074</v>
      </c>
    </row>
    <row r="414" spans="24:27" x14ac:dyDescent="0.3">
      <c r="X414">
        <v>412</v>
      </c>
      <c r="Y414" s="3">
        <v>1292</v>
      </c>
      <c r="Z414" s="3">
        <v>3.2499999999999996E+55</v>
      </c>
      <c r="AA414" s="4">
        <v>34031413612.565441</v>
      </c>
    </row>
    <row r="415" spans="24:27" x14ac:dyDescent="0.3">
      <c r="X415">
        <v>413</v>
      </c>
      <c r="Y415" s="3">
        <v>1293</v>
      </c>
      <c r="Z415" s="3">
        <v>3.4750000000000004E+55</v>
      </c>
      <c r="AA415" s="4">
        <v>36387434554.973831</v>
      </c>
    </row>
    <row r="416" spans="24:27" x14ac:dyDescent="0.3">
      <c r="X416">
        <v>414</v>
      </c>
      <c r="Y416" s="3">
        <v>1294</v>
      </c>
      <c r="Z416" s="3">
        <v>3.7000000000000002E+55</v>
      </c>
      <c r="AA416" s="4">
        <v>38743455497.382202</v>
      </c>
    </row>
    <row r="417" spans="24:27" x14ac:dyDescent="0.3">
      <c r="X417">
        <v>415</v>
      </c>
      <c r="Y417" s="3">
        <v>1295</v>
      </c>
      <c r="Z417" s="3">
        <v>3.9250000000000005E+55</v>
      </c>
      <c r="AA417" s="4">
        <v>41099476439.790581</v>
      </c>
    </row>
    <row r="418" spans="24:27" x14ac:dyDescent="0.3">
      <c r="X418">
        <v>416</v>
      </c>
      <c r="Y418" s="3">
        <v>1296</v>
      </c>
      <c r="Z418" s="3">
        <v>4.1500000000000008E+55</v>
      </c>
      <c r="AA418" s="4">
        <v>43455497382.198959</v>
      </c>
    </row>
    <row r="419" spans="24:27" x14ac:dyDescent="0.3">
      <c r="X419">
        <v>417</v>
      </c>
      <c r="Y419" s="3">
        <v>1297</v>
      </c>
      <c r="Z419" s="3">
        <v>4.3749999999999994E+55</v>
      </c>
      <c r="AA419" s="4">
        <v>45811518324.607323</v>
      </c>
    </row>
    <row r="420" spans="24:27" x14ac:dyDescent="0.3">
      <c r="X420">
        <v>418</v>
      </c>
      <c r="Y420" s="3">
        <v>1298</v>
      </c>
      <c r="Z420" s="3">
        <v>4.6000000000000003E+55</v>
      </c>
      <c r="AA420" s="4">
        <v>48167539267.015709</v>
      </c>
    </row>
    <row r="421" spans="24:27" x14ac:dyDescent="0.3">
      <c r="X421">
        <v>419</v>
      </c>
      <c r="Y421" s="3">
        <v>1299</v>
      </c>
      <c r="Z421" s="3">
        <v>4.8250000000000011E+55</v>
      </c>
      <c r="AA421" s="4">
        <v>50523560209.424095</v>
      </c>
    </row>
    <row r="422" spans="24:27" x14ac:dyDescent="0.3">
      <c r="X422">
        <v>420</v>
      </c>
      <c r="Y422" s="3">
        <v>1300</v>
      </c>
      <c r="Z422" s="3">
        <v>5.0499999999999998E+55</v>
      </c>
      <c r="AA422" s="4">
        <v>52879581151.832458</v>
      </c>
    </row>
    <row r="423" spans="24:27" x14ac:dyDescent="0.3">
      <c r="X423">
        <v>421</v>
      </c>
      <c r="Y423" s="3">
        <v>1301</v>
      </c>
      <c r="Z423" s="3">
        <v>5.2749999999999996E+55</v>
      </c>
      <c r="AA423" s="4">
        <v>55235602094.240837</v>
      </c>
    </row>
    <row r="424" spans="24:27" x14ac:dyDescent="0.3">
      <c r="X424">
        <v>422</v>
      </c>
      <c r="Y424" s="3">
        <v>1302</v>
      </c>
      <c r="Z424" s="3">
        <v>5.4999999999999993E+55</v>
      </c>
      <c r="AA424" s="4">
        <v>57591623036.649208</v>
      </c>
    </row>
    <row r="425" spans="24:27" x14ac:dyDescent="0.3">
      <c r="X425">
        <v>423</v>
      </c>
      <c r="Y425" s="3">
        <v>1303</v>
      </c>
      <c r="Z425" s="3">
        <v>5.7250000000000002E+55</v>
      </c>
      <c r="AA425" s="4">
        <v>59947643979.057594</v>
      </c>
    </row>
    <row r="426" spans="24:27" x14ac:dyDescent="0.3">
      <c r="X426">
        <v>424</v>
      </c>
      <c r="Y426" s="3">
        <v>1304</v>
      </c>
      <c r="Z426" s="3">
        <v>5.950000000000001E+55</v>
      </c>
      <c r="AA426" s="4">
        <v>62303664921.465981</v>
      </c>
    </row>
    <row r="427" spans="24:27" x14ac:dyDescent="0.3">
      <c r="X427">
        <v>425</v>
      </c>
      <c r="Y427" s="3">
        <v>1305</v>
      </c>
      <c r="Z427" s="3">
        <v>6.1749999999999997E+55</v>
      </c>
      <c r="AA427" s="4">
        <v>64659685863.874344</v>
      </c>
    </row>
    <row r="428" spans="24:27" x14ac:dyDescent="0.3">
      <c r="X428">
        <v>426</v>
      </c>
      <c r="Y428" s="3">
        <v>1306</v>
      </c>
      <c r="Z428" s="3">
        <v>6.3999999999999994E+55</v>
      </c>
      <c r="AA428" s="4">
        <v>67015706806.282715</v>
      </c>
    </row>
    <row r="429" spans="24:27" x14ac:dyDescent="0.3">
      <c r="X429">
        <v>427</v>
      </c>
      <c r="Y429" s="3">
        <v>1307</v>
      </c>
      <c r="Z429" s="3">
        <v>6.6250000000000003E+55</v>
      </c>
      <c r="AA429" s="4">
        <v>69371727748.691101</v>
      </c>
    </row>
    <row r="430" spans="24:27" x14ac:dyDescent="0.3">
      <c r="X430">
        <v>428</v>
      </c>
      <c r="Y430" s="3">
        <v>1308</v>
      </c>
      <c r="Z430" s="3">
        <v>6.8500000000000011E+55</v>
      </c>
      <c r="AA430" s="4">
        <v>71727748691.099487</v>
      </c>
    </row>
    <row r="431" spans="24:27" x14ac:dyDescent="0.3">
      <c r="X431">
        <v>429</v>
      </c>
      <c r="Y431" s="3">
        <v>1309</v>
      </c>
      <c r="Z431" s="3">
        <v>7.0749999999999998E+55</v>
      </c>
      <c r="AA431" s="4">
        <v>74083769633.507858</v>
      </c>
    </row>
    <row r="432" spans="24:27" x14ac:dyDescent="0.3">
      <c r="X432">
        <v>430</v>
      </c>
      <c r="Y432" s="3">
        <v>1310</v>
      </c>
      <c r="Z432" s="3">
        <v>7.3000000000000006E+55</v>
      </c>
      <c r="AA432" s="4">
        <v>76439790575.916245</v>
      </c>
    </row>
    <row r="433" spans="24:27" x14ac:dyDescent="0.3">
      <c r="X433">
        <v>431</v>
      </c>
      <c r="Y433" s="3">
        <v>1311</v>
      </c>
      <c r="Z433" s="3">
        <v>7.5249999999999993E+55</v>
      </c>
      <c r="AA433" s="4">
        <v>78795811518.3246</v>
      </c>
    </row>
    <row r="434" spans="24:27" x14ac:dyDescent="0.3">
      <c r="X434">
        <v>432</v>
      </c>
      <c r="Y434" s="3">
        <v>1312</v>
      </c>
      <c r="Z434" s="3">
        <v>7.7500000000000001E+55</v>
      </c>
      <c r="AA434" s="4">
        <v>81151832460.732986</v>
      </c>
    </row>
    <row r="435" spans="24:27" x14ac:dyDescent="0.3">
      <c r="X435">
        <v>433</v>
      </c>
      <c r="Y435" s="3">
        <v>1313</v>
      </c>
      <c r="Z435" s="3">
        <v>7.975000000000001E+55</v>
      </c>
      <c r="AA435" s="4">
        <v>83507853403.141373</v>
      </c>
    </row>
    <row r="436" spans="24:27" x14ac:dyDescent="0.3">
      <c r="X436">
        <v>434</v>
      </c>
      <c r="Y436" s="3">
        <v>1314</v>
      </c>
      <c r="Z436" s="3">
        <v>8.1999999999999996E+55</v>
      </c>
      <c r="AA436" s="4">
        <v>85863874345.549744</v>
      </c>
    </row>
    <row r="437" spans="24:27" x14ac:dyDescent="0.3">
      <c r="X437">
        <v>435</v>
      </c>
      <c r="Y437" s="3">
        <v>1315</v>
      </c>
      <c r="Z437" s="3">
        <v>8.4250000000000005E+55</v>
      </c>
      <c r="AA437" s="4">
        <v>88219895287.95813</v>
      </c>
    </row>
  </sheetData>
  <mergeCells count="28">
    <mergeCell ref="E66:F66"/>
    <mergeCell ref="P53:P54"/>
    <mergeCell ref="P51:P52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AD1:AE1"/>
    <mergeCell ref="AF1:AG1"/>
    <mergeCell ref="AH1:AI1"/>
    <mergeCell ref="AJ1:AK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C135-E045-45E0-BF88-1C0ED6671BAF}">
  <dimension ref="A2:P107"/>
  <sheetViews>
    <sheetView topLeftCell="A77" workbookViewId="0">
      <selection activeCell="A75" sqref="A75:N103"/>
    </sheetView>
  </sheetViews>
  <sheetFormatPr defaultRowHeight="16.5" x14ac:dyDescent="0.3"/>
  <cols>
    <col min="6" max="6" width="27.25" customWidth="1"/>
    <col min="7" max="7" width="14" bestFit="1" customWidth="1"/>
    <col min="11" max="11" width="13.125" bestFit="1" customWidth="1"/>
    <col min="12" max="13" width="13.5" bestFit="1" customWidth="1"/>
    <col min="14" max="14" width="10.875" bestFit="1" customWidth="1"/>
    <col min="15" max="15" width="13.5" bestFit="1" customWidth="1"/>
    <col min="16" max="16" width="12.75" bestFit="1" customWidth="1"/>
  </cols>
  <sheetData>
    <row r="2" spans="1:15" x14ac:dyDescent="0.3">
      <c r="A2" t="s">
        <v>44</v>
      </c>
      <c r="C2" t="s">
        <v>40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O2">
        <v>4500</v>
      </c>
    </row>
    <row r="3" spans="1:15" x14ac:dyDescent="0.3">
      <c r="C3" t="s">
        <v>41</v>
      </c>
      <c r="D3">
        <v>71.494900000000001</v>
      </c>
      <c r="E3">
        <v>62.919800000000002</v>
      </c>
      <c r="F3">
        <v>53.798000000000002</v>
      </c>
      <c r="G3">
        <v>42.49</v>
      </c>
      <c r="H3">
        <v>30.285</v>
      </c>
      <c r="I3">
        <v>26.954999999999998</v>
      </c>
      <c r="J3">
        <v>18.420000000000002</v>
      </c>
      <c r="K3">
        <v>8.89</v>
      </c>
      <c r="L3">
        <v>2.92</v>
      </c>
      <c r="M3">
        <v>1.9</v>
      </c>
      <c r="O3">
        <v>30</v>
      </c>
    </row>
    <row r="4" spans="1:15" x14ac:dyDescent="0.3">
      <c r="C4" t="s">
        <v>8</v>
      </c>
      <c r="D4">
        <v>22</v>
      </c>
      <c r="E4">
        <v>26</v>
      </c>
      <c r="F4">
        <v>30</v>
      </c>
      <c r="G4">
        <v>33</v>
      </c>
      <c r="H4">
        <v>35</v>
      </c>
      <c r="I4">
        <v>25</v>
      </c>
      <c r="J4">
        <v>20</v>
      </c>
      <c r="K4">
        <v>15</v>
      </c>
      <c r="L4">
        <v>5</v>
      </c>
      <c r="M4">
        <v>4</v>
      </c>
    </row>
    <row r="5" spans="1:15" x14ac:dyDescent="0.3">
      <c r="C5" t="s">
        <v>42</v>
      </c>
      <c r="D5">
        <v>6</v>
      </c>
      <c r="E5">
        <v>9</v>
      </c>
      <c r="F5">
        <v>11</v>
      </c>
      <c r="G5">
        <v>14</v>
      </c>
      <c r="H5">
        <v>19</v>
      </c>
      <c r="I5">
        <v>25</v>
      </c>
      <c r="J5">
        <v>35</v>
      </c>
      <c r="K5">
        <v>40</v>
      </c>
      <c r="L5">
        <v>50</v>
      </c>
      <c r="M5">
        <v>45</v>
      </c>
      <c r="O5" s="5">
        <f>O2/O3</f>
        <v>150</v>
      </c>
    </row>
    <row r="6" spans="1:15" x14ac:dyDescent="0.3">
      <c r="C6" t="s">
        <v>11</v>
      </c>
      <c r="D6">
        <v>0.5</v>
      </c>
      <c r="E6">
        <v>2</v>
      </c>
      <c r="F6">
        <v>5</v>
      </c>
      <c r="G6">
        <v>10</v>
      </c>
      <c r="H6">
        <v>15</v>
      </c>
      <c r="I6">
        <v>22</v>
      </c>
      <c r="J6">
        <v>25</v>
      </c>
      <c r="K6">
        <v>34</v>
      </c>
      <c r="L6">
        <v>39</v>
      </c>
      <c r="M6">
        <v>44</v>
      </c>
    </row>
    <row r="7" spans="1:15" x14ac:dyDescent="0.3">
      <c r="C7" t="s">
        <v>13</v>
      </c>
      <c r="D7">
        <v>5.0000000000000001E-3</v>
      </c>
      <c r="E7">
        <v>0.08</v>
      </c>
      <c r="F7">
        <v>0.2</v>
      </c>
      <c r="G7">
        <v>0.5</v>
      </c>
      <c r="H7">
        <v>0.7</v>
      </c>
      <c r="I7">
        <v>1.02</v>
      </c>
      <c r="J7">
        <v>1.54</v>
      </c>
      <c r="K7">
        <v>2.0499999999999998</v>
      </c>
      <c r="L7">
        <v>3</v>
      </c>
      <c r="M7">
        <v>5</v>
      </c>
    </row>
    <row r="8" spans="1:15" x14ac:dyDescent="0.3">
      <c r="C8" t="s">
        <v>15</v>
      </c>
      <c r="D8">
        <v>1E-4</v>
      </c>
      <c r="E8">
        <v>2.0000000000000001E-4</v>
      </c>
      <c r="F8">
        <v>2E-3</v>
      </c>
      <c r="G8">
        <v>0.01</v>
      </c>
      <c r="H8">
        <v>1.4999999999999999E-2</v>
      </c>
      <c r="I8">
        <v>2.5000000000000001E-2</v>
      </c>
      <c r="J8">
        <v>0.04</v>
      </c>
      <c r="K8">
        <v>0.06</v>
      </c>
      <c r="L8">
        <v>0.08</v>
      </c>
      <c r="M8">
        <v>0.1</v>
      </c>
    </row>
    <row r="9" spans="1:15" x14ac:dyDescent="0.3">
      <c r="D9">
        <f>SUM(D3:D8)</f>
        <v>100</v>
      </c>
      <c r="E9">
        <f t="shared" ref="E9:M9" si="0">SUM(E3:E8)</f>
        <v>100.00000000000001</v>
      </c>
      <c r="F9">
        <f t="shared" si="0"/>
        <v>100</v>
      </c>
      <c r="G9">
        <f t="shared" si="0"/>
        <v>100.00000000000001</v>
      </c>
      <c r="H9">
        <f t="shared" si="0"/>
        <v>100</v>
      </c>
      <c r="I9">
        <f t="shared" si="0"/>
        <v>100</v>
      </c>
      <c r="J9">
        <f t="shared" si="0"/>
        <v>100.00000000000001</v>
      </c>
      <c r="K9">
        <f t="shared" si="0"/>
        <v>100</v>
      </c>
      <c r="L9">
        <f t="shared" si="0"/>
        <v>100</v>
      </c>
      <c r="M9">
        <f t="shared" si="0"/>
        <v>100</v>
      </c>
    </row>
    <row r="11" spans="1:15" x14ac:dyDescent="0.3">
      <c r="A11" t="s">
        <v>43</v>
      </c>
      <c r="C11" t="s">
        <v>18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  <c r="O11">
        <v>500</v>
      </c>
    </row>
    <row r="12" spans="1:15" x14ac:dyDescent="0.3">
      <c r="O12">
        <v>11</v>
      </c>
    </row>
    <row r="13" spans="1:15" x14ac:dyDescent="0.3">
      <c r="C13" t="s">
        <v>7</v>
      </c>
      <c r="D13">
        <v>68.58</v>
      </c>
      <c r="E13">
        <v>54.2</v>
      </c>
      <c r="F13">
        <v>33.1</v>
      </c>
      <c r="G13">
        <v>10.56</v>
      </c>
      <c r="H13">
        <v>7.2</v>
      </c>
      <c r="I13">
        <v>5.08</v>
      </c>
      <c r="J13">
        <v>4.41</v>
      </c>
      <c r="K13">
        <v>2.68</v>
      </c>
      <c r="L13">
        <v>0.11</v>
      </c>
      <c r="M13">
        <v>0.01</v>
      </c>
    </row>
    <row r="14" spans="1:15" x14ac:dyDescent="0.3">
      <c r="C14" t="s">
        <v>9</v>
      </c>
      <c r="D14">
        <v>25.5</v>
      </c>
      <c r="E14">
        <v>32.799999999999997</v>
      </c>
      <c r="F14">
        <v>43.5</v>
      </c>
      <c r="G14">
        <v>55.84</v>
      </c>
      <c r="H14">
        <v>45</v>
      </c>
      <c r="I14">
        <v>31.2</v>
      </c>
      <c r="J14">
        <v>21</v>
      </c>
      <c r="K14">
        <v>18</v>
      </c>
      <c r="L14">
        <v>4.2</v>
      </c>
      <c r="M14">
        <v>0.5</v>
      </c>
      <c r="O14" s="6">
        <f>O11/O12</f>
        <v>45.454545454545453</v>
      </c>
    </row>
    <row r="15" spans="1:15" x14ac:dyDescent="0.3">
      <c r="C15" t="s">
        <v>10</v>
      </c>
      <c r="D15">
        <v>5.4</v>
      </c>
      <c r="E15">
        <v>11.2</v>
      </c>
      <c r="F15">
        <v>18.399999999999999</v>
      </c>
      <c r="G15">
        <v>23.5</v>
      </c>
      <c r="H15">
        <v>28.5</v>
      </c>
      <c r="I15">
        <v>40.049999999999997</v>
      </c>
      <c r="J15">
        <v>36.5</v>
      </c>
      <c r="K15">
        <v>29</v>
      </c>
      <c r="L15">
        <v>18</v>
      </c>
      <c r="M15">
        <v>9.49</v>
      </c>
    </row>
    <row r="16" spans="1:15" x14ac:dyDescent="0.3">
      <c r="C16" t="s">
        <v>12</v>
      </c>
      <c r="D16">
        <v>0.51490000000000002</v>
      </c>
      <c r="E16">
        <v>1.7197</v>
      </c>
      <c r="F16">
        <v>4.7981999999999996</v>
      </c>
      <c r="G16">
        <v>9.59</v>
      </c>
      <c r="H16">
        <v>18.574999999999999</v>
      </c>
      <c r="I16">
        <v>22.617999999999999</v>
      </c>
      <c r="J16">
        <v>36.5</v>
      </c>
      <c r="K16">
        <v>48.2</v>
      </c>
      <c r="L16">
        <v>73.569999999999993</v>
      </c>
      <c r="M16">
        <v>82.85</v>
      </c>
    </row>
    <row r="17" spans="1:16" x14ac:dyDescent="0.3">
      <c r="C17" t="s">
        <v>14</v>
      </c>
      <c r="D17">
        <v>5.0000000000000001E-3</v>
      </c>
      <c r="E17">
        <v>0.08</v>
      </c>
      <c r="F17">
        <v>0.2</v>
      </c>
      <c r="G17">
        <v>0.5</v>
      </c>
      <c r="H17">
        <v>0.7</v>
      </c>
      <c r="I17">
        <v>1.02</v>
      </c>
      <c r="J17">
        <v>1.54</v>
      </c>
      <c r="K17">
        <v>2.0499999999999998</v>
      </c>
      <c r="L17">
        <v>4.0199999999999996</v>
      </c>
      <c r="M17">
        <v>7</v>
      </c>
    </row>
    <row r="18" spans="1:16" x14ac:dyDescent="0.3">
      <c r="C18" t="s">
        <v>16</v>
      </c>
      <c r="D18">
        <v>1E-4</v>
      </c>
      <c r="E18">
        <v>2.9999999999999997E-4</v>
      </c>
      <c r="F18">
        <v>1.8E-3</v>
      </c>
      <c r="G18">
        <v>0.01</v>
      </c>
      <c r="H18">
        <v>2.5000000000000001E-2</v>
      </c>
      <c r="I18">
        <v>3.2000000000000001E-2</v>
      </c>
      <c r="J18">
        <v>0.05</v>
      </c>
      <c r="K18">
        <v>7.0000000000000007E-2</v>
      </c>
      <c r="L18">
        <v>0.1</v>
      </c>
      <c r="M18">
        <v>0.15</v>
      </c>
    </row>
    <row r="19" spans="1:16" x14ac:dyDescent="0.3">
      <c r="D19">
        <f>SUM(D13:D18)</f>
        <v>100</v>
      </c>
      <c r="E19">
        <f t="shared" ref="E19:M19" si="1">SUM(E13:E18)</f>
        <v>100</v>
      </c>
      <c r="F19">
        <f t="shared" si="1"/>
        <v>100</v>
      </c>
      <c r="G19">
        <f t="shared" si="1"/>
        <v>100.00000000000001</v>
      </c>
      <c r="H19">
        <f t="shared" si="1"/>
        <v>100.00000000000001</v>
      </c>
      <c r="I19">
        <f t="shared" si="1"/>
        <v>99.999999999999986</v>
      </c>
      <c r="J19">
        <f t="shared" si="1"/>
        <v>100</v>
      </c>
      <c r="K19">
        <f t="shared" si="1"/>
        <v>99.999999999999986</v>
      </c>
      <c r="L19">
        <f t="shared" si="1"/>
        <v>99.999999999999986</v>
      </c>
      <c r="M19">
        <f t="shared" si="1"/>
        <v>100</v>
      </c>
    </row>
    <row r="20" spans="1:16" x14ac:dyDescent="0.3">
      <c r="C20" t="s">
        <v>17</v>
      </c>
    </row>
    <row r="22" spans="1:16" x14ac:dyDescent="0.3">
      <c r="A22" t="s">
        <v>43</v>
      </c>
      <c r="C22" t="s">
        <v>19</v>
      </c>
    </row>
    <row r="23" spans="1:16" x14ac:dyDescent="0.3">
      <c r="O23">
        <v>10</v>
      </c>
      <c r="P23" t="s">
        <v>45</v>
      </c>
    </row>
    <row r="24" spans="1:16" x14ac:dyDescent="0.3">
      <c r="C24" t="s">
        <v>20</v>
      </c>
      <c r="D24">
        <v>8.76</v>
      </c>
      <c r="F24">
        <f>5^(G24-1)</f>
        <v>1</v>
      </c>
      <c r="G24">
        <v>1</v>
      </c>
      <c r="I24">
        <f>F24*D24</f>
        <v>8.76</v>
      </c>
      <c r="O24">
        <v>3000</v>
      </c>
    </row>
    <row r="25" spans="1:16" x14ac:dyDescent="0.3">
      <c r="C25" t="s">
        <v>21</v>
      </c>
      <c r="D25">
        <v>12.3</v>
      </c>
      <c r="F25">
        <f>5^(G25-1)</f>
        <v>5</v>
      </c>
      <c r="G25">
        <v>2</v>
      </c>
      <c r="I25">
        <f t="shared" ref="I25:I43" si="2">F25*D25</f>
        <v>61.5</v>
      </c>
    </row>
    <row r="26" spans="1:16" x14ac:dyDescent="0.3">
      <c r="C26" t="s">
        <v>22</v>
      </c>
      <c r="D26">
        <v>13.5</v>
      </c>
      <c r="F26">
        <f t="shared" ref="F26:F44" si="3">5^(G26-1)</f>
        <v>25</v>
      </c>
      <c r="G26">
        <v>3</v>
      </c>
      <c r="I26">
        <f t="shared" si="2"/>
        <v>337.5</v>
      </c>
    </row>
    <row r="27" spans="1:16" x14ac:dyDescent="0.3">
      <c r="C27" t="s">
        <v>23</v>
      </c>
      <c r="D27">
        <v>12.4</v>
      </c>
      <c r="F27">
        <f t="shared" si="3"/>
        <v>125</v>
      </c>
      <c r="G27">
        <v>4</v>
      </c>
      <c r="I27">
        <f t="shared" si="2"/>
        <v>1550</v>
      </c>
      <c r="O27">
        <v>300</v>
      </c>
    </row>
    <row r="28" spans="1:16" x14ac:dyDescent="0.3">
      <c r="C28" t="s">
        <v>24</v>
      </c>
      <c r="D28">
        <v>11.3</v>
      </c>
      <c r="F28">
        <f t="shared" si="3"/>
        <v>625</v>
      </c>
      <c r="G28">
        <v>5</v>
      </c>
      <c r="I28">
        <f t="shared" si="2"/>
        <v>7062.5</v>
      </c>
    </row>
    <row r="29" spans="1:16" x14ac:dyDescent="0.3">
      <c r="C29" t="s">
        <v>25</v>
      </c>
      <c r="D29">
        <v>10.199999999999999</v>
      </c>
      <c r="F29">
        <f t="shared" si="3"/>
        <v>3125</v>
      </c>
      <c r="G29">
        <v>6</v>
      </c>
      <c r="I29">
        <f t="shared" si="2"/>
        <v>31874.999999999996</v>
      </c>
    </row>
    <row r="30" spans="1:16" x14ac:dyDescent="0.3">
      <c r="C30" t="s">
        <v>26</v>
      </c>
      <c r="D30">
        <v>9.1</v>
      </c>
      <c r="F30">
        <f t="shared" si="3"/>
        <v>15625</v>
      </c>
      <c r="G30">
        <v>7</v>
      </c>
      <c r="I30">
        <f t="shared" si="2"/>
        <v>142187.5</v>
      </c>
    </row>
    <row r="31" spans="1:16" x14ac:dyDescent="0.3">
      <c r="C31" t="s">
        <v>27</v>
      </c>
      <c r="D31">
        <v>7.5</v>
      </c>
      <c r="F31">
        <f t="shared" si="3"/>
        <v>78125</v>
      </c>
      <c r="G31">
        <v>8</v>
      </c>
      <c r="I31">
        <f t="shared" si="2"/>
        <v>585937.5</v>
      </c>
    </row>
    <row r="32" spans="1:16" x14ac:dyDescent="0.3">
      <c r="C32" t="s">
        <v>28</v>
      </c>
      <c r="D32">
        <v>5.4</v>
      </c>
      <c r="F32">
        <f t="shared" si="3"/>
        <v>390625</v>
      </c>
      <c r="G32">
        <v>9</v>
      </c>
      <c r="I32">
        <f t="shared" si="2"/>
        <v>2109375</v>
      </c>
    </row>
    <row r="33" spans="3:13" x14ac:dyDescent="0.3">
      <c r="C33" t="s">
        <v>29</v>
      </c>
      <c r="D33">
        <v>3.4</v>
      </c>
      <c r="F33">
        <f t="shared" si="3"/>
        <v>1953125</v>
      </c>
      <c r="G33">
        <v>10</v>
      </c>
      <c r="I33">
        <f t="shared" si="2"/>
        <v>6640625</v>
      </c>
    </row>
    <row r="34" spans="3:13" x14ac:dyDescent="0.3">
      <c r="C34" t="s">
        <v>30</v>
      </c>
      <c r="D34">
        <v>2.8</v>
      </c>
      <c r="F34">
        <f t="shared" si="3"/>
        <v>9765625</v>
      </c>
      <c r="G34">
        <v>11</v>
      </c>
      <c r="I34">
        <f t="shared" si="2"/>
        <v>27343750</v>
      </c>
    </row>
    <row r="35" spans="3:13" x14ac:dyDescent="0.3">
      <c r="C35" t="s">
        <v>31</v>
      </c>
      <c r="D35">
        <v>1.9</v>
      </c>
      <c r="F35">
        <f t="shared" si="3"/>
        <v>48828125</v>
      </c>
      <c r="G35">
        <v>12</v>
      </c>
      <c r="I35">
        <f t="shared" si="2"/>
        <v>92773437.5</v>
      </c>
    </row>
    <row r="36" spans="3:13" x14ac:dyDescent="0.3">
      <c r="C36" t="s">
        <v>32</v>
      </c>
      <c r="D36">
        <v>0.8</v>
      </c>
      <c r="F36">
        <f t="shared" si="3"/>
        <v>244140625</v>
      </c>
      <c r="G36">
        <v>13</v>
      </c>
      <c r="I36">
        <f t="shared" si="2"/>
        <v>195312500</v>
      </c>
    </row>
    <row r="37" spans="3:13" x14ac:dyDescent="0.3">
      <c r="C37" t="s">
        <v>33</v>
      </c>
      <c r="D37">
        <v>0.3</v>
      </c>
      <c r="F37">
        <f t="shared" si="3"/>
        <v>1220703125</v>
      </c>
      <c r="G37">
        <v>14</v>
      </c>
      <c r="I37">
        <f t="shared" si="2"/>
        <v>366210937.5</v>
      </c>
    </row>
    <row r="38" spans="3:13" x14ac:dyDescent="0.3">
      <c r="C38" t="s">
        <v>34</v>
      </c>
      <c r="D38">
        <v>0.15</v>
      </c>
      <c r="F38">
        <f t="shared" si="3"/>
        <v>6103515625</v>
      </c>
      <c r="G38">
        <v>15</v>
      </c>
      <c r="I38">
        <f t="shared" si="2"/>
        <v>915527343.75</v>
      </c>
    </row>
    <row r="39" spans="3:13" x14ac:dyDescent="0.3">
      <c r="C39" t="s">
        <v>35</v>
      </c>
      <c r="D39">
        <v>0.12</v>
      </c>
      <c r="F39">
        <f t="shared" si="3"/>
        <v>30517578125</v>
      </c>
      <c r="G39">
        <v>16</v>
      </c>
      <c r="I39">
        <f t="shared" si="2"/>
        <v>3662109375</v>
      </c>
    </row>
    <row r="40" spans="3:13" x14ac:dyDescent="0.3">
      <c r="C40" t="s">
        <v>36</v>
      </c>
      <c r="D40">
        <v>0.04</v>
      </c>
      <c r="F40">
        <f t="shared" si="3"/>
        <v>152587890625</v>
      </c>
      <c r="G40">
        <v>17</v>
      </c>
      <c r="I40">
        <f t="shared" si="2"/>
        <v>6103515625</v>
      </c>
    </row>
    <row r="41" spans="3:13" x14ac:dyDescent="0.3">
      <c r="C41" t="s">
        <v>37</v>
      </c>
      <c r="D41">
        <v>0.02</v>
      </c>
      <c r="F41">
        <f t="shared" si="3"/>
        <v>762939453125</v>
      </c>
      <c r="G41">
        <v>18</v>
      </c>
      <c r="I41">
        <f t="shared" si="2"/>
        <v>15258789062.5</v>
      </c>
    </row>
    <row r="42" spans="3:13" x14ac:dyDescent="0.3">
      <c r="C42" t="s">
        <v>38</v>
      </c>
      <c r="D42">
        <v>0.01</v>
      </c>
      <c r="F42">
        <f t="shared" si="3"/>
        <v>3814697265625</v>
      </c>
      <c r="G42">
        <v>19</v>
      </c>
      <c r="I42">
        <f t="shared" si="2"/>
        <v>38146972656.25</v>
      </c>
    </row>
    <row r="43" spans="3:13" x14ac:dyDescent="0.3">
      <c r="C43" t="s">
        <v>39</v>
      </c>
      <c r="D43">
        <v>0</v>
      </c>
      <c r="F43">
        <f t="shared" si="3"/>
        <v>19073486328125</v>
      </c>
      <c r="G43">
        <v>20</v>
      </c>
      <c r="I43">
        <f t="shared" si="2"/>
        <v>0</v>
      </c>
    </row>
    <row r="44" spans="3:13" x14ac:dyDescent="0.3">
      <c r="D44">
        <f>SUM(D24:D43)</f>
        <v>100.00000000000003</v>
      </c>
      <c r="F44">
        <f t="shared" si="3"/>
        <v>95367431640625</v>
      </c>
      <c r="G44">
        <v>21</v>
      </c>
    </row>
    <row r="46" spans="3:13" x14ac:dyDescent="0.3">
      <c r="L46" s="12">
        <v>4500000</v>
      </c>
      <c r="M46" s="14">
        <f>L46/O70</f>
        <v>3904411.7647058824</v>
      </c>
    </row>
    <row r="48" spans="3:13" x14ac:dyDescent="0.3">
      <c r="I48" t="s">
        <v>58</v>
      </c>
      <c r="J48" t="s">
        <v>57</v>
      </c>
      <c r="K48" t="s">
        <v>59</v>
      </c>
      <c r="L48" t="s">
        <v>60</v>
      </c>
    </row>
    <row r="49" spans="3:16" ht="33" x14ac:dyDescent="0.3"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I49">
        <v>100000</v>
      </c>
      <c r="J49">
        <v>300</v>
      </c>
      <c r="K49" s="12">
        <f>I49*J49</f>
        <v>30000000</v>
      </c>
      <c r="L49" s="14">
        <f>K49/O70</f>
        <v>26029411.764705881</v>
      </c>
      <c r="O49">
        <v>14</v>
      </c>
      <c r="P49">
        <f>VLOOKUP(O49,C50:F68,4,FALSE)</f>
        <v>1220703125</v>
      </c>
    </row>
    <row r="50" spans="3:16" x14ac:dyDescent="0.3">
      <c r="C50" s="8">
        <v>1</v>
      </c>
      <c r="D50" s="8">
        <v>8.76</v>
      </c>
      <c r="E50" s="8">
        <v>8.7599999999999997E-2</v>
      </c>
      <c r="F50" s="8">
        <v>1</v>
      </c>
      <c r="G50" s="8">
        <v>8.7599999999999997E-2</v>
      </c>
      <c r="I50">
        <f t="shared" ref="I50:I67" si="4">E50*I$49</f>
        <v>8760</v>
      </c>
      <c r="J50">
        <f>I50*F50</f>
        <v>8760</v>
      </c>
      <c r="K50">
        <f t="shared" ref="K50:K68" si="5">J50/P$49*(IF(C50 &gt; O$49, 0, 1))</f>
        <v>7.1761919999999998E-6</v>
      </c>
    </row>
    <row r="51" spans="3:16" x14ac:dyDescent="0.3">
      <c r="C51" s="8">
        <v>2</v>
      </c>
      <c r="D51" s="8">
        <v>12.3</v>
      </c>
      <c r="E51" s="8">
        <v>0.123</v>
      </c>
      <c r="F51" s="8">
        <v>5</v>
      </c>
      <c r="G51" s="8">
        <v>0.61499999999999999</v>
      </c>
      <c r="I51">
        <f t="shared" si="4"/>
        <v>12300</v>
      </c>
      <c r="J51">
        <f t="shared" ref="J51:J68" si="6">I51*F51</f>
        <v>61500</v>
      </c>
      <c r="K51">
        <f t="shared" si="5"/>
        <v>5.0380799999999997E-5</v>
      </c>
      <c r="M51">
        <v>584</v>
      </c>
    </row>
    <row r="52" spans="3:16" x14ac:dyDescent="0.3">
      <c r="C52" s="8">
        <v>3</v>
      </c>
      <c r="D52" s="8">
        <v>13.5</v>
      </c>
      <c r="E52" s="8">
        <v>0.13500000000000001</v>
      </c>
      <c r="F52" s="8">
        <v>25</v>
      </c>
      <c r="G52" s="8">
        <v>3.375</v>
      </c>
      <c r="I52">
        <f t="shared" si="4"/>
        <v>13500</v>
      </c>
      <c r="J52">
        <f t="shared" si="6"/>
        <v>337500</v>
      </c>
      <c r="K52">
        <f t="shared" si="5"/>
        <v>2.7648000000000001E-4</v>
      </c>
    </row>
    <row r="53" spans="3:16" x14ac:dyDescent="0.3">
      <c r="C53" s="8">
        <v>4</v>
      </c>
      <c r="D53" s="8">
        <v>12.4</v>
      </c>
      <c r="E53" s="8">
        <v>0.124</v>
      </c>
      <c r="F53" s="8">
        <v>125</v>
      </c>
      <c r="G53" s="8">
        <v>15.5</v>
      </c>
      <c r="I53">
        <f t="shared" si="4"/>
        <v>12400</v>
      </c>
      <c r="J53">
        <f t="shared" si="6"/>
        <v>1550000</v>
      </c>
      <c r="K53">
        <f t="shared" si="5"/>
        <v>1.26976E-3</v>
      </c>
    </row>
    <row r="54" spans="3:16" x14ac:dyDescent="0.3">
      <c r="C54" s="8">
        <v>5</v>
      </c>
      <c r="D54" s="8">
        <v>11.3</v>
      </c>
      <c r="E54" s="8">
        <v>0.113</v>
      </c>
      <c r="F54" s="8">
        <v>625</v>
      </c>
      <c r="G54" s="8">
        <v>70.625</v>
      </c>
      <c r="I54">
        <f t="shared" si="4"/>
        <v>11300</v>
      </c>
      <c r="J54">
        <f t="shared" si="6"/>
        <v>7062500</v>
      </c>
      <c r="K54">
        <f t="shared" si="5"/>
        <v>5.7856000000000001E-3</v>
      </c>
    </row>
    <row r="55" spans="3:16" x14ac:dyDescent="0.3">
      <c r="C55" s="8">
        <v>6</v>
      </c>
      <c r="D55" s="8">
        <v>10.199999999999999</v>
      </c>
      <c r="E55" s="8">
        <v>0.10199999999999999</v>
      </c>
      <c r="F55" s="8">
        <v>3125</v>
      </c>
      <c r="G55" s="8">
        <v>318.75</v>
      </c>
      <c r="I55">
        <f t="shared" si="4"/>
        <v>10200</v>
      </c>
      <c r="J55">
        <f t="shared" si="6"/>
        <v>31875000</v>
      </c>
      <c r="K55">
        <f t="shared" si="5"/>
        <v>2.6112E-2</v>
      </c>
    </row>
    <row r="56" spans="3:16" x14ac:dyDescent="0.3">
      <c r="C56" s="8">
        <v>7</v>
      </c>
      <c r="D56" s="8">
        <v>9.1</v>
      </c>
      <c r="E56" s="8">
        <v>9.0999999999999998E-2</v>
      </c>
      <c r="F56" s="8">
        <v>15625</v>
      </c>
      <c r="G56" s="9">
        <v>1422.875</v>
      </c>
      <c r="I56">
        <f t="shared" si="4"/>
        <v>9100</v>
      </c>
      <c r="J56">
        <f t="shared" si="6"/>
        <v>142187500</v>
      </c>
      <c r="K56">
        <f t="shared" si="5"/>
        <v>0.11648</v>
      </c>
    </row>
    <row r="57" spans="3:16" x14ac:dyDescent="0.3">
      <c r="C57" s="8">
        <v>8</v>
      </c>
      <c r="D57" s="8">
        <v>7.5</v>
      </c>
      <c r="E57" s="8">
        <v>7.4999999999999997E-2</v>
      </c>
      <c r="F57" s="8">
        <v>78125</v>
      </c>
      <c r="G57" s="9">
        <v>5859.375</v>
      </c>
      <c r="I57">
        <f t="shared" si="4"/>
        <v>7500</v>
      </c>
      <c r="J57">
        <f t="shared" si="6"/>
        <v>585937500</v>
      </c>
      <c r="K57">
        <f t="shared" si="5"/>
        <v>0.48</v>
      </c>
    </row>
    <row r="58" spans="3:16" x14ac:dyDescent="0.3">
      <c r="C58" s="8">
        <v>9</v>
      </c>
      <c r="D58" s="8">
        <v>5.4</v>
      </c>
      <c r="E58" s="8">
        <v>5.3999999999999999E-2</v>
      </c>
      <c r="F58" s="8">
        <v>390625</v>
      </c>
      <c r="G58" s="9">
        <v>21096.75</v>
      </c>
      <c r="I58">
        <f t="shared" si="4"/>
        <v>5400</v>
      </c>
      <c r="J58">
        <f t="shared" si="6"/>
        <v>2109375000</v>
      </c>
      <c r="K58">
        <f t="shared" si="5"/>
        <v>1.728</v>
      </c>
    </row>
    <row r="59" spans="3:16" x14ac:dyDescent="0.3">
      <c r="C59" s="8">
        <v>10</v>
      </c>
      <c r="D59" s="8">
        <v>3.4</v>
      </c>
      <c r="E59" s="8">
        <v>3.4000000000000002E-2</v>
      </c>
      <c r="F59" s="10">
        <v>1953125</v>
      </c>
      <c r="G59" s="9">
        <v>66406.25</v>
      </c>
      <c r="I59">
        <f t="shared" si="4"/>
        <v>3400.0000000000005</v>
      </c>
      <c r="J59">
        <f t="shared" si="6"/>
        <v>6640625000.000001</v>
      </c>
      <c r="K59">
        <f t="shared" si="5"/>
        <v>5.44</v>
      </c>
    </row>
    <row r="60" spans="3:16" x14ac:dyDescent="0.3">
      <c r="C60" s="8">
        <v>11</v>
      </c>
      <c r="D60" s="8">
        <v>2.8</v>
      </c>
      <c r="E60" s="8">
        <v>2.8000000000000001E-2</v>
      </c>
      <c r="F60" s="10">
        <v>9765625</v>
      </c>
      <c r="G60" s="9">
        <v>273437.5</v>
      </c>
      <c r="I60">
        <f t="shared" si="4"/>
        <v>2800</v>
      </c>
      <c r="J60">
        <f t="shared" si="6"/>
        <v>27343750000</v>
      </c>
      <c r="K60">
        <f t="shared" si="5"/>
        <v>22.4</v>
      </c>
    </row>
    <row r="61" spans="3:16" x14ac:dyDescent="0.3">
      <c r="C61" s="8">
        <v>12</v>
      </c>
      <c r="D61" s="8">
        <v>1.9</v>
      </c>
      <c r="E61" s="8">
        <v>1.9E-2</v>
      </c>
      <c r="F61" s="10">
        <v>48828125</v>
      </c>
      <c r="G61" s="9">
        <v>928234.375</v>
      </c>
      <c r="I61">
        <f t="shared" si="4"/>
        <v>1900</v>
      </c>
      <c r="J61">
        <f t="shared" si="6"/>
        <v>92773437500</v>
      </c>
      <c r="K61">
        <f t="shared" si="5"/>
        <v>76</v>
      </c>
    </row>
    <row r="62" spans="3:16" x14ac:dyDescent="0.3">
      <c r="C62" s="8">
        <v>13</v>
      </c>
      <c r="D62" s="8">
        <v>0.8</v>
      </c>
      <c r="E62" s="8">
        <v>8.0000000000000002E-3</v>
      </c>
      <c r="F62" s="10">
        <v>244140625</v>
      </c>
      <c r="G62" s="10">
        <v>1953125</v>
      </c>
      <c r="I62">
        <f t="shared" si="4"/>
        <v>800</v>
      </c>
      <c r="J62">
        <f t="shared" si="6"/>
        <v>195312500000</v>
      </c>
      <c r="K62">
        <f t="shared" si="5"/>
        <v>160</v>
      </c>
    </row>
    <row r="63" spans="3:16" x14ac:dyDescent="0.3">
      <c r="C63" s="8">
        <v>14</v>
      </c>
      <c r="D63" s="8">
        <v>0.3</v>
      </c>
      <c r="E63" s="8">
        <v>3.0000000000000001E-3</v>
      </c>
      <c r="F63" s="10">
        <v>1220703125</v>
      </c>
      <c r="G63" s="9">
        <v>3662109.375</v>
      </c>
      <c r="I63">
        <f t="shared" si="4"/>
        <v>300</v>
      </c>
      <c r="J63">
        <f t="shared" si="6"/>
        <v>366210937500</v>
      </c>
      <c r="K63">
        <f t="shared" si="5"/>
        <v>300</v>
      </c>
    </row>
    <row r="64" spans="3:16" x14ac:dyDescent="0.3">
      <c r="C64" s="8">
        <v>15</v>
      </c>
      <c r="D64" s="8">
        <v>0.15</v>
      </c>
      <c r="E64" s="8">
        <v>1.5E-3</v>
      </c>
      <c r="F64" s="10">
        <v>6103515625</v>
      </c>
      <c r="G64" s="9">
        <v>9155273.4379999992</v>
      </c>
      <c r="I64">
        <f t="shared" si="4"/>
        <v>150</v>
      </c>
      <c r="J64">
        <f t="shared" si="6"/>
        <v>915527343750</v>
      </c>
      <c r="K64">
        <f t="shared" si="5"/>
        <v>0</v>
      </c>
      <c r="L64">
        <v>10</v>
      </c>
    </row>
    <row r="65" spans="3:15" x14ac:dyDescent="0.3">
      <c r="C65" s="8">
        <v>16</v>
      </c>
      <c r="D65" s="8">
        <v>0.12</v>
      </c>
      <c r="E65" s="8">
        <v>1.1999999999999999E-3</v>
      </c>
      <c r="F65" s="10">
        <v>30517578125</v>
      </c>
      <c r="G65" s="9">
        <v>36621093.75</v>
      </c>
      <c r="I65">
        <f t="shared" si="4"/>
        <v>119.99999999999999</v>
      </c>
      <c r="J65">
        <f t="shared" si="6"/>
        <v>3662109374999.9995</v>
      </c>
      <c r="K65">
        <f>J65/P$49*(IF(C65 &gt; O$49, 0, 1))</f>
        <v>0</v>
      </c>
      <c r="M65" t="s">
        <v>60</v>
      </c>
      <c r="N65">
        <v>50000</v>
      </c>
      <c r="O65" s="17">
        <f>N65*O70</f>
        <v>57627.118644067799</v>
      </c>
    </row>
    <row r="66" spans="3:15" x14ac:dyDescent="0.3">
      <c r="C66" s="8">
        <v>17</v>
      </c>
      <c r="D66" s="8">
        <v>0.04</v>
      </c>
      <c r="E66" s="8">
        <v>4.0000000000000002E-4</v>
      </c>
      <c r="F66" s="10">
        <v>152587890625</v>
      </c>
      <c r="G66" s="9">
        <v>61035156.25</v>
      </c>
      <c r="I66">
        <f t="shared" si="4"/>
        <v>40</v>
      </c>
      <c r="J66">
        <f t="shared" si="6"/>
        <v>6103515625000</v>
      </c>
      <c r="K66">
        <f t="shared" si="5"/>
        <v>0</v>
      </c>
      <c r="L66">
        <v>25</v>
      </c>
      <c r="M66" t="s">
        <v>59</v>
      </c>
      <c r="N66" s="12">
        <v>100000</v>
      </c>
      <c r="O66" s="16">
        <f>N66/O70</f>
        <v>86764.705882352937</v>
      </c>
    </row>
    <row r="67" spans="3:15" x14ac:dyDescent="0.3">
      <c r="C67" s="8">
        <v>18</v>
      </c>
      <c r="D67" s="8">
        <v>0.02</v>
      </c>
      <c r="E67" s="8">
        <v>2.0000000000000001E-4</v>
      </c>
      <c r="F67" s="10">
        <v>762939453125</v>
      </c>
      <c r="G67" s="9">
        <v>152587890.625</v>
      </c>
      <c r="I67">
        <f t="shared" si="4"/>
        <v>20</v>
      </c>
      <c r="J67">
        <f t="shared" si="6"/>
        <v>15258789062500</v>
      </c>
      <c r="K67">
        <f t="shared" si="5"/>
        <v>0</v>
      </c>
      <c r="L67">
        <v>50</v>
      </c>
    </row>
    <row r="68" spans="3:15" x14ac:dyDescent="0.3">
      <c r="C68" s="8">
        <v>19</v>
      </c>
      <c r="D68" s="8">
        <v>0.01</v>
      </c>
      <c r="E68" s="8">
        <v>1E-4</v>
      </c>
      <c r="F68" s="10">
        <v>3814697265625</v>
      </c>
      <c r="G68" s="9">
        <v>381469726.5625</v>
      </c>
      <c r="I68">
        <f>E68*I$49</f>
        <v>10</v>
      </c>
      <c r="J68">
        <f t="shared" si="6"/>
        <v>38146972656250</v>
      </c>
      <c r="K68">
        <f t="shared" si="5"/>
        <v>0</v>
      </c>
      <c r="L68">
        <v>100</v>
      </c>
    </row>
    <row r="69" spans="3:15" x14ac:dyDescent="0.3">
      <c r="C69" s="8">
        <v>20</v>
      </c>
      <c r="D69" s="8">
        <v>0</v>
      </c>
      <c r="E69" s="8">
        <v>0</v>
      </c>
      <c r="F69">
        <v>19073486328125</v>
      </c>
      <c r="G69" s="8">
        <v>0</v>
      </c>
      <c r="H69" s="8">
        <v>5</v>
      </c>
      <c r="I69" s="8">
        <v>3</v>
      </c>
      <c r="K69">
        <f>SUM(K50:K68)</f>
        <v>566.19798139699196</v>
      </c>
      <c r="L69">
        <v>400</v>
      </c>
      <c r="M69">
        <v>59000</v>
      </c>
      <c r="O69" t="s">
        <v>43</v>
      </c>
    </row>
    <row r="70" spans="3:15" x14ac:dyDescent="0.3">
      <c r="C70" s="8">
        <v>21</v>
      </c>
      <c r="D70" s="8">
        <v>0</v>
      </c>
      <c r="E70" s="8">
        <v>0</v>
      </c>
      <c r="F70">
        <v>95367431640625</v>
      </c>
      <c r="G70" s="8">
        <v>0</v>
      </c>
      <c r="H70" s="8">
        <v>25</v>
      </c>
      <c r="M70">
        <v>68000</v>
      </c>
      <c r="O70">
        <f>M70/M69</f>
        <v>1.152542372881356</v>
      </c>
    </row>
    <row r="71" spans="3:15" x14ac:dyDescent="0.3">
      <c r="I71">
        <f>F69/800000000</f>
        <v>23841.85791015625</v>
      </c>
      <c r="L71">
        <v>20</v>
      </c>
      <c r="M71">
        <v>59000</v>
      </c>
      <c r="N71" s="12">
        <f>M71*L71</f>
        <v>1180000</v>
      </c>
      <c r="O71" t="s">
        <v>44</v>
      </c>
    </row>
    <row r="72" spans="3:15" x14ac:dyDescent="0.3">
      <c r="I72">
        <v>2384100</v>
      </c>
      <c r="M72">
        <v>330000</v>
      </c>
      <c r="N72" s="12">
        <f>M72*L71</f>
        <v>6600000</v>
      </c>
      <c r="O72">
        <f>N72/N71</f>
        <v>5.593220338983051</v>
      </c>
    </row>
    <row r="104" spans="5:12" x14ac:dyDescent="0.3">
      <c r="E104">
        <v>19</v>
      </c>
      <c r="L104" s="13" t="s">
        <v>51</v>
      </c>
    </row>
    <row r="105" spans="5:12" x14ac:dyDescent="0.3">
      <c r="E105">
        <v>15</v>
      </c>
    </row>
    <row r="106" spans="5:12" x14ac:dyDescent="0.3">
      <c r="E106">
        <v>0.7</v>
      </c>
    </row>
    <row r="107" spans="5:12" x14ac:dyDescent="0.3">
      <c r="E107">
        <v>1.4999999999999999E-2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C254-CE5A-4EDE-9661-A85FA45386CA}">
  <dimension ref="A1:P1003"/>
  <sheetViews>
    <sheetView topLeftCell="A19" workbookViewId="0">
      <selection activeCell="C33" sqref="C33"/>
    </sheetView>
  </sheetViews>
  <sheetFormatPr defaultRowHeight="16.5" x14ac:dyDescent="0.3"/>
  <cols>
    <col min="10" max="10" width="10.875" bestFit="1" customWidth="1"/>
  </cols>
  <sheetData>
    <row r="1" spans="1:16" x14ac:dyDescent="0.3">
      <c r="A1">
        <v>1</v>
      </c>
      <c r="B1">
        <v>11</v>
      </c>
      <c r="C1">
        <f>B1</f>
        <v>11</v>
      </c>
      <c r="D1" s="12">
        <f>A1*3000</f>
        <v>3000</v>
      </c>
      <c r="G1">
        <v>1</v>
      </c>
      <c r="H1">
        <v>100</v>
      </c>
      <c r="I1">
        <v>11</v>
      </c>
      <c r="J1">
        <v>100</v>
      </c>
      <c r="L1">
        <f>H1/I1</f>
        <v>9.0909090909090917</v>
      </c>
      <c r="N1">
        <v>9.0909090909090917</v>
      </c>
    </row>
    <row r="2" spans="1:16" x14ac:dyDescent="0.3">
      <c r="A2">
        <v>2</v>
      </c>
      <c r="B2">
        <v>11</v>
      </c>
      <c r="C2">
        <f>C1+B2</f>
        <v>22</v>
      </c>
      <c r="D2" s="12">
        <f t="shared" ref="D2:D65" si="0">A2*3000</f>
        <v>6000</v>
      </c>
      <c r="G2">
        <v>2</v>
      </c>
      <c r="H2">
        <v>200</v>
      </c>
      <c r="I2">
        <v>12</v>
      </c>
      <c r="J2">
        <v>200</v>
      </c>
      <c r="L2">
        <f t="shared" ref="L2:L9" si="1">H2/I2</f>
        <v>16.666666666666668</v>
      </c>
      <c r="N2">
        <v>16.666666666666668</v>
      </c>
      <c r="P2">
        <v>100</v>
      </c>
    </row>
    <row r="3" spans="1:16" x14ac:dyDescent="0.3">
      <c r="A3">
        <v>3</v>
      </c>
      <c r="B3">
        <v>11</v>
      </c>
      <c r="C3">
        <f t="shared" ref="C3:C66" si="2">C2+B3</f>
        <v>33</v>
      </c>
      <c r="D3" s="12">
        <f t="shared" si="0"/>
        <v>9000</v>
      </c>
      <c r="G3">
        <v>3</v>
      </c>
      <c r="H3">
        <v>300</v>
      </c>
      <c r="I3">
        <v>13</v>
      </c>
      <c r="J3">
        <v>300</v>
      </c>
      <c r="L3">
        <f t="shared" si="1"/>
        <v>23.076923076923077</v>
      </c>
      <c r="N3">
        <v>23.076923076923077</v>
      </c>
      <c r="P3">
        <v>300</v>
      </c>
    </row>
    <row r="4" spans="1:16" x14ac:dyDescent="0.3">
      <c r="A4">
        <v>4</v>
      </c>
      <c r="B4">
        <v>11</v>
      </c>
      <c r="C4">
        <f t="shared" si="2"/>
        <v>44</v>
      </c>
      <c r="D4" s="12">
        <f t="shared" si="0"/>
        <v>12000</v>
      </c>
      <c r="G4">
        <v>4</v>
      </c>
      <c r="H4">
        <v>400</v>
      </c>
      <c r="I4">
        <v>14</v>
      </c>
      <c r="J4">
        <v>400</v>
      </c>
      <c r="L4">
        <f t="shared" si="1"/>
        <v>28.571428571428573</v>
      </c>
      <c r="N4">
        <v>28.571428571428573</v>
      </c>
      <c r="P4">
        <v>600</v>
      </c>
    </row>
    <row r="5" spans="1:16" x14ac:dyDescent="0.3">
      <c r="A5">
        <v>5</v>
      </c>
      <c r="B5">
        <v>11</v>
      </c>
      <c r="C5">
        <f t="shared" si="2"/>
        <v>55</v>
      </c>
      <c r="D5" s="12">
        <f t="shared" si="0"/>
        <v>15000</v>
      </c>
      <c r="G5">
        <v>5</v>
      </c>
      <c r="H5">
        <v>500</v>
      </c>
      <c r="I5">
        <v>15</v>
      </c>
      <c r="J5">
        <v>500</v>
      </c>
      <c r="L5">
        <f t="shared" si="1"/>
        <v>33.333333333333336</v>
      </c>
      <c r="N5">
        <v>33.333333333333336</v>
      </c>
      <c r="P5">
        <v>1000</v>
      </c>
    </row>
    <row r="6" spans="1:16" x14ac:dyDescent="0.3">
      <c r="A6">
        <v>6</v>
      </c>
      <c r="B6">
        <v>11</v>
      </c>
      <c r="C6">
        <f t="shared" si="2"/>
        <v>66</v>
      </c>
      <c r="D6" s="12">
        <f t="shared" si="0"/>
        <v>18000</v>
      </c>
      <c r="G6">
        <v>6</v>
      </c>
      <c r="H6">
        <v>800</v>
      </c>
      <c r="I6">
        <v>16</v>
      </c>
      <c r="J6">
        <v>800</v>
      </c>
      <c r="L6">
        <f t="shared" si="1"/>
        <v>50</v>
      </c>
      <c r="N6">
        <v>50</v>
      </c>
      <c r="P6">
        <v>1500</v>
      </c>
    </row>
    <row r="7" spans="1:16" x14ac:dyDescent="0.3">
      <c r="A7">
        <v>7</v>
      </c>
      <c r="B7">
        <v>11</v>
      </c>
      <c r="C7">
        <f t="shared" si="2"/>
        <v>77</v>
      </c>
      <c r="D7" s="12">
        <f t="shared" si="0"/>
        <v>21000</v>
      </c>
      <c r="G7">
        <v>7</v>
      </c>
      <c r="H7">
        <v>1100</v>
      </c>
      <c r="I7">
        <v>17</v>
      </c>
      <c r="J7">
        <v>1100</v>
      </c>
      <c r="L7">
        <f t="shared" si="1"/>
        <v>64.705882352941174</v>
      </c>
      <c r="N7">
        <v>64.705882352941174</v>
      </c>
      <c r="P7">
        <v>2300</v>
      </c>
    </row>
    <row r="8" spans="1:16" x14ac:dyDescent="0.3">
      <c r="A8">
        <v>8</v>
      </c>
      <c r="B8">
        <v>11</v>
      </c>
      <c r="C8">
        <f t="shared" si="2"/>
        <v>88</v>
      </c>
      <c r="D8" s="12">
        <f t="shared" si="0"/>
        <v>24000</v>
      </c>
      <c r="G8">
        <v>8</v>
      </c>
      <c r="H8">
        <v>1500</v>
      </c>
      <c r="I8">
        <v>18</v>
      </c>
      <c r="J8">
        <v>1500</v>
      </c>
      <c r="L8">
        <f t="shared" si="1"/>
        <v>83.333333333333329</v>
      </c>
      <c r="N8">
        <v>83.333333333333329</v>
      </c>
      <c r="P8">
        <v>3400</v>
      </c>
    </row>
    <row r="9" spans="1:16" x14ac:dyDescent="0.3">
      <c r="A9">
        <v>9</v>
      </c>
      <c r="B9">
        <v>11</v>
      </c>
      <c r="C9">
        <f t="shared" si="2"/>
        <v>99</v>
      </c>
      <c r="D9" s="12">
        <f t="shared" si="0"/>
        <v>27000</v>
      </c>
      <c r="G9">
        <v>9</v>
      </c>
      <c r="H9">
        <v>2000</v>
      </c>
      <c r="I9">
        <v>19</v>
      </c>
      <c r="J9">
        <f>SUM(J1:J8)</f>
        <v>4900</v>
      </c>
      <c r="L9">
        <f t="shared" si="1"/>
        <v>105.26315789473684</v>
      </c>
      <c r="N9">
        <v>57.89473684210526</v>
      </c>
      <c r="P9">
        <v>4900</v>
      </c>
    </row>
    <row r="10" spans="1:16" x14ac:dyDescent="0.3">
      <c r="A10">
        <v>10</v>
      </c>
      <c r="B10">
        <v>12</v>
      </c>
      <c r="C10">
        <f t="shared" si="2"/>
        <v>111</v>
      </c>
      <c r="D10" s="12">
        <f t="shared" si="0"/>
        <v>30000</v>
      </c>
      <c r="G10">
        <v>10</v>
      </c>
      <c r="H10" t="s">
        <v>61</v>
      </c>
      <c r="N10">
        <f>SUM(N1:N9)</f>
        <v>366.67321326764051</v>
      </c>
      <c r="O10">
        <f>N10*3000</f>
        <v>1100019.6398029216</v>
      </c>
      <c r="P10">
        <v>6900</v>
      </c>
    </row>
    <row r="11" spans="1:16" x14ac:dyDescent="0.3">
      <c r="A11">
        <v>11</v>
      </c>
      <c r="B11">
        <v>12</v>
      </c>
      <c r="C11">
        <f t="shared" si="2"/>
        <v>123</v>
      </c>
      <c r="D11" s="12">
        <f t="shared" si="0"/>
        <v>33000</v>
      </c>
    </row>
    <row r="12" spans="1:16" x14ac:dyDescent="0.3">
      <c r="A12">
        <v>12</v>
      </c>
      <c r="B12">
        <v>12</v>
      </c>
      <c r="C12">
        <f t="shared" si="2"/>
        <v>135</v>
      </c>
      <c r="D12" s="12">
        <f t="shared" si="0"/>
        <v>36000</v>
      </c>
    </row>
    <row r="13" spans="1:16" x14ac:dyDescent="0.3">
      <c r="A13">
        <v>13</v>
      </c>
      <c r="B13">
        <v>12</v>
      </c>
      <c r="C13">
        <f t="shared" si="2"/>
        <v>147</v>
      </c>
      <c r="D13" s="12">
        <f t="shared" si="0"/>
        <v>39000</v>
      </c>
    </row>
    <row r="14" spans="1:16" x14ac:dyDescent="0.3">
      <c r="A14">
        <v>14</v>
      </c>
      <c r="B14">
        <v>12</v>
      </c>
      <c r="C14">
        <f t="shared" si="2"/>
        <v>159</v>
      </c>
      <c r="D14" s="12">
        <f t="shared" si="0"/>
        <v>42000</v>
      </c>
      <c r="I14" t="s">
        <v>62</v>
      </c>
      <c r="J14" t="s">
        <v>59</v>
      </c>
    </row>
    <row r="15" spans="1:16" x14ac:dyDescent="0.3">
      <c r="A15">
        <v>15</v>
      </c>
      <c r="B15">
        <v>12</v>
      </c>
      <c r="C15">
        <f t="shared" si="2"/>
        <v>171</v>
      </c>
      <c r="D15" s="12">
        <f t="shared" si="0"/>
        <v>45000</v>
      </c>
      <c r="G15">
        <v>1000</v>
      </c>
      <c r="H15">
        <v>21</v>
      </c>
      <c r="I15">
        <v>19064</v>
      </c>
      <c r="J15" s="12">
        <f t="shared" ref="J15" si="3">G15*3000</f>
        <v>3000000</v>
      </c>
    </row>
    <row r="16" spans="1:16" x14ac:dyDescent="0.3">
      <c r="A16">
        <v>16</v>
      </c>
      <c r="B16">
        <v>12</v>
      </c>
      <c r="C16">
        <f t="shared" si="2"/>
        <v>183</v>
      </c>
      <c r="D16" s="12">
        <f t="shared" si="0"/>
        <v>48000</v>
      </c>
      <c r="G16">
        <v>1500</v>
      </c>
      <c r="H16">
        <v>21</v>
      </c>
      <c r="I16">
        <f>I15+H16*(G16-G15)</f>
        <v>29564</v>
      </c>
      <c r="J16" s="12">
        <f>G16*3000</f>
        <v>4500000</v>
      </c>
    </row>
    <row r="17" spans="1:4" x14ac:dyDescent="0.3">
      <c r="A17">
        <v>17</v>
      </c>
      <c r="B17">
        <v>12</v>
      </c>
      <c r="C17">
        <f t="shared" si="2"/>
        <v>195</v>
      </c>
      <c r="D17" s="12">
        <f t="shared" si="0"/>
        <v>51000</v>
      </c>
    </row>
    <row r="18" spans="1:4" x14ac:dyDescent="0.3">
      <c r="A18">
        <v>18</v>
      </c>
      <c r="B18">
        <v>12</v>
      </c>
      <c r="C18">
        <f t="shared" si="2"/>
        <v>207</v>
      </c>
      <c r="D18" s="12">
        <f t="shared" si="0"/>
        <v>54000</v>
      </c>
    </row>
    <row r="19" spans="1:4" x14ac:dyDescent="0.3">
      <c r="A19">
        <v>19</v>
      </c>
      <c r="B19">
        <v>13</v>
      </c>
      <c r="C19">
        <f t="shared" si="2"/>
        <v>220</v>
      </c>
      <c r="D19" s="12">
        <f t="shared" si="0"/>
        <v>57000</v>
      </c>
    </row>
    <row r="20" spans="1:4" x14ac:dyDescent="0.3">
      <c r="A20">
        <v>20</v>
      </c>
      <c r="B20">
        <v>13</v>
      </c>
      <c r="C20">
        <f t="shared" si="2"/>
        <v>233</v>
      </c>
      <c r="D20" s="12">
        <f t="shared" si="0"/>
        <v>60000</v>
      </c>
    </row>
    <row r="21" spans="1:4" x14ac:dyDescent="0.3">
      <c r="A21">
        <v>21</v>
      </c>
      <c r="B21">
        <v>13</v>
      </c>
      <c r="C21">
        <f t="shared" si="2"/>
        <v>246</v>
      </c>
      <c r="D21" s="12">
        <f t="shared" si="0"/>
        <v>63000</v>
      </c>
    </row>
    <row r="22" spans="1:4" x14ac:dyDescent="0.3">
      <c r="A22">
        <v>22</v>
      </c>
      <c r="B22">
        <v>13</v>
      </c>
      <c r="C22">
        <f t="shared" si="2"/>
        <v>259</v>
      </c>
      <c r="D22" s="12">
        <f t="shared" si="0"/>
        <v>66000</v>
      </c>
    </row>
    <row r="23" spans="1:4" x14ac:dyDescent="0.3">
      <c r="A23">
        <v>23</v>
      </c>
      <c r="B23">
        <v>13</v>
      </c>
      <c r="C23">
        <f t="shared" si="2"/>
        <v>272</v>
      </c>
      <c r="D23" s="12">
        <f t="shared" si="0"/>
        <v>69000</v>
      </c>
    </row>
    <row r="24" spans="1:4" x14ac:dyDescent="0.3">
      <c r="A24">
        <v>24</v>
      </c>
      <c r="B24">
        <v>13</v>
      </c>
      <c r="C24">
        <f t="shared" si="2"/>
        <v>285</v>
      </c>
      <c r="D24" s="12">
        <f t="shared" si="0"/>
        <v>72000</v>
      </c>
    </row>
    <row r="25" spans="1:4" x14ac:dyDescent="0.3">
      <c r="A25">
        <v>25</v>
      </c>
      <c r="B25">
        <v>13</v>
      </c>
      <c r="C25">
        <f t="shared" si="2"/>
        <v>298</v>
      </c>
      <c r="D25" s="12">
        <f t="shared" si="0"/>
        <v>75000</v>
      </c>
    </row>
    <row r="26" spans="1:4" x14ac:dyDescent="0.3">
      <c r="A26">
        <v>26</v>
      </c>
      <c r="B26">
        <v>13</v>
      </c>
      <c r="C26">
        <f t="shared" si="2"/>
        <v>311</v>
      </c>
      <c r="D26" s="12">
        <f t="shared" si="0"/>
        <v>78000</v>
      </c>
    </row>
    <row r="27" spans="1:4" x14ac:dyDescent="0.3">
      <c r="A27">
        <v>27</v>
      </c>
      <c r="B27">
        <v>13</v>
      </c>
      <c r="C27">
        <f t="shared" si="2"/>
        <v>324</v>
      </c>
      <c r="D27" s="12">
        <f t="shared" si="0"/>
        <v>81000</v>
      </c>
    </row>
    <row r="28" spans="1:4" x14ac:dyDescent="0.3">
      <c r="A28">
        <v>28</v>
      </c>
      <c r="B28">
        <v>13</v>
      </c>
      <c r="C28">
        <f t="shared" si="2"/>
        <v>337</v>
      </c>
      <c r="D28" s="12">
        <f t="shared" si="0"/>
        <v>84000</v>
      </c>
    </row>
    <row r="29" spans="1:4" x14ac:dyDescent="0.3">
      <c r="A29">
        <v>29</v>
      </c>
      <c r="B29">
        <v>13</v>
      </c>
      <c r="C29">
        <f t="shared" si="2"/>
        <v>350</v>
      </c>
      <c r="D29" s="12">
        <f t="shared" si="0"/>
        <v>87000</v>
      </c>
    </row>
    <row r="30" spans="1:4" x14ac:dyDescent="0.3">
      <c r="A30">
        <v>30</v>
      </c>
      <c r="B30">
        <v>13</v>
      </c>
      <c r="C30">
        <f t="shared" si="2"/>
        <v>363</v>
      </c>
      <c r="D30" s="12">
        <f t="shared" si="0"/>
        <v>90000</v>
      </c>
    </row>
    <row r="31" spans="1:4" x14ac:dyDescent="0.3">
      <c r="A31">
        <v>31</v>
      </c>
      <c r="B31">
        <v>13</v>
      </c>
      <c r="C31">
        <f t="shared" si="2"/>
        <v>376</v>
      </c>
      <c r="D31" s="12">
        <f t="shared" si="0"/>
        <v>93000</v>
      </c>
    </row>
    <row r="32" spans="1:4" x14ac:dyDescent="0.3">
      <c r="A32">
        <v>32</v>
      </c>
      <c r="B32">
        <v>13</v>
      </c>
      <c r="C32">
        <f t="shared" si="2"/>
        <v>389</v>
      </c>
      <c r="D32" s="12">
        <f t="shared" si="0"/>
        <v>96000</v>
      </c>
    </row>
    <row r="33" spans="1:4" x14ac:dyDescent="0.3">
      <c r="A33">
        <v>33</v>
      </c>
      <c r="B33">
        <v>13</v>
      </c>
      <c r="C33">
        <f t="shared" si="2"/>
        <v>402</v>
      </c>
      <c r="D33" s="12">
        <f t="shared" si="0"/>
        <v>99000</v>
      </c>
    </row>
    <row r="34" spans="1:4" x14ac:dyDescent="0.3">
      <c r="A34">
        <v>34</v>
      </c>
      <c r="B34">
        <v>13</v>
      </c>
      <c r="C34">
        <f t="shared" si="2"/>
        <v>415</v>
      </c>
      <c r="D34" s="12">
        <f t="shared" si="0"/>
        <v>102000</v>
      </c>
    </row>
    <row r="35" spans="1:4" x14ac:dyDescent="0.3">
      <c r="A35">
        <v>35</v>
      </c>
      <c r="B35">
        <v>13</v>
      </c>
      <c r="C35">
        <f t="shared" si="2"/>
        <v>428</v>
      </c>
      <c r="D35" s="12">
        <f t="shared" si="0"/>
        <v>105000</v>
      </c>
    </row>
    <row r="36" spans="1:4" x14ac:dyDescent="0.3">
      <c r="A36">
        <v>36</v>
      </c>
      <c r="B36">
        <v>13</v>
      </c>
      <c r="C36">
        <f t="shared" si="2"/>
        <v>441</v>
      </c>
      <c r="D36" s="12">
        <f t="shared" si="0"/>
        <v>108000</v>
      </c>
    </row>
    <row r="37" spans="1:4" x14ac:dyDescent="0.3">
      <c r="A37">
        <v>37</v>
      </c>
      <c r="B37">
        <v>13</v>
      </c>
      <c r="C37">
        <f t="shared" si="2"/>
        <v>454</v>
      </c>
      <c r="D37" s="12">
        <f t="shared" si="0"/>
        <v>111000</v>
      </c>
    </row>
    <row r="38" spans="1:4" x14ac:dyDescent="0.3">
      <c r="A38">
        <v>38</v>
      </c>
      <c r="B38">
        <v>13</v>
      </c>
      <c r="C38">
        <f t="shared" si="2"/>
        <v>467</v>
      </c>
      <c r="D38" s="12">
        <f t="shared" si="0"/>
        <v>114000</v>
      </c>
    </row>
    <row r="39" spans="1:4" x14ac:dyDescent="0.3">
      <c r="A39">
        <v>39</v>
      </c>
      <c r="B39">
        <v>13</v>
      </c>
      <c r="C39">
        <f t="shared" si="2"/>
        <v>480</v>
      </c>
      <c r="D39" s="12">
        <f t="shared" si="0"/>
        <v>117000</v>
      </c>
    </row>
    <row r="40" spans="1:4" x14ac:dyDescent="0.3">
      <c r="A40">
        <v>40</v>
      </c>
      <c r="B40">
        <v>13</v>
      </c>
      <c r="C40">
        <f t="shared" si="2"/>
        <v>493</v>
      </c>
      <c r="D40" s="12">
        <f t="shared" si="0"/>
        <v>120000</v>
      </c>
    </row>
    <row r="41" spans="1:4" x14ac:dyDescent="0.3">
      <c r="A41">
        <v>41</v>
      </c>
      <c r="B41">
        <v>13</v>
      </c>
      <c r="C41">
        <f t="shared" si="2"/>
        <v>506</v>
      </c>
      <c r="D41" s="12">
        <f t="shared" si="0"/>
        <v>123000</v>
      </c>
    </row>
    <row r="42" spans="1:4" x14ac:dyDescent="0.3">
      <c r="A42">
        <v>42</v>
      </c>
      <c r="B42">
        <v>13</v>
      </c>
      <c r="C42">
        <f t="shared" si="2"/>
        <v>519</v>
      </c>
      <c r="D42" s="12">
        <f t="shared" si="0"/>
        <v>126000</v>
      </c>
    </row>
    <row r="43" spans="1:4" x14ac:dyDescent="0.3">
      <c r="A43">
        <v>43</v>
      </c>
      <c r="B43">
        <v>13</v>
      </c>
      <c r="C43">
        <f t="shared" si="2"/>
        <v>532</v>
      </c>
      <c r="D43" s="12">
        <f t="shared" si="0"/>
        <v>129000</v>
      </c>
    </row>
    <row r="44" spans="1:4" x14ac:dyDescent="0.3">
      <c r="A44">
        <v>44</v>
      </c>
      <c r="B44">
        <v>13</v>
      </c>
      <c r="C44">
        <f t="shared" si="2"/>
        <v>545</v>
      </c>
      <c r="D44" s="12">
        <f t="shared" si="0"/>
        <v>132000</v>
      </c>
    </row>
    <row r="45" spans="1:4" x14ac:dyDescent="0.3">
      <c r="A45">
        <v>45</v>
      </c>
      <c r="B45">
        <v>13</v>
      </c>
      <c r="C45">
        <f t="shared" si="2"/>
        <v>558</v>
      </c>
      <c r="D45" s="12">
        <f t="shared" si="0"/>
        <v>135000</v>
      </c>
    </row>
    <row r="46" spans="1:4" x14ac:dyDescent="0.3">
      <c r="A46">
        <v>46</v>
      </c>
      <c r="B46">
        <v>13</v>
      </c>
      <c r="C46">
        <f t="shared" si="2"/>
        <v>571</v>
      </c>
      <c r="D46" s="12">
        <f t="shared" si="0"/>
        <v>138000</v>
      </c>
    </row>
    <row r="47" spans="1:4" x14ac:dyDescent="0.3">
      <c r="A47">
        <v>47</v>
      </c>
      <c r="B47">
        <v>13</v>
      </c>
      <c r="C47">
        <f t="shared" si="2"/>
        <v>584</v>
      </c>
      <c r="D47" s="12">
        <f t="shared" si="0"/>
        <v>141000</v>
      </c>
    </row>
    <row r="48" spans="1:4" x14ac:dyDescent="0.3">
      <c r="A48">
        <v>48</v>
      </c>
      <c r="B48">
        <v>13</v>
      </c>
      <c r="C48">
        <f t="shared" si="2"/>
        <v>597</v>
      </c>
      <c r="D48" s="12">
        <f t="shared" si="0"/>
        <v>144000</v>
      </c>
    </row>
    <row r="49" spans="1:4" x14ac:dyDescent="0.3">
      <c r="A49">
        <v>49</v>
      </c>
      <c r="B49">
        <v>14</v>
      </c>
      <c r="C49">
        <f t="shared" si="2"/>
        <v>611</v>
      </c>
      <c r="D49" s="12">
        <f t="shared" si="0"/>
        <v>147000</v>
      </c>
    </row>
    <row r="50" spans="1:4" x14ac:dyDescent="0.3">
      <c r="A50">
        <v>50</v>
      </c>
      <c r="B50">
        <v>14</v>
      </c>
      <c r="C50">
        <f t="shared" si="2"/>
        <v>625</v>
      </c>
      <c r="D50" s="12">
        <f t="shared" si="0"/>
        <v>150000</v>
      </c>
    </row>
    <row r="51" spans="1:4" x14ac:dyDescent="0.3">
      <c r="A51">
        <v>51</v>
      </c>
      <c r="B51">
        <v>14</v>
      </c>
      <c r="C51">
        <f t="shared" si="2"/>
        <v>639</v>
      </c>
      <c r="D51" s="12">
        <f t="shared" si="0"/>
        <v>153000</v>
      </c>
    </row>
    <row r="52" spans="1:4" x14ac:dyDescent="0.3">
      <c r="A52">
        <v>52</v>
      </c>
      <c r="B52">
        <v>14</v>
      </c>
      <c r="C52">
        <f t="shared" si="2"/>
        <v>653</v>
      </c>
      <c r="D52" s="12">
        <f t="shared" si="0"/>
        <v>156000</v>
      </c>
    </row>
    <row r="53" spans="1:4" x14ac:dyDescent="0.3">
      <c r="A53">
        <v>53</v>
      </c>
      <c r="B53">
        <v>14</v>
      </c>
      <c r="C53">
        <f t="shared" si="2"/>
        <v>667</v>
      </c>
      <c r="D53" s="12">
        <f t="shared" si="0"/>
        <v>159000</v>
      </c>
    </row>
    <row r="54" spans="1:4" x14ac:dyDescent="0.3">
      <c r="A54">
        <v>54</v>
      </c>
      <c r="B54">
        <v>14</v>
      </c>
      <c r="C54">
        <f t="shared" si="2"/>
        <v>681</v>
      </c>
      <c r="D54" s="12">
        <f t="shared" si="0"/>
        <v>162000</v>
      </c>
    </row>
    <row r="55" spans="1:4" x14ac:dyDescent="0.3">
      <c r="A55">
        <v>55</v>
      </c>
      <c r="B55">
        <v>14</v>
      </c>
      <c r="C55">
        <f t="shared" si="2"/>
        <v>695</v>
      </c>
      <c r="D55" s="12">
        <f t="shared" si="0"/>
        <v>165000</v>
      </c>
    </row>
    <row r="56" spans="1:4" x14ac:dyDescent="0.3">
      <c r="A56">
        <v>56</v>
      </c>
      <c r="B56">
        <v>14</v>
      </c>
      <c r="C56">
        <f t="shared" si="2"/>
        <v>709</v>
      </c>
      <c r="D56" s="12">
        <f t="shared" si="0"/>
        <v>168000</v>
      </c>
    </row>
    <row r="57" spans="1:4" x14ac:dyDescent="0.3">
      <c r="A57">
        <v>57</v>
      </c>
      <c r="B57">
        <v>14</v>
      </c>
      <c r="C57">
        <f t="shared" si="2"/>
        <v>723</v>
      </c>
      <c r="D57" s="12">
        <f t="shared" si="0"/>
        <v>171000</v>
      </c>
    </row>
    <row r="58" spans="1:4" x14ac:dyDescent="0.3">
      <c r="A58">
        <v>58</v>
      </c>
      <c r="B58">
        <v>14</v>
      </c>
      <c r="C58">
        <f t="shared" si="2"/>
        <v>737</v>
      </c>
      <c r="D58" s="12">
        <f t="shared" si="0"/>
        <v>174000</v>
      </c>
    </row>
    <row r="59" spans="1:4" x14ac:dyDescent="0.3">
      <c r="A59">
        <v>59</v>
      </c>
      <c r="B59">
        <v>14</v>
      </c>
      <c r="C59">
        <f t="shared" si="2"/>
        <v>751</v>
      </c>
      <c r="D59" s="12">
        <f t="shared" si="0"/>
        <v>177000</v>
      </c>
    </row>
    <row r="60" spans="1:4" x14ac:dyDescent="0.3">
      <c r="A60">
        <v>60</v>
      </c>
      <c r="B60">
        <v>14</v>
      </c>
      <c r="C60">
        <f t="shared" si="2"/>
        <v>765</v>
      </c>
      <c r="D60" s="12">
        <f t="shared" si="0"/>
        <v>180000</v>
      </c>
    </row>
    <row r="61" spans="1:4" x14ac:dyDescent="0.3">
      <c r="A61">
        <v>61</v>
      </c>
      <c r="B61">
        <v>14</v>
      </c>
      <c r="C61">
        <f t="shared" si="2"/>
        <v>779</v>
      </c>
      <c r="D61" s="12">
        <f t="shared" si="0"/>
        <v>183000</v>
      </c>
    </row>
    <row r="62" spans="1:4" x14ac:dyDescent="0.3">
      <c r="A62">
        <v>62</v>
      </c>
      <c r="B62">
        <v>14</v>
      </c>
      <c r="C62">
        <f t="shared" si="2"/>
        <v>793</v>
      </c>
      <c r="D62" s="12">
        <f t="shared" si="0"/>
        <v>186000</v>
      </c>
    </row>
    <row r="63" spans="1:4" x14ac:dyDescent="0.3">
      <c r="A63">
        <v>63</v>
      </c>
      <c r="B63">
        <v>14</v>
      </c>
      <c r="C63">
        <f t="shared" si="2"/>
        <v>807</v>
      </c>
      <c r="D63" s="12">
        <f t="shared" si="0"/>
        <v>189000</v>
      </c>
    </row>
    <row r="64" spans="1:4" x14ac:dyDescent="0.3">
      <c r="A64">
        <v>64</v>
      </c>
      <c r="B64">
        <v>14</v>
      </c>
      <c r="C64">
        <f t="shared" si="2"/>
        <v>821</v>
      </c>
      <c r="D64" s="12">
        <f t="shared" si="0"/>
        <v>192000</v>
      </c>
    </row>
    <row r="65" spans="1:4" x14ac:dyDescent="0.3">
      <c r="A65">
        <v>65</v>
      </c>
      <c r="B65">
        <v>14</v>
      </c>
      <c r="C65">
        <f t="shared" si="2"/>
        <v>835</v>
      </c>
      <c r="D65" s="12">
        <f t="shared" si="0"/>
        <v>195000</v>
      </c>
    </row>
    <row r="66" spans="1:4" x14ac:dyDescent="0.3">
      <c r="A66">
        <v>66</v>
      </c>
      <c r="B66">
        <v>14</v>
      </c>
      <c r="C66">
        <f t="shared" si="2"/>
        <v>849</v>
      </c>
      <c r="D66" s="12">
        <f t="shared" ref="D66:D129" si="4">A66*3000</f>
        <v>198000</v>
      </c>
    </row>
    <row r="67" spans="1:4" x14ac:dyDescent="0.3">
      <c r="A67">
        <v>67</v>
      </c>
      <c r="B67">
        <v>14</v>
      </c>
      <c r="C67">
        <f t="shared" ref="C67:C130" si="5">C66+B67</f>
        <v>863</v>
      </c>
      <c r="D67" s="12">
        <f t="shared" si="4"/>
        <v>201000</v>
      </c>
    </row>
    <row r="68" spans="1:4" x14ac:dyDescent="0.3">
      <c r="A68">
        <v>68</v>
      </c>
      <c r="B68">
        <v>14</v>
      </c>
      <c r="C68">
        <f t="shared" si="5"/>
        <v>877</v>
      </c>
      <c r="D68" s="12">
        <f t="shared" si="4"/>
        <v>204000</v>
      </c>
    </row>
    <row r="69" spans="1:4" x14ac:dyDescent="0.3">
      <c r="A69">
        <v>69</v>
      </c>
      <c r="B69">
        <v>14</v>
      </c>
      <c r="C69">
        <f t="shared" si="5"/>
        <v>891</v>
      </c>
      <c r="D69" s="12">
        <f t="shared" si="4"/>
        <v>207000</v>
      </c>
    </row>
    <row r="70" spans="1:4" x14ac:dyDescent="0.3">
      <c r="A70">
        <v>70</v>
      </c>
      <c r="B70">
        <v>14</v>
      </c>
      <c r="C70">
        <f t="shared" si="5"/>
        <v>905</v>
      </c>
      <c r="D70" s="12">
        <f t="shared" si="4"/>
        <v>210000</v>
      </c>
    </row>
    <row r="71" spans="1:4" x14ac:dyDescent="0.3">
      <c r="A71">
        <v>71</v>
      </c>
      <c r="B71">
        <v>14</v>
      </c>
      <c r="C71">
        <f t="shared" si="5"/>
        <v>919</v>
      </c>
      <c r="D71" s="12">
        <f t="shared" si="4"/>
        <v>213000</v>
      </c>
    </row>
    <row r="72" spans="1:4" x14ac:dyDescent="0.3">
      <c r="A72">
        <v>72</v>
      </c>
      <c r="B72">
        <v>14</v>
      </c>
      <c r="C72">
        <f t="shared" si="5"/>
        <v>933</v>
      </c>
      <c r="D72" s="12">
        <f t="shared" si="4"/>
        <v>216000</v>
      </c>
    </row>
    <row r="73" spans="1:4" x14ac:dyDescent="0.3">
      <c r="A73">
        <v>73</v>
      </c>
      <c r="B73">
        <v>14</v>
      </c>
      <c r="C73">
        <f t="shared" si="5"/>
        <v>947</v>
      </c>
      <c r="D73" s="12">
        <f t="shared" si="4"/>
        <v>219000</v>
      </c>
    </row>
    <row r="74" spans="1:4" x14ac:dyDescent="0.3">
      <c r="A74">
        <v>74</v>
      </c>
      <c r="B74">
        <v>14</v>
      </c>
      <c r="C74">
        <f t="shared" si="5"/>
        <v>961</v>
      </c>
      <c r="D74" s="12">
        <f t="shared" si="4"/>
        <v>222000</v>
      </c>
    </row>
    <row r="75" spans="1:4" x14ac:dyDescent="0.3">
      <c r="A75">
        <v>75</v>
      </c>
      <c r="B75">
        <v>14</v>
      </c>
      <c r="C75">
        <f t="shared" si="5"/>
        <v>975</v>
      </c>
      <c r="D75" s="12">
        <f t="shared" si="4"/>
        <v>225000</v>
      </c>
    </row>
    <row r="76" spans="1:4" x14ac:dyDescent="0.3">
      <c r="A76">
        <v>76</v>
      </c>
      <c r="B76">
        <v>14</v>
      </c>
      <c r="C76">
        <f t="shared" si="5"/>
        <v>989</v>
      </c>
      <c r="D76" s="12">
        <f t="shared" si="4"/>
        <v>228000</v>
      </c>
    </row>
    <row r="77" spans="1:4" x14ac:dyDescent="0.3">
      <c r="A77">
        <v>77</v>
      </c>
      <c r="B77">
        <v>15</v>
      </c>
      <c r="C77">
        <f t="shared" si="5"/>
        <v>1004</v>
      </c>
      <c r="D77" s="12">
        <f t="shared" si="4"/>
        <v>231000</v>
      </c>
    </row>
    <row r="78" spans="1:4" x14ac:dyDescent="0.3">
      <c r="A78">
        <v>78</v>
      </c>
      <c r="B78">
        <v>15</v>
      </c>
      <c r="C78">
        <f t="shared" si="5"/>
        <v>1019</v>
      </c>
      <c r="D78" s="12">
        <f t="shared" si="4"/>
        <v>234000</v>
      </c>
    </row>
    <row r="79" spans="1:4" x14ac:dyDescent="0.3">
      <c r="A79">
        <v>79</v>
      </c>
      <c r="B79">
        <v>15</v>
      </c>
      <c r="C79">
        <f t="shared" si="5"/>
        <v>1034</v>
      </c>
      <c r="D79" s="12">
        <f t="shared" si="4"/>
        <v>237000</v>
      </c>
    </row>
    <row r="80" spans="1:4" x14ac:dyDescent="0.3">
      <c r="A80">
        <v>80</v>
      </c>
      <c r="B80">
        <v>15</v>
      </c>
      <c r="C80">
        <f t="shared" si="5"/>
        <v>1049</v>
      </c>
      <c r="D80" s="12">
        <f t="shared" si="4"/>
        <v>240000</v>
      </c>
    </row>
    <row r="81" spans="1:4" x14ac:dyDescent="0.3">
      <c r="A81">
        <v>81</v>
      </c>
      <c r="B81">
        <v>15</v>
      </c>
      <c r="C81">
        <f t="shared" si="5"/>
        <v>1064</v>
      </c>
      <c r="D81" s="12">
        <f t="shared" si="4"/>
        <v>243000</v>
      </c>
    </row>
    <row r="82" spans="1:4" x14ac:dyDescent="0.3">
      <c r="A82">
        <v>82</v>
      </c>
      <c r="B82">
        <v>15</v>
      </c>
      <c r="C82">
        <f t="shared" si="5"/>
        <v>1079</v>
      </c>
      <c r="D82" s="12">
        <f t="shared" si="4"/>
        <v>246000</v>
      </c>
    </row>
    <row r="83" spans="1:4" x14ac:dyDescent="0.3">
      <c r="A83">
        <v>83</v>
      </c>
      <c r="B83">
        <v>15</v>
      </c>
      <c r="C83">
        <f t="shared" si="5"/>
        <v>1094</v>
      </c>
      <c r="D83" s="12">
        <f t="shared" si="4"/>
        <v>249000</v>
      </c>
    </row>
    <row r="84" spans="1:4" x14ac:dyDescent="0.3">
      <c r="A84">
        <v>84</v>
      </c>
      <c r="B84">
        <v>15</v>
      </c>
      <c r="C84">
        <f t="shared" si="5"/>
        <v>1109</v>
      </c>
      <c r="D84" s="12">
        <f t="shared" si="4"/>
        <v>252000</v>
      </c>
    </row>
    <row r="85" spans="1:4" x14ac:dyDescent="0.3">
      <c r="A85">
        <v>85</v>
      </c>
      <c r="B85">
        <v>15</v>
      </c>
      <c r="C85">
        <f t="shared" si="5"/>
        <v>1124</v>
      </c>
      <c r="D85" s="12">
        <f t="shared" si="4"/>
        <v>255000</v>
      </c>
    </row>
    <row r="86" spans="1:4" x14ac:dyDescent="0.3">
      <c r="A86">
        <v>86</v>
      </c>
      <c r="B86">
        <v>15</v>
      </c>
      <c r="C86">
        <f t="shared" si="5"/>
        <v>1139</v>
      </c>
      <c r="D86" s="12">
        <f t="shared" si="4"/>
        <v>258000</v>
      </c>
    </row>
    <row r="87" spans="1:4" x14ac:dyDescent="0.3">
      <c r="A87">
        <v>87</v>
      </c>
      <c r="B87">
        <v>15</v>
      </c>
      <c r="C87">
        <f t="shared" si="5"/>
        <v>1154</v>
      </c>
      <c r="D87" s="12">
        <f t="shared" si="4"/>
        <v>261000</v>
      </c>
    </row>
    <row r="88" spans="1:4" x14ac:dyDescent="0.3">
      <c r="A88">
        <v>88</v>
      </c>
      <c r="B88">
        <v>15</v>
      </c>
      <c r="C88">
        <f t="shared" si="5"/>
        <v>1169</v>
      </c>
      <c r="D88" s="12">
        <f t="shared" si="4"/>
        <v>264000</v>
      </c>
    </row>
    <row r="89" spans="1:4" x14ac:dyDescent="0.3">
      <c r="A89">
        <v>89</v>
      </c>
      <c r="B89">
        <v>15</v>
      </c>
      <c r="C89">
        <f t="shared" si="5"/>
        <v>1184</v>
      </c>
      <c r="D89" s="12">
        <f t="shared" si="4"/>
        <v>267000</v>
      </c>
    </row>
    <row r="90" spans="1:4" x14ac:dyDescent="0.3">
      <c r="A90">
        <v>90</v>
      </c>
      <c r="B90">
        <v>15</v>
      </c>
      <c r="C90">
        <f t="shared" si="5"/>
        <v>1199</v>
      </c>
      <c r="D90" s="12">
        <f t="shared" si="4"/>
        <v>270000</v>
      </c>
    </row>
    <row r="91" spans="1:4" x14ac:dyDescent="0.3">
      <c r="A91">
        <v>91</v>
      </c>
      <c r="B91">
        <v>15</v>
      </c>
      <c r="C91">
        <f t="shared" si="5"/>
        <v>1214</v>
      </c>
      <c r="D91" s="12">
        <f t="shared" si="4"/>
        <v>273000</v>
      </c>
    </row>
    <row r="92" spans="1:4" x14ac:dyDescent="0.3">
      <c r="A92">
        <v>92</v>
      </c>
      <c r="B92">
        <v>15</v>
      </c>
      <c r="C92">
        <f t="shared" si="5"/>
        <v>1229</v>
      </c>
      <c r="D92" s="12">
        <f t="shared" si="4"/>
        <v>276000</v>
      </c>
    </row>
    <row r="93" spans="1:4" x14ac:dyDescent="0.3">
      <c r="A93">
        <v>93</v>
      </c>
      <c r="B93">
        <v>15</v>
      </c>
      <c r="C93">
        <f t="shared" si="5"/>
        <v>1244</v>
      </c>
      <c r="D93" s="12">
        <f t="shared" si="4"/>
        <v>279000</v>
      </c>
    </row>
    <row r="94" spans="1:4" x14ac:dyDescent="0.3">
      <c r="A94">
        <v>94</v>
      </c>
      <c r="B94">
        <v>15</v>
      </c>
      <c r="C94">
        <f t="shared" si="5"/>
        <v>1259</v>
      </c>
      <c r="D94" s="12">
        <f t="shared" si="4"/>
        <v>282000</v>
      </c>
    </row>
    <row r="95" spans="1:4" x14ac:dyDescent="0.3">
      <c r="A95">
        <v>95</v>
      </c>
      <c r="B95">
        <v>15</v>
      </c>
      <c r="C95">
        <f t="shared" si="5"/>
        <v>1274</v>
      </c>
      <c r="D95" s="12">
        <f t="shared" si="4"/>
        <v>285000</v>
      </c>
    </row>
    <row r="96" spans="1:4" x14ac:dyDescent="0.3">
      <c r="A96">
        <v>96</v>
      </c>
      <c r="B96">
        <v>15</v>
      </c>
      <c r="C96">
        <f t="shared" si="5"/>
        <v>1289</v>
      </c>
      <c r="D96" s="12">
        <f t="shared" si="4"/>
        <v>288000</v>
      </c>
    </row>
    <row r="97" spans="1:4" x14ac:dyDescent="0.3">
      <c r="A97">
        <v>97</v>
      </c>
      <c r="B97">
        <v>15</v>
      </c>
      <c r="C97">
        <f t="shared" si="5"/>
        <v>1304</v>
      </c>
      <c r="D97" s="12">
        <f t="shared" si="4"/>
        <v>291000</v>
      </c>
    </row>
    <row r="98" spans="1:4" x14ac:dyDescent="0.3">
      <c r="A98">
        <v>98</v>
      </c>
      <c r="B98">
        <v>15</v>
      </c>
      <c r="C98">
        <f t="shared" si="5"/>
        <v>1319</v>
      </c>
      <c r="D98" s="12">
        <f t="shared" si="4"/>
        <v>294000</v>
      </c>
    </row>
    <row r="99" spans="1:4" x14ac:dyDescent="0.3">
      <c r="A99">
        <v>99</v>
      </c>
      <c r="B99">
        <v>15</v>
      </c>
      <c r="C99">
        <f t="shared" si="5"/>
        <v>1334</v>
      </c>
      <c r="D99" s="12">
        <f t="shared" si="4"/>
        <v>297000</v>
      </c>
    </row>
    <row r="100" spans="1:4" x14ac:dyDescent="0.3">
      <c r="A100">
        <v>100</v>
      </c>
      <c r="B100">
        <v>15</v>
      </c>
      <c r="C100">
        <f t="shared" si="5"/>
        <v>1349</v>
      </c>
      <c r="D100" s="12">
        <f t="shared" si="4"/>
        <v>300000</v>
      </c>
    </row>
    <row r="101" spans="1:4" x14ac:dyDescent="0.3">
      <c r="A101">
        <v>101</v>
      </c>
      <c r="B101">
        <v>15</v>
      </c>
      <c r="C101">
        <f t="shared" si="5"/>
        <v>1364</v>
      </c>
      <c r="D101" s="12">
        <f t="shared" si="4"/>
        <v>303000</v>
      </c>
    </row>
    <row r="102" spans="1:4" x14ac:dyDescent="0.3">
      <c r="A102">
        <v>102</v>
      </c>
      <c r="B102">
        <v>15</v>
      </c>
      <c r="C102">
        <f t="shared" si="5"/>
        <v>1379</v>
      </c>
      <c r="D102" s="12">
        <f t="shared" si="4"/>
        <v>306000</v>
      </c>
    </row>
    <row r="103" spans="1:4" x14ac:dyDescent="0.3">
      <c r="A103">
        <v>103</v>
      </c>
      <c r="B103">
        <v>15</v>
      </c>
      <c r="C103">
        <f t="shared" si="5"/>
        <v>1394</v>
      </c>
      <c r="D103" s="12">
        <f t="shared" si="4"/>
        <v>309000</v>
      </c>
    </row>
    <row r="104" spans="1:4" x14ac:dyDescent="0.3">
      <c r="A104">
        <v>104</v>
      </c>
      <c r="B104">
        <v>15</v>
      </c>
      <c r="C104">
        <f t="shared" si="5"/>
        <v>1409</v>
      </c>
      <c r="D104" s="12">
        <f t="shared" si="4"/>
        <v>312000</v>
      </c>
    </row>
    <row r="105" spans="1:4" x14ac:dyDescent="0.3">
      <c r="A105">
        <v>105</v>
      </c>
      <c r="B105">
        <v>15</v>
      </c>
      <c r="C105">
        <f t="shared" si="5"/>
        <v>1424</v>
      </c>
      <c r="D105" s="12">
        <f t="shared" si="4"/>
        <v>315000</v>
      </c>
    </row>
    <row r="106" spans="1:4" x14ac:dyDescent="0.3">
      <c r="A106">
        <v>106</v>
      </c>
      <c r="B106">
        <v>15</v>
      </c>
      <c r="C106">
        <f t="shared" si="5"/>
        <v>1439</v>
      </c>
      <c r="D106" s="12">
        <f t="shared" si="4"/>
        <v>318000</v>
      </c>
    </row>
    <row r="107" spans="1:4" x14ac:dyDescent="0.3">
      <c r="A107">
        <v>107</v>
      </c>
      <c r="B107">
        <v>15</v>
      </c>
      <c r="C107">
        <f t="shared" si="5"/>
        <v>1454</v>
      </c>
      <c r="D107" s="12">
        <f t="shared" si="4"/>
        <v>321000</v>
      </c>
    </row>
    <row r="108" spans="1:4" x14ac:dyDescent="0.3">
      <c r="A108">
        <v>108</v>
      </c>
      <c r="B108">
        <v>15</v>
      </c>
      <c r="C108">
        <f t="shared" si="5"/>
        <v>1469</v>
      </c>
      <c r="D108" s="12">
        <f t="shared" si="4"/>
        <v>324000</v>
      </c>
    </row>
    <row r="109" spans="1:4" x14ac:dyDescent="0.3">
      <c r="A109">
        <v>109</v>
      </c>
      <c r="B109">
        <v>15</v>
      </c>
      <c r="C109">
        <f t="shared" si="5"/>
        <v>1484</v>
      </c>
      <c r="D109" s="12">
        <f t="shared" si="4"/>
        <v>327000</v>
      </c>
    </row>
    <row r="110" spans="1:4" x14ac:dyDescent="0.3">
      <c r="A110">
        <v>110</v>
      </c>
      <c r="B110">
        <v>15</v>
      </c>
      <c r="C110">
        <f t="shared" si="5"/>
        <v>1499</v>
      </c>
      <c r="D110" s="12">
        <f t="shared" si="4"/>
        <v>330000</v>
      </c>
    </row>
    <row r="111" spans="1:4" x14ac:dyDescent="0.3">
      <c r="A111">
        <v>111</v>
      </c>
      <c r="B111">
        <v>16</v>
      </c>
      <c r="C111">
        <f t="shared" si="5"/>
        <v>1515</v>
      </c>
      <c r="D111" s="12">
        <f t="shared" si="4"/>
        <v>333000</v>
      </c>
    </row>
    <row r="112" spans="1:4" x14ac:dyDescent="0.3">
      <c r="A112">
        <v>112</v>
      </c>
      <c r="B112">
        <v>16</v>
      </c>
      <c r="C112">
        <f t="shared" si="5"/>
        <v>1531</v>
      </c>
      <c r="D112" s="12">
        <f t="shared" si="4"/>
        <v>336000</v>
      </c>
    </row>
    <row r="113" spans="1:4" x14ac:dyDescent="0.3">
      <c r="A113">
        <v>113</v>
      </c>
      <c r="B113">
        <v>16</v>
      </c>
      <c r="C113">
        <f t="shared" si="5"/>
        <v>1547</v>
      </c>
      <c r="D113" s="12">
        <f t="shared" si="4"/>
        <v>339000</v>
      </c>
    </row>
    <row r="114" spans="1:4" x14ac:dyDescent="0.3">
      <c r="A114">
        <v>114</v>
      </c>
      <c r="B114">
        <v>16</v>
      </c>
      <c r="C114">
        <f t="shared" si="5"/>
        <v>1563</v>
      </c>
      <c r="D114" s="12">
        <f t="shared" si="4"/>
        <v>342000</v>
      </c>
    </row>
    <row r="115" spans="1:4" x14ac:dyDescent="0.3">
      <c r="A115">
        <v>115</v>
      </c>
      <c r="B115">
        <v>16</v>
      </c>
      <c r="C115">
        <f t="shared" si="5"/>
        <v>1579</v>
      </c>
      <c r="D115" s="12">
        <f t="shared" si="4"/>
        <v>345000</v>
      </c>
    </row>
    <row r="116" spans="1:4" x14ac:dyDescent="0.3">
      <c r="A116">
        <v>116</v>
      </c>
      <c r="B116">
        <v>16</v>
      </c>
      <c r="C116">
        <f t="shared" si="5"/>
        <v>1595</v>
      </c>
      <c r="D116" s="12">
        <f t="shared" si="4"/>
        <v>348000</v>
      </c>
    </row>
    <row r="117" spans="1:4" x14ac:dyDescent="0.3">
      <c r="A117">
        <v>117</v>
      </c>
      <c r="B117">
        <v>16</v>
      </c>
      <c r="C117">
        <f t="shared" si="5"/>
        <v>1611</v>
      </c>
      <c r="D117" s="12">
        <f t="shared" si="4"/>
        <v>351000</v>
      </c>
    </row>
    <row r="118" spans="1:4" x14ac:dyDescent="0.3">
      <c r="A118">
        <v>118</v>
      </c>
      <c r="B118">
        <v>16</v>
      </c>
      <c r="C118">
        <f t="shared" si="5"/>
        <v>1627</v>
      </c>
      <c r="D118" s="12">
        <f t="shared" si="4"/>
        <v>354000</v>
      </c>
    </row>
    <row r="119" spans="1:4" x14ac:dyDescent="0.3">
      <c r="A119">
        <v>119</v>
      </c>
      <c r="B119">
        <v>16</v>
      </c>
      <c r="C119">
        <f t="shared" si="5"/>
        <v>1643</v>
      </c>
      <c r="D119" s="12">
        <f t="shared" si="4"/>
        <v>357000</v>
      </c>
    </row>
    <row r="120" spans="1:4" x14ac:dyDescent="0.3">
      <c r="A120">
        <v>120</v>
      </c>
      <c r="B120">
        <v>16</v>
      </c>
      <c r="C120">
        <f t="shared" si="5"/>
        <v>1659</v>
      </c>
      <c r="D120" s="12">
        <f t="shared" si="4"/>
        <v>360000</v>
      </c>
    </row>
    <row r="121" spans="1:4" x14ac:dyDescent="0.3">
      <c r="A121">
        <v>121</v>
      </c>
      <c r="B121">
        <v>16</v>
      </c>
      <c r="C121">
        <f t="shared" si="5"/>
        <v>1675</v>
      </c>
      <c r="D121" s="12">
        <f t="shared" si="4"/>
        <v>363000</v>
      </c>
    </row>
    <row r="122" spans="1:4" x14ac:dyDescent="0.3">
      <c r="A122">
        <v>122</v>
      </c>
      <c r="B122">
        <v>16</v>
      </c>
      <c r="C122">
        <f t="shared" si="5"/>
        <v>1691</v>
      </c>
      <c r="D122" s="12">
        <f t="shared" si="4"/>
        <v>366000</v>
      </c>
    </row>
    <row r="123" spans="1:4" x14ac:dyDescent="0.3">
      <c r="A123">
        <v>123</v>
      </c>
      <c r="B123">
        <v>16</v>
      </c>
      <c r="C123">
        <f t="shared" si="5"/>
        <v>1707</v>
      </c>
      <c r="D123" s="12">
        <f t="shared" si="4"/>
        <v>369000</v>
      </c>
    </row>
    <row r="124" spans="1:4" x14ac:dyDescent="0.3">
      <c r="A124">
        <v>124</v>
      </c>
      <c r="B124">
        <v>16</v>
      </c>
      <c r="C124">
        <f t="shared" si="5"/>
        <v>1723</v>
      </c>
      <c r="D124" s="12">
        <f t="shared" si="4"/>
        <v>372000</v>
      </c>
    </row>
    <row r="125" spans="1:4" x14ac:dyDescent="0.3">
      <c r="A125">
        <v>125</v>
      </c>
      <c r="B125">
        <v>16</v>
      </c>
      <c r="C125">
        <f t="shared" si="5"/>
        <v>1739</v>
      </c>
      <c r="D125" s="12">
        <f t="shared" si="4"/>
        <v>375000</v>
      </c>
    </row>
    <row r="126" spans="1:4" x14ac:dyDescent="0.3">
      <c r="A126">
        <v>126</v>
      </c>
      <c r="B126">
        <v>16</v>
      </c>
      <c r="C126">
        <f t="shared" si="5"/>
        <v>1755</v>
      </c>
      <c r="D126" s="12">
        <f t="shared" si="4"/>
        <v>378000</v>
      </c>
    </row>
    <row r="127" spans="1:4" x14ac:dyDescent="0.3">
      <c r="A127">
        <v>127</v>
      </c>
      <c r="B127">
        <v>16</v>
      </c>
      <c r="C127">
        <f t="shared" si="5"/>
        <v>1771</v>
      </c>
      <c r="D127" s="12">
        <f t="shared" si="4"/>
        <v>381000</v>
      </c>
    </row>
    <row r="128" spans="1:4" x14ac:dyDescent="0.3">
      <c r="A128">
        <v>128</v>
      </c>
      <c r="B128">
        <v>16</v>
      </c>
      <c r="C128">
        <f t="shared" si="5"/>
        <v>1787</v>
      </c>
      <c r="D128" s="12">
        <f t="shared" si="4"/>
        <v>384000</v>
      </c>
    </row>
    <row r="129" spans="1:4" x14ac:dyDescent="0.3">
      <c r="A129">
        <v>129</v>
      </c>
      <c r="B129">
        <v>16</v>
      </c>
      <c r="C129">
        <f t="shared" si="5"/>
        <v>1803</v>
      </c>
      <c r="D129" s="12">
        <f t="shared" si="4"/>
        <v>387000</v>
      </c>
    </row>
    <row r="130" spans="1:4" x14ac:dyDescent="0.3">
      <c r="A130">
        <v>130</v>
      </c>
      <c r="B130">
        <v>16</v>
      </c>
      <c r="C130">
        <f t="shared" si="5"/>
        <v>1819</v>
      </c>
      <c r="D130" s="12">
        <f t="shared" ref="D130:D193" si="6">A130*3000</f>
        <v>390000</v>
      </c>
    </row>
    <row r="131" spans="1:4" x14ac:dyDescent="0.3">
      <c r="A131">
        <v>131</v>
      </c>
      <c r="B131">
        <v>16</v>
      </c>
      <c r="C131">
        <f t="shared" ref="C131:C194" si="7">C130+B131</f>
        <v>1835</v>
      </c>
      <c r="D131" s="12">
        <f t="shared" si="6"/>
        <v>393000</v>
      </c>
    </row>
    <row r="132" spans="1:4" x14ac:dyDescent="0.3">
      <c r="A132">
        <v>132</v>
      </c>
      <c r="B132">
        <v>16</v>
      </c>
      <c r="C132">
        <f t="shared" si="7"/>
        <v>1851</v>
      </c>
      <c r="D132" s="12">
        <f t="shared" si="6"/>
        <v>396000</v>
      </c>
    </row>
    <row r="133" spans="1:4" x14ac:dyDescent="0.3">
      <c r="A133">
        <v>133</v>
      </c>
      <c r="B133">
        <v>16</v>
      </c>
      <c r="C133">
        <f t="shared" si="7"/>
        <v>1867</v>
      </c>
      <c r="D133" s="12">
        <f t="shared" si="6"/>
        <v>399000</v>
      </c>
    </row>
    <row r="134" spans="1:4" x14ac:dyDescent="0.3">
      <c r="A134">
        <v>134</v>
      </c>
      <c r="B134">
        <v>16</v>
      </c>
      <c r="C134">
        <f t="shared" si="7"/>
        <v>1883</v>
      </c>
      <c r="D134" s="12">
        <f t="shared" si="6"/>
        <v>402000</v>
      </c>
    </row>
    <row r="135" spans="1:4" x14ac:dyDescent="0.3">
      <c r="A135">
        <v>135</v>
      </c>
      <c r="B135">
        <v>16</v>
      </c>
      <c r="C135">
        <f t="shared" si="7"/>
        <v>1899</v>
      </c>
      <c r="D135" s="12">
        <f t="shared" si="6"/>
        <v>405000</v>
      </c>
    </row>
    <row r="136" spans="1:4" x14ac:dyDescent="0.3">
      <c r="A136">
        <v>136</v>
      </c>
      <c r="B136">
        <v>16</v>
      </c>
      <c r="C136">
        <f t="shared" si="7"/>
        <v>1915</v>
      </c>
      <c r="D136" s="12">
        <f t="shared" si="6"/>
        <v>408000</v>
      </c>
    </row>
    <row r="137" spans="1:4" x14ac:dyDescent="0.3">
      <c r="A137">
        <v>137</v>
      </c>
      <c r="B137">
        <v>16</v>
      </c>
      <c r="C137">
        <f t="shared" si="7"/>
        <v>1931</v>
      </c>
      <c r="D137" s="12">
        <f t="shared" si="6"/>
        <v>411000</v>
      </c>
    </row>
    <row r="138" spans="1:4" x14ac:dyDescent="0.3">
      <c r="A138">
        <v>138</v>
      </c>
      <c r="B138">
        <v>16</v>
      </c>
      <c r="C138">
        <f t="shared" si="7"/>
        <v>1947</v>
      </c>
      <c r="D138" s="12">
        <f t="shared" si="6"/>
        <v>414000</v>
      </c>
    </row>
    <row r="139" spans="1:4" x14ac:dyDescent="0.3">
      <c r="A139">
        <v>139</v>
      </c>
      <c r="B139">
        <v>16</v>
      </c>
      <c r="C139">
        <f t="shared" si="7"/>
        <v>1963</v>
      </c>
      <c r="D139" s="12">
        <f t="shared" si="6"/>
        <v>417000</v>
      </c>
    </row>
    <row r="140" spans="1:4" x14ac:dyDescent="0.3">
      <c r="A140">
        <v>140</v>
      </c>
      <c r="B140">
        <v>16</v>
      </c>
      <c r="C140">
        <f t="shared" si="7"/>
        <v>1979</v>
      </c>
      <c r="D140" s="12">
        <f t="shared" si="6"/>
        <v>420000</v>
      </c>
    </row>
    <row r="141" spans="1:4" x14ac:dyDescent="0.3">
      <c r="A141">
        <v>141</v>
      </c>
      <c r="B141">
        <v>16</v>
      </c>
      <c r="C141">
        <f t="shared" si="7"/>
        <v>1995</v>
      </c>
      <c r="D141" s="12">
        <f t="shared" si="6"/>
        <v>423000</v>
      </c>
    </row>
    <row r="142" spans="1:4" x14ac:dyDescent="0.3">
      <c r="A142">
        <v>142</v>
      </c>
      <c r="B142">
        <v>16</v>
      </c>
      <c r="C142">
        <f t="shared" si="7"/>
        <v>2011</v>
      </c>
      <c r="D142" s="12">
        <f t="shared" si="6"/>
        <v>426000</v>
      </c>
    </row>
    <row r="143" spans="1:4" x14ac:dyDescent="0.3">
      <c r="A143">
        <v>143</v>
      </c>
      <c r="B143">
        <v>16</v>
      </c>
      <c r="C143">
        <f t="shared" si="7"/>
        <v>2027</v>
      </c>
      <c r="D143" s="12">
        <f t="shared" si="6"/>
        <v>429000</v>
      </c>
    </row>
    <row r="144" spans="1:4" x14ac:dyDescent="0.3">
      <c r="A144">
        <v>144</v>
      </c>
      <c r="B144">
        <v>16</v>
      </c>
      <c r="C144">
        <f t="shared" si="7"/>
        <v>2043</v>
      </c>
      <c r="D144" s="12">
        <f t="shared" si="6"/>
        <v>432000</v>
      </c>
    </row>
    <row r="145" spans="1:4" x14ac:dyDescent="0.3">
      <c r="A145">
        <v>145</v>
      </c>
      <c r="B145">
        <v>16</v>
      </c>
      <c r="C145">
        <f t="shared" si="7"/>
        <v>2059</v>
      </c>
      <c r="D145" s="12">
        <f t="shared" si="6"/>
        <v>435000</v>
      </c>
    </row>
    <row r="146" spans="1:4" x14ac:dyDescent="0.3">
      <c r="A146">
        <v>146</v>
      </c>
      <c r="B146">
        <v>16</v>
      </c>
      <c r="C146">
        <f t="shared" si="7"/>
        <v>2075</v>
      </c>
      <c r="D146" s="12">
        <f t="shared" si="6"/>
        <v>438000</v>
      </c>
    </row>
    <row r="147" spans="1:4" x14ac:dyDescent="0.3">
      <c r="A147">
        <v>147</v>
      </c>
      <c r="B147">
        <v>16</v>
      </c>
      <c r="C147">
        <f t="shared" si="7"/>
        <v>2091</v>
      </c>
      <c r="D147" s="12">
        <f t="shared" si="6"/>
        <v>441000</v>
      </c>
    </row>
    <row r="148" spans="1:4" x14ac:dyDescent="0.3">
      <c r="A148">
        <v>148</v>
      </c>
      <c r="B148">
        <v>16</v>
      </c>
      <c r="C148">
        <f t="shared" si="7"/>
        <v>2107</v>
      </c>
      <c r="D148" s="12">
        <f t="shared" si="6"/>
        <v>444000</v>
      </c>
    </row>
    <row r="149" spans="1:4" x14ac:dyDescent="0.3">
      <c r="A149">
        <v>149</v>
      </c>
      <c r="B149">
        <v>16</v>
      </c>
      <c r="C149">
        <f t="shared" si="7"/>
        <v>2123</v>
      </c>
      <c r="D149" s="12">
        <f t="shared" si="6"/>
        <v>447000</v>
      </c>
    </row>
    <row r="150" spans="1:4" x14ac:dyDescent="0.3">
      <c r="A150">
        <v>150</v>
      </c>
      <c r="B150">
        <v>16</v>
      </c>
      <c r="C150">
        <f t="shared" si="7"/>
        <v>2139</v>
      </c>
      <c r="D150" s="12">
        <f t="shared" si="6"/>
        <v>450000</v>
      </c>
    </row>
    <row r="151" spans="1:4" x14ac:dyDescent="0.3">
      <c r="A151">
        <v>151</v>
      </c>
      <c r="B151">
        <v>16</v>
      </c>
      <c r="C151">
        <f t="shared" si="7"/>
        <v>2155</v>
      </c>
      <c r="D151" s="12">
        <f t="shared" si="6"/>
        <v>453000</v>
      </c>
    </row>
    <row r="152" spans="1:4" x14ac:dyDescent="0.3">
      <c r="A152">
        <v>152</v>
      </c>
      <c r="B152">
        <v>16</v>
      </c>
      <c r="C152">
        <f t="shared" si="7"/>
        <v>2171</v>
      </c>
      <c r="D152" s="12">
        <f t="shared" si="6"/>
        <v>456000</v>
      </c>
    </row>
    <row r="153" spans="1:4" x14ac:dyDescent="0.3">
      <c r="A153">
        <v>153</v>
      </c>
      <c r="B153">
        <v>16</v>
      </c>
      <c r="C153">
        <f t="shared" si="7"/>
        <v>2187</v>
      </c>
      <c r="D153" s="12">
        <f t="shared" si="6"/>
        <v>459000</v>
      </c>
    </row>
    <row r="154" spans="1:4" x14ac:dyDescent="0.3">
      <c r="A154">
        <v>154</v>
      </c>
      <c r="B154">
        <v>16</v>
      </c>
      <c r="C154">
        <f t="shared" si="7"/>
        <v>2203</v>
      </c>
      <c r="D154" s="12">
        <f t="shared" si="6"/>
        <v>462000</v>
      </c>
    </row>
    <row r="155" spans="1:4" x14ac:dyDescent="0.3">
      <c r="A155">
        <v>155</v>
      </c>
      <c r="B155">
        <v>16</v>
      </c>
      <c r="C155">
        <f t="shared" si="7"/>
        <v>2219</v>
      </c>
      <c r="D155" s="12">
        <f t="shared" si="6"/>
        <v>465000</v>
      </c>
    </row>
    <row r="156" spans="1:4" x14ac:dyDescent="0.3">
      <c r="A156">
        <v>156</v>
      </c>
      <c r="B156">
        <v>16</v>
      </c>
      <c r="C156">
        <f t="shared" si="7"/>
        <v>2235</v>
      </c>
      <c r="D156" s="12">
        <f t="shared" si="6"/>
        <v>468000</v>
      </c>
    </row>
    <row r="157" spans="1:4" x14ac:dyDescent="0.3">
      <c r="A157">
        <v>157</v>
      </c>
      <c r="B157">
        <v>16</v>
      </c>
      <c r="C157">
        <f t="shared" si="7"/>
        <v>2251</v>
      </c>
      <c r="D157" s="12">
        <f t="shared" si="6"/>
        <v>471000</v>
      </c>
    </row>
    <row r="158" spans="1:4" x14ac:dyDescent="0.3">
      <c r="A158">
        <v>158</v>
      </c>
      <c r="B158">
        <v>16</v>
      </c>
      <c r="C158">
        <f t="shared" si="7"/>
        <v>2267</v>
      </c>
      <c r="D158" s="12">
        <f t="shared" si="6"/>
        <v>474000</v>
      </c>
    </row>
    <row r="159" spans="1:4" x14ac:dyDescent="0.3">
      <c r="A159">
        <v>159</v>
      </c>
      <c r="B159">
        <v>16</v>
      </c>
      <c r="C159">
        <f t="shared" si="7"/>
        <v>2283</v>
      </c>
      <c r="D159" s="12">
        <f t="shared" si="6"/>
        <v>477000</v>
      </c>
    </row>
    <row r="160" spans="1:4" x14ac:dyDescent="0.3">
      <c r="A160">
        <v>160</v>
      </c>
      <c r="B160">
        <v>16</v>
      </c>
      <c r="C160">
        <f t="shared" si="7"/>
        <v>2299</v>
      </c>
      <c r="D160" s="12">
        <f t="shared" si="6"/>
        <v>480000</v>
      </c>
    </row>
    <row r="161" spans="1:4" x14ac:dyDescent="0.3">
      <c r="A161">
        <v>161</v>
      </c>
      <c r="B161">
        <v>17</v>
      </c>
      <c r="C161">
        <f t="shared" si="7"/>
        <v>2316</v>
      </c>
      <c r="D161" s="12">
        <f t="shared" si="6"/>
        <v>483000</v>
      </c>
    </row>
    <row r="162" spans="1:4" x14ac:dyDescent="0.3">
      <c r="A162">
        <v>162</v>
      </c>
      <c r="B162">
        <v>17</v>
      </c>
      <c r="C162">
        <f t="shared" si="7"/>
        <v>2333</v>
      </c>
      <c r="D162" s="12">
        <f t="shared" si="6"/>
        <v>486000</v>
      </c>
    </row>
    <row r="163" spans="1:4" x14ac:dyDescent="0.3">
      <c r="A163">
        <v>163</v>
      </c>
      <c r="B163">
        <v>17</v>
      </c>
      <c r="C163">
        <f t="shared" si="7"/>
        <v>2350</v>
      </c>
      <c r="D163" s="12">
        <f t="shared" si="6"/>
        <v>489000</v>
      </c>
    </row>
    <row r="164" spans="1:4" x14ac:dyDescent="0.3">
      <c r="A164">
        <v>164</v>
      </c>
      <c r="B164">
        <v>17</v>
      </c>
      <c r="C164">
        <f t="shared" si="7"/>
        <v>2367</v>
      </c>
      <c r="D164" s="12">
        <f t="shared" si="6"/>
        <v>492000</v>
      </c>
    </row>
    <row r="165" spans="1:4" x14ac:dyDescent="0.3">
      <c r="A165">
        <v>165</v>
      </c>
      <c r="B165">
        <v>17</v>
      </c>
      <c r="C165">
        <f t="shared" si="7"/>
        <v>2384</v>
      </c>
      <c r="D165" s="12">
        <f t="shared" si="6"/>
        <v>495000</v>
      </c>
    </row>
    <row r="166" spans="1:4" x14ac:dyDescent="0.3">
      <c r="A166">
        <v>166</v>
      </c>
      <c r="B166">
        <v>17</v>
      </c>
      <c r="C166">
        <f t="shared" si="7"/>
        <v>2401</v>
      </c>
      <c r="D166" s="12">
        <f t="shared" si="6"/>
        <v>498000</v>
      </c>
    </row>
    <row r="167" spans="1:4" x14ac:dyDescent="0.3">
      <c r="A167">
        <v>167</v>
      </c>
      <c r="B167">
        <v>17</v>
      </c>
      <c r="C167">
        <f t="shared" si="7"/>
        <v>2418</v>
      </c>
      <c r="D167" s="12">
        <f t="shared" si="6"/>
        <v>501000</v>
      </c>
    </row>
    <row r="168" spans="1:4" x14ac:dyDescent="0.3">
      <c r="A168">
        <v>168</v>
      </c>
      <c r="B168">
        <v>17</v>
      </c>
      <c r="C168">
        <f t="shared" si="7"/>
        <v>2435</v>
      </c>
      <c r="D168" s="12">
        <f t="shared" si="6"/>
        <v>504000</v>
      </c>
    </row>
    <row r="169" spans="1:4" x14ac:dyDescent="0.3">
      <c r="A169">
        <v>169</v>
      </c>
      <c r="B169">
        <v>17</v>
      </c>
      <c r="C169">
        <f t="shared" si="7"/>
        <v>2452</v>
      </c>
      <c r="D169" s="12">
        <f t="shared" si="6"/>
        <v>507000</v>
      </c>
    </row>
    <row r="170" spans="1:4" x14ac:dyDescent="0.3">
      <c r="A170">
        <v>170</v>
      </c>
      <c r="B170">
        <v>17</v>
      </c>
      <c r="C170">
        <f t="shared" si="7"/>
        <v>2469</v>
      </c>
      <c r="D170" s="12">
        <f t="shared" si="6"/>
        <v>510000</v>
      </c>
    </row>
    <row r="171" spans="1:4" x14ac:dyDescent="0.3">
      <c r="A171">
        <v>171</v>
      </c>
      <c r="B171">
        <v>17</v>
      </c>
      <c r="C171">
        <f t="shared" si="7"/>
        <v>2486</v>
      </c>
      <c r="D171" s="12">
        <f t="shared" si="6"/>
        <v>513000</v>
      </c>
    </row>
    <row r="172" spans="1:4" x14ac:dyDescent="0.3">
      <c r="A172">
        <v>172</v>
      </c>
      <c r="B172">
        <v>17</v>
      </c>
      <c r="C172">
        <f t="shared" si="7"/>
        <v>2503</v>
      </c>
      <c r="D172" s="12">
        <f t="shared" si="6"/>
        <v>516000</v>
      </c>
    </row>
    <row r="173" spans="1:4" x14ac:dyDescent="0.3">
      <c r="A173">
        <v>173</v>
      </c>
      <c r="B173">
        <v>17</v>
      </c>
      <c r="C173">
        <f t="shared" si="7"/>
        <v>2520</v>
      </c>
      <c r="D173" s="12">
        <f t="shared" si="6"/>
        <v>519000</v>
      </c>
    </row>
    <row r="174" spans="1:4" x14ac:dyDescent="0.3">
      <c r="A174">
        <v>174</v>
      </c>
      <c r="B174">
        <v>17</v>
      </c>
      <c r="C174">
        <f t="shared" si="7"/>
        <v>2537</v>
      </c>
      <c r="D174" s="12">
        <f t="shared" si="6"/>
        <v>522000</v>
      </c>
    </row>
    <row r="175" spans="1:4" x14ac:dyDescent="0.3">
      <c r="A175">
        <v>175</v>
      </c>
      <c r="B175">
        <v>17</v>
      </c>
      <c r="C175">
        <f t="shared" si="7"/>
        <v>2554</v>
      </c>
      <c r="D175" s="12">
        <f t="shared" si="6"/>
        <v>525000</v>
      </c>
    </row>
    <row r="176" spans="1:4" x14ac:dyDescent="0.3">
      <c r="A176">
        <v>176</v>
      </c>
      <c r="B176">
        <v>17</v>
      </c>
      <c r="C176">
        <f t="shared" si="7"/>
        <v>2571</v>
      </c>
      <c r="D176" s="12">
        <f t="shared" si="6"/>
        <v>528000</v>
      </c>
    </row>
    <row r="177" spans="1:4" x14ac:dyDescent="0.3">
      <c r="A177">
        <v>177</v>
      </c>
      <c r="B177">
        <v>17</v>
      </c>
      <c r="C177">
        <f t="shared" si="7"/>
        <v>2588</v>
      </c>
      <c r="D177" s="12">
        <f t="shared" si="6"/>
        <v>531000</v>
      </c>
    </row>
    <row r="178" spans="1:4" x14ac:dyDescent="0.3">
      <c r="A178">
        <v>178</v>
      </c>
      <c r="B178">
        <v>17</v>
      </c>
      <c r="C178">
        <f t="shared" si="7"/>
        <v>2605</v>
      </c>
      <c r="D178" s="12">
        <f t="shared" si="6"/>
        <v>534000</v>
      </c>
    </row>
    <row r="179" spans="1:4" x14ac:dyDescent="0.3">
      <c r="A179">
        <v>179</v>
      </c>
      <c r="B179">
        <v>17</v>
      </c>
      <c r="C179">
        <f t="shared" si="7"/>
        <v>2622</v>
      </c>
      <c r="D179" s="12">
        <f t="shared" si="6"/>
        <v>537000</v>
      </c>
    </row>
    <row r="180" spans="1:4" x14ac:dyDescent="0.3">
      <c r="A180">
        <v>180</v>
      </c>
      <c r="B180">
        <v>17</v>
      </c>
      <c r="C180">
        <f t="shared" si="7"/>
        <v>2639</v>
      </c>
      <c r="D180" s="12">
        <f t="shared" si="6"/>
        <v>540000</v>
      </c>
    </row>
    <row r="181" spans="1:4" x14ac:dyDescent="0.3">
      <c r="A181">
        <v>181</v>
      </c>
      <c r="B181">
        <v>17</v>
      </c>
      <c r="C181">
        <f t="shared" si="7"/>
        <v>2656</v>
      </c>
      <c r="D181" s="12">
        <f t="shared" si="6"/>
        <v>543000</v>
      </c>
    </row>
    <row r="182" spans="1:4" x14ac:dyDescent="0.3">
      <c r="A182">
        <v>182</v>
      </c>
      <c r="B182">
        <v>17</v>
      </c>
      <c r="C182">
        <f t="shared" si="7"/>
        <v>2673</v>
      </c>
      <c r="D182" s="12">
        <f t="shared" si="6"/>
        <v>546000</v>
      </c>
    </row>
    <row r="183" spans="1:4" x14ac:dyDescent="0.3">
      <c r="A183">
        <v>183</v>
      </c>
      <c r="B183">
        <v>17</v>
      </c>
      <c r="C183">
        <f t="shared" si="7"/>
        <v>2690</v>
      </c>
      <c r="D183" s="12">
        <f t="shared" si="6"/>
        <v>549000</v>
      </c>
    </row>
    <row r="184" spans="1:4" x14ac:dyDescent="0.3">
      <c r="A184">
        <v>184</v>
      </c>
      <c r="B184">
        <v>17</v>
      </c>
      <c r="C184">
        <f t="shared" si="7"/>
        <v>2707</v>
      </c>
      <c r="D184" s="12">
        <f t="shared" si="6"/>
        <v>552000</v>
      </c>
    </row>
    <row r="185" spans="1:4" x14ac:dyDescent="0.3">
      <c r="A185">
        <v>185</v>
      </c>
      <c r="B185">
        <v>17</v>
      </c>
      <c r="C185">
        <f t="shared" si="7"/>
        <v>2724</v>
      </c>
      <c r="D185" s="12">
        <f t="shared" si="6"/>
        <v>555000</v>
      </c>
    </row>
    <row r="186" spans="1:4" x14ac:dyDescent="0.3">
      <c r="A186">
        <v>186</v>
      </c>
      <c r="B186">
        <v>17</v>
      </c>
      <c r="C186">
        <f t="shared" si="7"/>
        <v>2741</v>
      </c>
      <c r="D186" s="12">
        <f t="shared" si="6"/>
        <v>558000</v>
      </c>
    </row>
    <row r="187" spans="1:4" x14ac:dyDescent="0.3">
      <c r="A187">
        <v>187</v>
      </c>
      <c r="B187">
        <v>17</v>
      </c>
      <c r="C187">
        <f t="shared" si="7"/>
        <v>2758</v>
      </c>
      <c r="D187" s="12">
        <f t="shared" si="6"/>
        <v>561000</v>
      </c>
    </row>
    <row r="188" spans="1:4" x14ac:dyDescent="0.3">
      <c r="A188">
        <v>188</v>
      </c>
      <c r="B188">
        <v>17</v>
      </c>
      <c r="C188">
        <f t="shared" si="7"/>
        <v>2775</v>
      </c>
      <c r="D188" s="12">
        <f t="shared" si="6"/>
        <v>564000</v>
      </c>
    </row>
    <row r="189" spans="1:4" x14ac:dyDescent="0.3">
      <c r="A189">
        <v>189</v>
      </c>
      <c r="B189">
        <v>17</v>
      </c>
      <c r="C189">
        <f t="shared" si="7"/>
        <v>2792</v>
      </c>
      <c r="D189" s="12">
        <f t="shared" si="6"/>
        <v>567000</v>
      </c>
    </row>
    <row r="190" spans="1:4" x14ac:dyDescent="0.3">
      <c r="A190">
        <v>190</v>
      </c>
      <c r="B190">
        <v>17</v>
      </c>
      <c r="C190">
        <f t="shared" si="7"/>
        <v>2809</v>
      </c>
      <c r="D190" s="12">
        <f t="shared" si="6"/>
        <v>570000</v>
      </c>
    </row>
    <row r="191" spans="1:4" x14ac:dyDescent="0.3">
      <c r="A191">
        <v>191</v>
      </c>
      <c r="B191">
        <v>17</v>
      </c>
      <c r="C191">
        <f t="shared" si="7"/>
        <v>2826</v>
      </c>
      <c r="D191" s="12">
        <f t="shared" si="6"/>
        <v>573000</v>
      </c>
    </row>
    <row r="192" spans="1:4" x14ac:dyDescent="0.3">
      <c r="A192">
        <v>192</v>
      </c>
      <c r="B192">
        <v>17</v>
      </c>
      <c r="C192">
        <f t="shared" si="7"/>
        <v>2843</v>
      </c>
      <c r="D192" s="12">
        <f t="shared" si="6"/>
        <v>576000</v>
      </c>
    </row>
    <row r="193" spans="1:4" x14ac:dyDescent="0.3">
      <c r="A193">
        <v>193</v>
      </c>
      <c r="B193">
        <v>17</v>
      </c>
      <c r="C193">
        <f t="shared" si="7"/>
        <v>2860</v>
      </c>
      <c r="D193" s="12">
        <f t="shared" si="6"/>
        <v>579000</v>
      </c>
    </row>
    <row r="194" spans="1:4" x14ac:dyDescent="0.3">
      <c r="A194">
        <v>194</v>
      </c>
      <c r="B194">
        <v>17</v>
      </c>
      <c r="C194">
        <f t="shared" si="7"/>
        <v>2877</v>
      </c>
      <c r="D194" s="12">
        <f t="shared" ref="D194:D257" si="8">A194*3000</f>
        <v>582000</v>
      </c>
    </row>
    <row r="195" spans="1:4" x14ac:dyDescent="0.3">
      <c r="A195">
        <v>195</v>
      </c>
      <c r="B195">
        <v>17</v>
      </c>
      <c r="C195">
        <f t="shared" ref="C195:C258" si="9">C194+B195</f>
        <v>2894</v>
      </c>
      <c r="D195" s="12">
        <f t="shared" si="8"/>
        <v>585000</v>
      </c>
    </row>
    <row r="196" spans="1:4" x14ac:dyDescent="0.3">
      <c r="A196">
        <v>196</v>
      </c>
      <c r="B196">
        <v>17</v>
      </c>
      <c r="C196">
        <f t="shared" si="9"/>
        <v>2911</v>
      </c>
      <c r="D196" s="12">
        <f t="shared" si="8"/>
        <v>588000</v>
      </c>
    </row>
    <row r="197" spans="1:4" x14ac:dyDescent="0.3">
      <c r="A197">
        <v>197</v>
      </c>
      <c r="B197">
        <v>17</v>
      </c>
      <c r="C197">
        <f t="shared" si="9"/>
        <v>2928</v>
      </c>
      <c r="D197" s="12">
        <f t="shared" si="8"/>
        <v>591000</v>
      </c>
    </row>
    <row r="198" spans="1:4" x14ac:dyDescent="0.3">
      <c r="A198">
        <v>198</v>
      </c>
      <c r="B198">
        <v>17</v>
      </c>
      <c r="C198">
        <f t="shared" si="9"/>
        <v>2945</v>
      </c>
      <c r="D198" s="12">
        <f t="shared" si="8"/>
        <v>594000</v>
      </c>
    </row>
    <row r="199" spans="1:4" x14ac:dyDescent="0.3">
      <c r="A199">
        <v>199</v>
      </c>
      <c r="B199">
        <v>17</v>
      </c>
      <c r="C199">
        <f t="shared" si="9"/>
        <v>2962</v>
      </c>
      <c r="D199" s="12">
        <f t="shared" si="8"/>
        <v>597000</v>
      </c>
    </row>
    <row r="200" spans="1:4" x14ac:dyDescent="0.3">
      <c r="A200">
        <v>200</v>
      </c>
      <c r="B200">
        <v>17</v>
      </c>
      <c r="C200">
        <f t="shared" si="9"/>
        <v>2979</v>
      </c>
      <c r="D200" s="12">
        <f t="shared" si="8"/>
        <v>600000</v>
      </c>
    </row>
    <row r="201" spans="1:4" x14ac:dyDescent="0.3">
      <c r="A201">
        <v>201</v>
      </c>
      <c r="B201">
        <v>17</v>
      </c>
      <c r="C201">
        <f t="shared" si="9"/>
        <v>2996</v>
      </c>
      <c r="D201" s="12">
        <f t="shared" si="8"/>
        <v>603000</v>
      </c>
    </row>
    <row r="202" spans="1:4" x14ac:dyDescent="0.3">
      <c r="A202">
        <v>202</v>
      </c>
      <c r="B202">
        <v>17</v>
      </c>
      <c r="C202">
        <f t="shared" si="9"/>
        <v>3013</v>
      </c>
      <c r="D202" s="12">
        <f t="shared" si="8"/>
        <v>606000</v>
      </c>
    </row>
    <row r="203" spans="1:4" x14ac:dyDescent="0.3">
      <c r="A203">
        <v>203</v>
      </c>
      <c r="B203">
        <v>17</v>
      </c>
      <c r="C203">
        <f t="shared" si="9"/>
        <v>3030</v>
      </c>
      <c r="D203" s="12">
        <f t="shared" si="8"/>
        <v>609000</v>
      </c>
    </row>
    <row r="204" spans="1:4" x14ac:dyDescent="0.3">
      <c r="A204">
        <v>204</v>
      </c>
      <c r="B204">
        <v>17</v>
      </c>
      <c r="C204">
        <f t="shared" si="9"/>
        <v>3047</v>
      </c>
      <c r="D204" s="12">
        <f t="shared" si="8"/>
        <v>612000</v>
      </c>
    </row>
    <row r="205" spans="1:4" x14ac:dyDescent="0.3">
      <c r="A205">
        <v>205</v>
      </c>
      <c r="B205">
        <v>17</v>
      </c>
      <c r="C205">
        <f t="shared" si="9"/>
        <v>3064</v>
      </c>
      <c r="D205" s="12">
        <f t="shared" si="8"/>
        <v>615000</v>
      </c>
    </row>
    <row r="206" spans="1:4" x14ac:dyDescent="0.3">
      <c r="A206">
        <v>206</v>
      </c>
      <c r="B206">
        <v>17</v>
      </c>
      <c r="C206">
        <f t="shared" si="9"/>
        <v>3081</v>
      </c>
      <c r="D206" s="12">
        <f t="shared" si="8"/>
        <v>618000</v>
      </c>
    </row>
    <row r="207" spans="1:4" x14ac:dyDescent="0.3">
      <c r="A207">
        <v>207</v>
      </c>
      <c r="B207">
        <v>17</v>
      </c>
      <c r="C207">
        <f t="shared" si="9"/>
        <v>3098</v>
      </c>
      <c r="D207" s="12">
        <f t="shared" si="8"/>
        <v>621000</v>
      </c>
    </row>
    <row r="208" spans="1:4" x14ac:dyDescent="0.3">
      <c r="A208">
        <v>208</v>
      </c>
      <c r="B208">
        <v>17</v>
      </c>
      <c r="C208">
        <f t="shared" si="9"/>
        <v>3115</v>
      </c>
      <c r="D208" s="12">
        <f t="shared" si="8"/>
        <v>624000</v>
      </c>
    </row>
    <row r="209" spans="1:4" x14ac:dyDescent="0.3">
      <c r="A209">
        <v>209</v>
      </c>
      <c r="B209">
        <v>17</v>
      </c>
      <c r="C209">
        <f t="shared" si="9"/>
        <v>3132</v>
      </c>
      <c r="D209" s="12">
        <f t="shared" si="8"/>
        <v>627000</v>
      </c>
    </row>
    <row r="210" spans="1:4" x14ac:dyDescent="0.3">
      <c r="A210">
        <v>210</v>
      </c>
      <c r="B210">
        <v>17</v>
      </c>
      <c r="C210">
        <f t="shared" si="9"/>
        <v>3149</v>
      </c>
      <c r="D210" s="12">
        <f t="shared" si="8"/>
        <v>630000</v>
      </c>
    </row>
    <row r="211" spans="1:4" x14ac:dyDescent="0.3">
      <c r="A211">
        <v>211</v>
      </c>
      <c r="B211">
        <v>17</v>
      </c>
      <c r="C211">
        <f t="shared" si="9"/>
        <v>3166</v>
      </c>
      <c r="D211" s="12">
        <f t="shared" si="8"/>
        <v>633000</v>
      </c>
    </row>
    <row r="212" spans="1:4" x14ac:dyDescent="0.3">
      <c r="A212">
        <v>212</v>
      </c>
      <c r="B212">
        <v>17</v>
      </c>
      <c r="C212">
        <f t="shared" si="9"/>
        <v>3183</v>
      </c>
      <c r="D212" s="12">
        <f t="shared" si="8"/>
        <v>636000</v>
      </c>
    </row>
    <row r="213" spans="1:4" x14ac:dyDescent="0.3">
      <c r="A213">
        <v>213</v>
      </c>
      <c r="B213">
        <v>17</v>
      </c>
      <c r="C213">
        <f t="shared" si="9"/>
        <v>3200</v>
      </c>
      <c r="D213" s="12">
        <f t="shared" si="8"/>
        <v>639000</v>
      </c>
    </row>
    <row r="214" spans="1:4" x14ac:dyDescent="0.3">
      <c r="A214">
        <v>214</v>
      </c>
      <c r="B214">
        <v>17</v>
      </c>
      <c r="C214">
        <f t="shared" si="9"/>
        <v>3217</v>
      </c>
      <c r="D214" s="12">
        <f t="shared" si="8"/>
        <v>642000</v>
      </c>
    </row>
    <row r="215" spans="1:4" x14ac:dyDescent="0.3">
      <c r="A215">
        <v>215</v>
      </c>
      <c r="B215">
        <v>17</v>
      </c>
      <c r="C215">
        <f t="shared" si="9"/>
        <v>3234</v>
      </c>
      <c r="D215" s="12">
        <f t="shared" si="8"/>
        <v>645000</v>
      </c>
    </row>
    <row r="216" spans="1:4" x14ac:dyDescent="0.3">
      <c r="A216">
        <v>216</v>
      </c>
      <c r="B216">
        <v>17</v>
      </c>
      <c r="C216">
        <f t="shared" si="9"/>
        <v>3251</v>
      </c>
      <c r="D216" s="12">
        <f t="shared" si="8"/>
        <v>648000</v>
      </c>
    </row>
    <row r="217" spans="1:4" x14ac:dyDescent="0.3">
      <c r="A217">
        <v>217</v>
      </c>
      <c r="B217">
        <v>17</v>
      </c>
      <c r="C217">
        <f t="shared" si="9"/>
        <v>3268</v>
      </c>
      <c r="D217" s="12">
        <f t="shared" si="8"/>
        <v>651000</v>
      </c>
    </row>
    <row r="218" spans="1:4" x14ac:dyDescent="0.3">
      <c r="A218">
        <v>218</v>
      </c>
      <c r="B218">
        <v>17</v>
      </c>
      <c r="C218">
        <f t="shared" si="9"/>
        <v>3285</v>
      </c>
      <c r="D218" s="12">
        <f t="shared" si="8"/>
        <v>654000</v>
      </c>
    </row>
    <row r="219" spans="1:4" x14ac:dyDescent="0.3">
      <c r="A219">
        <v>219</v>
      </c>
      <c r="B219">
        <v>17</v>
      </c>
      <c r="C219">
        <f t="shared" si="9"/>
        <v>3302</v>
      </c>
      <c r="D219" s="12">
        <f t="shared" si="8"/>
        <v>657000</v>
      </c>
    </row>
    <row r="220" spans="1:4" x14ac:dyDescent="0.3">
      <c r="A220">
        <v>220</v>
      </c>
      <c r="B220">
        <v>17</v>
      </c>
      <c r="C220">
        <f t="shared" si="9"/>
        <v>3319</v>
      </c>
      <c r="D220" s="12">
        <f t="shared" si="8"/>
        <v>660000</v>
      </c>
    </row>
    <row r="221" spans="1:4" x14ac:dyDescent="0.3">
      <c r="A221">
        <v>221</v>
      </c>
      <c r="B221">
        <v>17</v>
      </c>
      <c r="C221">
        <f t="shared" si="9"/>
        <v>3336</v>
      </c>
      <c r="D221" s="12">
        <f t="shared" si="8"/>
        <v>663000</v>
      </c>
    </row>
    <row r="222" spans="1:4" x14ac:dyDescent="0.3">
      <c r="A222">
        <v>222</v>
      </c>
      <c r="B222">
        <v>17</v>
      </c>
      <c r="C222">
        <f t="shared" si="9"/>
        <v>3353</v>
      </c>
      <c r="D222" s="12">
        <f t="shared" si="8"/>
        <v>666000</v>
      </c>
    </row>
    <row r="223" spans="1:4" x14ac:dyDescent="0.3">
      <c r="A223">
        <v>223</v>
      </c>
      <c r="B223">
        <v>17</v>
      </c>
      <c r="C223">
        <f t="shared" si="9"/>
        <v>3370</v>
      </c>
      <c r="D223" s="12">
        <f t="shared" si="8"/>
        <v>669000</v>
      </c>
    </row>
    <row r="224" spans="1:4" x14ac:dyDescent="0.3">
      <c r="A224">
        <v>224</v>
      </c>
      <c r="B224">
        <v>17</v>
      </c>
      <c r="C224">
        <f t="shared" si="9"/>
        <v>3387</v>
      </c>
      <c r="D224" s="12">
        <f t="shared" si="8"/>
        <v>672000</v>
      </c>
    </row>
    <row r="225" spans="1:4" x14ac:dyDescent="0.3">
      <c r="A225">
        <v>225</v>
      </c>
      <c r="B225">
        <v>18</v>
      </c>
      <c r="C225">
        <f t="shared" si="9"/>
        <v>3405</v>
      </c>
      <c r="D225" s="12">
        <f t="shared" si="8"/>
        <v>675000</v>
      </c>
    </row>
    <row r="226" spans="1:4" x14ac:dyDescent="0.3">
      <c r="A226">
        <v>226</v>
      </c>
      <c r="B226">
        <v>18</v>
      </c>
      <c r="C226">
        <f t="shared" si="9"/>
        <v>3423</v>
      </c>
      <c r="D226" s="12">
        <f t="shared" si="8"/>
        <v>678000</v>
      </c>
    </row>
    <row r="227" spans="1:4" x14ac:dyDescent="0.3">
      <c r="A227">
        <v>227</v>
      </c>
      <c r="B227">
        <v>18</v>
      </c>
      <c r="C227">
        <f t="shared" si="9"/>
        <v>3441</v>
      </c>
      <c r="D227" s="12">
        <f t="shared" si="8"/>
        <v>681000</v>
      </c>
    </row>
    <row r="228" spans="1:4" x14ac:dyDescent="0.3">
      <c r="A228">
        <v>228</v>
      </c>
      <c r="B228">
        <v>18</v>
      </c>
      <c r="C228">
        <f t="shared" si="9"/>
        <v>3459</v>
      </c>
      <c r="D228" s="12">
        <f t="shared" si="8"/>
        <v>684000</v>
      </c>
    </row>
    <row r="229" spans="1:4" x14ac:dyDescent="0.3">
      <c r="A229">
        <v>229</v>
      </c>
      <c r="B229">
        <v>18</v>
      </c>
      <c r="C229">
        <f t="shared" si="9"/>
        <v>3477</v>
      </c>
      <c r="D229" s="12">
        <f t="shared" si="8"/>
        <v>687000</v>
      </c>
    </row>
    <row r="230" spans="1:4" x14ac:dyDescent="0.3">
      <c r="A230">
        <v>230</v>
      </c>
      <c r="B230">
        <v>18</v>
      </c>
      <c r="C230">
        <f t="shared" si="9"/>
        <v>3495</v>
      </c>
      <c r="D230" s="12">
        <f t="shared" si="8"/>
        <v>690000</v>
      </c>
    </row>
    <row r="231" spans="1:4" x14ac:dyDescent="0.3">
      <c r="A231">
        <v>231</v>
      </c>
      <c r="B231">
        <v>18</v>
      </c>
      <c r="C231">
        <f t="shared" si="9"/>
        <v>3513</v>
      </c>
      <c r="D231" s="12">
        <f t="shared" si="8"/>
        <v>693000</v>
      </c>
    </row>
    <row r="232" spans="1:4" x14ac:dyDescent="0.3">
      <c r="A232">
        <v>232</v>
      </c>
      <c r="B232">
        <v>18</v>
      </c>
      <c r="C232">
        <f t="shared" si="9"/>
        <v>3531</v>
      </c>
      <c r="D232" s="12">
        <f t="shared" si="8"/>
        <v>696000</v>
      </c>
    </row>
    <row r="233" spans="1:4" x14ac:dyDescent="0.3">
      <c r="A233">
        <v>233</v>
      </c>
      <c r="B233">
        <v>18</v>
      </c>
      <c r="C233">
        <f t="shared" si="9"/>
        <v>3549</v>
      </c>
      <c r="D233" s="12">
        <f t="shared" si="8"/>
        <v>699000</v>
      </c>
    </row>
    <row r="234" spans="1:4" x14ac:dyDescent="0.3">
      <c r="A234">
        <v>234</v>
      </c>
      <c r="B234">
        <v>18</v>
      </c>
      <c r="C234">
        <f t="shared" si="9"/>
        <v>3567</v>
      </c>
      <c r="D234" s="12">
        <f t="shared" si="8"/>
        <v>702000</v>
      </c>
    </row>
    <row r="235" spans="1:4" x14ac:dyDescent="0.3">
      <c r="A235">
        <v>235</v>
      </c>
      <c r="B235">
        <v>18</v>
      </c>
      <c r="C235">
        <f t="shared" si="9"/>
        <v>3585</v>
      </c>
      <c r="D235" s="12">
        <f t="shared" si="8"/>
        <v>705000</v>
      </c>
    </row>
    <row r="236" spans="1:4" x14ac:dyDescent="0.3">
      <c r="A236">
        <v>236</v>
      </c>
      <c r="B236">
        <v>18</v>
      </c>
      <c r="C236">
        <f t="shared" si="9"/>
        <v>3603</v>
      </c>
      <c r="D236" s="12">
        <f t="shared" si="8"/>
        <v>708000</v>
      </c>
    </row>
    <row r="237" spans="1:4" x14ac:dyDescent="0.3">
      <c r="A237">
        <v>237</v>
      </c>
      <c r="B237">
        <v>18</v>
      </c>
      <c r="C237">
        <f t="shared" si="9"/>
        <v>3621</v>
      </c>
      <c r="D237" s="12">
        <f t="shared" si="8"/>
        <v>711000</v>
      </c>
    </row>
    <row r="238" spans="1:4" x14ac:dyDescent="0.3">
      <c r="A238">
        <v>238</v>
      </c>
      <c r="B238">
        <v>18</v>
      </c>
      <c r="C238">
        <f t="shared" si="9"/>
        <v>3639</v>
      </c>
      <c r="D238" s="12">
        <f t="shared" si="8"/>
        <v>714000</v>
      </c>
    </row>
    <row r="239" spans="1:4" x14ac:dyDescent="0.3">
      <c r="A239">
        <v>239</v>
      </c>
      <c r="B239">
        <v>18</v>
      </c>
      <c r="C239">
        <f t="shared" si="9"/>
        <v>3657</v>
      </c>
      <c r="D239" s="12">
        <f t="shared" si="8"/>
        <v>717000</v>
      </c>
    </row>
    <row r="240" spans="1:4" x14ac:dyDescent="0.3">
      <c r="A240">
        <v>240</v>
      </c>
      <c r="B240">
        <v>18</v>
      </c>
      <c r="C240">
        <f t="shared" si="9"/>
        <v>3675</v>
      </c>
      <c r="D240" s="12">
        <f t="shared" si="8"/>
        <v>720000</v>
      </c>
    </row>
    <row r="241" spans="1:4" x14ac:dyDescent="0.3">
      <c r="A241">
        <v>241</v>
      </c>
      <c r="B241">
        <v>18</v>
      </c>
      <c r="C241">
        <f t="shared" si="9"/>
        <v>3693</v>
      </c>
      <c r="D241" s="12">
        <f t="shared" si="8"/>
        <v>723000</v>
      </c>
    </row>
    <row r="242" spans="1:4" x14ac:dyDescent="0.3">
      <c r="A242">
        <v>242</v>
      </c>
      <c r="B242">
        <v>18</v>
      </c>
      <c r="C242">
        <f t="shared" si="9"/>
        <v>3711</v>
      </c>
      <c r="D242" s="12">
        <f t="shared" si="8"/>
        <v>726000</v>
      </c>
    </row>
    <row r="243" spans="1:4" x14ac:dyDescent="0.3">
      <c r="A243">
        <v>243</v>
      </c>
      <c r="B243">
        <v>18</v>
      </c>
      <c r="C243">
        <f t="shared" si="9"/>
        <v>3729</v>
      </c>
      <c r="D243" s="12">
        <f t="shared" si="8"/>
        <v>729000</v>
      </c>
    </row>
    <row r="244" spans="1:4" x14ac:dyDescent="0.3">
      <c r="A244">
        <v>244</v>
      </c>
      <c r="B244">
        <v>18</v>
      </c>
      <c r="C244">
        <f t="shared" si="9"/>
        <v>3747</v>
      </c>
      <c r="D244" s="12">
        <f t="shared" si="8"/>
        <v>732000</v>
      </c>
    </row>
    <row r="245" spans="1:4" x14ac:dyDescent="0.3">
      <c r="A245">
        <v>245</v>
      </c>
      <c r="B245">
        <v>18</v>
      </c>
      <c r="C245">
        <f t="shared" si="9"/>
        <v>3765</v>
      </c>
      <c r="D245" s="12">
        <f t="shared" si="8"/>
        <v>735000</v>
      </c>
    </row>
    <row r="246" spans="1:4" x14ac:dyDescent="0.3">
      <c r="A246">
        <v>246</v>
      </c>
      <c r="B246">
        <v>18</v>
      </c>
      <c r="C246">
        <f t="shared" si="9"/>
        <v>3783</v>
      </c>
      <c r="D246" s="12">
        <f t="shared" si="8"/>
        <v>738000</v>
      </c>
    </row>
    <row r="247" spans="1:4" x14ac:dyDescent="0.3">
      <c r="A247">
        <v>247</v>
      </c>
      <c r="B247">
        <v>18</v>
      </c>
      <c r="C247">
        <f t="shared" si="9"/>
        <v>3801</v>
      </c>
      <c r="D247" s="12">
        <f t="shared" si="8"/>
        <v>741000</v>
      </c>
    </row>
    <row r="248" spans="1:4" x14ac:dyDescent="0.3">
      <c r="A248">
        <v>248</v>
      </c>
      <c r="B248">
        <v>18</v>
      </c>
      <c r="C248">
        <f t="shared" si="9"/>
        <v>3819</v>
      </c>
      <c r="D248" s="12">
        <f t="shared" si="8"/>
        <v>744000</v>
      </c>
    </row>
    <row r="249" spans="1:4" x14ac:dyDescent="0.3">
      <c r="A249">
        <v>249</v>
      </c>
      <c r="B249">
        <v>18</v>
      </c>
      <c r="C249">
        <f t="shared" si="9"/>
        <v>3837</v>
      </c>
      <c r="D249" s="12">
        <f t="shared" si="8"/>
        <v>747000</v>
      </c>
    </row>
    <row r="250" spans="1:4" x14ac:dyDescent="0.3">
      <c r="A250">
        <v>250</v>
      </c>
      <c r="B250">
        <v>18</v>
      </c>
      <c r="C250">
        <f t="shared" si="9"/>
        <v>3855</v>
      </c>
      <c r="D250" s="12">
        <f t="shared" si="8"/>
        <v>750000</v>
      </c>
    </row>
    <row r="251" spans="1:4" x14ac:dyDescent="0.3">
      <c r="A251">
        <v>251</v>
      </c>
      <c r="B251">
        <v>18</v>
      </c>
      <c r="C251">
        <f t="shared" si="9"/>
        <v>3873</v>
      </c>
      <c r="D251" s="12">
        <f t="shared" si="8"/>
        <v>753000</v>
      </c>
    </row>
    <row r="252" spans="1:4" x14ac:dyDescent="0.3">
      <c r="A252">
        <v>252</v>
      </c>
      <c r="B252">
        <v>18</v>
      </c>
      <c r="C252">
        <f t="shared" si="9"/>
        <v>3891</v>
      </c>
      <c r="D252" s="12">
        <f t="shared" si="8"/>
        <v>756000</v>
      </c>
    </row>
    <row r="253" spans="1:4" x14ac:dyDescent="0.3">
      <c r="A253">
        <v>253</v>
      </c>
      <c r="B253">
        <v>18</v>
      </c>
      <c r="C253">
        <f t="shared" si="9"/>
        <v>3909</v>
      </c>
      <c r="D253" s="12">
        <f t="shared" si="8"/>
        <v>759000</v>
      </c>
    </row>
    <row r="254" spans="1:4" x14ac:dyDescent="0.3">
      <c r="A254">
        <v>254</v>
      </c>
      <c r="B254">
        <v>18</v>
      </c>
      <c r="C254">
        <f t="shared" si="9"/>
        <v>3927</v>
      </c>
      <c r="D254" s="12">
        <f t="shared" si="8"/>
        <v>762000</v>
      </c>
    </row>
    <row r="255" spans="1:4" x14ac:dyDescent="0.3">
      <c r="A255">
        <v>255</v>
      </c>
      <c r="B255">
        <v>18</v>
      </c>
      <c r="C255">
        <f t="shared" si="9"/>
        <v>3945</v>
      </c>
      <c r="D255" s="12">
        <f t="shared" si="8"/>
        <v>765000</v>
      </c>
    </row>
    <row r="256" spans="1:4" x14ac:dyDescent="0.3">
      <c r="A256">
        <v>256</v>
      </c>
      <c r="B256">
        <v>18</v>
      </c>
      <c r="C256">
        <f t="shared" si="9"/>
        <v>3963</v>
      </c>
      <c r="D256" s="12">
        <f t="shared" si="8"/>
        <v>768000</v>
      </c>
    </row>
    <row r="257" spans="1:4" x14ac:dyDescent="0.3">
      <c r="A257">
        <v>257</v>
      </c>
      <c r="B257">
        <v>18</v>
      </c>
      <c r="C257">
        <f t="shared" si="9"/>
        <v>3981</v>
      </c>
      <c r="D257" s="12">
        <f t="shared" si="8"/>
        <v>771000</v>
      </c>
    </row>
    <row r="258" spans="1:4" x14ac:dyDescent="0.3">
      <c r="A258">
        <v>258</v>
      </c>
      <c r="B258">
        <v>18</v>
      </c>
      <c r="C258">
        <f t="shared" si="9"/>
        <v>3999</v>
      </c>
      <c r="D258" s="12">
        <f t="shared" ref="D258:D321" si="10">A258*3000</f>
        <v>774000</v>
      </c>
    </row>
    <row r="259" spans="1:4" x14ac:dyDescent="0.3">
      <c r="A259">
        <v>259</v>
      </c>
      <c r="B259">
        <v>18</v>
      </c>
      <c r="C259">
        <f t="shared" ref="C259:C322" si="11">C258+B259</f>
        <v>4017</v>
      </c>
      <c r="D259" s="12">
        <f t="shared" si="10"/>
        <v>777000</v>
      </c>
    </row>
    <row r="260" spans="1:4" x14ac:dyDescent="0.3">
      <c r="A260">
        <v>260</v>
      </c>
      <c r="B260">
        <v>18</v>
      </c>
      <c r="C260">
        <f t="shared" si="11"/>
        <v>4035</v>
      </c>
      <c r="D260" s="12">
        <f t="shared" si="10"/>
        <v>780000</v>
      </c>
    </row>
    <row r="261" spans="1:4" x14ac:dyDescent="0.3">
      <c r="A261">
        <v>261</v>
      </c>
      <c r="B261">
        <v>18</v>
      </c>
      <c r="C261">
        <f t="shared" si="11"/>
        <v>4053</v>
      </c>
      <c r="D261" s="12">
        <f t="shared" si="10"/>
        <v>783000</v>
      </c>
    </row>
    <row r="262" spans="1:4" x14ac:dyDescent="0.3">
      <c r="A262">
        <v>262</v>
      </c>
      <c r="B262">
        <v>18</v>
      </c>
      <c r="C262">
        <f t="shared" si="11"/>
        <v>4071</v>
      </c>
      <c r="D262" s="12">
        <f t="shared" si="10"/>
        <v>786000</v>
      </c>
    </row>
    <row r="263" spans="1:4" x14ac:dyDescent="0.3">
      <c r="A263">
        <v>263</v>
      </c>
      <c r="B263">
        <v>18</v>
      </c>
      <c r="C263">
        <f t="shared" si="11"/>
        <v>4089</v>
      </c>
      <c r="D263" s="12">
        <f t="shared" si="10"/>
        <v>789000</v>
      </c>
    </row>
    <row r="264" spans="1:4" x14ac:dyDescent="0.3">
      <c r="A264">
        <v>264</v>
      </c>
      <c r="B264">
        <v>18</v>
      </c>
      <c r="C264">
        <f t="shared" si="11"/>
        <v>4107</v>
      </c>
      <c r="D264" s="12">
        <f t="shared" si="10"/>
        <v>792000</v>
      </c>
    </row>
    <row r="265" spans="1:4" x14ac:dyDescent="0.3">
      <c r="A265">
        <v>265</v>
      </c>
      <c r="B265">
        <v>18</v>
      </c>
      <c r="C265">
        <f t="shared" si="11"/>
        <v>4125</v>
      </c>
      <c r="D265" s="12">
        <f t="shared" si="10"/>
        <v>795000</v>
      </c>
    </row>
    <row r="266" spans="1:4" x14ac:dyDescent="0.3">
      <c r="A266">
        <v>266</v>
      </c>
      <c r="B266">
        <v>18</v>
      </c>
      <c r="C266">
        <f t="shared" si="11"/>
        <v>4143</v>
      </c>
      <c r="D266" s="12">
        <f t="shared" si="10"/>
        <v>798000</v>
      </c>
    </row>
    <row r="267" spans="1:4" x14ac:dyDescent="0.3">
      <c r="A267">
        <v>267</v>
      </c>
      <c r="B267">
        <v>18</v>
      </c>
      <c r="C267">
        <f t="shared" si="11"/>
        <v>4161</v>
      </c>
      <c r="D267" s="12">
        <f t="shared" si="10"/>
        <v>801000</v>
      </c>
    </row>
    <row r="268" spans="1:4" x14ac:dyDescent="0.3">
      <c r="A268">
        <v>268</v>
      </c>
      <c r="B268">
        <v>18</v>
      </c>
      <c r="C268">
        <f t="shared" si="11"/>
        <v>4179</v>
      </c>
      <c r="D268" s="12">
        <f t="shared" si="10"/>
        <v>804000</v>
      </c>
    </row>
    <row r="269" spans="1:4" x14ac:dyDescent="0.3">
      <c r="A269">
        <v>269</v>
      </c>
      <c r="B269">
        <v>18</v>
      </c>
      <c r="C269">
        <f t="shared" si="11"/>
        <v>4197</v>
      </c>
      <c r="D269" s="12">
        <f t="shared" si="10"/>
        <v>807000</v>
      </c>
    </row>
    <row r="270" spans="1:4" x14ac:dyDescent="0.3">
      <c r="A270">
        <v>270</v>
      </c>
      <c r="B270">
        <v>18</v>
      </c>
      <c r="C270">
        <f t="shared" si="11"/>
        <v>4215</v>
      </c>
      <c r="D270" s="12">
        <f t="shared" si="10"/>
        <v>810000</v>
      </c>
    </row>
    <row r="271" spans="1:4" x14ac:dyDescent="0.3">
      <c r="A271">
        <v>271</v>
      </c>
      <c r="B271">
        <v>18</v>
      </c>
      <c r="C271">
        <f t="shared" si="11"/>
        <v>4233</v>
      </c>
      <c r="D271" s="12">
        <f t="shared" si="10"/>
        <v>813000</v>
      </c>
    </row>
    <row r="272" spans="1:4" x14ac:dyDescent="0.3">
      <c r="A272">
        <v>272</v>
      </c>
      <c r="B272">
        <v>18</v>
      </c>
      <c r="C272">
        <f t="shared" si="11"/>
        <v>4251</v>
      </c>
      <c r="D272" s="12">
        <f t="shared" si="10"/>
        <v>816000</v>
      </c>
    </row>
    <row r="273" spans="1:4" x14ac:dyDescent="0.3">
      <c r="A273">
        <v>273</v>
      </c>
      <c r="B273">
        <v>18</v>
      </c>
      <c r="C273">
        <f t="shared" si="11"/>
        <v>4269</v>
      </c>
      <c r="D273" s="12">
        <f t="shared" si="10"/>
        <v>819000</v>
      </c>
    </row>
    <row r="274" spans="1:4" x14ac:dyDescent="0.3">
      <c r="A274">
        <v>274</v>
      </c>
      <c r="B274">
        <v>18</v>
      </c>
      <c r="C274">
        <f t="shared" si="11"/>
        <v>4287</v>
      </c>
      <c r="D274" s="12">
        <f t="shared" si="10"/>
        <v>822000</v>
      </c>
    </row>
    <row r="275" spans="1:4" x14ac:dyDescent="0.3">
      <c r="A275">
        <v>275</v>
      </c>
      <c r="B275">
        <v>18</v>
      </c>
      <c r="C275">
        <f t="shared" si="11"/>
        <v>4305</v>
      </c>
      <c r="D275" s="12">
        <f t="shared" si="10"/>
        <v>825000</v>
      </c>
    </row>
    <row r="276" spans="1:4" x14ac:dyDescent="0.3">
      <c r="A276">
        <v>276</v>
      </c>
      <c r="B276">
        <v>18</v>
      </c>
      <c r="C276">
        <f t="shared" si="11"/>
        <v>4323</v>
      </c>
      <c r="D276" s="12">
        <f t="shared" si="10"/>
        <v>828000</v>
      </c>
    </row>
    <row r="277" spans="1:4" x14ac:dyDescent="0.3">
      <c r="A277">
        <v>277</v>
      </c>
      <c r="B277">
        <v>18</v>
      </c>
      <c r="C277">
        <f t="shared" si="11"/>
        <v>4341</v>
      </c>
      <c r="D277" s="12">
        <f t="shared" si="10"/>
        <v>831000</v>
      </c>
    </row>
    <row r="278" spans="1:4" x14ac:dyDescent="0.3">
      <c r="A278">
        <v>278</v>
      </c>
      <c r="B278">
        <v>18</v>
      </c>
      <c r="C278">
        <f t="shared" si="11"/>
        <v>4359</v>
      </c>
      <c r="D278" s="12">
        <f t="shared" si="10"/>
        <v>834000</v>
      </c>
    </row>
    <row r="279" spans="1:4" x14ac:dyDescent="0.3">
      <c r="A279">
        <v>279</v>
      </c>
      <c r="B279">
        <v>18</v>
      </c>
      <c r="C279">
        <f t="shared" si="11"/>
        <v>4377</v>
      </c>
      <c r="D279" s="12">
        <f t="shared" si="10"/>
        <v>837000</v>
      </c>
    </row>
    <row r="280" spans="1:4" x14ac:dyDescent="0.3">
      <c r="A280">
        <v>280</v>
      </c>
      <c r="B280">
        <v>18</v>
      </c>
      <c r="C280">
        <f t="shared" si="11"/>
        <v>4395</v>
      </c>
      <c r="D280" s="12">
        <f t="shared" si="10"/>
        <v>840000</v>
      </c>
    </row>
    <row r="281" spans="1:4" x14ac:dyDescent="0.3">
      <c r="A281">
        <v>281</v>
      </c>
      <c r="B281">
        <v>18</v>
      </c>
      <c r="C281">
        <f t="shared" si="11"/>
        <v>4413</v>
      </c>
      <c r="D281" s="12">
        <f t="shared" si="10"/>
        <v>843000</v>
      </c>
    </row>
    <row r="282" spans="1:4" x14ac:dyDescent="0.3">
      <c r="A282">
        <v>282</v>
      </c>
      <c r="B282">
        <v>18</v>
      </c>
      <c r="C282">
        <f t="shared" si="11"/>
        <v>4431</v>
      </c>
      <c r="D282" s="12">
        <f t="shared" si="10"/>
        <v>846000</v>
      </c>
    </row>
    <row r="283" spans="1:4" x14ac:dyDescent="0.3">
      <c r="A283">
        <v>283</v>
      </c>
      <c r="B283">
        <v>18</v>
      </c>
      <c r="C283">
        <f t="shared" si="11"/>
        <v>4449</v>
      </c>
      <c r="D283" s="12">
        <f t="shared" si="10"/>
        <v>849000</v>
      </c>
    </row>
    <row r="284" spans="1:4" x14ac:dyDescent="0.3">
      <c r="A284">
        <v>284</v>
      </c>
      <c r="B284">
        <v>18</v>
      </c>
      <c r="C284">
        <f t="shared" si="11"/>
        <v>4467</v>
      </c>
      <c r="D284" s="12">
        <f t="shared" si="10"/>
        <v>852000</v>
      </c>
    </row>
    <row r="285" spans="1:4" x14ac:dyDescent="0.3">
      <c r="A285">
        <v>285</v>
      </c>
      <c r="B285">
        <v>18</v>
      </c>
      <c r="C285">
        <f t="shared" si="11"/>
        <v>4485</v>
      </c>
      <c r="D285" s="12">
        <f t="shared" si="10"/>
        <v>855000</v>
      </c>
    </row>
    <row r="286" spans="1:4" x14ac:dyDescent="0.3">
      <c r="A286">
        <v>286</v>
      </c>
      <c r="B286">
        <v>18</v>
      </c>
      <c r="C286">
        <f t="shared" si="11"/>
        <v>4503</v>
      </c>
      <c r="D286" s="12">
        <f t="shared" si="10"/>
        <v>858000</v>
      </c>
    </row>
    <row r="287" spans="1:4" x14ac:dyDescent="0.3">
      <c r="A287">
        <v>287</v>
      </c>
      <c r="B287">
        <v>18</v>
      </c>
      <c r="C287">
        <f t="shared" si="11"/>
        <v>4521</v>
      </c>
      <c r="D287" s="12">
        <f t="shared" si="10"/>
        <v>861000</v>
      </c>
    </row>
    <row r="288" spans="1:4" x14ac:dyDescent="0.3">
      <c r="A288">
        <v>288</v>
      </c>
      <c r="B288">
        <v>18</v>
      </c>
      <c r="C288">
        <f t="shared" si="11"/>
        <v>4539</v>
      </c>
      <c r="D288" s="12">
        <f t="shared" si="10"/>
        <v>864000</v>
      </c>
    </row>
    <row r="289" spans="1:4" x14ac:dyDescent="0.3">
      <c r="A289">
        <v>289</v>
      </c>
      <c r="B289">
        <v>18</v>
      </c>
      <c r="C289">
        <f t="shared" si="11"/>
        <v>4557</v>
      </c>
      <c r="D289" s="12">
        <f t="shared" si="10"/>
        <v>867000</v>
      </c>
    </row>
    <row r="290" spans="1:4" x14ac:dyDescent="0.3">
      <c r="A290">
        <v>290</v>
      </c>
      <c r="B290">
        <v>18</v>
      </c>
      <c r="C290">
        <f t="shared" si="11"/>
        <v>4575</v>
      </c>
      <c r="D290" s="12">
        <f t="shared" si="10"/>
        <v>870000</v>
      </c>
    </row>
    <row r="291" spans="1:4" x14ac:dyDescent="0.3">
      <c r="A291">
        <v>291</v>
      </c>
      <c r="B291">
        <v>18</v>
      </c>
      <c r="C291">
        <f t="shared" si="11"/>
        <v>4593</v>
      </c>
      <c r="D291" s="12">
        <f t="shared" si="10"/>
        <v>873000</v>
      </c>
    </row>
    <row r="292" spans="1:4" x14ac:dyDescent="0.3">
      <c r="A292">
        <v>292</v>
      </c>
      <c r="B292">
        <v>18</v>
      </c>
      <c r="C292">
        <f t="shared" si="11"/>
        <v>4611</v>
      </c>
      <c r="D292" s="12">
        <f t="shared" si="10"/>
        <v>876000</v>
      </c>
    </row>
    <row r="293" spans="1:4" x14ac:dyDescent="0.3">
      <c r="A293">
        <v>293</v>
      </c>
      <c r="B293">
        <v>18</v>
      </c>
      <c r="C293">
        <f t="shared" si="11"/>
        <v>4629</v>
      </c>
      <c r="D293" s="12">
        <f t="shared" si="10"/>
        <v>879000</v>
      </c>
    </row>
    <row r="294" spans="1:4" x14ac:dyDescent="0.3">
      <c r="A294">
        <v>294</v>
      </c>
      <c r="B294">
        <v>18</v>
      </c>
      <c r="C294">
        <f t="shared" si="11"/>
        <v>4647</v>
      </c>
      <c r="D294" s="12">
        <f t="shared" si="10"/>
        <v>882000</v>
      </c>
    </row>
    <row r="295" spans="1:4" x14ac:dyDescent="0.3">
      <c r="A295">
        <v>295</v>
      </c>
      <c r="B295">
        <v>18</v>
      </c>
      <c r="C295">
        <f t="shared" si="11"/>
        <v>4665</v>
      </c>
      <c r="D295" s="12">
        <f t="shared" si="10"/>
        <v>885000</v>
      </c>
    </row>
    <row r="296" spans="1:4" x14ac:dyDescent="0.3">
      <c r="A296">
        <v>296</v>
      </c>
      <c r="B296">
        <v>18</v>
      </c>
      <c r="C296">
        <f t="shared" si="11"/>
        <v>4683</v>
      </c>
      <c r="D296" s="12">
        <f t="shared" si="10"/>
        <v>888000</v>
      </c>
    </row>
    <row r="297" spans="1:4" x14ac:dyDescent="0.3">
      <c r="A297">
        <v>297</v>
      </c>
      <c r="B297">
        <v>18</v>
      </c>
      <c r="C297">
        <f t="shared" si="11"/>
        <v>4701</v>
      </c>
      <c r="D297" s="12">
        <f t="shared" si="10"/>
        <v>891000</v>
      </c>
    </row>
    <row r="298" spans="1:4" x14ac:dyDescent="0.3">
      <c r="A298">
        <v>298</v>
      </c>
      <c r="B298">
        <v>18</v>
      </c>
      <c r="C298">
        <f t="shared" si="11"/>
        <v>4719</v>
      </c>
      <c r="D298" s="12">
        <f t="shared" si="10"/>
        <v>894000</v>
      </c>
    </row>
    <row r="299" spans="1:4" x14ac:dyDescent="0.3">
      <c r="A299">
        <v>299</v>
      </c>
      <c r="B299">
        <v>18</v>
      </c>
      <c r="C299">
        <f t="shared" si="11"/>
        <v>4737</v>
      </c>
      <c r="D299" s="12">
        <f t="shared" si="10"/>
        <v>897000</v>
      </c>
    </row>
    <row r="300" spans="1:4" x14ac:dyDescent="0.3">
      <c r="A300">
        <v>300</v>
      </c>
      <c r="B300">
        <v>18</v>
      </c>
      <c r="C300">
        <f t="shared" si="11"/>
        <v>4755</v>
      </c>
      <c r="D300" s="12">
        <f t="shared" si="10"/>
        <v>900000</v>
      </c>
    </row>
    <row r="301" spans="1:4" x14ac:dyDescent="0.3">
      <c r="A301">
        <v>301</v>
      </c>
      <c r="B301">
        <v>18</v>
      </c>
      <c r="C301">
        <f t="shared" si="11"/>
        <v>4773</v>
      </c>
      <c r="D301" s="12">
        <f t="shared" si="10"/>
        <v>903000</v>
      </c>
    </row>
    <row r="302" spans="1:4" x14ac:dyDescent="0.3">
      <c r="A302">
        <v>302</v>
      </c>
      <c r="B302">
        <v>18</v>
      </c>
      <c r="C302">
        <f t="shared" si="11"/>
        <v>4791</v>
      </c>
      <c r="D302" s="12">
        <f t="shared" si="10"/>
        <v>906000</v>
      </c>
    </row>
    <row r="303" spans="1:4" x14ac:dyDescent="0.3">
      <c r="A303">
        <v>303</v>
      </c>
      <c r="B303">
        <v>18</v>
      </c>
      <c r="C303">
        <f t="shared" si="11"/>
        <v>4809</v>
      </c>
      <c r="D303" s="12">
        <f t="shared" si="10"/>
        <v>909000</v>
      </c>
    </row>
    <row r="304" spans="1:4" x14ac:dyDescent="0.3">
      <c r="A304">
        <v>304</v>
      </c>
      <c r="B304">
        <v>18</v>
      </c>
      <c r="C304">
        <f t="shared" si="11"/>
        <v>4827</v>
      </c>
      <c r="D304" s="12">
        <f t="shared" si="10"/>
        <v>912000</v>
      </c>
    </row>
    <row r="305" spans="1:4" x14ac:dyDescent="0.3">
      <c r="A305">
        <v>305</v>
      </c>
      <c r="B305">
        <v>18</v>
      </c>
      <c r="C305">
        <f t="shared" si="11"/>
        <v>4845</v>
      </c>
      <c r="D305" s="12">
        <f t="shared" si="10"/>
        <v>915000</v>
      </c>
    </row>
    <row r="306" spans="1:4" x14ac:dyDescent="0.3">
      <c r="A306">
        <v>306</v>
      </c>
      <c r="B306">
        <v>18</v>
      </c>
      <c r="C306">
        <f t="shared" si="11"/>
        <v>4863</v>
      </c>
      <c r="D306" s="12">
        <f t="shared" si="10"/>
        <v>918000</v>
      </c>
    </row>
    <row r="307" spans="1:4" x14ac:dyDescent="0.3">
      <c r="A307">
        <v>307</v>
      </c>
      <c r="B307">
        <v>18</v>
      </c>
      <c r="C307">
        <f t="shared" si="11"/>
        <v>4881</v>
      </c>
      <c r="D307" s="12">
        <f t="shared" si="10"/>
        <v>921000</v>
      </c>
    </row>
    <row r="308" spans="1:4" x14ac:dyDescent="0.3">
      <c r="A308">
        <v>308</v>
      </c>
      <c r="B308">
        <v>18</v>
      </c>
      <c r="C308">
        <f t="shared" si="11"/>
        <v>4899</v>
      </c>
      <c r="D308" s="12">
        <f t="shared" si="10"/>
        <v>924000</v>
      </c>
    </row>
    <row r="309" spans="1:4" x14ac:dyDescent="0.3">
      <c r="A309">
        <v>309</v>
      </c>
      <c r="B309">
        <v>19</v>
      </c>
      <c r="C309">
        <f t="shared" si="11"/>
        <v>4918</v>
      </c>
      <c r="D309" s="12">
        <f t="shared" si="10"/>
        <v>927000</v>
      </c>
    </row>
    <row r="310" spans="1:4" x14ac:dyDescent="0.3">
      <c r="A310">
        <v>310</v>
      </c>
      <c r="B310">
        <v>19</v>
      </c>
      <c r="C310">
        <f t="shared" si="11"/>
        <v>4937</v>
      </c>
      <c r="D310" s="12">
        <f t="shared" si="10"/>
        <v>930000</v>
      </c>
    </row>
    <row r="311" spans="1:4" x14ac:dyDescent="0.3">
      <c r="A311">
        <v>311</v>
      </c>
      <c r="B311">
        <v>19</v>
      </c>
      <c r="C311">
        <f t="shared" si="11"/>
        <v>4956</v>
      </c>
      <c r="D311" s="12">
        <f t="shared" si="10"/>
        <v>933000</v>
      </c>
    </row>
    <row r="312" spans="1:4" x14ac:dyDescent="0.3">
      <c r="A312">
        <v>312</v>
      </c>
      <c r="B312">
        <v>19</v>
      </c>
      <c r="C312">
        <f t="shared" si="11"/>
        <v>4975</v>
      </c>
      <c r="D312" s="12">
        <f t="shared" si="10"/>
        <v>936000</v>
      </c>
    </row>
    <row r="313" spans="1:4" x14ac:dyDescent="0.3">
      <c r="A313">
        <v>313</v>
      </c>
      <c r="B313">
        <v>19</v>
      </c>
      <c r="C313">
        <f t="shared" si="11"/>
        <v>4994</v>
      </c>
      <c r="D313" s="12">
        <f t="shared" si="10"/>
        <v>939000</v>
      </c>
    </row>
    <row r="314" spans="1:4" x14ac:dyDescent="0.3">
      <c r="A314">
        <v>314</v>
      </c>
      <c r="B314">
        <v>19</v>
      </c>
      <c r="C314">
        <f t="shared" si="11"/>
        <v>5013</v>
      </c>
      <c r="D314" s="12">
        <f t="shared" si="10"/>
        <v>942000</v>
      </c>
    </row>
    <row r="315" spans="1:4" x14ac:dyDescent="0.3">
      <c r="A315">
        <v>315</v>
      </c>
      <c r="B315">
        <v>19</v>
      </c>
      <c r="C315">
        <f t="shared" si="11"/>
        <v>5032</v>
      </c>
      <c r="D315" s="12">
        <f t="shared" si="10"/>
        <v>945000</v>
      </c>
    </row>
    <row r="316" spans="1:4" x14ac:dyDescent="0.3">
      <c r="A316">
        <v>316</v>
      </c>
      <c r="B316">
        <v>19</v>
      </c>
      <c r="C316">
        <f t="shared" si="11"/>
        <v>5051</v>
      </c>
      <c r="D316" s="12">
        <f t="shared" si="10"/>
        <v>948000</v>
      </c>
    </row>
    <row r="317" spans="1:4" x14ac:dyDescent="0.3">
      <c r="A317">
        <v>317</v>
      </c>
      <c r="B317">
        <v>19</v>
      </c>
      <c r="C317">
        <f t="shared" si="11"/>
        <v>5070</v>
      </c>
      <c r="D317" s="12">
        <f t="shared" si="10"/>
        <v>951000</v>
      </c>
    </row>
    <row r="318" spans="1:4" x14ac:dyDescent="0.3">
      <c r="A318">
        <v>318</v>
      </c>
      <c r="B318">
        <v>19</v>
      </c>
      <c r="C318">
        <f t="shared" si="11"/>
        <v>5089</v>
      </c>
      <c r="D318" s="12">
        <f t="shared" si="10"/>
        <v>954000</v>
      </c>
    </row>
    <row r="319" spans="1:4" x14ac:dyDescent="0.3">
      <c r="A319">
        <v>319</v>
      </c>
      <c r="B319">
        <v>19</v>
      </c>
      <c r="C319">
        <f t="shared" si="11"/>
        <v>5108</v>
      </c>
      <c r="D319" s="12">
        <f t="shared" si="10"/>
        <v>957000</v>
      </c>
    </row>
    <row r="320" spans="1:4" x14ac:dyDescent="0.3">
      <c r="A320">
        <v>320</v>
      </c>
      <c r="B320">
        <v>19</v>
      </c>
      <c r="C320">
        <f t="shared" si="11"/>
        <v>5127</v>
      </c>
      <c r="D320" s="12">
        <f t="shared" si="10"/>
        <v>960000</v>
      </c>
    </row>
    <row r="321" spans="1:4" x14ac:dyDescent="0.3">
      <c r="A321">
        <v>321</v>
      </c>
      <c r="B321">
        <v>19</v>
      </c>
      <c r="C321">
        <f t="shared" si="11"/>
        <v>5146</v>
      </c>
      <c r="D321" s="12">
        <f t="shared" si="10"/>
        <v>963000</v>
      </c>
    </row>
    <row r="322" spans="1:4" x14ac:dyDescent="0.3">
      <c r="A322">
        <v>322</v>
      </c>
      <c r="B322">
        <v>19</v>
      </c>
      <c r="C322">
        <f t="shared" si="11"/>
        <v>5165</v>
      </c>
      <c r="D322" s="12">
        <f t="shared" ref="D322:D385" si="12">A322*3000</f>
        <v>966000</v>
      </c>
    </row>
    <row r="323" spans="1:4" x14ac:dyDescent="0.3">
      <c r="A323">
        <v>323</v>
      </c>
      <c r="B323">
        <v>19</v>
      </c>
      <c r="C323">
        <f t="shared" ref="C323:C386" si="13">C322+B323</f>
        <v>5184</v>
      </c>
      <c r="D323" s="12">
        <f t="shared" si="12"/>
        <v>969000</v>
      </c>
    </row>
    <row r="324" spans="1:4" x14ac:dyDescent="0.3">
      <c r="A324">
        <v>324</v>
      </c>
      <c r="B324">
        <v>19</v>
      </c>
      <c r="C324">
        <f t="shared" si="13"/>
        <v>5203</v>
      </c>
      <c r="D324" s="12">
        <f t="shared" si="12"/>
        <v>972000</v>
      </c>
    </row>
    <row r="325" spans="1:4" x14ac:dyDescent="0.3">
      <c r="A325">
        <v>325</v>
      </c>
      <c r="B325">
        <v>19</v>
      </c>
      <c r="C325">
        <f t="shared" si="13"/>
        <v>5222</v>
      </c>
      <c r="D325" s="12">
        <f t="shared" si="12"/>
        <v>975000</v>
      </c>
    </row>
    <row r="326" spans="1:4" x14ac:dyDescent="0.3">
      <c r="A326">
        <v>326</v>
      </c>
      <c r="B326">
        <v>19</v>
      </c>
      <c r="C326">
        <f t="shared" si="13"/>
        <v>5241</v>
      </c>
      <c r="D326" s="12">
        <f t="shared" si="12"/>
        <v>978000</v>
      </c>
    </row>
    <row r="327" spans="1:4" x14ac:dyDescent="0.3">
      <c r="A327">
        <v>327</v>
      </c>
      <c r="B327">
        <v>19</v>
      </c>
      <c r="C327">
        <f t="shared" si="13"/>
        <v>5260</v>
      </c>
      <c r="D327" s="12">
        <f t="shared" si="12"/>
        <v>981000</v>
      </c>
    </row>
    <row r="328" spans="1:4" x14ac:dyDescent="0.3">
      <c r="A328">
        <v>328</v>
      </c>
      <c r="B328">
        <v>19</v>
      </c>
      <c r="C328">
        <f t="shared" si="13"/>
        <v>5279</v>
      </c>
      <c r="D328" s="12">
        <f t="shared" si="12"/>
        <v>984000</v>
      </c>
    </row>
    <row r="329" spans="1:4" x14ac:dyDescent="0.3">
      <c r="A329">
        <v>329</v>
      </c>
      <c r="B329">
        <v>19</v>
      </c>
      <c r="C329">
        <f t="shared" si="13"/>
        <v>5298</v>
      </c>
      <c r="D329" s="12">
        <f t="shared" si="12"/>
        <v>987000</v>
      </c>
    </row>
    <row r="330" spans="1:4" x14ac:dyDescent="0.3">
      <c r="A330">
        <v>330</v>
      </c>
      <c r="B330">
        <v>19</v>
      </c>
      <c r="C330">
        <f t="shared" si="13"/>
        <v>5317</v>
      </c>
      <c r="D330" s="12">
        <f t="shared" si="12"/>
        <v>990000</v>
      </c>
    </row>
    <row r="331" spans="1:4" x14ac:dyDescent="0.3">
      <c r="A331">
        <v>331</v>
      </c>
      <c r="B331">
        <v>19</v>
      </c>
      <c r="C331">
        <f t="shared" si="13"/>
        <v>5336</v>
      </c>
      <c r="D331" s="12">
        <f t="shared" si="12"/>
        <v>993000</v>
      </c>
    </row>
    <row r="332" spans="1:4" x14ac:dyDescent="0.3">
      <c r="A332">
        <v>332</v>
      </c>
      <c r="B332">
        <v>19</v>
      </c>
      <c r="C332">
        <f t="shared" si="13"/>
        <v>5355</v>
      </c>
      <c r="D332" s="12">
        <f t="shared" si="12"/>
        <v>996000</v>
      </c>
    </row>
    <row r="333" spans="1:4" x14ac:dyDescent="0.3">
      <c r="A333">
        <v>333</v>
      </c>
      <c r="B333">
        <v>19</v>
      </c>
      <c r="C333">
        <f t="shared" si="13"/>
        <v>5374</v>
      </c>
      <c r="D333" s="12">
        <f t="shared" si="12"/>
        <v>999000</v>
      </c>
    </row>
    <row r="334" spans="1:4" x14ac:dyDescent="0.3">
      <c r="A334">
        <v>334</v>
      </c>
      <c r="B334">
        <v>19</v>
      </c>
      <c r="C334">
        <f t="shared" si="13"/>
        <v>5393</v>
      </c>
      <c r="D334" s="12">
        <f t="shared" si="12"/>
        <v>1002000</v>
      </c>
    </row>
    <row r="335" spans="1:4" x14ac:dyDescent="0.3">
      <c r="A335">
        <v>335</v>
      </c>
      <c r="B335">
        <v>19</v>
      </c>
      <c r="C335">
        <f t="shared" si="13"/>
        <v>5412</v>
      </c>
      <c r="D335" s="12">
        <f t="shared" si="12"/>
        <v>1005000</v>
      </c>
    </row>
    <row r="336" spans="1:4" x14ac:dyDescent="0.3">
      <c r="A336">
        <v>336</v>
      </c>
      <c r="B336">
        <v>19</v>
      </c>
      <c r="C336">
        <f t="shared" si="13"/>
        <v>5431</v>
      </c>
      <c r="D336" s="12">
        <f t="shared" si="12"/>
        <v>1008000</v>
      </c>
    </row>
    <row r="337" spans="1:4" x14ac:dyDescent="0.3">
      <c r="A337">
        <v>337</v>
      </c>
      <c r="B337">
        <v>19</v>
      </c>
      <c r="C337">
        <f t="shared" si="13"/>
        <v>5450</v>
      </c>
      <c r="D337" s="12">
        <f t="shared" si="12"/>
        <v>1011000</v>
      </c>
    </row>
    <row r="338" spans="1:4" x14ac:dyDescent="0.3">
      <c r="A338">
        <v>338</v>
      </c>
      <c r="B338">
        <v>19</v>
      </c>
      <c r="C338">
        <f t="shared" si="13"/>
        <v>5469</v>
      </c>
      <c r="D338" s="12">
        <f t="shared" si="12"/>
        <v>1014000</v>
      </c>
    </row>
    <row r="339" spans="1:4" x14ac:dyDescent="0.3">
      <c r="A339">
        <v>339</v>
      </c>
      <c r="B339">
        <v>19</v>
      </c>
      <c r="C339">
        <f t="shared" si="13"/>
        <v>5488</v>
      </c>
      <c r="D339" s="12">
        <f t="shared" si="12"/>
        <v>1017000</v>
      </c>
    </row>
    <row r="340" spans="1:4" x14ac:dyDescent="0.3">
      <c r="A340">
        <v>340</v>
      </c>
      <c r="B340">
        <v>19</v>
      </c>
      <c r="C340">
        <f t="shared" si="13"/>
        <v>5507</v>
      </c>
      <c r="D340" s="12">
        <f t="shared" si="12"/>
        <v>1020000</v>
      </c>
    </row>
    <row r="341" spans="1:4" x14ac:dyDescent="0.3">
      <c r="A341">
        <v>341</v>
      </c>
      <c r="B341">
        <v>19</v>
      </c>
      <c r="C341">
        <f t="shared" si="13"/>
        <v>5526</v>
      </c>
      <c r="D341" s="12">
        <f t="shared" si="12"/>
        <v>1023000</v>
      </c>
    </row>
    <row r="342" spans="1:4" x14ac:dyDescent="0.3">
      <c r="A342">
        <v>342</v>
      </c>
      <c r="B342">
        <v>19</v>
      </c>
      <c r="C342">
        <f t="shared" si="13"/>
        <v>5545</v>
      </c>
      <c r="D342" s="12">
        <f t="shared" si="12"/>
        <v>1026000</v>
      </c>
    </row>
    <row r="343" spans="1:4" x14ac:dyDescent="0.3">
      <c r="A343">
        <v>343</v>
      </c>
      <c r="B343">
        <v>19</v>
      </c>
      <c r="C343">
        <f t="shared" si="13"/>
        <v>5564</v>
      </c>
      <c r="D343" s="12">
        <f t="shared" si="12"/>
        <v>1029000</v>
      </c>
    </row>
    <row r="344" spans="1:4" x14ac:dyDescent="0.3">
      <c r="A344">
        <v>344</v>
      </c>
      <c r="B344">
        <v>19</v>
      </c>
      <c r="C344">
        <f t="shared" si="13"/>
        <v>5583</v>
      </c>
      <c r="D344" s="12">
        <f t="shared" si="12"/>
        <v>1032000</v>
      </c>
    </row>
    <row r="345" spans="1:4" x14ac:dyDescent="0.3">
      <c r="A345">
        <v>345</v>
      </c>
      <c r="B345">
        <v>19</v>
      </c>
      <c r="C345">
        <f t="shared" si="13"/>
        <v>5602</v>
      </c>
      <c r="D345" s="12">
        <f t="shared" si="12"/>
        <v>1035000</v>
      </c>
    </row>
    <row r="346" spans="1:4" x14ac:dyDescent="0.3">
      <c r="A346">
        <v>346</v>
      </c>
      <c r="B346">
        <v>19</v>
      </c>
      <c r="C346">
        <f t="shared" si="13"/>
        <v>5621</v>
      </c>
      <c r="D346" s="12">
        <f t="shared" si="12"/>
        <v>1038000</v>
      </c>
    </row>
    <row r="347" spans="1:4" x14ac:dyDescent="0.3">
      <c r="A347">
        <v>347</v>
      </c>
      <c r="B347">
        <v>19</v>
      </c>
      <c r="C347">
        <f t="shared" si="13"/>
        <v>5640</v>
      </c>
      <c r="D347" s="12">
        <f t="shared" si="12"/>
        <v>1041000</v>
      </c>
    </row>
    <row r="348" spans="1:4" x14ac:dyDescent="0.3">
      <c r="A348">
        <v>348</v>
      </c>
      <c r="B348">
        <v>19</v>
      </c>
      <c r="C348">
        <f t="shared" si="13"/>
        <v>5659</v>
      </c>
      <c r="D348" s="12">
        <f t="shared" si="12"/>
        <v>1044000</v>
      </c>
    </row>
    <row r="349" spans="1:4" x14ac:dyDescent="0.3">
      <c r="A349">
        <v>349</v>
      </c>
      <c r="B349">
        <v>19</v>
      </c>
      <c r="C349">
        <f t="shared" si="13"/>
        <v>5678</v>
      </c>
      <c r="D349" s="12">
        <f t="shared" si="12"/>
        <v>1047000</v>
      </c>
    </row>
    <row r="350" spans="1:4" x14ac:dyDescent="0.3">
      <c r="A350">
        <v>350</v>
      </c>
      <c r="B350">
        <v>19</v>
      </c>
      <c r="C350">
        <f t="shared" si="13"/>
        <v>5697</v>
      </c>
      <c r="D350" s="12">
        <f t="shared" si="12"/>
        <v>1050000</v>
      </c>
    </row>
    <row r="351" spans="1:4" x14ac:dyDescent="0.3">
      <c r="A351">
        <v>351</v>
      </c>
      <c r="B351">
        <v>19</v>
      </c>
      <c r="C351">
        <f t="shared" si="13"/>
        <v>5716</v>
      </c>
      <c r="D351" s="12">
        <f t="shared" si="12"/>
        <v>1053000</v>
      </c>
    </row>
    <row r="352" spans="1:4" x14ac:dyDescent="0.3">
      <c r="A352">
        <v>352</v>
      </c>
      <c r="B352">
        <v>19</v>
      </c>
      <c r="C352">
        <f t="shared" si="13"/>
        <v>5735</v>
      </c>
      <c r="D352" s="12">
        <f t="shared" si="12"/>
        <v>1056000</v>
      </c>
    </row>
    <row r="353" spans="1:4" x14ac:dyDescent="0.3">
      <c r="A353">
        <v>353</v>
      </c>
      <c r="B353">
        <v>19</v>
      </c>
      <c r="C353">
        <f t="shared" si="13"/>
        <v>5754</v>
      </c>
      <c r="D353" s="12">
        <f t="shared" si="12"/>
        <v>1059000</v>
      </c>
    </row>
    <row r="354" spans="1:4" x14ac:dyDescent="0.3">
      <c r="A354">
        <v>354</v>
      </c>
      <c r="B354">
        <v>19</v>
      </c>
      <c r="C354">
        <f t="shared" si="13"/>
        <v>5773</v>
      </c>
      <c r="D354" s="12">
        <f t="shared" si="12"/>
        <v>1062000</v>
      </c>
    </row>
    <row r="355" spans="1:4" x14ac:dyDescent="0.3">
      <c r="A355">
        <v>355</v>
      </c>
      <c r="B355">
        <v>19</v>
      </c>
      <c r="C355">
        <f t="shared" si="13"/>
        <v>5792</v>
      </c>
      <c r="D355" s="12">
        <f t="shared" si="12"/>
        <v>1065000</v>
      </c>
    </row>
    <row r="356" spans="1:4" x14ac:dyDescent="0.3">
      <c r="A356">
        <v>356</v>
      </c>
      <c r="B356">
        <v>19</v>
      </c>
      <c r="C356">
        <f t="shared" si="13"/>
        <v>5811</v>
      </c>
      <c r="D356" s="12">
        <f t="shared" si="12"/>
        <v>1068000</v>
      </c>
    </row>
    <row r="357" spans="1:4" x14ac:dyDescent="0.3">
      <c r="A357">
        <v>357</v>
      </c>
      <c r="B357">
        <v>19</v>
      </c>
      <c r="C357">
        <f t="shared" si="13"/>
        <v>5830</v>
      </c>
      <c r="D357" s="12">
        <f t="shared" si="12"/>
        <v>1071000</v>
      </c>
    </row>
    <row r="358" spans="1:4" x14ac:dyDescent="0.3">
      <c r="A358">
        <v>358</v>
      </c>
      <c r="B358">
        <v>19</v>
      </c>
      <c r="C358">
        <f t="shared" si="13"/>
        <v>5849</v>
      </c>
      <c r="D358" s="12">
        <f t="shared" si="12"/>
        <v>1074000</v>
      </c>
    </row>
    <row r="359" spans="1:4" x14ac:dyDescent="0.3">
      <c r="A359">
        <v>359</v>
      </c>
      <c r="B359">
        <v>19</v>
      </c>
      <c r="C359">
        <f t="shared" si="13"/>
        <v>5868</v>
      </c>
      <c r="D359" s="12">
        <f t="shared" si="12"/>
        <v>1077000</v>
      </c>
    </row>
    <row r="360" spans="1:4" x14ac:dyDescent="0.3">
      <c r="A360">
        <v>360</v>
      </c>
      <c r="B360">
        <v>19</v>
      </c>
      <c r="C360">
        <f t="shared" si="13"/>
        <v>5887</v>
      </c>
      <c r="D360" s="12">
        <f t="shared" si="12"/>
        <v>1080000</v>
      </c>
    </row>
    <row r="361" spans="1:4" x14ac:dyDescent="0.3">
      <c r="A361">
        <v>361</v>
      </c>
      <c r="B361">
        <v>19</v>
      </c>
      <c r="C361">
        <f t="shared" si="13"/>
        <v>5906</v>
      </c>
      <c r="D361" s="12">
        <f t="shared" si="12"/>
        <v>1083000</v>
      </c>
    </row>
    <row r="362" spans="1:4" x14ac:dyDescent="0.3">
      <c r="A362">
        <v>362</v>
      </c>
      <c r="B362">
        <v>19</v>
      </c>
      <c r="C362">
        <f t="shared" si="13"/>
        <v>5925</v>
      </c>
      <c r="D362" s="12">
        <f t="shared" si="12"/>
        <v>1086000</v>
      </c>
    </row>
    <row r="363" spans="1:4" x14ac:dyDescent="0.3">
      <c r="A363">
        <v>363</v>
      </c>
      <c r="B363">
        <v>19</v>
      </c>
      <c r="C363">
        <f t="shared" si="13"/>
        <v>5944</v>
      </c>
      <c r="D363" s="12">
        <f t="shared" si="12"/>
        <v>1089000</v>
      </c>
    </row>
    <row r="364" spans="1:4" x14ac:dyDescent="0.3">
      <c r="A364">
        <v>364</v>
      </c>
      <c r="B364">
        <v>19</v>
      </c>
      <c r="C364">
        <f t="shared" si="13"/>
        <v>5963</v>
      </c>
      <c r="D364" s="12">
        <f t="shared" si="12"/>
        <v>1092000</v>
      </c>
    </row>
    <row r="365" spans="1:4" x14ac:dyDescent="0.3">
      <c r="A365">
        <v>365</v>
      </c>
      <c r="B365">
        <v>19</v>
      </c>
      <c r="C365">
        <f t="shared" si="13"/>
        <v>5982</v>
      </c>
      <c r="D365" s="12">
        <f t="shared" si="12"/>
        <v>1095000</v>
      </c>
    </row>
    <row r="366" spans="1:4" x14ac:dyDescent="0.3">
      <c r="A366">
        <v>366</v>
      </c>
      <c r="B366">
        <v>19</v>
      </c>
      <c r="C366">
        <f t="shared" si="13"/>
        <v>6001</v>
      </c>
      <c r="D366" s="12">
        <f t="shared" si="12"/>
        <v>1098000</v>
      </c>
    </row>
    <row r="367" spans="1:4" x14ac:dyDescent="0.3">
      <c r="A367">
        <v>367</v>
      </c>
      <c r="B367">
        <v>19</v>
      </c>
      <c r="C367">
        <f t="shared" si="13"/>
        <v>6020</v>
      </c>
      <c r="D367" s="12">
        <f t="shared" si="12"/>
        <v>1101000</v>
      </c>
    </row>
    <row r="368" spans="1:4" x14ac:dyDescent="0.3">
      <c r="A368">
        <v>368</v>
      </c>
      <c r="B368">
        <v>19</v>
      </c>
      <c r="C368">
        <f t="shared" si="13"/>
        <v>6039</v>
      </c>
      <c r="D368" s="12">
        <f t="shared" si="12"/>
        <v>1104000</v>
      </c>
    </row>
    <row r="369" spans="1:4" x14ac:dyDescent="0.3">
      <c r="A369">
        <v>369</v>
      </c>
      <c r="B369">
        <v>19</v>
      </c>
      <c r="C369">
        <f t="shared" si="13"/>
        <v>6058</v>
      </c>
      <c r="D369" s="12">
        <f t="shared" si="12"/>
        <v>1107000</v>
      </c>
    </row>
    <row r="370" spans="1:4" x14ac:dyDescent="0.3">
      <c r="A370">
        <v>370</v>
      </c>
      <c r="B370">
        <v>19</v>
      </c>
      <c r="C370">
        <f t="shared" si="13"/>
        <v>6077</v>
      </c>
      <c r="D370" s="12">
        <f t="shared" si="12"/>
        <v>1110000</v>
      </c>
    </row>
    <row r="371" spans="1:4" x14ac:dyDescent="0.3">
      <c r="A371">
        <v>371</v>
      </c>
      <c r="B371">
        <v>19</v>
      </c>
      <c r="C371">
        <f t="shared" si="13"/>
        <v>6096</v>
      </c>
      <c r="D371" s="12">
        <f t="shared" si="12"/>
        <v>1113000</v>
      </c>
    </row>
    <row r="372" spans="1:4" x14ac:dyDescent="0.3">
      <c r="A372">
        <v>372</v>
      </c>
      <c r="B372">
        <v>19</v>
      </c>
      <c r="C372">
        <f t="shared" si="13"/>
        <v>6115</v>
      </c>
      <c r="D372" s="12">
        <f t="shared" si="12"/>
        <v>1116000</v>
      </c>
    </row>
    <row r="373" spans="1:4" x14ac:dyDescent="0.3">
      <c r="A373">
        <v>373</v>
      </c>
      <c r="B373">
        <v>19</v>
      </c>
      <c r="C373">
        <f t="shared" si="13"/>
        <v>6134</v>
      </c>
      <c r="D373" s="12">
        <f t="shared" si="12"/>
        <v>1119000</v>
      </c>
    </row>
    <row r="374" spans="1:4" x14ac:dyDescent="0.3">
      <c r="A374">
        <v>374</v>
      </c>
      <c r="B374">
        <v>19</v>
      </c>
      <c r="C374">
        <f t="shared" si="13"/>
        <v>6153</v>
      </c>
      <c r="D374" s="12">
        <f t="shared" si="12"/>
        <v>1122000</v>
      </c>
    </row>
    <row r="375" spans="1:4" x14ac:dyDescent="0.3">
      <c r="A375">
        <v>375</v>
      </c>
      <c r="B375">
        <v>19</v>
      </c>
      <c r="C375">
        <f t="shared" si="13"/>
        <v>6172</v>
      </c>
      <c r="D375" s="12">
        <f t="shared" si="12"/>
        <v>1125000</v>
      </c>
    </row>
    <row r="376" spans="1:4" x14ac:dyDescent="0.3">
      <c r="A376">
        <v>376</v>
      </c>
      <c r="B376">
        <v>19</v>
      </c>
      <c r="C376">
        <f t="shared" si="13"/>
        <v>6191</v>
      </c>
      <c r="D376" s="12">
        <f t="shared" si="12"/>
        <v>1128000</v>
      </c>
    </row>
    <row r="377" spans="1:4" x14ac:dyDescent="0.3">
      <c r="A377">
        <v>377</v>
      </c>
      <c r="B377">
        <v>19</v>
      </c>
      <c r="C377">
        <f t="shared" si="13"/>
        <v>6210</v>
      </c>
      <c r="D377" s="12">
        <f t="shared" si="12"/>
        <v>1131000</v>
      </c>
    </row>
    <row r="378" spans="1:4" x14ac:dyDescent="0.3">
      <c r="A378">
        <v>378</v>
      </c>
      <c r="B378">
        <v>19</v>
      </c>
      <c r="C378">
        <f t="shared" si="13"/>
        <v>6229</v>
      </c>
      <c r="D378" s="12">
        <f t="shared" si="12"/>
        <v>1134000</v>
      </c>
    </row>
    <row r="379" spans="1:4" x14ac:dyDescent="0.3">
      <c r="A379">
        <v>379</v>
      </c>
      <c r="B379">
        <v>19</v>
      </c>
      <c r="C379">
        <f t="shared" si="13"/>
        <v>6248</v>
      </c>
      <c r="D379" s="12">
        <f t="shared" si="12"/>
        <v>1137000</v>
      </c>
    </row>
    <row r="380" spans="1:4" x14ac:dyDescent="0.3">
      <c r="A380">
        <v>380</v>
      </c>
      <c r="B380">
        <v>19</v>
      </c>
      <c r="C380">
        <f t="shared" si="13"/>
        <v>6267</v>
      </c>
      <c r="D380" s="12">
        <f t="shared" si="12"/>
        <v>1140000</v>
      </c>
    </row>
    <row r="381" spans="1:4" x14ac:dyDescent="0.3">
      <c r="A381">
        <v>381</v>
      </c>
      <c r="B381">
        <v>19</v>
      </c>
      <c r="C381">
        <f t="shared" si="13"/>
        <v>6286</v>
      </c>
      <c r="D381" s="12">
        <f t="shared" si="12"/>
        <v>1143000</v>
      </c>
    </row>
    <row r="382" spans="1:4" x14ac:dyDescent="0.3">
      <c r="A382">
        <v>382</v>
      </c>
      <c r="B382">
        <v>19</v>
      </c>
      <c r="C382">
        <f t="shared" si="13"/>
        <v>6305</v>
      </c>
      <c r="D382" s="12">
        <f t="shared" si="12"/>
        <v>1146000</v>
      </c>
    </row>
    <row r="383" spans="1:4" x14ac:dyDescent="0.3">
      <c r="A383">
        <v>383</v>
      </c>
      <c r="B383">
        <v>19</v>
      </c>
      <c r="C383">
        <f t="shared" si="13"/>
        <v>6324</v>
      </c>
      <c r="D383" s="12">
        <f t="shared" si="12"/>
        <v>1149000</v>
      </c>
    </row>
    <row r="384" spans="1:4" x14ac:dyDescent="0.3">
      <c r="A384">
        <v>384</v>
      </c>
      <c r="B384">
        <v>19</v>
      </c>
      <c r="C384">
        <f t="shared" si="13"/>
        <v>6343</v>
      </c>
      <c r="D384" s="12">
        <f t="shared" si="12"/>
        <v>1152000</v>
      </c>
    </row>
    <row r="385" spans="1:4" x14ac:dyDescent="0.3">
      <c r="A385">
        <v>385</v>
      </c>
      <c r="B385">
        <v>19</v>
      </c>
      <c r="C385">
        <f t="shared" si="13"/>
        <v>6362</v>
      </c>
      <c r="D385" s="12">
        <f t="shared" si="12"/>
        <v>1155000</v>
      </c>
    </row>
    <row r="386" spans="1:4" x14ac:dyDescent="0.3">
      <c r="A386">
        <v>386</v>
      </c>
      <c r="B386">
        <v>19</v>
      </c>
      <c r="C386">
        <f t="shared" si="13"/>
        <v>6381</v>
      </c>
      <c r="D386" s="12">
        <f t="shared" ref="D386:D449" si="14">A386*3000</f>
        <v>1158000</v>
      </c>
    </row>
    <row r="387" spans="1:4" x14ac:dyDescent="0.3">
      <c r="A387">
        <v>387</v>
      </c>
      <c r="B387">
        <v>19</v>
      </c>
      <c r="C387">
        <f t="shared" ref="C387:C450" si="15">C386+B387</f>
        <v>6400</v>
      </c>
      <c r="D387" s="12">
        <f t="shared" si="14"/>
        <v>1161000</v>
      </c>
    </row>
    <row r="388" spans="1:4" x14ac:dyDescent="0.3">
      <c r="A388">
        <v>388</v>
      </c>
      <c r="B388">
        <v>19</v>
      </c>
      <c r="C388">
        <f t="shared" si="15"/>
        <v>6419</v>
      </c>
      <c r="D388" s="12">
        <f t="shared" si="14"/>
        <v>1164000</v>
      </c>
    </row>
    <row r="389" spans="1:4" x14ac:dyDescent="0.3">
      <c r="A389">
        <v>389</v>
      </c>
      <c r="B389">
        <v>19</v>
      </c>
      <c r="C389">
        <f t="shared" si="15"/>
        <v>6438</v>
      </c>
      <c r="D389" s="12">
        <f t="shared" si="14"/>
        <v>1167000</v>
      </c>
    </row>
    <row r="390" spans="1:4" x14ac:dyDescent="0.3">
      <c r="A390">
        <v>390</v>
      </c>
      <c r="B390">
        <v>19</v>
      </c>
      <c r="C390">
        <f t="shared" si="15"/>
        <v>6457</v>
      </c>
      <c r="D390" s="12">
        <f t="shared" si="14"/>
        <v>1170000</v>
      </c>
    </row>
    <row r="391" spans="1:4" x14ac:dyDescent="0.3">
      <c r="A391">
        <v>391</v>
      </c>
      <c r="B391">
        <v>19</v>
      </c>
      <c r="C391">
        <f t="shared" si="15"/>
        <v>6476</v>
      </c>
      <c r="D391" s="12">
        <f t="shared" si="14"/>
        <v>1173000</v>
      </c>
    </row>
    <row r="392" spans="1:4" x14ac:dyDescent="0.3">
      <c r="A392">
        <v>392</v>
      </c>
      <c r="B392">
        <v>19</v>
      </c>
      <c r="C392">
        <f t="shared" si="15"/>
        <v>6495</v>
      </c>
      <c r="D392" s="12">
        <f t="shared" si="14"/>
        <v>1176000</v>
      </c>
    </row>
    <row r="393" spans="1:4" x14ac:dyDescent="0.3">
      <c r="A393">
        <v>393</v>
      </c>
      <c r="B393">
        <v>19</v>
      </c>
      <c r="C393">
        <f t="shared" si="15"/>
        <v>6514</v>
      </c>
      <c r="D393" s="12">
        <f t="shared" si="14"/>
        <v>1179000</v>
      </c>
    </row>
    <row r="394" spans="1:4" x14ac:dyDescent="0.3">
      <c r="A394">
        <v>394</v>
      </c>
      <c r="B394">
        <v>19</v>
      </c>
      <c r="C394">
        <f t="shared" si="15"/>
        <v>6533</v>
      </c>
      <c r="D394" s="12">
        <f t="shared" si="14"/>
        <v>1182000</v>
      </c>
    </row>
    <row r="395" spans="1:4" x14ac:dyDescent="0.3">
      <c r="A395">
        <v>395</v>
      </c>
      <c r="B395">
        <v>19</v>
      </c>
      <c r="C395">
        <f t="shared" si="15"/>
        <v>6552</v>
      </c>
      <c r="D395" s="12">
        <f t="shared" si="14"/>
        <v>1185000</v>
      </c>
    </row>
    <row r="396" spans="1:4" x14ac:dyDescent="0.3">
      <c r="A396">
        <v>396</v>
      </c>
      <c r="B396">
        <v>19</v>
      </c>
      <c r="C396">
        <f t="shared" si="15"/>
        <v>6571</v>
      </c>
      <c r="D396" s="12">
        <f t="shared" si="14"/>
        <v>1188000</v>
      </c>
    </row>
    <row r="397" spans="1:4" x14ac:dyDescent="0.3">
      <c r="A397">
        <v>397</v>
      </c>
      <c r="B397">
        <v>19</v>
      </c>
      <c r="C397">
        <f t="shared" si="15"/>
        <v>6590</v>
      </c>
      <c r="D397" s="12">
        <f t="shared" si="14"/>
        <v>1191000</v>
      </c>
    </row>
    <row r="398" spans="1:4" x14ac:dyDescent="0.3">
      <c r="A398">
        <v>398</v>
      </c>
      <c r="B398">
        <v>19</v>
      </c>
      <c r="C398">
        <f t="shared" si="15"/>
        <v>6609</v>
      </c>
      <c r="D398" s="12">
        <f t="shared" si="14"/>
        <v>1194000</v>
      </c>
    </row>
    <row r="399" spans="1:4" x14ac:dyDescent="0.3">
      <c r="A399">
        <v>399</v>
      </c>
      <c r="B399">
        <v>19</v>
      </c>
      <c r="C399">
        <f t="shared" si="15"/>
        <v>6628</v>
      </c>
      <c r="D399" s="12">
        <f t="shared" si="14"/>
        <v>1197000</v>
      </c>
    </row>
    <row r="400" spans="1:4" x14ac:dyDescent="0.3">
      <c r="A400">
        <v>400</v>
      </c>
      <c r="B400">
        <v>19</v>
      </c>
      <c r="C400">
        <f t="shared" si="15"/>
        <v>6647</v>
      </c>
      <c r="D400" s="12">
        <f t="shared" si="14"/>
        <v>1200000</v>
      </c>
    </row>
    <row r="401" spans="1:4" x14ac:dyDescent="0.3">
      <c r="A401">
        <v>401</v>
      </c>
      <c r="B401">
        <v>19</v>
      </c>
      <c r="C401">
        <f t="shared" si="15"/>
        <v>6666</v>
      </c>
      <c r="D401" s="12">
        <f t="shared" si="14"/>
        <v>1203000</v>
      </c>
    </row>
    <row r="402" spans="1:4" x14ac:dyDescent="0.3">
      <c r="A402">
        <v>402</v>
      </c>
      <c r="B402">
        <v>19</v>
      </c>
      <c r="C402">
        <f t="shared" si="15"/>
        <v>6685</v>
      </c>
      <c r="D402" s="12">
        <f t="shared" si="14"/>
        <v>1206000</v>
      </c>
    </row>
    <row r="403" spans="1:4" x14ac:dyDescent="0.3">
      <c r="A403">
        <v>403</v>
      </c>
      <c r="B403">
        <v>19</v>
      </c>
      <c r="C403">
        <f t="shared" si="15"/>
        <v>6704</v>
      </c>
      <c r="D403" s="12">
        <f t="shared" si="14"/>
        <v>1209000</v>
      </c>
    </row>
    <row r="404" spans="1:4" x14ac:dyDescent="0.3">
      <c r="A404">
        <v>404</v>
      </c>
      <c r="B404">
        <v>19</v>
      </c>
      <c r="C404">
        <f t="shared" si="15"/>
        <v>6723</v>
      </c>
      <c r="D404" s="12">
        <f t="shared" si="14"/>
        <v>1212000</v>
      </c>
    </row>
    <row r="405" spans="1:4" x14ac:dyDescent="0.3">
      <c r="A405">
        <v>405</v>
      </c>
      <c r="B405">
        <v>19</v>
      </c>
      <c r="C405">
        <f t="shared" si="15"/>
        <v>6742</v>
      </c>
      <c r="D405" s="12">
        <f t="shared" si="14"/>
        <v>1215000</v>
      </c>
    </row>
    <row r="406" spans="1:4" x14ac:dyDescent="0.3">
      <c r="A406">
        <v>406</v>
      </c>
      <c r="B406">
        <v>19</v>
      </c>
      <c r="C406">
        <f t="shared" si="15"/>
        <v>6761</v>
      </c>
      <c r="D406" s="12">
        <f t="shared" si="14"/>
        <v>1218000</v>
      </c>
    </row>
    <row r="407" spans="1:4" x14ac:dyDescent="0.3">
      <c r="A407">
        <v>407</v>
      </c>
      <c r="B407">
        <v>19</v>
      </c>
      <c r="C407">
        <f t="shared" si="15"/>
        <v>6780</v>
      </c>
      <c r="D407" s="12">
        <f t="shared" si="14"/>
        <v>1221000</v>
      </c>
    </row>
    <row r="408" spans="1:4" x14ac:dyDescent="0.3">
      <c r="A408">
        <v>408</v>
      </c>
      <c r="B408">
        <v>19</v>
      </c>
      <c r="C408">
        <f t="shared" si="15"/>
        <v>6799</v>
      </c>
      <c r="D408" s="12">
        <f t="shared" si="14"/>
        <v>1224000</v>
      </c>
    </row>
    <row r="409" spans="1:4" x14ac:dyDescent="0.3">
      <c r="A409">
        <v>409</v>
      </c>
      <c r="B409">
        <v>19</v>
      </c>
      <c r="C409">
        <f t="shared" si="15"/>
        <v>6818</v>
      </c>
      <c r="D409" s="12">
        <f t="shared" si="14"/>
        <v>1227000</v>
      </c>
    </row>
    <row r="410" spans="1:4" x14ac:dyDescent="0.3">
      <c r="A410">
        <v>410</v>
      </c>
      <c r="B410">
        <v>19</v>
      </c>
      <c r="C410">
        <f t="shared" si="15"/>
        <v>6837</v>
      </c>
      <c r="D410" s="12">
        <f t="shared" si="14"/>
        <v>1230000</v>
      </c>
    </row>
    <row r="411" spans="1:4" x14ac:dyDescent="0.3">
      <c r="A411">
        <v>411</v>
      </c>
      <c r="B411">
        <v>19</v>
      </c>
      <c r="C411">
        <f t="shared" si="15"/>
        <v>6856</v>
      </c>
      <c r="D411" s="12">
        <f t="shared" si="14"/>
        <v>1233000</v>
      </c>
    </row>
    <row r="412" spans="1:4" x14ac:dyDescent="0.3">
      <c r="A412">
        <v>412</v>
      </c>
      <c r="B412">
        <v>19</v>
      </c>
      <c r="C412">
        <f t="shared" si="15"/>
        <v>6875</v>
      </c>
      <c r="D412" s="12">
        <f t="shared" si="14"/>
        <v>1236000</v>
      </c>
    </row>
    <row r="413" spans="1:4" x14ac:dyDescent="0.3">
      <c r="A413">
        <v>413</v>
      </c>
      <c r="B413">
        <v>19</v>
      </c>
      <c r="C413">
        <f t="shared" si="15"/>
        <v>6894</v>
      </c>
      <c r="D413" s="12">
        <f t="shared" si="14"/>
        <v>1239000</v>
      </c>
    </row>
    <row r="414" spans="1:4" x14ac:dyDescent="0.3">
      <c r="A414">
        <v>414</v>
      </c>
      <c r="B414">
        <v>19</v>
      </c>
      <c r="C414">
        <f t="shared" si="15"/>
        <v>6913</v>
      </c>
      <c r="D414" s="12">
        <f t="shared" si="14"/>
        <v>1242000</v>
      </c>
    </row>
    <row r="415" spans="1:4" x14ac:dyDescent="0.3">
      <c r="A415">
        <v>415</v>
      </c>
      <c r="B415">
        <v>19</v>
      </c>
      <c r="C415">
        <f t="shared" si="15"/>
        <v>6932</v>
      </c>
      <c r="D415" s="12">
        <f t="shared" si="14"/>
        <v>1245000</v>
      </c>
    </row>
    <row r="416" spans="1:4" x14ac:dyDescent="0.3">
      <c r="A416">
        <v>416</v>
      </c>
      <c r="B416">
        <v>20</v>
      </c>
      <c r="C416">
        <f t="shared" si="15"/>
        <v>6952</v>
      </c>
      <c r="D416" s="12">
        <f t="shared" si="14"/>
        <v>1248000</v>
      </c>
    </row>
    <row r="417" spans="1:4" x14ac:dyDescent="0.3">
      <c r="A417">
        <v>417</v>
      </c>
      <c r="B417">
        <v>20</v>
      </c>
      <c r="C417">
        <f t="shared" si="15"/>
        <v>6972</v>
      </c>
      <c r="D417" s="12">
        <f t="shared" si="14"/>
        <v>1251000</v>
      </c>
    </row>
    <row r="418" spans="1:4" x14ac:dyDescent="0.3">
      <c r="A418">
        <v>418</v>
      </c>
      <c r="B418">
        <v>20</v>
      </c>
      <c r="C418">
        <f t="shared" si="15"/>
        <v>6992</v>
      </c>
      <c r="D418" s="12">
        <f t="shared" si="14"/>
        <v>1254000</v>
      </c>
    </row>
    <row r="419" spans="1:4" x14ac:dyDescent="0.3">
      <c r="A419">
        <v>419</v>
      </c>
      <c r="B419">
        <v>20</v>
      </c>
      <c r="C419">
        <f t="shared" si="15"/>
        <v>7012</v>
      </c>
      <c r="D419" s="12">
        <f t="shared" si="14"/>
        <v>1257000</v>
      </c>
    </row>
    <row r="420" spans="1:4" x14ac:dyDescent="0.3">
      <c r="A420">
        <v>420</v>
      </c>
      <c r="B420">
        <v>20</v>
      </c>
      <c r="C420">
        <f t="shared" si="15"/>
        <v>7032</v>
      </c>
      <c r="D420" s="12">
        <f t="shared" si="14"/>
        <v>1260000</v>
      </c>
    </row>
    <row r="421" spans="1:4" x14ac:dyDescent="0.3">
      <c r="A421">
        <v>421</v>
      </c>
      <c r="B421">
        <v>20</v>
      </c>
      <c r="C421">
        <f t="shared" si="15"/>
        <v>7052</v>
      </c>
      <c r="D421" s="12">
        <f t="shared" si="14"/>
        <v>1263000</v>
      </c>
    </row>
    <row r="422" spans="1:4" x14ac:dyDescent="0.3">
      <c r="A422">
        <v>422</v>
      </c>
      <c r="B422">
        <v>20</v>
      </c>
      <c r="C422">
        <f t="shared" si="15"/>
        <v>7072</v>
      </c>
      <c r="D422" s="12">
        <f t="shared" si="14"/>
        <v>1266000</v>
      </c>
    </row>
    <row r="423" spans="1:4" x14ac:dyDescent="0.3">
      <c r="A423">
        <v>423</v>
      </c>
      <c r="B423">
        <v>20</v>
      </c>
      <c r="C423">
        <f t="shared" si="15"/>
        <v>7092</v>
      </c>
      <c r="D423" s="12">
        <f t="shared" si="14"/>
        <v>1269000</v>
      </c>
    </row>
    <row r="424" spans="1:4" x14ac:dyDescent="0.3">
      <c r="A424">
        <v>424</v>
      </c>
      <c r="B424">
        <v>20</v>
      </c>
      <c r="C424">
        <f t="shared" si="15"/>
        <v>7112</v>
      </c>
      <c r="D424" s="12">
        <f t="shared" si="14"/>
        <v>1272000</v>
      </c>
    </row>
    <row r="425" spans="1:4" x14ac:dyDescent="0.3">
      <c r="A425">
        <v>425</v>
      </c>
      <c r="B425">
        <v>20</v>
      </c>
      <c r="C425">
        <f t="shared" si="15"/>
        <v>7132</v>
      </c>
      <c r="D425" s="12">
        <f t="shared" si="14"/>
        <v>1275000</v>
      </c>
    </row>
    <row r="426" spans="1:4" x14ac:dyDescent="0.3">
      <c r="A426">
        <v>426</v>
      </c>
      <c r="B426">
        <v>20</v>
      </c>
      <c r="C426">
        <f t="shared" si="15"/>
        <v>7152</v>
      </c>
      <c r="D426" s="12">
        <f t="shared" si="14"/>
        <v>1278000</v>
      </c>
    </row>
    <row r="427" spans="1:4" x14ac:dyDescent="0.3">
      <c r="A427">
        <v>427</v>
      </c>
      <c r="B427">
        <v>20</v>
      </c>
      <c r="C427">
        <f t="shared" si="15"/>
        <v>7172</v>
      </c>
      <c r="D427" s="12">
        <f t="shared" si="14"/>
        <v>1281000</v>
      </c>
    </row>
    <row r="428" spans="1:4" x14ac:dyDescent="0.3">
      <c r="A428">
        <v>428</v>
      </c>
      <c r="B428">
        <v>20</v>
      </c>
      <c r="C428">
        <f t="shared" si="15"/>
        <v>7192</v>
      </c>
      <c r="D428" s="12">
        <f t="shared" si="14"/>
        <v>1284000</v>
      </c>
    </row>
    <row r="429" spans="1:4" x14ac:dyDescent="0.3">
      <c r="A429">
        <v>429</v>
      </c>
      <c r="B429">
        <v>20</v>
      </c>
      <c r="C429">
        <f t="shared" si="15"/>
        <v>7212</v>
      </c>
      <c r="D429" s="12">
        <f t="shared" si="14"/>
        <v>1287000</v>
      </c>
    </row>
    <row r="430" spans="1:4" x14ac:dyDescent="0.3">
      <c r="A430">
        <v>430</v>
      </c>
      <c r="B430">
        <v>20</v>
      </c>
      <c r="C430">
        <f t="shared" si="15"/>
        <v>7232</v>
      </c>
      <c r="D430" s="12">
        <f t="shared" si="14"/>
        <v>1290000</v>
      </c>
    </row>
    <row r="431" spans="1:4" x14ac:dyDescent="0.3">
      <c r="A431">
        <v>431</v>
      </c>
      <c r="B431">
        <v>20</v>
      </c>
      <c r="C431">
        <f t="shared" si="15"/>
        <v>7252</v>
      </c>
      <c r="D431" s="12">
        <f t="shared" si="14"/>
        <v>1293000</v>
      </c>
    </row>
    <row r="432" spans="1:4" x14ac:dyDescent="0.3">
      <c r="A432">
        <v>432</v>
      </c>
      <c r="B432">
        <v>20</v>
      </c>
      <c r="C432">
        <f t="shared" si="15"/>
        <v>7272</v>
      </c>
      <c r="D432" s="12">
        <f t="shared" si="14"/>
        <v>1296000</v>
      </c>
    </row>
    <row r="433" spans="1:4" x14ac:dyDescent="0.3">
      <c r="A433">
        <v>433</v>
      </c>
      <c r="B433">
        <v>20</v>
      </c>
      <c r="C433">
        <f t="shared" si="15"/>
        <v>7292</v>
      </c>
      <c r="D433" s="12">
        <f t="shared" si="14"/>
        <v>1299000</v>
      </c>
    </row>
    <row r="434" spans="1:4" x14ac:dyDescent="0.3">
      <c r="A434">
        <v>434</v>
      </c>
      <c r="B434">
        <v>20</v>
      </c>
      <c r="C434">
        <f t="shared" si="15"/>
        <v>7312</v>
      </c>
      <c r="D434" s="12">
        <f t="shared" si="14"/>
        <v>1302000</v>
      </c>
    </row>
    <row r="435" spans="1:4" x14ac:dyDescent="0.3">
      <c r="A435">
        <v>435</v>
      </c>
      <c r="B435">
        <v>20</v>
      </c>
      <c r="C435">
        <f t="shared" si="15"/>
        <v>7332</v>
      </c>
      <c r="D435" s="12">
        <f t="shared" si="14"/>
        <v>1305000</v>
      </c>
    </row>
    <row r="436" spans="1:4" x14ac:dyDescent="0.3">
      <c r="A436">
        <v>436</v>
      </c>
      <c r="B436">
        <v>20</v>
      </c>
      <c r="C436">
        <f t="shared" si="15"/>
        <v>7352</v>
      </c>
      <c r="D436" s="12">
        <f t="shared" si="14"/>
        <v>1308000</v>
      </c>
    </row>
    <row r="437" spans="1:4" x14ac:dyDescent="0.3">
      <c r="A437">
        <v>437</v>
      </c>
      <c r="B437">
        <v>20</v>
      </c>
      <c r="C437">
        <f t="shared" si="15"/>
        <v>7372</v>
      </c>
      <c r="D437" s="12">
        <f t="shared" si="14"/>
        <v>1311000</v>
      </c>
    </row>
    <row r="438" spans="1:4" x14ac:dyDescent="0.3">
      <c r="A438">
        <v>438</v>
      </c>
      <c r="B438">
        <v>20</v>
      </c>
      <c r="C438">
        <f t="shared" si="15"/>
        <v>7392</v>
      </c>
      <c r="D438" s="12">
        <f t="shared" si="14"/>
        <v>1314000</v>
      </c>
    </row>
    <row r="439" spans="1:4" x14ac:dyDescent="0.3">
      <c r="A439">
        <v>439</v>
      </c>
      <c r="B439">
        <v>20</v>
      </c>
      <c r="C439">
        <f t="shared" si="15"/>
        <v>7412</v>
      </c>
      <c r="D439" s="12">
        <f t="shared" si="14"/>
        <v>1317000</v>
      </c>
    </row>
    <row r="440" spans="1:4" x14ac:dyDescent="0.3">
      <c r="A440">
        <v>440</v>
      </c>
      <c r="B440">
        <v>20</v>
      </c>
      <c r="C440">
        <f t="shared" si="15"/>
        <v>7432</v>
      </c>
      <c r="D440" s="12">
        <f t="shared" si="14"/>
        <v>1320000</v>
      </c>
    </row>
    <row r="441" spans="1:4" x14ac:dyDescent="0.3">
      <c r="A441">
        <v>441</v>
      </c>
      <c r="B441">
        <v>20</v>
      </c>
      <c r="C441">
        <f t="shared" si="15"/>
        <v>7452</v>
      </c>
      <c r="D441" s="12">
        <f t="shared" si="14"/>
        <v>1323000</v>
      </c>
    </row>
    <row r="442" spans="1:4" x14ac:dyDescent="0.3">
      <c r="A442">
        <v>442</v>
      </c>
      <c r="B442">
        <v>20</v>
      </c>
      <c r="C442">
        <f t="shared" si="15"/>
        <v>7472</v>
      </c>
      <c r="D442" s="12">
        <f t="shared" si="14"/>
        <v>1326000</v>
      </c>
    </row>
    <row r="443" spans="1:4" x14ac:dyDescent="0.3">
      <c r="A443">
        <v>443</v>
      </c>
      <c r="B443">
        <v>20</v>
      </c>
      <c r="C443">
        <f t="shared" si="15"/>
        <v>7492</v>
      </c>
      <c r="D443" s="12">
        <f t="shared" si="14"/>
        <v>1329000</v>
      </c>
    </row>
    <row r="444" spans="1:4" x14ac:dyDescent="0.3">
      <c r="A444">
        <v>444</v>
      </c>
      <c r="B444">
        <v>20</v>
      </c>
      <c r="C444">
        <f t="shared" si="15"/>
        <v>7512</v>
      </c>
      <c r="D444" s="12">
        <f t="shared" si="14"/>
        <v>1332000</v>
      </c>
    </row>
    <row r="445" spans="1:4" x14ac:dyDescent="0.3">
      <c r="A445">
        <v>445</v>
      </c>
      <c r="B445">
        <v>20</v>
      </c>
      <c r="C445">
        <f t="shared" si="15"/>
        <v>7532</v>
      </c>
      <c r="D445" s="12">
        <f t="shared" si="14"/>
        <v>1335000</v>
      </c>
    </row>
    <row r="446" spans="1:4" x14ac:dyDescent="0.3">
      <c r="A446">
        <v>446</v>
      </c>
      <c r="B446">
        <v>20</v>
      </c>
      <c r="C446">
        <f t="shared" si="15"/>
        <v>7552</v>
      </c>
      <c r="D446" s="12">
        <f t="shared" si="14"/>
        <v>1338000</v>
      </c>
    </row>
    <row r="447" spans="1:4" x14ac:dyDescent="0.3">
      <c r="A447">
        <v>447</v>
      </c>
      <c r="B447">
        <v>20</v>
      </c>
      <c r="C447">
        <f t="shared" si="15"/>
        <v>7572</v>
      </c>
      <c r="D447" s="12">
        <f t="shared" si="14"/>
        <v>1341000</v>
      </c>
    </row>
    <row r="448" spans="1:4" x14ac:dyDescent="0.3">
      <c r="A448">
        <v>448</v>
      </c>
      <c r="B448">
        <v>20</v>
      </c>
      <c r="C448">
        <f t="shared" si="15"/>
        <v>7592</v>
      </c>
      <c r="D448" s="12">
        <f t="shared" si="14"/>
        <v>1344000</v>
      </c>
    </row>
    <row r="449" spans="1:4" x14ac:dyDescent="0.3">
      <c r="A449">
        <v>449</v>
      </c>
      <c r="B449">
        <v>20</v>
      </c>
      <c r="C449">
        <f t="shared" si="15"/>
        <v>7612</v>
      </c>
      <c r="D449" s="12">
        <f t="shared" si="14"/>
        <v>1347000</v>
      </c>
    </row>
    <row r="450" spans="1:4" x14ac:dyDescent="0.3">
      <c r="A450">
        <v>450</v>
      </c>
      <c r="B450">
        <v>20</v>
      </c>
      <c r="C450">
        <f t="shared" si="15"/>
        <v>7632</v>
      </c>
      <c r="D450" s="12">
        <f t="shared" ref="D450:D513" si="16">A450*3000</f>
        <v>1350000</v>
      </c>
    </row>
    <row r="451" spans="1:4" x14ac:dyDescent="0.3">
      <c r="A451">
        <v>451</v>
      </c>
      <c r="B451">
        <v>20</v>
      </c>
      <c r="C451">
        <f t="shared" ref="C451:C514" si="17">C450+B451</f>
        <v>7652</v>
      </c>
      <c r="D451" s="12">
        <f t="shared" si="16"/>
        <v>1353000</v>
      </c>
    </row>
    <row r="452" spans="1:4" x14ac:dyDescent="0.3">
      <c r="A452">
        <v>452</v>
      </c>
      <c r="B452">
        <v>20</v>
      </c>
      <c r="C452">
        <f t="shared" si="17"/>
        <v>7672</v>
      </c>
      <c r="D452" s="12">
        <f t="shared" si="16"/>
        <v>1356000</v>
      </c>
    </row>
    <row r="453" spans="1:4" x14ac:dyDescent="0.3">
      <c r="A453">
        <v>453</v>
      </c>
      <c r="B453">
        <v>20</v>
      </c>
      <c r="C453">
        <f t="shared" si="17"/>
        <v>7692</v>
      </c>
      <c r="D453" s="12">
        <f t="shared" si="16"/>
        <v>1359000</v>
      </c>
    </row>
    <row r="454" spans="1:4" x14ac:dyDescent="0.3">
      <c r="A454">
        <v>454</v>
      </c>
      <c r="B454">
        <v>20</v>
      </c>
      <c r="C454">
        <f t="shared" si="17"/>
        <v>7712</v>
      </c>
      <c r="D454" s="12">
        <f t="shared" si="16"/>
        <v>1362000</v>
      </c>
    </row>
    <row r="455" spans="1:4" x14ac:dyDescent="0.3">
      <c r="A455">
        <v>455</v>
      </c>
      <c r="B455">
        <v>20</v>
      </c>
      <c r="C455">
        <f t="shared" si="17"/>
        <v>7732</v>
      </c>
      <c r="D455" s="12">
        <f t="shared" si="16"/>
        <v>1365000</v>
      </c>
    </row>
    <row r="456" spans="1:4" x14ac:dyDescent="0.3">
      <c r="A456">
        <v>456</v>
      </c>
      <c r="B456">
        <v>20</v>
      </c>
      <c r="C456">
        <f t="shared" si="17"/>
        <v>7752</v>
      </c>
      <c r="D456" s="12">
        <f t="shared" si="16"/>
        <v>1368000</v>
      </c>
    </row>
    <row r="457" spans="1:4" x14ac:dyDescent="0.3">
      <c r="A457">
        <v>457</v>
      </c>
      <c r="B457">
        <v>20</v>
      </c>
      <c r="C457">
        <f t="shared" si="17"/>
        <v>7772</v>
      </c>
      <c r="D457" s="12">
        <f t="shared" si="16"/>
        <v>1371000</v>
      </c>
    </row>
    <row r="458" spans="1:4" x14ac:dyDescent="0.3">
      <c r="A458">
        <v>458</v>
      </c>
      <c r="B458">
        <v>20</v>
      </c>
      <c r="C458">
        <f t="shared" si="17"/>
        <v>7792</v>
      </c>
      <c r="D458" s="12">
        <f t="shared" si="16"/>
        <v>1374000</v>
      </c>
    </row>
    <row r="459" spans="1:4" x14ac:dyDescent="0.3">
      <c r="A459">
        <v>459</v>
      </c>
      <c r="B459">
        <v>20</v>
      </c>
      <c r="C459">
        <f t="shared" si="17"/>
        <v>7812</v>
      </c>
      <c r="D459" s="12">
        <f t="shared" si="16"/>
        <v>1377000</v>
      </c>
    </row>
    <row r="460" spans="1:4" x14ac:dyDescent="0.3">
      <c r="A460">
        <v>460</v>
      </c>
      <c r="B460">
        <v>20</v>
      </c>
      <c r="C460">
        <f t="shared" si="17"/>
        <v>7832</v>
      </c>
      <c r="D460" s="12">
        <f t="shared" si="16"/>
        <v>1380000</v>
      </c>
    </row>
    <row r="461" spans="1:4" x14ac:dyDescent="0.3">
      <c r="A461">
        <v>461</v>
      </c>
      <c r="B461">
        <v>20</v>
      </c>
      <c r="C461">
        <f t="shared" si="17"/>
        <v>7852</v>
      </c>
      <c r="D461" s="12">
        <f t="shared" si="16"/>
        <v>1383000</v>
      </c>
    </row>
    <row r="462" spans="1:4" x14ac:dyDescent="0.3">
      <c r="A462">
        <v>462</v>
      </c>
      <c r="B462">
        <v>20</v>
      </c>
      <c r="C462">
        <f t="shared" si="17"/>
        <v>7872</v>
      </c>
      <c r="D462" s="12">
        <f t="shared" si="16"/>
        <v>1386000</v>
      </c>
    </row>
    <row r="463" spans="1:4" x14ac:dyDescent="0.3">
      <c r="A463">
        <v>463</v>
      </c>
      <c r="B463">
        <v>20</v>
      </c>
      <c r="C463">
        <f t="shared" si="17"/>
        <v>7892</v>
      </c>
      <c r="D463" s="12">
        <f t="shared" si="16"/>
        <v>1389000</v>
      </c>
    </row>
    <row r="464" spans="1:4" x14ac:dyDescent="0.3">
      <c r="A464">
        <v>464</v>
      </c>
      <c r="B464">
        <v>20</v>
      </c>
      <c r="C464">
        <f t="shared" si="17"/>
        <v>7912</v>
      </c>
      <c r="D464" s="12">
        <f t="shared" si="16"/>
        <v>1392000</v>
      </c>
    </row>
    <row r="465" spans="1:4" x14ac:dyDescent="0.3">
      <c r="A465">
        <v>465</v>
      </c>
      <c r="B465">
        <v>20</v>
      </c>
      <c r="C465">
        <f t="shared" si="17"/>
        <v>7932</v>
      </c>
      <c r="D465" s="12">
        <f t="shared" si="16"/>
        <v>1395000</v>
      </c>
    </row>
    <row r="466" spans="1:4" x14ac:dyDescent="0.3">
      <c r="A466">
        <v>466</v>
      </c>
      <c r="B466">
        <v>20</v>
      </c>
      <c r="C466">
        <f t="shared" si="17"/>
        <v>7952</v>
      </c>
      <c r="D466" s="12">
        <f t="shared" si="16"/>
        <v>1398000</v>
      </c>
    </row>
    <row r="467" spans="1:4" x14ac:dyDescent="0.3">
      <c r="A467">
        <v>467</v>
      </c>
      <c r="B467">
        <v>20</v>
      </c>
      <c r="C467">
        <f t="shared" si="17"/>
        <v>7972</v>
      </c>
      <c r="D467" s="12">
        <f t="shared" si="16"/>
        <v>1401000</v>
      </c>
    </row>
    <row r="468" spans="1:4" x14ac:dyDescent="0.3">
      <c r="A468">
        <v>468</v>
      </c>
      <c r="B468">
        <v>20</v>
      </c>
      <c r="C468">
        <f t="shared" si="17"/>
        <v>7992</v>
      </c>
      <c r="D468" s="12">
        <f t="shared" si="16"/>
        <v>1404000</v>
      </c>
    </row>
    <row r="469" spans="1:4" x14ac:dyDescent="0.3">
      <c r="A469">
        <v>469</v>
      </c>
      <c r="B469">
        <v>20</v>
      </c>
      <c r="C469">
        <f t="shared" si="17"/>
        <v>8012</v>
      </c>
      <c r="D469" s="12">
        <f t="shared" si="16"/>
        <v>1407000</v>
      </c>
    </row>
    <row r="470" spans="1:4" x14ac:dyDescent="0.3">
      <c r="A470">
        <v>470</v>
      </c>
      <c r="B470">
        <v>20</v>
      </c>
      <c r="C470">
        <f t="shared" si="17"/>
        <v>8032</v>
      </c>
      <c r="D470" s="12">
        <f t="shared" si="16"/>
        <v>1410000</v>
      </c>
    </row>
    <row r="471" spans="1:4" x14ac:dyDescent="0.3">
      <c r="A471">
        <v>471</v>
      </c>
      <c r="B471">
        <v>20</v>
      </c>
      <c r="C471">
        <f t="shared" si="17"/>
        <v>8052</v>
      </c>
      <c r="D471" s="12">
        <f t="shared" si="16"/>
        <v>1413000</v>
      </c>
    </row>
    <row r="472" spans="1:4" x14ac:dyDescent="0.3">
      <c r="A472">
        <v>472</v>
      </c>
      <c r="B472">
        <v>20</v>
      </c>
      <c r="C472">
        <f t="shared" si="17"/>
        <v>8072</v>
      </c>
      <c r="D472" s="12">
        <f t="shared" si="16"/>
        <v>1416000</v>
      </c>
    </row>
    <row r="473" spans="1:4" x14ac:dyDescent="0.3">
      <c r="A473">
        <v>473</v>
      </c>
      <c r="B473">
        <v>20</v>
      </c>
      <c r="C473">
        <f t="shared" si="17"/>
        <v>8092</v>
      </c>
      <c r="D473" s="12">
        <f t="shared" si="16"/>
        <v>1419000</v>
      </c>
    </row>
    <row r="474" spans="1:4" x14ac:dyDescent="0.3">
      <c r="A474">
        <v>474</v>
      </c>
      <c r="B474">
        <v>20</v>
      </c>
      <c r="C474">
        <f t="shared" si="17"/>
        <v>8112</v>
      </c>
      <c r="D474" s="12">
        <f t="shared" si="16"/>
        <v>1422000</v>
      </c>
    </row>
    <row r="475" spans="1:4" x14ac:dyDescent="0.3">
      <c r="A475">
        <v>475</v>
      </c>
      <c r="B475">
        <v>20</v>
      </c>
      <c r="C475">
        <f t="shared" si="17"/>
        <v>8132</v>
      </c>
      <c r="D475" s="12">
        <f t="shared" si="16"/>
        <v>1425000</v>
      </c>
    </row>
    <row r="476" spans="1:4" x14ac:dyDescent="0.3">
      <c r="A476">
        <v>476</v>
      </c>
      <c r="B476">
        <v>20</v>
      </c>
      <c r="C476">
        <f t="shared" si="17"/>
        <v>8152</v>
      </c>
      <c r="D476" s="12">
        <f t="shared" si="16"/>
        <v>1428000</v>
      </c>
    </row>
    <row r="477" spans="1:4" x14ac:dyDescent="0.3">
      <c r="A477">
        <v>477</v>
      </c>
      <c r="B477">
        <v>20</v>
      </c>
      <c r="C477">
        <f t="shared" si="17"/>
        <v>8172</v>
      </c>
      <c r="D477" s="12">
        <f t="shared" si="16"/>
        <v>1431000</v>
      </c>
    </row>
    <row r="478" spans="1:4" x14ac:dyDescent="0.3">
      <c r="A478">
        <v>478</v>
      </c>
      <c r="B478">
        <v>20</v>
      </c>
      <c r="C478">
        <f t="shared" si="17"/>
        <v>8192</v>
      </c>
      <c r="D478" s="12">
        <f t="shared" si="16"/>
        <v>1434000</v>
      </c>
    </row>
    <row r="479" spans="1:4" x14ac:dyDescent="0.3">
      <c r="A479">
        <v>479</v>
      </c>
      <c r="B479">
        <v>20</v>
      </c>
      <c r="C479">
        <f t="shared" si="17"/>
        <v>8212</v>
      </c>
      <c r="D479" s="12">
        <f t="shared" si="16"/>
        <v>1437000</v>
      </c>
    </row>
    <row r="480" spans="1:4" x14ac:dyDescent="0.3">
      <c r="A480">
        <v>480</v>
      </c>
      <c r="B480">
        <v>20</v>
      </c>
      <c r="C480">
        <f t="shared" si="17"/>
        <v>8232</v>
      </c>
      <c r="D480" s="12">
        <f t="shared" si="16"/>
        <v>1440000</v>
      </c>
    </row>
    <row r="481" spans="1:4" x14ac:dyDescent="0.3">
      <c r="A481">
        <v>481</v>
      </c>
      <c r="B481">
        <v>20</v>
      </c>
      <c r="C481">
        <f t="shared" si="17"/>
        <v>8252</v>
      </c>
      <c r="D481" s="12">
        <f t="shared" si="16"/>
        <v>1443000</v>
      </c>
    </row>
    <row r="482" spans="1:4" x14ac:dyDescent="0.3">
      <c r="A482">
        <v>482</v>
      </c>
      <c r="B482">
        <v>20</v>
      </c>
      <c r="C482">
        <f t="shared" si="17"/>
        <v>8272</v>
      </c>
      <c r="D482" s="12">
        <f t="shared" si="16"/>
        <v>1446000</v>
      </c>
    </row>
    <row r="483" spans="1:4" x14ac:dyDescent="0.3">
      <c r="A483">
        <v>483</v>
      </c>
      <c r="B483">
        <v>20</v>
      </c>
      <c r="C483">
        <f t="shared" si="17"/>
        <v>8292</v>
      </c>
      <c r="D483" s="12">
        <f t="shared" si="16"/>
        <v>1449000</v>
      </c>
    </row>
    <row r="484" spans="1:4" x14ac:dyDescent="0.3">
      <c r="A484">
        <v>484</v>
      </c>
      <c r="B484">
        <v>20</v>
      </c>
      <c r="C484">
        <f t="shared" si="17"/>
        <v>8312</v>
      </c>
      <c r="D484" s="12">
        <f t="shared" si="16"/>
        <v>1452000</v>
      </c>
    </row>
    <row r="485" spans="1:4" x14ac:dyDescent="0.3">
      <c r="A485">
        <v>485</v>
      </c>
      <c r="B485">
        <v>20</v>
      </c>
      <c r="C485">
        <f t="shared" si="17"/>
        <v>8332</v>
      </c>
      <c r="D485" s="12">
        <f t="shared" si="16"/>
        <v>1455000</v>
      </c>
    </row>
    <row r="486" spans="1:4" x14ac:dyDescent="0.3">
      <c r="A486">
        <v>486</v>
      </c>
      <c r="B486">
        <v>20</v>
      </c>
      <c r="C486">
        <f t="shared" si="17"/>
        <v>8352</v>
      </c>
      <c r="D486" s="12">
        <f t="shared" si="16"/>
        <v>1458000</v>
      </c>
    </row>
    <row r="487" spans="1:4" x14ac:dyDescent="0.3">
      <c r="A487">
        <v>487</v>
      </c>
      <c r="B487">
        <v>20</v>
      </c>
      <c r="C487">
        <f t="shared" si="17"/>
        <v>8372</v>
      </c>
      <c r="D487" s="12">
        <f t="shared" si="16"/>
        <v>1461000</v>
      </c>
    </row>
    <row r="488" spans="1:4" x14ac:dyDescent="0.3">
      <c r="A488">
        <v>488</v>
      </c>
      <c r="B488">
        <v>20</v>
      </c>
      <c r="C488">
        <f t="shared" si="17"/>
        <v>8392</v>
      </c>
      <c r="D488" s="12">
        <f t="shared" si="16"/>
        <v>1464000</v>
      </c>
    </row>
    <row r="489" spans="1:4" x14ac:dyDescent="0.3">
      <c r="A489">
        <v>489</v>
      </c>
      <c r="B489">
        <v>20</v>
      </c>
      <c r="C489">
        <f t="shared" si="17"/>
        <v>8412</v>
      </c>
      <c r="D489" s="12">
        <f t="shared" si="16"/>
        <v>1467000</v>
      </c>
    </row>
    <row r="490" spans="1:4" x14ac:dyDescent="0.3">
      <c r="A490">
        <v>490</v>
      </c>
      <c r="B490">
        <v>20</v>
      </c>
      <c r="C490">
        <f t="shared" si="17"/>
        <v>8432</v>
      </c>
      <c r="D490" s="12">
        <f t="shared" si="16"/>
        <v>1470000</v>
      </c>
    </row>
    <row r="491" spans="1:4" x14ac:dyDescent="0.3">
      <c r="A491">
        <v>491</v>
      </c>
      <c r="B491">
        <v>20</v>
      </c>
      <c r="C491">
        <f t="shared" si="17"/>
        <v>8452</v>
      </c>
      <c r="D491" s="12">
        <f t="shared" si="16"/>
        <v>1473000</v>
      </c>
    </row>
    <row r="492" spans="1:4" x14ac:dyDescent="0.3">
      <c r="A492">
        <v>492</v>
      </c>
      <c r="B492">
        <v>20</v>
      </c>
      <c r="C492">
        <f t="shared" si="17"/>
        <v>8472</v>
      </c>
      <c r="D492" s="12">
        <f t="shared" si="16"/>
        <v>1476000</v>
      </c>
    </row>
    <row r="493" spans="1:4" x14ac:dyDescent="0.3">
      <c r="A493">
        <v>493</v>
      </c>
      <c r="B493">
        <v>20</v>
      </c>
      <c r="C493">
        <f t="shared" si="17"/>
        <v>8492</v>
      </c>
      <c r="D493" s="12">
        <f t="shared" si="16"/>
        <v>1479000</v>
      </c>
    </row>
    <row r="494" spans="1:4" x14ac:dyDescent="0.3">
      <c r="A494">
        <v>494</v>
      </c>
      <c r="B494">
        <v>20</v>
      </c>
      <c r="C494">
        <f t="shared" si="17"/>
        <v>8512</v>
      </c>
      <c r="D494" s="12">
        <f t="shared" si="16"/>
        <v>1482000</v>
      </c>
    </row>
    <row r="495" spans="1:4" x14ac:dyDescent="0.3">
      <c r="A495">
        <v>495</v>
      </c>
      <c r="B495">
        <v>20</v>
      </c>
      <c r="C495">
        <f t="shared" si="17"/>
        <v>8532</v>
      </c>
      <c r="D495" s="12">
        <f t="shared" si="16"/>
        <v>1485000</v>
      </c>
    </row>
    <row r="496" spans="1:4" x14ac:dyDescent="0.3">
      <c r="A496">
        <v>496</v>
      </c>
      <c r="B496">
        <v>20</v>
      </c>
      <c r="C496">
        <f t="shared" si="17"/>
        <v>8552</v>
      </c>
      <c r="D496" s="12">
        <f t="shared" si="16"/>
        <v>1488000</v>
      </c>
    </row>
    <row r="497" spans="1:4" x14ac:dyDescent="0.3">
      <c r="A497">
        <v>497</v>
      </c>
      <c r="B497">
        <v>20</v>
      </c>
      <c r="C497">
        <f t="shared" si="17"/>
        <v>8572</v>
      </c>
      <c r="D497" s="12">
        <f t="shared" si="16"/>
        <v>1491000</v>
      </c>
    </row>
    <row r="498" spans="1:4" x14ac:dyDescent="0.3">
      <c r="A498">
        <v>498</v>
      </c>
      <c r="B498">
        <v>20</v>
      </c>
      <c r="C498">
        <f t="shared" si="17"/>
        <v>8592</v>
      </c>
      <c r="D498" s="12">
        <f t="shared" si="16"/>
        <v>1494000</v>
      </c>
    </row>
    <row r="499" spans="1:4" x14ac:dyDescent="0.3">
      <c r="A499">
        <v>499</v>
      </c>
      <c r="B499">
        <v>20</v>
      </c>
      <c r="C499">
        <f t="shared" si="17"/>
        <v>8612</v>
      </c>
      <c r="D499" s="12">
        <f t="shared" si="16"/>
        <v>1497000</v>
      </c>
    </row>
    <row r="500" spans="1:4" x14ac:dyDescent="0.3">
      <c r="A500">
        <v>500</v>
      </c>
      <c r="B500">
        <v>20</v>
      </c>
      <c r="C500">
        <f t="shared" si="17"/>
        <v>8632</v>
      </c>
      <c r="D500" s="12">
        <f t="shared" si="16"/>
        <v>1500000</v>
      </c>
    </row>
    <row r="501" spans="1:4" x14ac:dyDescent="0.3">
      <c r="A501">
        <v>501</v>
      </c>
      <c r="B501">
        <v>20</v>
      </c>
      <c r="C501">
        <f t="shared" si="17"/>
        <v>8652</v>
      </c>
      <c r="D501" s="12">
        <f t="shared" si="16"/>
        <v>1503000</v>
      </c>
    </row>
    <row r="502" spans="1:4" x14ac:dyDescent="0.3">
      <c r="A502">
        <v>502</v>
      </c>
      <c r="B502">
        <v>20</v>
      </c>
      <c r="C502">
        <f t="shared" si="17"/>
        <v>8672</v>
      </c>
      <c r="D502" s="12">
        <f t="shared" si="16"/>
        <v>1506000</v>
      </c>
    </row>
    <row r="503" spans="1:4" x14ac:dyDescent="0.3">
      <c r="A503">
        <v>503</v>
      </c>
      <c r="B503">
        <v>20</v>
      </c>
      <c r="C503">
        <f t="shared" si="17"/>
        <v>8692</v>
      </c>
      <c r="D503" s="12">
        <f t="shared" si="16"/>
        <v>1509000</v>
      </c>
    </row>
    <row r="504" spans="1:4" x14ac:dyDescent="0.3">
      <c r="A504">
        <v>504</v>
      </c>
      <c r="B504">
        <v>20</v>
      </c>
      <c r="C504">
        <f t="shared" si="17"/>
        <v>8712</v>
      </c>
      <c r="D504" s="12">
        <f t="shared" si="16"/>
        <v>1512000</v>
      </c>
    </row>
    <row r="505" spans="1:4" x14ac:dyDescent="0.3">
      <c r="A505">
        <v>505</v>
      </c>
      <c r="B505">
        <v>20</v>
      </c>
      <c r="C505">
        <f t="shared" si="17"/>
        <v>8732</v>
      </c>
      <c r="D505" s="12">
        <f t="shared" si="16"/>
        <v>1515000</v>
      </c>
    </row>
    <row r="506" spans="1:4" x14ac:dyDescent="0.3">
      <c r="A506">
        <v>506</v>
      </c>
      <c r="B506">
        <v>20</v>
      </c>
      <c r="C506">
        <f t="shared" si="17"/>
        <v>8752</v>
      </c>
      <c r="D506" s="12">
        <f t="shared" si="16"/>
        <v>1518000</v>
      </c>
    </row>
    <row r="507" spans="1:4" x14ac:dyDescent="0.3">
      <c r="A507">
        <v>507</v>
      </c>
      <c r="B507">
        <v>20</v>
      </c>
      <c r="C507">
        <f t="shared" si="17"/>
        <v>8772</v>
      </c>
      <c r="D507" s="12">
        <f t="shared" si="16"/>
        <v>1521000</v>
      </c>
    </row>
    <row r="508" spans="1:4" x14ac:dyDescent="0.3">
      <c r="A508">
        <v>508</v>
      </c>
      <c r="B508">
        <v>20</v>
      </c>
      <c r="C508">
        <f t="shared" si="17"/>
        <v>8792</v>
      </c>
      <c r="D508" s="12">
        <f t="shared" si="16"/>
        <v>1524000</v>
      </c>
    </row>
    <row r="509" spans="1:4" x14ac:dyDescent="0.3">
      <c r="A509">
        <v>509</v>
      </c>
      <c r="B509">
        <v>20</v>
      </c>
      <c r="C509">
        <f t="shared" si="17"/>
        <v>8812</v>
      </c>
      <c r="D509" s="12">
        <f t="shared" si="16"/>
        <v>1527000</v>
      </c>
    </row>
    <row r="510" spans="1:4" x14ac:dyDescent="0.3">
      <c r="A510">
        <v>510</v>
      </c>
      <c r="B510">
        <v>20</v>
      </c>
      <c r="C510">
        <f t="shared" si="17"/>
        <v>8832</v>
      </c>
      <c r="D510" s="12">
        <f t="shared" si="16"/>
        <v>1530000</v>
      </c>
    </row>
    <row r="511" spans="1:4" x14ac:dyDescent="0.3">
      <c r="A511">
        <v>511</v>
      </c>
      <c r="B511">
        <v>20</v>
      </c>
      <c r="C511">
        <f t="shared" si="17"/>
        <v>8852</v>
      </c>
      <c r="D511" s="12">
        <f t="shared" si="16"/>
        <v>1533000</v>
      </c>
    </row>
    <row r="512" spans="1:4" x14ac:dyDescent="0.3">
      <c r="A512">
        <v>512</v>
      </c>
      <c r="B512">
        <v>20</v>
      </c>
      <c r="C512">
        <f t="shared" si="17"/>
        <v>8872</v>
      </c>
      <c r="D512" s="12">
        <f t="shared" si="16"/>
        <v>1536000</v>
      </c>
    </row>
    <row r="513" spans="1:4" x14ac:dyDescent="0.3">
      <c r="A513">
        <v>513</v>
      </c>
      <c r="B513">
        <v>20</v>
      </c>
      <c r="C513">
        <f t="shared" si="17"/>
        <v>8892</v>
      </c>
      <c r="D513" s="12">
        <f t="shared" si="16"/>
        <v>1539000</v>
      </c>
    </row>
    <row r="514" spans="1:4" x14ac:dyDescent="0.3">
      <c r="A514">
        <v>514</v>
      </c>
      <c r="B514">
        <v>20</v>
      </c>
      <c r="C514">
        <f t="shared" si="17"/>
        <v>8912</v>
      </c>
      <c r="D514" s="12">
        <f t="shared" ref="D514:D577" si="18">A514*3000</f>
        <v>1542000</v>
      </c>
    </row>
    <row r="515" spans="1:4" x14ac:dyDescent="0.3">
      <c r="A515">
        <v>515</v>
      </c>
      <c r="B515">
        <v>20</v>
      </c>
      <c r="C515">
        <f t="shared" ref="C515:C578" si="19">C514+B515</f>
        <v>8932</v>
      </c>
      <c r="D515" s="12">
        <f t="shared" si="18"/>
        <v>1545000</v>
      </c>
    </row>
    <row r="516" spans="1:4" x14ac:dyDescent="0.3">
      <c r="A516">
        <v>516</v>
      </c>
      <c r="B516">
        <v>20</v>
      </c>
      <c r="C516">
        <f t="shared" si="19"/>
        <v>8952</v>
      </c>
      <c r="D516" s="12">
        <f t="shared" si="18"/>
        <v>1548000</v>
      </c>
    </row>
    <row r="517" spans="1:4" x14ac:dyDescent="0.3">
      <c r="A517">
        <v>517</v>
      </c>
      <c r="B517">
        <v>20</v>
      </c>
      <c r="C517">
        <f t="shared" si="19"/>
        <v>8972</v>
      </c>
      <c r="D517" s="12">
        <f t="shared" si="18"/>
        <v>1551000</v>
      </c>
    </row>
    <row r="518" spans="1:4" x14ac:dyDescent="0.3">
      <c r="A518">
        <v>518</v>
      </c>
      <c r="B518">
        <v>20</v>
      </c>
      <c r="C518">
        <f t="shared" si="19"/>
        <v>8992</v>
      </c>
      <c r="D518" s="12">
        <f t="shared" si="18"/>
        <v>1554000</v>
      </c>
    </row>
    <row r="519" spans="1:4" x14ac:dyDescent="0.3">
      <c r="A519">
        <v>519</v>
      </c>
      <c r="B519">
        <v>20</v>
      </c>
      <c r="C519">
        <f t="shared" si="19"/>
        <v>9012</v>
      </c>
      <c r="D519" s="12">
        <f t="shared" si="18"/>
        <v>1557000</v>
      </c>
    </row>
    <row r="520" spans="1:4" x14ac:dyDescent="0.3">
      <c r="A520">
        <v>520</v>
      </c>
      <c r="B520">
        <v>20</v>
      </c>
      <c r="C520">
        <f t="shared" si="19"/>
        <v>9032</v>
      </c>
      <c r="D520" s="12">
        <f t="shared" si="18"/>
        <v>1560000</v>
      </c>
    </row>
    <row r="521" spans="1:4" x14ac:dyDescent="0.3">
      <c r="A521">
        <v>521</v>
      </c>
      <c r="B521">
        <v>20</v>
      </c>
      <c r="C521">
        <f t="shared" si="19"/>
        <v>9052</v>
      </c>
      <c r="D521" s="12">
        <f t="shared" si="18"/>
        <v>1563000</v>
      </c>
    </row>
    <row r="522" spans="1:4" x14ac:dyDescent="0.3">
      <c r="A522">
        <v>522</v>
      </c>
      <c r="B522">
        <v>20</v>
      </c>
      <c r="C522">
        <f t="shared" si="19"/>
        <v>9072</v>
      </c>
      <c r="D522" s="12">
        <f t="shared" si="18"/>
        <v>1566000</v>
      </c>
    </row>
    <row r="523" spans="1:4" x14ac:dyDescent="0.3">
      <c r="A523">
        <v>523</v>
      </c>
      <c r="B523">
        <v>20</v>
      </c>
      <c r="C523">
        <f t="shared" si="19"/>
        <v>9092</v>
      </c>
      <c r="D523" s="12">
        <f t="shared" si="18"/>
        <v>1569000</v>
      </c>
    </row>
    <row r="524" spans="1:4" x14ac:dyDescent="0.3">
      <c r="A524">
        <v>524</v>
      </c>
      <c r="B524">
        <v>20</v>
      </c>
      <c r="C524">
        <f t="shared" si="19"/>
        <v>9112</v>
      </c>
      <c r="D524" s="12">
        <f t="shared" si="18"/>
        <v>1572000</v>
      </c>
    </row>
    <row r="525" spans="1:4" x14ac:dyDescent="0.3">
      <c r="A525">
        <v>525</v>
      </c>
      <c r="B525">
        <v>20</v>
      </c>
      <c r="C525">
        <f t="shared" si="19"/>
        <v>9132</v>
      </c>
      <c r="D525" s="12">
        <f t="shared" si="18"/>
        <v>1575000</v>
      </c>
    </row>
    <row r="526" spans="1:4" x14ac:dyDescent="0.3">
      <c r="A526">
        <v>526</v>
      </c>
      <c r="B526">
        <v>20</v>
      </c>
      <c r="C526">
        <f t="shared" si="19"/>
        <v>9152</v>
      </c>
      <c r="D526" s="12">
        <f t="shared" si="18"/>
        <v>1578000</v>
      </c>
    </row>
    <row r="527" spans="1:4" x14ac:dyDescent="0.3">
      <c r="A527">
        <v>527</v>
      </c>
      <c r="B527">
        <v>20</v>
      </c>
      <c r="C527">
        <f t="shared" si="19"/>
        <v>9172</v>
      </c>
      <c r="D527" s="12">
        <f t="shared" si="18"/>
        <v>1581000</v>
      </c>
    </row>
    <row r="528" spans="1:4" x14ac:dyDescent="0.3">
      <c r="A528">
        <v>528</v>
      </c>
      <c r="B528">
        <v>20</v>
      </c>
      <c r="C528">
        <f t="shared" si="19"/>
        <v>9192</v>
      </c>
      <c r="D528" s="12">
        <f t="shared" si="18"/>
        <v>1584000</v>
      </c>
    </row>
    <row r="529" spans="1:4" x14ac:dyDescent="0.3">
      <c r="A529">
        <v>529</v>
      </c>
      <c r="B529">
        <v>20</v>
      </c>
      <c r="C529">
        <f t="shared" si="19"/>
        <v>9212</v>
      </c>
      <c r="D529" s="12">
        <f t="shared" si="18"/>
        <v>1587000</v>
      </c>
    </row>
    <row r="530" spans="1:4" x14ac:dyDescent="0.3">
      <c r="A530">
        <v>530</v>
      </c>
      <c r="B530">
        <v>20</v>
      </c>
      <c r="C530">
        <f t="shared" si="19"/>
        <v>9232</v>
      </c>
      <c r="D530" s="12">
        <f t="shared" si="18"/>
        <v>1590000</v>
      </c>
    </row>
    <row r="531" spans="1:4" x14ac:dyDescent="0.3">
      <c r="A531">
        <v>531</v>
      </c>
      <c r="B531">
        <v>20</v>
      </c>
      <c r="C531">
        <f t="shared" si="19"/>
        <v>9252</v>
      </c>
      <c r="D531" s="12">
        <f t="shared" si="18"/>
        <v>1593000</v>
      </c>
    </row>
    <row r="532" spans="1:4" x14ac:dyDescent="0.3">
      <c r="A532">
        <v>532</v>
      </c>
      <c r="B532">
        <v>20</v>
      </c>
      <c r="C532">
        <f t="shared" si="19"/>
        <v>9272</v>
      </c>
      <c r="D532" s="12">
        <f t="shared" si="18"/>
        <v>1596000</v>
      </c>
    </row>
    <row r="533" spans="1:4" x14ac:dyDescent="0.3">
      <c r="A533">
        <v>533</v>
      </c>
      <c r="B533">
        <v>20</v>
      </c>
      <c r="C533">
        <f t="shared" si="19"/>
        <v>9292</v>
      </c>
      <c r="D533" s="12">
        <f t="shared" si="18"/>
        <v>1599000</v>
      </c>
    </row>
    <row r="534" spans="1:4" x14ac:dyDescent="0.3">
      <c r="A534">
        <v>534</v>
      </c>
      <c r="B534">
        <v>20</v>
      </c>
      <c r="C534">
        <f t="shared" si="19"/>
        <v>9312</v>
      </c>
      <c r="D534" s="12">
        <f t="shared" si="18"/>
        <v>1602000</v>
      </c>
    </row>
    <row r="535" spans="1:4" x14ac:dyDescent="0.3">
      <c r="A535">
        <v>535</v>
      </c>
      <c r="B535">
        <v>20</v>
      </c>
      <c r="C535">
        <f t="shared" si="19"/>
        <v>9332</v>
      </c>
      <c r="D535" s="12">
        <f t="shared" si="18"/>
        <v>1605000</v>
      </c>
    </row>
    <row r="536" spans="1:4" x14ac:dyDescent="0.3">
      <c r="A536">
        <v>536</v>
      </c>
      <c r="B536">
        <v>20</v>
      </c>
      <c r="C536">
        <f t="shared" si="19"/>
        <v>9352</v>
      </c>
      <c r="D536" s="12">
        <f t="shared" si="18"/>
        <v>1608000</v>
      </c>
    </row>
    <row r="537" spans="1:4" x14ac:dyDescent="0.3">
      <c r="A537">
        <v>537</v>
      </c>
      <c r="B537">
        <v>20</v>
      </c>
      <c r="C537">
        <f t="shared" si="19"/>
        <v>9372</v>
      </c>
      <c r="D537" s="12">
        <f t="shared" si="18"/>
        <v>1611000</v>
      </c>
    </row>
    <row r="538" spans="1:4" x14ac:dyDescent="0.3">
      <c r="A538">
        <v>538</v>
      </c>
      <c r="B538">
        <v>20</v>
      </c>
      <c r="C538">
        <f t="shared" si="19"/>
        <v>9392</v>
      </c>
      <c r="D538" s="12">
        <f t="shared" si="18"/>
        <v>1614000</v>
      </c>
    </row>
    <row r="539" spans="1:4" x14ac:dyDescent="0.3">
      <c r="A539">
        <v>539</v>
      </c>
      <c r="B539">
        <v>20</v>
      </c>
      <c r="C539">
        <f t="shared" si="19"/>
        <v>9412</v>
      </c>
      <c r="D539" s="12">
        <f t="shared" si="18"/>
        <v>1617000</v>
      </c>
    </row>
    <row r="540" spans="1:4" x14ac:dyDescent="0.3">
      <c r="A540">
        <v>540</v>
      </c>
      <c r="B540">
        <v>20</v>
      </c>
      <c r="C540">
        <f t="shared" si="19"/>
        <v>9432</v>
      </c>
      <c r="D540" s="12">
        <f t="shared" si="18"/>
        <v>1620000</v>
      </c>
    </row>
    <row r="541" spans="1:4" x14ac:dyDescent="0.3">
      <c r="A541">
        <v>541</v>
      </c>
      <c r="B541">
        <v>20</v>
      </c>
      <c r="C541">
        <f t="shared" si="19"/>
        <v>9452</v>
      </c>
      <c r="D541" s="12">
        <f t="shared" si="18"/>
        <v>1623000</v>
      </c>
    </row>
    <row r="542" spans="1:4" x14ac:dyDescent="0.3">
      <c r="A542">
        <v>542</v>
      </c>
      <c r="B542">
        <v>20</v>
      </c>
      <c r="C542">
        <f t="shared" si="19"/>
        <v>9472</v>
      </c>
      <c r="D542" s="12">
        <f t="shared" si="18"/>
        <v>1626000</v>
      </c>
    </row>
    <row r="543" spans="1:4" x14ac:dyDescent="0.3">
      <c r="A543">
        <v>543</v>
      </c>
      <c r="B543">
        <v>20</v>
      </c>
      <c r="C543">
        <f t="shared" si="19"/>
        <v>9492</v>
      </c>
      <c r="D543" s="12">
        <f t="shared" si="18"/>
        <v>1629000</v>
      </c>
    </row>
    <row r="544" spans="1:4" x14ac:dyDescent="0.3">
      <c r="A544">
        <v>544</v>
      </c>
      <c r="B544">
        <v>20</v>
      </c>
      <c r="C544">
        <f t="shared" si="19"/>
        <v>9512</v>
      </c>
      <c r="D544" s="12">
        <f t="shared" si="18"/>
        <v>1632000</v>
      </c>
    </row>
    <row r="545" spans="1:4" x14ac:dyDescent="0.3">
      <c r="A545">
        <v>545</v>
      </c>
      <c r="B545">
        <v>20</v>
      </c>
      <c r="C545">
        <f t="shared" si="19"/>
        <v>9532</v>
      </c>
      <c r="D545" s="12">
        <f t="shared" si="18"/>
        <v>1635000</v>
      </c>
    </row>
    <row r="546" spans="1:4" x14ac:dyDescent="0.3">
      <c r="A546">
        <v>546</v>
      </c>
      <c r="B546">
        <v>20</v>
      </c>
      <c r="C546">
        <f t="shared" si="19"/>
        <v>9552</v>
      </c>
      <c r="D546" s="12">
        <f t="shared" si="18"/>
        <v>1638000</v>
      </c>
    </row>
    <row r="547" spans="1:4" x14ac:dyDescent="0.3">
      <c r="A547">
        <v>547</v>
      </c>
      <c r="B547">
        <v>20</v>
      </c>
      <c r="C547">
        <f t="shared" si="19"/>
        <v>9572</v>
      </c>
      <c r="D547" s="12">
        <f t="shared" si="18"/>
        <v>1641000</v>
      </c>
    </row>
    <row r="548" spans="1:4" x14ac:dyDescent="0.3">
      <c r="A548">
        <v>548</v>
      </c>
      <c r="B548">
        <v>20</v>
      </c>
      <c r="C548">
        <f t="shared" si="19"/>
        <v>9592</v>
      </c>
      <c r="D548" s="12">
        <f t="shared" si="18"/>
        <v>1644000</v>
      </c>
    </row>
    <row r="549" spans="1:4" x14ac:dyDescent="0.3">
      <c r="A549">
        <v>549</v>
      </c>
      <c r="B549">
        <v>20</v>
      </c>
      <c r="C549">
        <f t="shared" si="19"/>
        <v>9612</v>
      </c>
      <c r="D549" s="12">
        <f t="shared" si="18"/>
        <v>1647000</v>
      </c>
    </row>
    <row r="550" spans="1:4" x14ac:dyDescent="0.3">
      <c r="A550">
        <v>550</v>
      </c>
      <c r="B550">
        <v>20</v>
      </c>
      <c r="C550">
        <f t="shared" si="19"/>
        <v>9632</v>
      </c>
      <c r="D550" s="12">
        <f t="shared" si="18"/>
        <v>1650000</v>
      </c>
    </row>
    <row r="551" spans="1:4" x14ac:dyDescent="0.3">
      <c r="A551">
        <v>551</v>
      </c>
      <c r="B551">
        <v>20</v>
      </c>
      <c r="C551">
        <f t="shared" si="19"/>
        <v>9652</v>
      </c>
      <c r="D551" s="12">
        <f t="shared" si="18"/>
        <v>1653000</v>
      </c>
    </row>
    <row r="552" spans="1:4" x14ac:dyDescent="0.3">
      <c r="A552">
        <v>552</v>
      </c>
      <c r="B552">
        <v>20</v>
      </c>
      <c r="C552">
        <f t="shared" si="19"/>
        <v>9672</v>
      </c>
      <c r="D552" s="12">
        <f t="shared" si="18"/>
        <v>1656000</v>
      </c>
    </row>
    <row r="553" spans="1:4" x14ac:dyDescent="0.3">
      <c r="A553">
        <v>553</v>
      </c>
      <c r="B553">
        <v>20</v>
      </c>
      <c r="C553">
        <f t="shared" si="19"/>
        <v>9692</v>
      </c>
      <c r="D553" s="12">
        <f t="shared" si="18"/>
        <v>1659000</v>
      </c>
    </row>
    <row r="554" spans="1:4" x14ac:dyDescent="0.3">
      <c r="A554">
        <v>554</v>
      </c>
      <c r="B554">
        <v>20</v>
      </c>
      <c r="C554">
        <f t="shared" si="19"/>
        <v>9712</v>
      </c>
      <c r="D554" s="12">
        <f t="shared" si="18"/>
        <v>1662000</v>
      </c>
    </row>
    <row r="555" spans="1:4" x14ac:dyDescent="0.3">
      <c r="A555">
        <v>555</v>
      </c>
      <c r="B555">
        <v>20</v>
      </c>
      <c r="C555">
        <f t="shared" si="19"/>
        <v>9732</v>
      </c>
      <c r="D555" s="12">
        <f t="shared" si="18"/>
        <v>1665000</v>
      </c>
    </row>
    <row r="556" spans="1:4" x14ac:dyDescent="0.3">
      <c r="A556">
        <v>556</v>
      </c>
      <c r="B556">
        <v>20</v>
      </c>
      <c r="C556">
        <f t="shared" si="19"/>
        <v>9752</v>
      </c>
      <c r="D556" s="12">
        <f t="shared" si="18"/>
        <v>1668000</v>
      </c>
    </row>
    <row r="557" spans="1:4" x14ac:dyDescent="0.3">
      <c r="A557">
        <v>557</v>
      </c>
      <c r="B557">
        <v>20</v>
      </c>
      <c r="C557">
        <f t="shared" si="19"/>
        <v>9772</v>
      </c>
      <c r="D557" s="12">
        <f t="shared" si="18"/>
        <v>1671000</v>
      </c>
    </row>
    <row r="558" spans="1:4" x14ac:dyDescent="0.3">
      <c r="A558">
        <v>558</v>
      </c>
      <c r="B558">
        <v>20</v>
      </c>
      <c r="C558">
        <f t="shared" si="19"/>
        <v>9792</v>
      </c>
      <c r="D558" s="12">
        <f t="shared" si="18"/>
        <v>1674000</v>
      </c>
    </row>
    <row r="559" spans="1:4" x14ac:dyDescent="0.3">
      <c r="A559">
        <v>559</v>
      </c>
      <c r="B559">
        <v>20</v>
      </c>
      <c r="C559">
        <f t="shared" si="19"/>
        <v>9812</v>
      </c>
      <c r="D559" s="12">
        <f t="shared" si="18"/>
        <v>1677000</v>
      </c>
    </row>
    <row r="560" spans="1:4" x14ac:dyDescent="0.3">
      <c r="A560">
        <v>560</v>
      </c>
      <c r="B560">
        <v>20</v>
      </c>
      <c r="C560">
        <f t="shared" si="19"/>
        <v>9832</v>
      </c>
      <c r="D560" s="12">
        <f t="shared" si="18"/>
        <v>1680000</v>
      </c>
    </row>
    <row r="561" spans="1:4" x14ac:dyDescent="0.3">
      <c r="A561">
        <v>561</v>
      </c>
      <c r="B561">
        <v>20</v>
      </c>
      <c r="C561">
        <f t="shared" si="19"/>
        <v>9852</v>
      </c>
      <c r="D561" s="12">
        <f t="shared" si="18"/>
        <v>1683000</v>
      </c>
    </row>
    <row r="562" spans="1:4" x14ac:dyDescent="0.3">
      <c r="A562">
        <v>562</v>
      </c>
      <c r="B562">
        <v>20</v>
      </c>
      <c r="C562">
        <f t="shared" si="19"/>
        <v>9872</v>
      </c>
      <c r="D562" s="12">
        <f t="shared" si="18"/>
        <v>1686000</v>
      </c>
    </row>
    <row r="563" spans="1:4" x14ac:dyDescent="0.3">
      <c r="A563">
        <v>563</v>
      </c>
      <c r="B563">
        <v>20</v>
      </c>
      <c r="C563">
        <f t="shared" si="19"/>
        <v>9892</v>
      </c>
      <c r="D563" s="12">
        <f t="shared" si="18"/>
        <v>1689000</v>
      </c>
    </row>
    <row r="564" spans="1:4" x14ac:dyDescent="0.3">
      <c r="A564">
        <v>564</v>
      </c>
      <c r="B564">
        <v>20</v>
      </c>
      <c r="C564">
        <f t="shared" si="19"/>
        <v>9912</v>
      </c>
      <c r="D564" s="12">
        <f t="shared" si="18"/>
        <v>1692000</v>
      </c>
    </row>
    <row r="565" spans="1:4" x14ac:dyDescent="0.3">
      <c r="A565">
        <v>565</v>
      </c>
      <c r="B565">
        <v>20</v>
      </c>
      <c r="C565">
        <f t="shared" si="19"/>
        <v>9932</v>
      </c>
      <c r="D565" s="12">
        <f t="shared" si="18"/>
        <v>1695000</v>
      </c>
    </row>
    <row r="566" spans="1:4" x14ac:dyDescent="0.3">
      <c r="A566">
        <v>566</v>
      </c>
      <c r="B566">
        <v>20</v>
      </c>
      <c r="C566">
        <f t="shared" si="19"/>
        <v>9952</v>
      </c>
      <c r="D566" s="12">
        <f t="shared" si="18"/>
        <v>1698000</v>
      </c>
    </row>
    <row r="567" spans="1:4" x14ac:dyDescent="0.3">
      <c r="A567">
        <v>567</v>
      </c>
      <c r="B567">
        <v>20</v>
      </c>
      <c r="C567">
        <f t="shared" si="19"/>
        <v>9972</v>
      </c>
      <c r="D567" s="12">
        <f t="shared" si="18"/>
        <v>1701000</v>
      </c>
    </row>
    <row r="568" spans="1:4" x14ac:dyDescent="0.3">
      <c r="A568">
        <v>568</v>
      </c>
      <c r="B568">
        <v>20</v>
      </c>
      <c r="C568">
        <f t="shared" si="19"/>
        <v>9992</v>
      </c>
      <c r="D568" s="12">
        <f t="shared" si="18"/>
        <v>1704000</v>
      </c>
    </row>
    <row r="569" spans="1:4" x14ac:dyDescent="0.3">
      <c r="A569">
        <v>569</v>
      </c>
      <c r="B569">
        <v>21</v>
      </c>
      <c r="C569">
        <f t="shared" si="19"/>
        <v>10013</v>
      </c>
      <c r="D569" s="12">
        <f t="shared" si="18"/>
        <v>1707000</v>
      </c>
    </row>
    <row r="570" spans="1:4" x14ac:dyDescent="0.3">
      <c r="A570">
        <v>570</v>
      </c>
      <c r="B570">
        <v>21</v>
      </c>
      <c r="C570">
        <f t="shared" si="19"/>
        <v>10034</v>
      </c>
      <c r="D570" s="12">
        <f t="shared" si="18"/>
        <v>1710000</v>
      </c>
    </row>
    <row r="571" spans="1:4" x14ac:dyDescent="0.3">
      <c r="A571">
        <v>571</v>
      </c>
      <c r="B571">
        <v>21</v>
      </c>
      <c r="C571">
        <f t="shared" si="19"/>
        <v>10055</v>
      </c>
      <c r="D571" s="12">
        <f t="shared" si="18"/>
        <v>1713000</v>
      </c>
    </row>
    <row r="572" spans="1:4" x14ac:dyDescent="0.3">
      <c r="A572">
        <v>572</v>
      </c>
      <c r="B572">
        <v>21</v>
      </c>
      <c r="C572">
        <f t="shared" si="19"/>
        <v>10076</v>
      </c>
      <c r="D572" s="12">
        <f t="shared" si="18"/>
        <v>1716000</v>
      </c>
    </row>
    <row r="573" spans="1:4" x14ac:dyDescent="0.3">
      <c r="A573">
        <v>573</v>
      </c>
      <c r="B573">
        <v>21</v>
      </c>
      <c r="C573">
        <f t="shared" si="19"/>
        <v>10097</v>
      </c>
      <c r="D573" s="12">
        <f t="shared" si="18"/>
        <v>1719000</v>
      </c>
    </row>
    <row r="574" spans="1:4" x14ac:dyDescent="0.3">
      <c r="A574">
        <v>574</v>
      </c>
      <c r="B574">
        <v>21</v>
      </c>
      <c r="C574">
        <f t="shared" si="19"/>
        <v>10118</v>
      </c>
      <c r="D574" s="12">
        <f t="shared" si="18"/>
        <v>1722000</v>
      </c>
    </row>
    <row r="575" spans="1:4" x14ac:dyDescent="0.3">
      <c r="A575">
        <v>575</v>
      </c>
      <c r="B575">
        <v>21</v>
      </c>
      <c r="C575">
        <f t="shared" si="19"/>
        <v>10139</v>
      </c>
      <c r="D575" s="12">
        <f t="shared" si="18"/>
        <v>1725000</v>
      </c>
    </row>
    <row r="576" spans="1:4" x14ac:dyDescent="0.3">
      <c r="A576">
        <v>576</v>
      </c>
      <c r="B576">
        <v>21</v>
      </c>
      <c r="C576">
        <f t="shared" si="19"/>
        <v>10160</v>
      </c>
      <c r="D576" s="12">
        <f t="shared" si="18"/>
        <v>1728000</v>
      </c>
    </row>
    <row r="577" spans="1:4" x14ac:dyDescent="0.3">
      <c r="A577">
        <v>577</v>
      </c>
      <c r="B577">
        <v>21</v>
      </c>
      <c r="C577">
        <f t="shared" si="19"/>
        <v>10181</v>
      </c>
      <c r="D577" s="12">
        <f t="shared" si="18"/>
        <v>1731000</v>
      </c>
    </row>
    <row r="578" spans="1:4" x14ac:dyDescent="0.3">
      <c r="A578">
        <v>578</v>
      </c>
      <c r="B578">
        <v>21</v>
      </c>
      <c r="C578">
        <f t="shared" si="19"/>
        <v>10202</v>
      </c>
      <c r="D578" s="12">
        <f t="shared" ref="D578:D641" si="20">A578*3000</f>
        <v>1734000</v>
      </c>
    </row>
    <row r="579" spans="1:4" x14ac:dyDescent="0.3">
      <c r="A579">
        <v>579</v>
      </c>
      <c r="B579">
        <v>21</v>
      </c>
      <c r="C579">
        <f t="shared" ref="C579:C642" si="21">C578+B579</f>
        <v>10223</v>
      </c>
      <c r="D579" s="12">
        <f t="shared" si="20"/>
        <v>1737000</v>
      </c>
    </row>
    <row r="580" spans="1:4" x14ac:dyDescent="0.3">
      <c r="A580">
        <v>580</v>
      </c>
      <c r="B580">
        <v>21</v>
      </c>
      <c r="C580">
        <f t="shared" si="21"/>
        <v>10244</v>
      </c>
      <c r="D580" s="12">
        <f t="shared" si="20"/>
        <v>1740000</v>
      </c>
    </row>
    <row r="581" spans="1:4" x14ac:dyDescent="0.3">
      <c r="A581">
        <v>581</v>
      </c>
      <c r="B581">
        <v>21</v>
      </c>
      <c r="C581">
        <f t="shared" si="21"/>
        <v>10265</v>
      </c>
      <c r="D581" s="12">
        <f t="shared" si="20"/>
        <v>1743000</v>
      </c>
    </row>
    <row r="582" spans="1:4" x14ac:dyDescent="0.3">
      <c r="A582">
        <v>582</v>
      </c>
      <c r="B582">
        <v>21</v>
      </c>
      <c r="C582">
        <f t="shared" si="21"/>
        <v>10286</v>
      </c>
      <c r="D582" s="12">
        <f t="shared" si="20"/>
        <v>1746000</v>
      </c>
    </row>
    <row r="583" spans="1:4" x14ac:dyDescent="0.3">
      <c r="A583">
        <v>583</v>
      </c>
      <c r="B583">
        <v>21</v>
      </c>
      <c r="C583">
        <f t="shared" si="21"/>
        <v>10307</v>
      </c>
      <c r="D583" s="12">
        <f t="shared" si="20"/>
        <v>1749000</v>
      </c>
    </row>
    <row r="584" spans="1:4" x14ac:dyDescent="0.3">
      <c r="A584">
        <v>584</v>
      </c>
      <c r="B584">
        <v>21</v>
      </c>
      <c r="C584">
        <f t="shared" si="21"/>
        <v>10328</v>
      </c>
      <c r="D584" s="12">
        <f t="shared" si="20"/>
        <v>1752000</v>
      </c>
    </row>
    <row r="585" spans="1:4" x14ac:dyDescent="0.3">
      <c r="A585">
        <v>585</v>
      </c>
      <c r="B585">
        <v>21</v>
      </c>
      <c r="C585">
        <f t="shared" si="21"/>
        <v>10349</v>
      </c>
      <c r="D585" s="12">
        <f t="shared" si="20"/>
        <v>1755000</v>
      </c>
    </row>
    <row r="586" spans="1:4" x14ac:dyDescent="0.3">
      <c r="A586">
        <v>586</v>
      </c>
      <c r="B586">
        <v>21</v>
      </c>
      <c r="C586">
        <f t="shared" si="21"/>
        <v>10370</v>
      </c>
      <c r="D586" s="12">
        <f t="shared" si="20"/>
        <v>1758000</v>
      </c>
    </row>
    <row r="587" spans="1:4" x14ac:dyDescent="0.3">
      <c r="A587">
        <v>587</v>
      </c>
      <c r="B587">
        <v>21</v>
      </c>
      <c r="C587">
        <f t="shared" si="21"/>
        <v>10391</v>
      </c>
      <c r="D587" s="12">
        <f t="shared" si="20"/>
        <v>1761000</v>
      </c>
    </row>
    <row r="588" spans="1:4" x14ac:dyDescent="0.3">
      <c r="A588">
        <v>588</v>
      </c>
      <c r="B588">
        <v>21</v>
      </c>
      <c r="C588">
        <f t="shared" si="21"/>
        <v>10412</v>
      </c>
      <c r="D588" s="12">
        <f t="shared" si="20"/>
        <v>1764000</v>
      </c>
    </row>
    <row r="589" spans="1:4" x14ac:dyDescent="0.3">
      <c r="A589">
        <v>589</v>
      </c>
      <c r="B589">
        <v>21</v>
      </c>
      <c r="C589">
        <f t="shared" si="21"/>
        <v>10433</v>
      </c>
      <c r="D589" s="12">
        <f t="shared" si="20"/>
        <v>1767000</v>
      </c>
    </row>
    <row r="590" spans="1:4" x14ac:dyDescent="0.3">
      <c r="A590">
        <v>590</v>
      </c>
      <c r="B590">
        <v>21</v>
      </c>
      <c r="C590">
        <f t="shared" si="21"/>
        <v>10454</v>
      </c>
      <c r="D590" s="12">
        <f t="shared" si="20"/>
        <v>1770000</v>
      </c>
    </row>
    <row r="591" spans="1:4" x14ac:dyDescent="0.3">
      <c r="A591">
        <v>591</v>
      </c>
      <c r="B591">
        <v>21</v>
      </c>
      <c r="C591">
        <f t="shared" si="21"/>
        <v>10475</v>
      </c>
      <c r="D591" s="12">
        <f t="shared" si="20"/>
        <v>1773000</v>
      </c>
    </row>
    <row r="592" spans="1:4" x14ac:dyDescent="0.3">
      <c r="A592">
        <v>592</v>
      </c>
      <c r="B592">
        <v>21</v>
      </c>
      <c r="C592">
        <f t="shared" si="21"/>
        <v>10496</v>
      </c>
      <c r="D592" s="12">
        <f t="shared" si="20"/>
        <v>1776000</v>
      </c>
    </row>
    <row r="593" spans="1:4" x14ac:dyDescent="0.3">
      <c r="A593">
        <v>593</v>
      </c>
      <c r="B593">
        <v>21</v>
      </c>
      <c r="C593">
        <f t="shared" si="21"/>
        <v>10517</v>
      </c>
      <c r="D593" s="12">
        <f t="shared" si="20"/>
        <v>1779000</v>
      </c>
    </row>
    <row r="594" spans="1:4" x14ac:dyDescent="0.3">
      <c r="A594">
        <v>594</v>
      </c>
      <c r="B594">
        <v>21</v>
      </c>
      <c r="C594">
        <f t="shared" si="21"/>
        <v>10538</v>
      </c>
      <c r="D594" s="12">
        <f t="shared" si="20"/>
        <v>1782000</v>
      </c>
    </row>
    <row r="595" spans="1:4" x14ac:dyDescent="0.3">
      <c r="A595">
        <v>595</v>
      </c>
      <c r="B595">
        <v>21</v>
      </c>
      <c r="C595">
        <f t="shared" si="21"/>
        <v>10559</v>
      </c>
      <c r="D595" s="12">
        <f t="shared" si="20"/>
        <v>1785000</v>
      </c>
    </row>
    <row r="596" spans="1:4" x14ac:dyDescent="0.3">
      <c r="A596">
        <v>596</v>
      </c>
      <c r="B596">
        <v>21</v>
      </c>
      <c r="C596">
        <f t="shared" si="21"/>
        <v>10580</v>
      </c>
      <c r="D596" s="12">
        <f t="shared" si="20"/>
        <v>1788000</v>
      </c>
    </row>
    <row r="597" spans="1:4" x14ac:dyDescent="0.3">
      <c r="A597">
        <v>597</v>
      </c>
      <c r="B597">
        <v>21</v>
      </c>
      <c r="C597">
        <f t="shared" si="21"/>
        <v>10601</v>
      </c>
      <c r="D597" s="12">
        <f t="shared" si="20"/>
        <v>1791000</v>
      </c>
    </row>
    <row r="598" spans="1:4" x14ac:dyDescent="0.3">
      <c r="A598">
        <v>598</v>
      </c>
      <c r="B598">
        <v>21</v>
      </c>
      <c r="C598">
        <f t="shared" si="21"/>
        <v>10622</v>
      </c>
      <c r="D598" s="12">
        <f t="shared" si="20"/>
        <v>1794000</v>
      </c>
    </row>
    <row r="599" spans="1:4" x14ac:dyDescent="0.3">
      <c r="A599">
        <v>599</v>
      </c>
      <c r="B599">
        <v>21</v>
      </c>
      <c r="C599">
        <f t="shared" si="21"/>
        <v>10643</v>
      </c>
      <c r="D599" s="12">
        <f t="shared" si="20"/>
        <v>1797000</v>
      </c>
    </row>
    <row r="600" spans="1:4" x14ac:dyDescent="0.3">
      <c r="A600">
        <v>600</v>
      </c>
      <c r="B600">
        <v>21</v>
      </c>
      <c r="C600">
        <f t="shared" si="21"/>
        <v>10664</v>
      </c>
      <c r="D600" s="12">
        <f t="shared" si="20"/>
        <v>1800000</v>
      </c>
    </row>
    <row r="601" spans="1:4" x14ac:dyDescent="0.3">
      <c r="A601">
        <v>601</v>
      </c>
      <c r="B601">
        <v>21</v>
      </c>
      <c r="C601">
        <f t="shared" si="21"/>
        <v>10685</v>
      </c>
      <c r="D601" s="12">
        <f t="shared" si="20"/>
        <v>1803000</v>
      </c>
    </row>
    <row r="602" spans="1:4" x14ac:dyDescent="0.3">
      <c r="A602">
        <v>602</v>
      </c>
      <c r="B602">
        <v>21</v>
      </c>
      <c r="C602">
        <f t="shared" si="21"/>
        <v>10706</v>
      </c>
      <c r="D602" s="12">
        <f t="shared" si="20"/>
        <v>1806000</v>
      </c>
    </row>
    <row r="603" spans="1:4" x14ac:dyDescent="0.3">
      <c r="A603">
        <v>603</v>
      </c>
      <c r="B603">
        <v>21</v>
      </c>
      <c r="C603">
        <f t="shared" si="21"/>
        <v>10727</v>
      </c>
      <c r="D603" s="12">
        <f t="shared" si="20"/>
        <v>1809000</v>
      </c>
    </row>
    <row r="604" spans="1:4" x14ac:dyDescent="0.3">
      <c r="A604">
        <v>604</v>
      </c>
      <c r="B604">
        <v>21</v>
      </c>
      <c r="C604">
        <f t="shared" si="21"/>
        <v>10748</v>
      </c>
      <c r="D604" s="12">
        <f t="shared" si="20"/>
        <v>1812000</v>
      </c>
    </row>
    <row r="605" spans="1:4" x14ac:dyDescent="0.3">
      <c r="A605">
        <v>605</v>
      </c>
      <c r="B605">
        <v>21</v>
      </c>
      <c r="C605">
        <f t="shared" si="21"/>
        <v>10769</v>
      </c>
      <c r="D605" s="12">
        <f t="shared" si="20"/>
        <v>1815000</v>
      </c>
    </row>
    <row r="606" spans="1:4" x14ac:dyDescent="0.3">
      <c r="A606">
        <v>606</v>
      </c>
      <c r="B606">
        <v>21</v>
      </c>
      <c r="C606">
        <f t="shared" si="21"/>
        <v>10790</v>
      </c>
      <c r="D606" s="12">
        <f t="shared" si="20"/>
        <v>1818000</v>
      </c>
    </row>
    <row r="607" spans="1:4" x14ac:dyDescent="0.3">
      <c r="A607">
        <v>607</v>
      </c>
      <c r="B607">
        <v>21</v>
      </c>
      <c r="C607">
        <f t="shared" si="21"/>
        <v>10811</v>
      </c>
      <c r="D607" s="12">
        <f t="shared" si="20"/>
        <v>1821000</v>
      </c>
    </row>
    <row r="608" spans="1:4" x14ac:dyDescent="0.3">
      <c r="A608">
        <v>608</v>
      </c>
      <c r="B608">
        <v>21</v>
      </c>
      <c r="C608">
        <f t="shared" si="21"/>
        <v>10832</v>
      </c>
      <c r="D608" s="12">
        <f t="shared" si="20"/>
        <v>1824000</v>
      </c>
    </row>
    <row r="609" spans="1:4" x14ac:dyDescent="0.3">
      <c r="A609">
        <v>609</v>
      </c>
      <c r="B609">
        <v>21</v>
      </c>
      <c r="C609">
        <f t="shared" si="21"/>
        <v>10853</v>
      </c>
      <c r="D609" s="12">
        <f t="shared" si="20"/>
        <v>1827000</v>
      </c>
    </row>
    <row r="610" spans="1:4" x14ac:dyDescent="0.3">
      <c r="A610">
        <v>610</v>
      </c>
      <c r="B610">
        <v>21</v>
      </c>
      <c r="C610">
        <f t="shared" si="21"/>
        <v>10874</v>
      </c>
      <c r="D610" s="12">
        <f t="shared" si="20"/>
        <v>1830000</v>
      </c>
    </row>
    <row r="611" spans="1:4" x14ac:dyDescent="0.3">
      <c r="A611">
        <v>611</v>
      </c>
      <c r="B611">
        <v>21</v>
      </c>
      <c r="C611">
        <f t="shared" si="21"/>
        <v>10895</v>
      </c>
      <c r="D611" s="12">
        <f t="shared" si="20"/>
        <v>1833000</v>
      </c>
    </row>
    <row r="612" spans="1:4" x14ac:dyDescent="0.3">
      <c r="A612">
        <v>612</v>
      </c>
      <c r="B612">
        <v>21</v>
      </c>
      <c r="C612">
        <f t="shared" si="21"/>
        <v>10916</v>
      </c>
      <c r="D612" s="12">
        <f t="shared" si="20"/>
        <v>1836000</v>
      </c>
    </row>
    <row r="613" spans="1:4" x14ac:dyDescent="0.3">
      <c r="A613">
        <v>613</v>
      </c>
      <c r="B613">
        <v>21</v>
      </c>
      <c r="C613">
        <f t="shared" si="21"/>
        <v>10937</v>
      </c>
      <c r="D613" s="12">
        <f t="shared" si="20"/>
        <v>1839000</v>
      </c>
    </row>
    <row r="614" spans="1:4" x14ac:dyDescent="0.3">
      <c r="A614">
        <v>614</v>
      </c>
      <c r="B614">
        <v>21</v>
      </c>
      <c r="C614">
        <f t="shared" si="21"/>
        <v>10958</v>
      </c>
      <c r="D614" s="12">
        <f t="shared" si="20"/>
        <v>1842000</v>
      </c>
    </row>
    <row r="615" spans="1:4" x14ac:dyDescent="0.3">
      <c r="A615">
        <v>615</v>
      </c>
      <c r="B615">
        <v>21</v>
      </c>
      <c r="C615">
        <f t="shared" si="21"/>
        <v>10979</v>
      </c>
      <c r="D615" s="12">
        <f t="shared" si="20"/>
        <v>1845000</v>
      </c>
    </row>
    <row r="616" spans="1:4" x14ac:dyDescent="0.3">
      <c r="A616">
        <v>616</v>
      </c>
      <c r="B616">
        <v>21</v>
      </c>
      <c r="C616">
        <f t="shared" si="21"/>
        <v>11000</v>
      </c>
      <c r="D616" s="12">
        <f t="shared" si="20"/>
        <v>1848000</v>
      </c>
    </row>
    <row r="617" spans="1:4" x14ac:dyDescent="0.3">
      <c r="A617">
        <v>617</v>
      </c>
      <c r="B617">
        <v>21</v>
      </c>
      <c r="C617">
        <f t="shared" si="21"/>
        <v>11021</v>
      </c>
      <c r="D617" s="12">
        <f t="shared" si="20"/>
        <v>1851000</v>
      </c>
    </row>
    <row r="618" spans="1:4" x14ac:dyDescent="0.3">
      <c r="A618">
        <v>618</v>
      </c>
      <c r="B618">
        <v>21</v>
      </c>
      <c r="C618">
        <f t="shared" si="21"/>
        <v>11042</v>
      </c>
      <c r="D618" s="12">
        <f t="shared" si="20"/>
        <v>1854000</v>
      </c>
    </row>
    <row r="619" spans="1:4" x14ac:dyDescent="0.3">
      <c r="A619">
        <v>619</v>
      </c>
      <c r="B619">
        <v>21</v>
      </c>
      <c r="C619">
        <f t="shared" si="21"/>
        <v>11063</v>
      </c>
      <c r="D619" s="12">
        <f t="shared" si="20"/>
        <v>1857000</v>
      </c>
    </row>
    <row r="620" spans="1:4" x14ac:dyDescent="0.3">
      <c r="A620">
        <v>620</v>
      </c>
      <c r="B620">
        <v>21</v>
      </c>
      <c r="C620">
        <f t="shared" si="21"/>
        <v>11084</v>
      </c>
      <c r="D620" s="12">
        <f t="shared" si="20"/>
        <v>1860000</v>
      </c>
    </row>
    <row r="621" spans="1:4" x14ac:dyDescent="0.3">
      <c r="A621">
        <v>621</v>
      </c>
      <c r="B621">
        <v>21</v>
      </c>
      <c r="C621">
        <f t="shared" si="21"/>
        <v>11105</v>
      </c>
      <c r="D621" s="12">
        <f t="shared" si="20"/>
        <v>1863000</v>
      </c>
    </row>
    <row r="622" spans="1:4" x14ac:dyDescent="0.3">
      <c r="A622">
        <v>622</v>
      </c>
      <c r="B622">
        <v>21</v>
      </c>
      <c r="C622">
        <f t="shared" si="21"/>
        <v>11126</v>
      </c>
      <c r="D622" s="12">
        <f t="shared" si="20"/>
        <v>1866000</v>
      </c>
    </row>
    <row r="623" spans="1:4" x14ac:dyDescent="0.3">
      <c r="A623">
        <v>623</v>
      </c>
      <c r="B623">
        <v>21</v>
      </c>
      <c r="C623">
        <f t="shared" si="21"/>
        <v>11147</v>
      </c>
      <c r="D623" s="12">
        <f t="shared" si="20"/>
        <v>1869000</v>
      </c>
    </row>
    <row r="624" spans="1:4" x14ac:dyDescent="0.3">
      <c r="A624">
        <v>624</v>
      </c>
      <c r="B624">
        <v>21</v>
      </c>
      <c r="C624">
        <f t="shared" si="21"/>
        <v>11168</v>
      </c>
      <c r="D624" s="12">
        <f t="shared" si="20"/>
        <v>1872000</v>
      </c>
    </row>
    <row r="625" spans="1:4" x14ac:dyDescent="0.3">
      <c r="A625">
        <v>625</v>
      </c>
      <c r="B625">
        <v>21</v>
      </c>
      <c r="C625">
        <f t="shared" si="21"/>
        <v>11189</v>
      </c>
      <c r="D625" s="12">
        <f t="shared" si="20"/>
        <v>1875000</v>
      </c>
    </row>
    <row r="626" spans="1:4" x14ac:dyDescent="0.3">
      <c r="A626">
        <v>626</v>
      </c>
      <c r="B626">
        <v>21</v>
      </c>
      <c r="C626">
        <f t="shared" si="21"/>
        <v>11210</v>
      </c>
      <c r="D626" s="12">
        <f t="shared" si="20"/>
        <v>1878000</v>
      </c>
    </row>
    <row r="627" spans="1:4" x14ac:dyDescent="0.3">
      <c r="A627">
        <v>627</v>
      </c>
      <c r="B627">
        <v>21</v>
      </c>
      <c r="C627">
        <f t="shared" si="21"/>
        <v>11231</v>
      </c>
      <c r="D627" s="12">
        <f t="shared" si="20"/>
        <v>1881000</v>
      </c>
    </row>
    <row r="628" spans="1:4" x14ac:dyDescent="0.3">
      <c r="A628">
        <v>628</v>
      </c>
      <c r="B628">
        <v>21</v>
      </c>
      <c r="C628">
        <f t="shared" si="21"/>
        <v>11252</v>
      </c>
      <c r="D628" s="12">
        <f t="shared" si="20"/>
        <v>1884000</v>
      </c>
    </row>
    <row r="629" spans="1:4" x14ac:dyDescent="0.3">
      <c r="A629">
        <v>629</v>
      </c>
      <c r="B629">
        <v>21</v>
      </c>
      <c r="C629">
        <f t="shared" si="21"/>
        <v>11273</v>
      </c>
      <c r="D629" s="12">
        <f t="shared" si="20"/>
        <v>1887000</v>
      </c>
    </row>
    <row r="630" spans="1:4" x14ac:dyDescent="0.3">
      <c r="A630">
        <v>630</v>
      </c>
      <c r="B630">
        <v>21</v>
      </c>
      <c r="C630">
        <f t="shared" si="21"/>
        <v>11294</v>
      </c>
      <c r="D630" s="12">
        <f t="shared" si="20"/>
        <v>1890000</v>
      </c>
    </row>
    <row r="631" spans="1:4" x14ac:dyDescent="0.3">
      <c r="A631">
        <v>631</v>
      </c>
      <c r="B631">
        <v>21</v>
      </c>
      <c r="C631">
        <f t="shared" si="21"/>
        <v>11315</v>
      </c>
      <c r="D631" s="12">
        <f t="shared" si="20"/>
        <v>1893000</v>
      </c>
    </row>
    <row r="632" spans="1:4" x14ac:dyDescent="0.3">
      <c r="A632">
        <v>632</v>
      </c>
      <c r="B632">
        <v>21</v>
      </c>
      <c r="C632">
        <f t="shared" si="21"/>
        <v>11336</v>
      </c>
      <c r="D632" s="12">
        <f t="shared" si="20"/>
        <v>1896000</v>
      </c>
    </row>
    <row r="633" spans="1:4" x14ac:dyDescent="0.3">
      <c r="A633">
        <v>633</v>
      </c>
      <c r="B633">
        <v>21</v>
      </c>
      <c r="C633">
        <f t="shared" si="21"/>
        <v>11357</v>
      </c>
      <c r="D633" s="12">
        <f t="shared" si="20"/>
        <v>1899000</v>
      </c>
    </row>
    <row r="634" spans="1:4" x14ac:dyDescent="0.3">
      <c r="A634">
        <v>634</v>
      </c>
      <c r="B634">
        <v>21</v>
      </c>
      <c r="C634">
        <f t="shared" si="21"/>
        <v>11378</v>
      </c>
      <c r="D634" s="12">
        <f t="shared" si="20"/>
        <v>1902000</v>
      </c>
    </row>
    <row r="635" spans="1:4" x14ac:dyDescent="0.3">
      <c r="A635">
        <v>635</v>
      </c>
      <c r="B635">
        <v>21</v>
      </c>
      <c r="C635">
        <f t="shared" si="21"/>
        <v>11399</v>
      </c>
      <c r="D635" s="12">
        <f t="shared" si="20"/>
        <v>1905000</v>
      </c>
    </row>
    <row r="636" spans="1:4" x14ac:dyDescent="0.3">
      <c r="A636">
        <v>636</v>
      </c>
      <c r="B636">
        <v>21</v>
      </c>
      <c r="C636">
        <f t="shared" si="21"/>
        <v>11420</v>
      </c>
      <c r="D636" s="12">
        <f t="shared" si="20"/>
        <v>1908000</v>
      </c>
    </row>
    <row r="637" spans="1:4" x14ac:dyDescent="0.3">
      <c r="A637">
        <v>637</v>
      </c>
      <c r="B637">
        <v>21</v>
      </c>
      <c r="C637">
        <f t="shared" si="21"/>
        <v>11441</v>
      </c>
      <c r="D637" s="12">
        <f t="shared" si="20"/>
        <v>1911000</v>
      </c>
    </row>
    <row r="638" spans="1:4" x14ac:dyDescent="0.3">
      <c r="A638">
        <v>638</v>
      </c>
      <c r="B638">
        <v>21</v>
      </c>
      <c r="C638">
        <f t="shared" si="21"/>
        <v>11462</v>
      </c>
      <c r="D638" s="12">
        <f t="shared" si="20"/>
        <v>1914000</v>
      </c>
    </row>
    <row r="639" spans="1:4" x14ac:dyDescent="0.3">
      <c r="A639">
        <v>639</v>
      </c>
      <c r="B639">
        <v>21</v>
      </c>
      <c r="C639">
        <f t="shared" si="21"/>
        <v>11483</v>
      </c>
      <c r="D639" s="12">
        <f t="shared" si="20"/>
        <v>1917000</v>
      </c>
    </row>
    <row r="640" spans="1:4" x14ac:dyDescent="0.3">
      <c r="A640">
        <v>640</v>
      </c>
      <c r="B640">
        <v>21</v>
      </c>
      <c r="C640">
        <f t="shared" si="21"/>
        <v>11504</v>
      </c>
      <c r="D640" s="12">
        <f t="shared" si="20"/>
        <v>1920000</v>
      </c>
    </row>
    <row r="641" spans="1:4" x14ac:dyDescent="0.3">
      <c r="A641">
        <v>641</v>
      </c>
      <c r="B641">
        <v>21</v>
      </c>
      <c r="C641">
        <f t="shared" si="21"/>
        <v>11525</v>
      </c>
      <c r="D641" s="12">
        <f t="shared" si="20"/>
        <v>1923000</v>
      </c>
    </row>
    <row r="642" spans="1:4" x14ac:dyDescent="0.3">
      <c r="A642">
        <v>642</v>
      </c>
      <c r="B642">
        <v>21</v>
      </c>
      <c r="C642">
        <f t="shared" si="21"/>
        <v>11546</v>
      </c>
      <c r="D642" s="12">
        <f t="shared" ref="D642:D705" si="22">A642*3000</f>
        <v>1926000</v>
      </c>
    </row>
    <row r="643" spans="1:4" x14ac:dyDescent="0.3">
      <c r="A643">
        <v>643</v>
      </c>
      <c r="B643">
        <v>21</v>
      </c>
      <c r="C643">
        <f t="shared" ref="C643:C706" si="23">C642+B643</f>
        <v>11567</v>
      </c>
      <c r="D643" s="12">
        <f t="shared" si="22"/>
        <v>1929000</v>
      </c>
    </row>
    <row r="644" spans="1:4" x14ac:dyDescent="0.3">
      <c r="A644">
        <v>644</v>
      </c>
      <c r="B644">
        <v>21</v>
      </c>
      <c r="C644">
        <f t="shared" si="23"/>
        <v>11588</v>
      </c>
      <c r="D644" s="12">
        <f t="shared" si="22"/>
        <v>1932000</v>
      </c>
    </row>
    <row r="645" spans="1:4" x14ac:dyDescent="0.3">
      <c r="A645">
        <v>645</v>
      </c>
      <c r="B645">
        <v>21</v>
      </c>
      <c r="C645">
        <f t="shared" si="23"/>
        <v>11609</v>
      </c>
      <c r="D645" s="12">
        <f t="shared" si="22"/>
        <v>1935000</v>
      </c>
    </row>
    <row r="646" spans="1:4" x14ac:dyDescent="0.3">
      <c r="A646">
        <v>646</v>
      </c>
      <c r="B646">
        <v>21</v>
      </c>
      <c r="C646">
        <f t="shared" si="23"/>
        <v>11630</v>
      </c>
      <c r="D646" s="12">
        <f t="shared" si="22"/>
        <v>1938000</v>
      </c>
    </row>
    <row r="647" spans="1:4" x14ac:dyDescent="0.3">
      <c r="A647">
        <v>647</v>
      </c>
      <c r="B647">
        <v>21</v>
      </c>
      <c r="C647">
        <f t="shared" si="23"/>
        <v>11651</v>
      </c>
      <c r="D647" s="12">
        <f t="shared" si="22"/>
        <v>1941000</v>
      </c>
    </row>
    <row r="648" spans="1:4" x14ac:dyDescent="0.3">
      <c r="A648">
        <v>648</v>
      </c>
      <c r="B648">
        <v>21</v>
      </c>
      <c r="C648">
        <f t="shared" si="23"/>
        <v>11672</v>
      </c>
      <c r="D648" s="12">
        <f t="shared" si="22"/>
        <v>1944000</v>
      </c>
    </row>
    <row r="649" spans="1:4" x14ac:dyDescent="0.3">
      <c r="A649">
        <v>649</v>
      </c>
      <c r="B649">
        <v>21</v>
      </c>
      <c r="C649">
        <f t="shared" si="23"/>
        <v>11693</v>
      </c>
      <c r="D649" s="12">
        <f t="shared" si="22"/>
        <v>1947000</v>
      </c>
    </row>
    <row r="650" spans="1:4" x14ac:dyDescent="0.3">
      <c r="A650">
        <v>650</v>
      </c>
      <c r="B650">
        <v>21</v>
      </c>
      <c r="C650">
        <f t="shared" si="23"/>
        <v>11714</v>
      </c>
      <c r="D650" s="12">
        <f t="shared" si="22"/>
        <v>1950000</v>
      </c>
    </row>
    <row r="651" spans="1:4" x14ac:dyDescent="0.3">
      <c r="A651">
        <v>651</v>
      </c>
      <c r="B651">
        <v>21</v>
      </c>
      <c r="C651">
        <f t="shared" si="23"/>
        <v>11735</v>
      </c>
      <c r="D651" s="12">
        <f t="shared" si="22"/>
        <v>1953000</v>
      </c>
    </row>
    <row r="652" spans="1:4" x14ac:dyDescent="0.3">
      <c r="A652">
        <v>652</v>
      </c>
      <c r="B652">
        <v>21</v>
      </c>
      <c r="C652">
        <f t="shared" si="23"/>
        <v>11756</v>
      </c>
      <c r="D652" s="12">
        <f t="shared" si="22"/>
        <v>1956000</v>
      </c>
    </row>
    <row r="653" spans="1:4" x14ac:dyDescent="0.3">
      <c r="A653">
        <v>653</v>
      </c>
      <c r="B653">
        <v>21</v>
      </c>
      <c r="C653">
        <f t="shared" si="23"/>
        <v>11777</v>
      </c>
      <c r="D653" s="12">
        <f t="shared" si="22"/>
        <v>1959000</v>
      </c>
    </row>
    <row r="654" spans="1:4" x14ac:dyDescent="0.3">
      <c r="A654">
        <v>654</v>
      </c>
      <c r="B654">
        <v>21</v>
      </c>
      <c r="C654">
        <f t="shared" si="23"/>
        <v>11798</v>
      </c>
      <c r="D654" s="12">
        <f t="shared" si="22"/>
        <v>1962000</v>
      </c>
    </row>
    <row r="655" spans="1:4" x14ac:dyDescent="0.3">
      <c r="A655">
        <v>655</v>
      </c>
      <c r="B655">
        <v>21</v>
      </c>
      <c r="C655">
        <f t="shared" si="23"/>
        <v>11819</v>
      </c>
      <c r="D655" s="12">
        <f t="shared" si="22"/>
        <v>1965000</v>
      </c>
    </row>
    <row r="656" spans="1:4" x14ac:dyDescent="0.3">
      <c r="A656">
        <v>656</v>
      </c>
      <c r="B656">
        <v>21</v>
      </c>
      <c r="C656">
        <f t="shared" si="23"/>
        <v>11840</v>
      </c>
      <c r="D656" s="12">
        <f t="shared" si="22"/>
        <v>1968000</v>
      </c>
    </row>
    <row r="657" spans="1:4" x14ac:dyDescent="0.3">
      <c r="A657">
        <v>657</v>
      </c>
      <c r="B657">
        <v>21</v>
      </c>
      <c r="C657">
        <f t="shared" si="23"/>
        <v>11861</v>
      </c>
      <c r="D657" s="12">
        <f t="shared" si="22"/>
        <v>1971000</v>
      </c>
    </row>
    <row r="658" spans="1:4" x14ac:dyDescent="0.3">
      <c r="A658">
        <v>658</v>
      </c>
      <c r="B658">
        <v>21</v>
      </c>
      <c r="C658">
        <f t="shared" si="23"/>
        <v>11882</v>
      </c>
      <c r="D658" s="12">
        <f t="shared" si="22"/>
        <v>1974000</v>
      </c>
    </row>
    <row r="659" spans="1:4" x14ac:dyDescent="0.3">
      <c r="A659">
        <v>659</v>
      </c>
      <c r="B659">
        <v>21</v>
      </c>
      <c r="C659">
        <f t="shared" si="23"/>
        <v>11903</v>
      </c>
      <c r="D659" s="12">
        <f t="shared" si="22"/>
        <v>1977000</v>
      </c>
    </row>
    <row r="660" spans="1:4" x14ac:dyDescent="0.3">
      <c r="A660">
        <v>660</v>
      </c>
      <c r="B660">
        <v>21</v>
      </c>
      <c r="C660">
        <f t="shared" si="23"/>
        <v>11924</v>
      </c>
      <c r="D660" s="12">
        <f t="shared" si="22"/>
        <v>1980000</v>
      </c>
    </row>
    <row r="661" spans="1:4" x14ac:dyDescent="0.3">
      <c r="A661">
        <v>661</v>
      </c>
      <c r="B661">
        <v>21</v>
      </c>
      <c r="C661">
        <f t="shared" si="23"/>
        <v>11945</v>
      </c>
      <c r="D661" s="12">
        <f t="shared" si="22"/>
        <v>1983000</v>
      </c>
    </row>
    <row r="662" spans="1:4" x14ac:dyDescent="0.3">
      <c r="A662">
        <v>662</v>
      </c>
      <c r="B662">
        <v>21</v>
      </c>
      <c r="C662">
        <f t="shared" si="23"/>
        <v>11966</v>
      </c>
      <c r="D662" s="12">
        <f t="shared" si="22"/>
        <v>1986000</v>
      </c>
    </row>
    <row r="663" spans="1:4" x14ac:dyDescent="0.3">
      <c r="A663">
        <v>663</v>
      </c>
      <c r="B663">
        <v>21</v>
      </c>
      <c r="C663">
        <f t="shared" si="23"/>
        <v>11987</v>
      </c>
      <c r="D663" s="12">
        <f t="shared" si="22"/>
        <v>1989000</v>
      </c>
    </row>
    <row r="664" spans="1:4" x14ac:dyDescent="0.3">
      <c r="A664">
        <v>664</v>
      </c>
      <c r="B664">
        <v>21</v>
      </c>
      <c r="C664">
        <f t="shared" si="23"/>
        <v>12008</v>
      </c>
      <c r="D664" s="12">
        <f t="shared" si="22"/>
        <v>1992000</v>
      </c>
    </row>
    <row r="665" spans="1:4" x14ac:dyDescent="0.3">
      <c r="A665">
        <v>665</v>
      </c>
      <c r="B665">
        <v>21</v>
      </c>
      <c r="C665">
        <f t="shared" si="23"/>
        <v>12029</v>
      </c>
      <c r="D665" s="12">
        <f t="shared" si="22"/>
        <v>1995000</v>
      </c>
    </row>
    <row r="666" spans="1:4" x14ac:dyDescent="0.3">
      <c r="A666">
        <v>666</v>
      </c>
      <c r="B666">
        <v>21</v>
      </c>
      <c r="C666">
        <f t="shared" si="23"/>
        <v>12050</v>
      </c>
      <c r="D666" s="12">
        <f t="shared" si="22"/>
        <v>1998000</v>
      </c>
    </row>
    <row r="667" spans="1:4" x14ac:dyDescent="0.3">
      <c r="A667">
        <v>667</v>
      </c>
      <c r="B667">
        <v>21</v>
      </c>
      <c r="C667">
        <f t="shared" si="23"/>
        <v>12071</v>
      </c>
      <c r="D667" s="12">
        <f t="shared" si="22"/>
        <v>2001000</v>
      </c>
    </row>
    <row r="668" spans="1:4" x14ac:dyDescent="0.3">
      <c r="A668">
        <v>668</v>
      </c>
      <c r="B668">
        <v>21</v>
      </c>
      <c r="C668">
        <f t="shared" si="23"/>
        <v>12092</v>
      </c>
      <c r="D668" s="12">
        <f t="shared" si="22"/>
        <v>2004000</v>
      </c>
    </row>
    <row r="669" spans="1:4" x14ac:dyDescent="0.3">
      <c r="A669">
        <v>669</v>
      </c>
      <c r="B669">
        <v>21</v>
      </c>
      <c r="C669">
        <f t="shared" si="23"/>
        <v>12113</v>
      </c>
      <c r="D669" s="12">
        <f t="shared" si="22"/>
        <v>2007000</v>
      </c>
    </row>
    <row r="670" spans="1:4" x14ac:dyDescent="0.3">
      <c r="A670">
        <v>670</v>
      </c>
      <c r="B670">
        <v>21</v>
      </c>
      <c r="C670">
        <f t="shared" si="23"/>
        <v>12134</v>
      </c>
      <c r="D670" s="12">
        <f t="shared" si="22"/>
        <v>2010000</v>
      </c>
    </row>
    <row r="671" spans="1:4" x14ac:dyDescent="0.3">
      <c r="A671">
        <v>671</v>
      </c>
      <c r="B671">
        <v>21</v>
      </c>
      <c r="C671">
        <f t="shared" si="23"/>
        <v>12155</v>
      </c>
      <c r="D671" s="12">
        <f t="shared" si="22"/>
        <v>2013000</v>
      </c>
    </row>
    <row r="672" spans="1:4" x14ac:dyDescent="0.3">
      <c r="A672">
        <v>672</v>
      </c>
      <c r="B672">
        <v>21</v>
      </c>
      <c r="C672">
        <f t="shared" si="23"/>
        <v>12176</v>
      </c>
      <c r="D672" s="12">
        <f t="shared" si="22"/>
        <v>2016000</v>
      </c>
    </row>
    <row r="673" spans="1:4" x14ac:dyDescent="0.3">
      <c r="A673">
        <v>673</v>
      </c>
      <c r="B673">
        <v>21</v>
      </c>
      <c r="C673">
        <f t="shared" si="23"/>
        <v>12197</v>
      </c>
      <c r="D673" s="12">
        <f t="shared" si="22"/>
        <v>2019000</v>
      </c>
    </row>
    <row r="674" spans="1:4" x14ac:dyDescent="0.3">
      <c r="A674">
        <v>674</v>
      </c>
      <c r="B674">
        <v>21</v>
      </c>
      <c r="C674">
        <f t="shared" si="23"/>
        <v>12218</v>
      </c>
      <c r="D674" s="12">
        <f t="shared" si="22"/>
        <v>2022000</v>
      </c>
    </row>
    <row r="675" spans="1:4" x14ac:dyDescent="0.3">
      <c r="A675">
        <v>675</v>
      </c>
      <c r="B675">
        <v>21</v>
      </c>
      <c r="C675">
        <f t="shared" si="23"/>
        <v>12239</v>
      </c>
      <c r="D675" s="12">
        <f t="shared" si="22"/>
        <v>2025000</v>
      </c>
    </row>
    <row r="676" spans="1:4" x14ac:dyDescent="0.3">
      <c r="A676">
        <v>676</v>
      </c>
      <c r="B676">
        <v>21</v>
      </c>
      <c r="C676">
        <f t="shared" si="23"/>
        <v>12260</v>
      </c>
      <c r="D676" s="12">
        <f t="shared" si="22"/>
        <v>2028000</v>
      </c>
    </row>
    <row r="677" spans="1:4" x14ac:dyDescent="0.3">
      <c r="A677">
        <v>677</v>
      </c>
      <c r="B677">
        <v>21</v>
      </c>
      <c r="C677">
        <f t="shared" si="23"/>
        <v>12281</v>
      </c>
      <c r="D677" s="12">
        <f t="shared" si="22"/>
        <v>2031000</v>
      </c>
    </row>
    <row r="678" spans="1:4" x14ac:dyDescent="0.3">
      <c r="A678">
        <v>678</v>
      </c>
      <c r="B678">
        <v>21</v>
      </c>
      <c r="C678">
        <f t="shared" si="23"/>
        <v>12302</v>
      </c>
      <c r="D678" s="12">
        <f t="shared" si="22"/>
        <v>2034000</v>
      </c>
    </row>
    <row r="679" spans="1:4" x14ac:dyDescent="0.3">
      <c r="A679">
        <v>679</v>
      </c>
      <c r="B679">
        <v>21</v>
      </c>
      <c r="C679">
        <f t="shared" si="23"/>
        <v>12323</v>
      </c>
      <c r="D679" s="12">
        <f t="shared" si="22"/>
        <v>2037000</v>
      </c>
    </row>
    <row r="680" spans="1:4" x14ac:dyDescent="0.3">
      <c r="A680">
        <v>680</v>
      </c>
      <c r="B680">
        <v>21</v>
      </c>
      <c r="C680">
        <f t="shared" si="23"/>
        <v>12344</v>
      </c>
      <c r="D680" s="12">
        <f t="shared" si="22"/>
        <v>2040000</v>
      </c>
    </row>
    <row r="681" spans="1:4" x14ac:dyDescent="0.3">
      <c r="A681">
        <v>681</v>
      </c>
      <c r="B681">
        <v>21</v>
      </c>
      <c r="C681">
        <f t="shared" si="23"/>
        <v>12365</v>
      </c>
      <c r="D681" s="12">
        <f t="shared" si="22"/>
        <v>2043000</v>
      </c>
    </row>
    <row r="682" spans="1:4" x14ac:dyDescent="0.3">
      <c r="A682">
        <v>682</v>
      </c>
      <c r="B682">
        <v>21</v>
      </c>
      <c r="C682">
        <f t="shared" si="23"/>
        <v>12386</v>
      </c>
      <c r="D682" s="12">
        <f t="shared" si="22"/>
        <v>2046000</v>
      </c>
    </row>
    <row r="683" spans="1:4" x14ac:dyDescent="0.3">
      <c r="A683">
        <v>683</v>
      </c>
      <c r="B683">
        <v>21</v>
      </c>
      <c r="C683">
        <f t="shared" si="23"/>
        <v>12407</v>
      </c>
      <c r="D683" s="12">
        <f t="shared" si="22"/>
        <v>2049000</v>
      </c>
    </row>
    <row r="684" spans="1:4" x14ac:dyDescent="0.3">
      <c r="A684">
        <v>684</v>
      </c>
      <c r="B684">
        <v>21</v>
      </c>
      <c r="C684">
        <f t="shared" si="23"/>
        <v>12428</v>
      </c>
      <c r="D684" s="12">
        <f t="shared" si="22"/>
        <v>2052000</v>
      </c>
    </row>
    <row r="685" spans="1:4" x14ac:dyDescent="0.3">
      <c r="A685">
        <v>685</v>
      </c>
      <c r="B685">
        <v>21</v>
      </c>
      <c r="C685">
        <f t="shared" si="23"/>
        <v>12449</v>
      </c>
      <c r="D685" s="12">
        <f t="shared" si="22"/>
        <v>2055000</v>
      </c>
    </row>
    <row r="686" spans="1:4" x14ac:dyDescent="0.3">
      <c r="A686">
        <v>686</v>
      </c>
      <c r="B686">
        <v>21</v>
      </c>
      <c r="C686">
        <f t="shared" si="23"/>
        <v>12470</v>
      </c>
      <c r="D686" s="12">
        <f t="shared" si="22"/>
        <v>2058000</v>
      </c>
    </row>
    <row r="687" spans="1:4" x14ac:dyDescent="0.3">
      <c r="A687">
        <v>687</v>
      </c>
      <c r="B687">
        <v>21</v>
      </c>
      <c r="C687">
        <f t="shared" si="23"/>
        <v>12491</v>
      </c>
      <c r="D687" s="12">
        <f t="shared" si="22"/>
        <v>2061000</v>
      </c>
    </row>
    <row r="688" spans="1:4" x14ac:dyDescent="0.3">
      <c r="A688">
        <v>688</v>
      </c>
      <c r="B688">
        <v>21</v>
      </c>
      <c r="C688">
        <f t="shared" si="23"/>
        <v>12512</v>
      </c>
      <c r="D688" s="12">
        <f t="shared" si="22"/>
        <v>2064000</v>
      </c>
    </row>
    <row r="689" spans="1:4" x14ac:dyDescent="0.3">
      <c r="A689">
        <v>689</v>
      </c>
      <c r="B689">
        <v>21</v>
      </c>
      <c r="C689">
        <f t="shared" si="23"/>
        <v>12533</v>
      </c>
      <c r="D689" s="12">
        <f t="shared" si="22"/>
        <v>2067000</v>
      </c>
    </row>
    <row r="690" spans="1:4" x14ac:dyDescent="0.3">
      <c r="A690">
        <v>690</v>
      </c>
      <c r="B690">
        <v>21</v>
      </c>
      <c r="C690">
        <f t="shared" si="23"/>
        <v>12554</v>
      </c>
      <c r="D690" s="12">
        <f t="shared" si="22"/>
        <v>2070000</v>
      </c>
    </row>
    <row r="691" spans="1:4" x14ac:dyDescent="0.3">
      <c r="A691">
        <v>691</v>
      </c>
      <c r="B691">
        <v>21</v>
      </c>
      <c r="C691">
        <f t="shared" si="23"/>
        <v>12575</v>
      </c>
      <c r="D691" s="12">
        <f t="shared" si="22"/>
        <v>2073000</v>
      </c>
    </row>
    <row r="692" spans="1:4" x14ac:dyDescent="0.3">
      <c r="A692">
        <v>692</v>
      </c>
      <c r="B692">
        <v>21</v>
      </c>
      <c r="C692">
        <f t="shared" si="23"/>
        <v>12596</v>
      </c>
      <c r="D692" s="12">
        <f t="shared" si="22"/>
        <v>2076000</v>
      </c>
    </row>
    <row r="693" spans="1:4" x14ac:dyDescent="0.3">
      <c r="A693">
        <v>693</v>
      </c>
      <c r="B693">
        <v>21</v>
      </c>
      <c r="C693">
        <f t="shared" si="23"/>
        <v>12617</v>
      </c>
      <c r="D693" s="12">
        <f t="shared" si="22"/>
        <v>2079000</v>
      </c>
    </row>
    <row r="694" spans="1:4" x14ac:dyDescent="0.3">
      <c r="A694">
        <v>694</v>
      </c>
      <c r="B694">
        <v>21</v>
      </c>
      <c r="C694">
        <f t="shared" si="23"/>
        <v>12638</v>
      </c>
      <c r="D694" s="12">
        <f t="shared" si="22"/>
        <v>2082000</v>
      </c>
    </row>
    <row r="695" spans="1:4" x14ac:dyDescent="0.3">
      <c r="A695">
        <v>695</v>
      </c>
      <c r="B695">
        <v>21</v>
      </c>
      <c r="C695">
        <f t="shared" si="23"/>
        <v>12659</v>
      </c>
      <c r="D695" s="12">
        <f t="shared" si="22"/>
        <v>2085000</v>
      </c>
    </row>
    <row r="696" spans="1:4" x14ac:dyDescent="0.3">
      <c r="A696">
        <v>696</v>
      </c>
      <c r="B696">
        <v>21</v>
      </c>
      <c r="C696">
        <f t="shared" si="23"/>
        <v>12680</v>
      </c>
      <c r="D696" s="12">
        <f t="shared" si="22"/>
        <v>2088000</v>
      </c>
    </row>
    <row r="697" spans="1:4" x14ac:dyDescent="0.3">
      <c r="A697">
        <v>697</v>
      </c>
      <c r="B697">
        <v>21</v>
      </c>
      <c r="C697">
        <f t="shared" si="23"/>
        <v>12701</v>
      </c>
      <c r="D697" s="12">
        <f t="shared" si="22"/>
        <v>2091000</v>
      </c>
    </row>
    <row r="698" spans="1:4" x14ac:dyDescent="0.3">
      <c r="A698">
        <v>698</v>
      </c>
      <c r="B698">
        <v>21</v>
      </c>
      <c r="C698">
        <f t="shared" si="23"/>
        <v>12722</v>
      </c>
      <c r="D698" s="12">
        <f t="shared" si="22"/>
        <v>2094000</v>
      </c>
    </row>
    <row r="699" spans="1:4" x14ac:dyDescent="0.3">
      <c r="A699">
        <v>699</v>
      </c>
      <c r="B699">
        <v>21</v>
      </c>
      <c r="C699">
        <f t="shared" si="23"/>
        <v>12743</v>
      </c>
      <c r="D699" s="12">
        <f t="shared" si="22"/>
        <v>2097000</v>
      </c>
    </row>
    <row r="700" spans="1:4" x14ac:dyDescent="0.3">
      <c r="A700">
        <v>700</v>
      </c>
      <c r="B700">
        <v>21</v>
      </c>
      <c r="C700">
        <f t="shared" si="23"/>
        <v>12764</v>
      </c>
      <c r="D700" s="12">
        <f t="shared" si="22"/>
        <v>2100000</v>
      </c>
    </row>
    <row r="701" spans="1:4" x14ac:dyDescent="0.3">
      <c r="A701">
        <v>701</v>
      </c>
      <c r="B701">
        <v>21</v>
      </c>
      <c r="C701">
        <f t="shared" si="23"/>
        <v>12785</v>
      </c>
      <c r="D701" s="12">
        <f t="shared" si="22"/>
        <v>2103000</v>
      </c>
    </row>
    <row r="702" spans="1:4" x14ac:dyDescent="0.3">
      <c r="A702">
        <v>702</v>
      </c>
      <c r="B702">
        <v>21</v>
      </c>
      <c r="C702">
        <f t="shared" si="23"/>
        <v>12806</v>
      </c>
      <c r="D702" s="12">
        <f t="shared" si="22"/>
        <v>2106000</v>
      </c>
    </row>
    <row r="703" spans="1:4" x14ac:dyDescent="0.3">
      <c r="A703">
        <v>703</v>
      </c>
      <c r="B703">
        <v>21</v>
      </c>
      <c r="C703">
        <f t="shared" si="23"/>
        <v>12827</v>
      </c>
      <c r="D703" s="12">
        <f t="shared" si="22"/>
        <v>2109000</v>
      </c>
    </row>
    <row r="704" spans="1:4" x14ac:dyDescent="0.3">
      <c r="A704">
        <v>704</v>
      </c>
      <c r="B704">
        <v>21</v>
      </c>
      <c r="C704">
        <f t="shared" si="23"/>
        <v>12848</v>
      </c>
      <c r="D704" s="12">
        <f t="shared" si="22"/>
        <v>2112000</v>
      </c>
    </row>
    <row r="705" spans="1:4" x14ac:dyDescent="0.3">
      <c r="A705">
        <v>705</v>
      </c>
      <c r="B705">
        <v>21</v>
      </c>
      <c r="C705">
        <f t="shared" si="23"/>
        <v>12869</v>
      </c>
      <c r="D705" s="12">
        <f t="shared" si="22"/>
        <v>2115000</v>
      </c>
    </row>
    <row r="706" spans="1:4" x14ac:dyDescent="0.3">
      <c r="A706">
        <v>706</v>
      </c>
      <c r="B706">
        <v>21</v>
      </c>
      <c r="C706">
        <f t="shared" si="23"/>
        <v>12890</v>
      </c>
      <c r="D706" s="12">
        <f t="shared" ref="D706:D769" si="24">A706*3000</f>
        <v>2118000</v>
      </c>
    </row>
    <row r="707" spans="1:4" x14ac:dyDescent="0.3">
      <c r="A707">
        <v>707</v>
      </c>
      <c r="B707">
        <v>21</v>
      </c>
      <c r="C707">
        <f t="shared" ref="C707:C770" si="25">C706+B707</f>
        <v>12911</v>
      </c>
      <c r="D707" s="12">
        <f t="shared" si="24"/>
        <v>2121000</v>
      </c>
    </row>
    <row r="708" spans="1:4" x14ac:dyDescent="0.3">
      <c r="A708">
        <v>708</v>
      </c>
      <c r="B708">
        <v>21</v>
      </c>
      <c r="C708">
        <f t="shared" si="25"/>
        <v>12932</v>
      </c>
      <c r="D708" s="12">
        <f t="shared" si="24"/>
        <v>2124000</v>
      </c>
    </row>
    <row r="709" spans="1:4" x14ac:dyDescent="0.3">
      <c r="A709">
        <v>709</v>
      </c>
      <c r="B709">
        <v>21</v>
      </c>
      <c r="C709">
        <f t="shared" si="25"/>
        <v>12953</v>
      </c>
      <c r="D709" s="12">
        <f t="shared" si="24"/>
        <v>2127000</v>
      </c>
    </row>
    <row r="710" spans="1:4" x14ac:dyDescent="0.3">
      <c r="A710">
        <v>710</v>
      </c>
      <c r="B710">
        <v>21</v>
      </c>
      <c r="C710">
        <f t="shared" si="25"/>
        <v>12974</v>
      </c>
      <c r="D710" s="12">
        <f t="shared" si="24"/>
        <v>2130000</v>
      </c>
    </row>
    <row r="711" spans="1:4" x14ac:dyDescent="0.3">
      <c r="A711">
        <v>711</v>
      </c>
      <c r="B711">
        <v>21</v>
      </c>
      <c r="C711">
        <f t="shared" si="25"/>
        <v>12995</v>
      </c>
      <c r="D711" s="12">
        <f t="shared" si="24"/>
        <v>2133000</v>
      </c>
    </row>
    <row r="712" spans="1:4" x14ac:dyDescent="0.3">
      <c r="A712">
        <v>712</v>
      </c>
      <c r="B712">
        <v>21</v>
      </c>
      <c r="C712">
        <f t="shared" si="25"/>
        <v>13016</v>
      </c>
      <c r="D712" s="12">
        <f t="shared" si="24"/>
        <v>2136000</v>
      </c>
    </row>
    <row r="713" spans="1:4" x14ac:dyDescent="0.3">
      <c r="A713">
        <v>713</v>
      </c>
      <c r="B713">
        <v>21</v>
      </c>
      <c r="C713">
        <f t="shared" si="25"/>
        <v>13037</v>
      </c>
      <c r="D713" s="12">
        <f t="shared" si="24"/>
        <v>2139000</v>
      </c>
    </row>
    <row r="714" spans="1:4" x14ac:dyDescent="0.3">
      <c r="A714">
        <v>714</v>
      </c>
      <c r="B714">
        <v>21</v>
      </c>
      <c r="C714">
        <f t="shared" si="25"/>
        <v>13058</v>
      </c>
      <c r="D714" s="12">
        <f t="shared" si="24"/>
        <v>2142000</v>
      </c>
    </row>
    <row r="715" spans="1:4" x14ac:dyDescent="0.3">
      <c r="A715">
        <v>715</v>
      </c>
      <c r="B715">
        <v>21</v>
      </c>
      <c r="C715">
        <f t="shared" si="25"/>
        <v>13079</v>
      </c>
      <c r="D715" s="12">
        <f t="shared" si="24"/>
        <v>2145000</v>
      </c>
    </row>
    <row r="716" spans="1:4" x14ac:dyDescent="0.3">
      <c r="A716">
        <v>716</v>
      </c>
      <c r="B716">
        <v>21</v>
      </c>
      <c r="C716">
        <f t="shared" si="25"/>
        <v>13100</v>
      </c>
      <c r="D716" s="12">
        <f t="shared" si="24"/>
        <v>2148000</v>
      </c>
    </row>
    <row r="717" spans="1:4" x14ac:dyDescent="0.3">
      <c r="A717">
        <v>717</v>
      </c>
      <c r="B717">
        <v>21</v>
      </c>
      <c r="C717">
        <f t="shared" si="25"/>
        <v>13121</v>
      </c>
      <c r="D717" s="12">
        <f t="shared" si="24"/>
        <v>2151000</v>
      </c>
    </row>
    <row r="718" spans="1:4" x14ac:dyDescent="0.3">
      <c r="A718">
        <v>718</v>
      </c>
      <c r="B718">
        <v>21</v>
      </c>
      <c r="C718">
        <f t="shared" si="25"/>
        <v>13142</v>
      </c>
      <c r="D718" s="12">
        <f t="shared" si="24"/>
        <v>2154000</v>
      </c>
    </row>
    <row r="719" spans="1:4" x14ac:dyDescent="0.3">
      <c r="A719">
        <v>719</v>
      </c>
      <c r="B719">
        <v>21</v>
      </c>
      <c r="C719">
        <f t="shared" si="25"/>
        <v>13163</v>
      </c>
      <c r="D719" s="12">
        <f t="shared" si="24"/>
        <v>2157000</v>
      </c>
    </row>
    <row r="720" spans="1:4" x14ac:dyDescent="0.3">
      <c r="A720">
        <v>720</v>
      </c>
      <c r="B720">
        <v>21</v>
      </c>
      <c r="C720">
        <f t="shared" si="25"/>
        <v>13184</v>
      </c>
      <c r="D720" s="12">
        <f t="shared" si="24"/>
        <v>2160000</v>
      </c>
    </row>
    <row r="721" spans="1:4" x14ac:dyDescent="0.3">
      <c r="A721">
        <v>721</v>
      </c>
      <c r="B721">
        <v>21</v>
      </c>
      <c r="C721">
        <f t="shared" si="25"/>
        <v>13205</v>
      </c>
      <c r="D721" s="12">
        <f t="shared" si="24"/>
        <v>2163000</v>
      </c>
    </row>
    <row r="722" spans="1:4" x14ac:dyDescent="0.3">
      <c r="A722">
        <v>722</v>
      </c>
      <c r="B722">
        <v>21</v>
      </c>
      <c r="C722">
        <f t="shared" si="25"/>
        <v>13226</v>
      </c>
      <c r="D722" s="12">
        <f t="shared" si="24"/>
        <v>2166000</v>
      </c>
    </row>
    <row r="723" spans="1:4" x14ac:dyDescent="0.3">
      <c r="A723">
        <v>723</v>
      </c>
      <c r="B723">
        <v>21</v>
      </c>
      <c r="C723">
        <f t="shared" si="25"/>
        <v>13247</v>
      </c>
      <c r="D723" s="12">
        <f t="shared" si="24"/>
        <v>2169000</v>
      </c>
    </row>
    <row r="724" spans="1:4" x14ac:dyDescent="0.3">
      <c r="A724">
        <v>724</v>
      </c>
      <c r="B724">
        <v>21</v>
      </c>
      <c r="C724">
        <f t="shared" si="25"/>
        <v>13268</v>
      </c>
      <c r="D724" s="12">
        <f t="shared" si="24"/>
        <v>2172000</v>
      </c>
    </row>
    <row r="725" spans="1:4" x14ac:dyDescent="0.3">
      <c r="A725">
        <v>725</v>
      </c>
      <c r="B725">
        <v>21</v>
      </c>
      <c r="C725">
        <f t="shared" si="25"/>
        <v>13289</v>
      </c>
      <c r="D725" s="12">
        <f t="shared" si="24"/>
        <v>2175000</v>
      </c>
    </row>
    <row r="726" spans="1:4" x14ac:dyDescent="0.3">
      <c r="A726">
        <v>726</v>
      </c>
      <c r="B726">
        <v>21</v>
      </c>
      <c r="C726">
        <f t="shared" si="25"/>
        <v>13310</v>
      </c>
      <c r="D726" s="12">
        <f t="shared" si="24"/>
        <v>2178000</v>
      </c>
    </row>
    <row r="727" spans="1:4" x14ac:dyDescent="0.3">
      <c r="A727">
        <v>727</v>
      </c>
      <c r="B727">
        <v>21</v>
      </c>
      <c r="C727">
        <f t="shared" si="25"/>
        <v>13331</v>
      </c>
      <c r="D727" s="12">
        <f t="shared" si="24"/>
        <v>2181000</v>
      </c>
    </row>
    <row r="728" spans="1:4" x14ac:dyDescent="0.3">
      <c r="A728">
        <v>728</v>
      </c>
      <c r="B728">
        <v>21</v>
      </c>
      <c r="C728">
        <f t="shared" si="25"/>
        <v>13352</v>
      </c>
      <c r="D728" s="12">
        <f t="shared" si="24"/>
        <v>2184000</v>
      </c>
    </row>
    <row r="729" spans="1:4" x14ac:dyDescent="0.3">
      <c r="A729">
        <v>729</v>
      </c>
      <c r="B729">
        <v>21</v>
      </c>
      <c r="C729">
        <f t="shared" si="25"/>
        <v>13373</v>
      </c>
      <c r="D729" s="12">
        <f t="shared" si="24"/>
        <v>2187000</v>
      </c>
    </row>
    <row r="730" spans="1:4" x14ac:dyDescent="0.3">
      <c r="A730">
        <v>730</v>
      </c>
      <c r="B730">
        <v>21</v>
      </c>
      <c r="C730">
        <f t="shared" si="25"/>
        <v>13394</v>
      </c>
      <c r="D730" s="12">
        <f t="shared" si="24"/>
        <v>2190000</v>
      </c>
    </row>
    <row r="731" spans="1:4" x14ac:dyDescent="0.3">
      <c r="A731">
        <v>731</v>
      </c>
      <c r="B731">
        <v>21</v>
      </c>
      <c r="C731">
        <f t="shared" si="25"/>
        <v>13415</v>
      </c>
      <c r="D731" s="12">
        <f t="shared" si="24"/>
        <v>2193000</v>
      </c>
    </row>
    <row r="732" spans="1:4" x14ac:dyDescent="0.3">
      <c r="A732">
        <v>732</v>
      </c>
      <c r="B732">
        <v>21</v>
      </c>
      <c r="C732">
        <f t="shared" si="25"/>
        <v>13436</v>
      </c>
      <c r="D732" s="12">
        <f t="shared" si="24"/>
        <v>2196000</v>
      </c>
    </row>
    <row r="733" spans="1:4" x14ac:dyDescent="0.3">
      <c r="A733">
        <v>733</v>
      </c>
      <c r="B733">
        <v>21</v>
      </c>
      <c r="C733">
        <f t="shared" si="25"/>
        <v>13457</v>
      </c>
      <c r="D733" s="12">
        <f t="shared" si="24"/>
        <v>2199000</v>
      </c>
    </row>
    <row r="734" spans="1:4" x14ac:dyDescent="0.3">
      <c r="A734">
        <v>734</v>
      </c>
      <c r="B734">
        <v>21</v>
      </c>
      <c r="C734">
        <f t="shared" si="25"/>
        <v>13478</v>
      </c>
      <c r="D734" s="12">
        <f t="shared" si="24"/>
        <v>2202000</v>
      </c>
    </row>
    <row r="735" spans="1:4" x14ac:dyDescent="0.3">
      <c r="A735">
        <v>735</v>
      </c>
      <c r="B735">
        <v>21</v>
      </c>
      <c r="C735">
        <f t="shared" si="25"/>
        <v>13499</v>
      </c>
      <c r="D735" s="12">
        <f t="shared" si="24"/>
        <v>2205000</v>
      </c>
    </row>
    <row r="736" spans="1:4" x14ac:dyDescent="0.3">
      <c r="A736">
        <v>736</v>
      </c>
      <c r="B736">
        <v>21</v>
      </c>
      <c r="C736">
        <f t="shared" si="25"/>
        <v>13520</v>
      </c>
      <c r="D736" s="12">
        <f t="shared" si="24"/>
        <v>2208000</v>
      </c>
    </row>
    <row r="737" spans="1:4" x14ac:dyDescent="0.3">
      <c r="A737">
        <v>737</v>
      </c>
      <c r="B737">
        <v>21</v>
      </c>
      <c r="C737">
        <f t="shared" si="25"/>
        <v>13541</v>
      </c>
      <c r="D737" s="12">
        <f t="shared" si="24"/>
        <v>2211000</v>
      </c>
    </row>
    <row r="738" spans="1:4" x14ac:dyDescent="0.3">
      <c r="A738">
        <v>738</v>
      </c>
      <c r="B738">
        <v>21</v>
      </c>
      <c r="C738">
        <f t="shared" si="25"/>
        <v>13562</v>
      </c>
      <c r="D738" s="12">
        <f t="shared" si="24"/>
        <v>2214000</v>
      </c>
    </row>
    <row r="739" spans="1:4" x14ac:dyDescent="0.3">
      <c r="A739">
        <v>739</v>
      </c>
      <c r="B739">
        <v>21</v>
      </c>
      <c r="C739">
        <f t="shared" si="25"/>
        <v>13583</v>
      </c>
      <c r="D739" s="12">
        <f t="shared" si="24"/>
        <v>2217000</v>
      </c>
    </row>
    <row r="740" spans="1:4" x14ac:dyDescent="0.3">
      <c r="A740">
        <v>740</v>
      </c>
      <c r="B740">
        <v>21</v>
      </c>
      <c r="C740">
        <f t="shared" si="25"/>
        <v>13604</v>
      </c>
      <c r="D740" s="12">
        <f t="shared" si="24"/>
        <v>2220000</v>
      </c>
    </row>
    <row r="741" spans="1:4" x14ac:dyDescent="0.3">
      <c r="A741">
        <v>741</v>
      </c>
      <c r="B741">
        <v>21</v>
      </c>
      <c r="C741">
        <f t="shared" si="25"/>
        <v>13625</v>
      </c>
      <c r="D741" s="12">
        <f t="shared" si="24"/>
        <v>2223000</v>
      </c>
    </row>
    <row r="742" spans="1:4" x14ac:dyDescent="0.3">
      <c r="A742">
        <v>742</v>
      </c>
      <c r="B742">
        <v>21</v>
      </c>
      <c r="C742">
        <f t="shared" si="25"/>
        <v>13646</v>
      </c>
      <c r="D742" s="12">
        <f t="shared" si="24"/>
        <v>2226000</v>
      </c>
    </row>
    <row r="743" spans="1:4" x14ac:dyDescent="0.3">
      <c r="A743">
        <v>743</v>
      </c>
      <c r="B743">
        <v>21</v>
      </c>
      <c r="C743">
        <f t="shared" si="25"/>
        <v>13667</v>
      </c>
      <c r="D743" s="12">
        <f t="shared" si="24"/>
        <v>2229000</v>
      </c>
    </row>
    <row r="744" spans="1:4" x14ac:dyDescent="0.3">
      <c r="A744">
        <v>744</v>
      </c>
      <c r="B744">
        <v>21</v>
      </c>
      <c r="C744">
        <f t="shared" si="25"/>
        <v>13688</v>
      </c>
      <c r="D744" s="12">
        <f t="shared" si="24"/>
        <v>2232000</v>
      </c>
    </row>
    <row r="745" spans="1:4" x14ac:dyDescent="0.3">
      <c r="A745">
        <v>745</v>
      </c>
      <c r="B745">
        <v>21</v>
      </c>
      <c r="C745">
        <f t="shared" si="25"/>
        <v>13709</v>
      </c>
      <c r="D745" s="12">
        <f t="shared" si="24"/>
        <v>2235000</v>
      </c>
    </row>
    <row r="746" spans="1:4" x14ac:dyDescent="0.3">
      <c r="A746">
        <v>746</v>
      </c>
      <c r="B746">
        <v>21</v>
      </c>
      <c r="C746">
        <f t="shared" si="25"/>
        <v>13730</v>
      </c>
      <c r="D746" s="12">
        <f t="shared" si="24"/>
        <v>2238000</v>
      </c>
    </row>
    <row r="747" spans="1:4" x14ac:dyDescent="0.3">
      <c r="A747">
        <v>747</v>
      </c>
      <c r="B747">
        <v>21</v>
      </c>
      <c r="C747">
        <f t="shared" si="25"/>
        <v>13751</v>
      </c>
      <c r="D747" s="12">
        <f t="shared" si="24"/>
        <v>2241000</v>
      </c>
    </row>
    <row r="748" spans="1:4" x14ac:dyDescent="0.3">
      <c r="A748">
        <v>748</v>
      </c>
      <c r="B748">
        <v>21</v>
      </c>
      <c r="C748">
        <f t="shared" si="25"/>
        <v>13772</v>
      </c>
      <c r="D748" s="12">
        <f t="shared" si="24"/>
        <v>2244000</v>
      </c>
    </row>
    <row r="749" spans="1:4" x14ac:dyDescent="0.3">
      <c r="A749">
        <v>749</v>
      </c>
      <c r="B749">
        <v>21</v>
      </c>
      <c r="C749">
        <f t="shared" si="25"/>
        <v>13793</v>
      </c>
      <c r="D749" s="12">
        <f t="shared" si="24"/>
        <v>2247000</v>
      </c>
    </row>
    <row r="750" spans="1:4" x14ac:dyDescent="0.3">
      <c r="A750">
        <v>750</v>
      </c>
      <c r="B750">
        <v>21</v>
      </c>
      <c r="C750">
        <f t="shared" si="25"/>
        <v>13814</v>
      </c>
      <c r="D750" s="12">
        <f t="shared" si="24"/>
        <v>2250000</v>
      </c>
    </row>
    <row r="751" spans="1:4" x14ac:dyDescent="0.3">
      <c r="A751">
        <v>751</v>
      </c>
      <c r="B751">
        <v>21</v>
      </c>
      <c r="C751">
        <f t="shared" si="25"/>
        <v>13835</v>
      </c>
      <c r="D751" s="12">
        <f t="shared" si="24"/>
        <v>2253000</v>
      </c>
    </row>
    <row r="752" spans="1:4" x14ac:dyDescent="0.3">
      <c r="A752">
        <v>752</v>
      </c>
      <c r="B752">
        <v>21</v>
      </c>
      <c r="C752">
        <f t="shared" si="25"/>
        <v>13856</v>
      </c>
      <c r="D752" s="12">
        <f t="shared" si="24"/>
        <v>2256000</v>
      </c>
    </row>
    <row r="753" spans="1:4" x14ac:dyDescent="0.3">
      <c r="A753">
        <v>753</v>
      </c>
      <c r="B753">
        <v>21</v>
      </c>
      <c r="C753">
        <f t="shared" si="25"/>
        <v>13877</v>
      </c>
      <c r="D753" s="12">
        <f t="shared" si="24"/>
        <v>2259000</v>
      </c>
    </row>
    <row r="754" spans="1:4" x14ac:dyDescent="0.3">
      <c r="A754">
        <v>754</v>
      </c>
      <c r="B754">
        <v>21</v>
      </c>
      <c r="C754">
        <f t="shared" si="25"/>
        <v>13898</v>
      </c>
      <c r="D754" s="12">
        <f t="shared" si="24"/>
        <v>2262000</v>
      </c>
    </row>
    <row r="755" spans="1:4" x14ac:dyDescent="0.3">
      <c r="A755">
        <v>755</v>
      </c>
      <c r="B755">
        <v>21</v>
      </c>
      <c r="C755">
        <f t="shared" si="25"/>
        <v>13919</v>
      </c>
      <c r="D755" s="12">
        <f t="shared" si="24"/>
        <v>2265000</v>
      </c>
    </row>
    <row r="756" spans="1:4" x14ac:dyDescent="0.3">
      <c r="A756">
        <v>756</v>
      </c>
      <c r="B756">
        <v>21</v>
      </c>
      <c r="C756">
        <f t="shared" si="25"/>
        <v>13940</v>
      </c>
      <c r="D756" s="12">
        <f t="shared" si="24"/>
        <v>2268000</v>
      </c>
    </row>
    <row r="757" spans="1:4" x14ac:dyDescent="0.3">
      <c r="A757">
        <v>757</v>
      </c>
      <c r="B757">
        <v>21</v>
      </c>
      <c r="C757">
        <f t="shared" si="25"/>
        <v>13961</v>
      </c>
      <c r="D757" s="12">
        <f t="shared" si="24"/>
        <v>2271000</v>
      </c>
    </row>
    <row r="758" spans="1:4" x14ac:dyDescent="0.3">
      <c r="A758">
        <v>758</v>
      </c>
      <c r="B758">
        <v>21</v>
      </c>
      <c r="C758">
        <f t="shared" si="25"/>
        <v>13982</v>
      </c>
      <c r="D758" s="12">
        <f t="shared" si="24"/>
        <v>2274000</v>
      </c>
    </row>
    <row r="759" spans="1:4" x14ac:dyDescent="0.3">
      <c r="A759">
        <v>759</v>
      </c>
      <c r="B759">
        <v>21</v>
      </c>
      <c r="C759">
        <f t="shared" si="25"/>
        <v>14003</v>
      </c>
      <c r="D759" s="12">
        <f t="shared" si="24"/>
        <v>2277000</v>
      </c>
    </row>
    <row r="760" spans="1:4" x14ac:dyDescent="0.3">
      <c r="A760">
        <v>760</v>
      </c>
      <c r="B760">
        <v>21</v>
      </c>
      <c r="C760">
        <f t="shared" si="25"/>
        <v>14024</v>
      </c>
      <c r="D760" s="12">
        <f t="shared" si="24"/>
        <v>2280000</v>
      </c>
    </row>
    <row r="761" spans="1:4" x14ac:dyDescent="0.3">
      <c r="A761">
        <v>761</v>
      </c>
      <c r="B761">
        <v>21</v>
      </c>
      <c r="C761">
        <f t="shared" si="25"/>
        <v>14045</v>
      </c>
      <c r="D761" s="12">
        <f t="shared" si="24"/>
        <v>2283000</v>
      </c>
    </row>
    <row r="762" spans="1:4" x14ac:dyDescent="0.3">
      <c r="A762">
        <v>762</v>
      </c>
      <c r="B762">
        <v>21</v>
      </c>
      <c r="C762">
        <f t="shared" si="25"/>
        <v>14066</v>
      </c>
      <c r="D762" s="12">
        <f t="shared" si="24"/>
        <v>2286000</v>
      </c>
    </row>
    <row r="763" spans="1:4" x14ac:dyDescent="0.3">
      <c r="A763">
        <v>763</v>
      </c>
      <c r="B763">
        <v>21</v>
      </c>
      <c r="C763">
        <f t="shared" si="25"/>
        <v>14087</v>
      </c>
      <c r="D763" s="12">
        <f t="shared" si="24"/>
        <v>2289000</v>
      </c>
    </row>
    <row r="764" spans="1:4" x14ac:dyDescent="0.3">
      <c r="A764">
        <v>764</v>
      </c>
      <c r="B764">
        <v>21</v>
      </c>
      <c r="C764">
        <f t="shared" si="25"/>
        <v>14108</v>
      </c>
      <c r="D764" s="12">
        <f t="shared" si="24"/>
        <v>2292000</v>
      </c>
    </row>
    <row r="765" spans="1:4" x14ac:dyDescent="0.3">
      <c r="A765">
        <v>765</v>
      </c>
      <c r="B765">
        <v>21</v>
      </c>
      <c r="C765">
        <f t="shared" si="25"/>
        <v>14129</v>
      </c>
      <c r="D765" s="12">
        <f t="shared" si="24"/>
        <v>2295000</v>
      </c>
    </row>
    <row r="766" spans="1:4" x14ac:dyDescent="0.3">
      <c r="A766">
        <v>766</v>
      </c>
      <c r="B766">
        <v>21</v>
      </c>
      <c r="C766">
        <f t="shared" si="25"/>
        <v>14150</v>
      </c>
      <c r="D766" s="12">
        <f t="shared" si="24"/>
        <v>2298000</v>
      </c>
    </row>
    <row r="767" spans="1:4" x14ac:dyDescent="0.3">
      <c r="A767">
        <v>767</v>
      </c>
      <c r="B767">
        <v>21</v>
      </c>
      <c r="C767">
        <f t="shared" si="25"/>
        <v>14171</v>
      </c>
      <c r="D767" s="12">
        <f t="shared" si="24"/>
        <v>2301000</v>
      </c>
    </row>
    <row r="768" spans="1:4" x14ac:dyDescent="0.3">
      <c r="A768">
        <v>768</v>
      </c>
      <c r="B768">
        <v>21</v>
      </c>
      <c r="C768">
        <f t="shared" si="25"/>
        <v>14192</v>
      </c>
      <c r="D768" s="12">
        <f t="shared" si="24"/>
        <v>2304000</v>
      </c>
    </row>
    <row r="769" spans="1:4" x14ac:dyDescent="0.3">
      <c r="A769">
        <v>769</v>
      </c>
      <c r="B769">
        <v>21</v>
      </c>
      <c r="C769">
        <f t="shared" si="25"/>
        <v>14213</v>
      </c>
      <c r="D769" s="12">
        <f t="shared" si="24"/>
        <v>2307000</v>
      </c>
    </row>
    <row r="770" spans="1:4" x14ac:dyDescent="0.3">
      <c r="A770">
        <v>770</v>
      </c>
      <c r="B770">
        <v>21</v>
      </c>
      <c r="C770">
        <f t="shared" si="25"/>
        <v>14234</v>
      </c>
      <c r="D770" s="12">
        <f t="shared" ref="D770:D833" si="26">A770*3000</f>
        <v>2310000</v>
      </c>
    </row>
    <row r="771" spans="1:4" x14ac:dyDescent="0.3">
      <c r="A771">
        <v>771</v>
      </c>
      <c r="B771">
        <v>21</v>
      </c>
      <c r="C771">
        <f t="shared" ref="C771:C834" si="27">C770+B771</f>
        <v>14255</v>
      </c>
      <c r="D771" s="12">
        <f t="shared" si="26"/>
        <v>2313000</v>
      </c>
    </row>
    <row r="772" spans="1:4" x14ac:dyDescent="0.3">
      <c r="A772">
        <v>772</v>
      </c>
      <c r="B772">
        <v>21</v>
      </c>
      <c r="C772">
        <f t="shared" si="27"/>
        <v>14276</v>
      </c>
      <c r="D772" s="12">
        <f t="shared" si="26"/>
        <v>2316000</v>
      </c>
    </row>
    <row r="773" spans="1:4" x14ac:dyDescent="0.3">
      <c r="A773">
        <v>773</v>
      </c>
      <c r="B773">
        <v>21</v>
      </c>
      <c r="C773">
        <f t="shared" si="27"/>
        <v>14297</v>
      </c>
      <c r="D773" s="12">
        <f t="shared" si="26"/>
        <v>2319000</v>
      </c>
    </row>
    <row r="774" spans="1:4" x14ac:dyDescent="0.3">
      <c r="A774">
        <v>774</v>
      </c>
      <c r="B774">
        <v>21</v>
      </c>
      <c r="C774">
        <f t="shared" si="27"/>
        <v>14318</v>
      </c>
      <c r="D774" s="12">
        <f t="shared" si="26"/>
        <v>2322000</v>
      </c>
    </row>
    <row r="775" spans="1:4" x14ac:dyDescent="0.3">
      <c r="A775">
        <v>775</v>
      </c>
      <c r="B775">
        <v>21</v>
      </c>
      <c r="C775">
        <f t="shared" si="27"/>
        <v>14339</v>
      </c>
      <c r="D775" s="12">
        <f t="shared" si="26"/>
        <v>2325000</v>
      </c>
    </row>
    <row r="776" spans="1:4" x14ac:dyDescent="0.3">
      <c r="A776">
        <v>776</v>
      </c>
      <c r="B776">
        <v>21</v>
      </c>
      <c r="C776">
        <f t="shared" si="27"/>
        <v>14360</v>
      </c>
      <c r="D776" s="12">
        <f t="shared" si="26"/>
        <v>2328000</v>
      </c>
    </row>
    <row r="777" spans="1:4" x14ac:dyDescent="0.3">
      <c r="A777">
        <v>777</v>
      </c>
      <c r="B777">
        <v>21</v>
      </c>
      <c r="C777">
        <f t="shared" si="27"/>
        <v>14381</v>
      </c>
      <c r="D777" s="12">
        <f t="shared" si="26"/>
        <v>2331000</v>
      </c>
    </row>
    <row r="778" spans="1:4" x14ac:dyDescent="0.3">
      <c r="A778">
        <v>778</v>
      </c>
      <c r="B778">
        <v>21</v>
      </c>
      <c r="C778">
        <f t="shared" si="27"/>
        <v>14402</v>
      </c>
      <c r="D778" s="12">
        <f t="shared" si="26"/>
        <v>2334000</v>
      </c>
    </row>
    <row r="779" spans="1:4" x14ac:dyDescent="0.3">
      <c r="A779">
        <v>779</v>
      </c>
      <c r="B779">
        <v>21</v>
      </c>
      <c r="C779">
        <f t="shared" si="27"/>
        <v>14423</v>
      </c>
      <c r="D779" s="12">
        <f t="shared" si="26"/>
        <v>2337000</v>
      </c>
    </row>
    <row r="780" spans="1:4" x14ac:dyDescent="0.3">
      <c r="A780">
        <v>780</v>
      </c>
      <c r="B780">
        <v>21</v>
      </c>
      <c r="C780">
        <f t="shared" si="27"/>
        <v>14444</v>
      </c>
      <c r="D780" s="12">
        <f t="shared" si="26"/>
        <v>2340000</v>
      </c>
    </row>
    <row r="781" spans="1:4" x14ac:dyDescent="0.3">
      <c r="A781">
        <v>781</v>
      </c>
      <c r="B781">
        <v>21</v>
      </c>
      <c r="C781">
        <f t="shared" si="27"/>
        <v>14465</v>
      </c>
      <c r="D781" s="12">
        <f t="shared" si="26"/>
        <v>2343000</v>
      </c>
    </row>
    <row r="782" spans="1:4" x14ac:dyDescent="0.3">
      <c r="A782">
        <v>782</v>
      </c>
      <c r="B782">
        <v>21</v>
      </c>
      <c r="C782">
        <f t="shared" si="27"/>
        <v>14486</v>
      </c>
      <c r="D782" s="12">
        <f t="shared" si="26"/>
        <v>2346000</v>
      </c>
    </row>
    <row r="783" spans="1:4" x14ac:dyDescent="0.3">
      <c r="A783">
        <v>783</v>
      </c>
      <c r="B783">
        <v>21</v>
      </c>
      <c r="C783">
        <f t="shared" si="27"/>
        <v>14507</v>
      </c>
      <c r="D783" s="12">
        <f t="shared" si="26"/>
        <v>2349000</v>
      </c>
    </row>
    <row r="784" spans="1:4" x14ac:dyDescent="0.3">
      <c r="A784">
        <v>784</v>
      </c>
      <c r="B784">
        <v>21</v>
      </c>
      <c r="C784">
        <f t="shared" si="27"/>
        <v>14528</v>
      </c>
      <c r="D784" s="12">
        <f t="shared" si="26"/>
        <v>2352000</v>
      </c>
    </row>
    <row r="785" spans="1:4" x14ac:dyDescent="0.3">
      <c r="A785">
        <v>785</v>
      </c>
      <c r="B785">
        <v>21</v>
      </c>
      <c r="C785">
        <f t="shared" si="27"/>
        <v>14549</v>
      </c>
      <c r="D785" s="12">
        <f t="shared" si="26"/>
        <v>2355000</v>
      </c>
    </row>
    <row r="786" spans="1:4" x14ac:dyDescent="0.3">
      <c r="A786">
        <v>786</v>
      </c>
      <c r="B786">
        <v>21</v>
      </c>
      <c r="C786">
        <f t="shared" si="27"/>
        <v>14570</v>
      </c>
      <c r="D786" s="12">
        <f t="shared" si="26"/>
        <v>2358000</v>
      </c>
    </row>
    <row r="787" spans="1:4" x14ac:dyDescent="0.3">
      <c r="A787">
        <v>787</v>
      </c>
      <c r="B787">
        <v>21</v>
      </c>
      <c r="C787">
        <f t="shared" si="27"/>
        <v>14591</v>
      </c>
      <c r="D787" s="12">
        <f t="shared" si="26"/>
        <v>2361000</v>
      </c>
    </row>
    <row r="788" spans="1:4" x14ac:dyDescent="0.3">
      <c r="A788">
        <v>788</v>
      </c>
      <c r="B788">
        <v>21</v>
      </c>
      <c r="C788">
        <f t="shared" si="27"/>
        <v>14612</v>
      </c>
      <c r="D788" s="12">
        <f t="shared" si="26"/>
        <v>2364000</v>
      </c>
    </row>
    <row r="789" spans="1:4" x14ac:dyDescent="0.3">
      <c r="A789">
        <v>789</v>
      </c>
      <c r="B789">
        <v>21</v>
      </c>
      <c r="C789">
        <f t="shared" si="27"/>
        <v>14633</v>
      </c>
      <c r="D789" s="12">
        <f t="shared" si="26"/>
        <v>2367000</v>
      </c>
    </row>
    <row r="790" spans="1:4" x14ac:dyDescent="0.3">
      <c r="A790">
        <v>790</v>
      </c>
      <c r="B790">
        <v>21</v>
      </c>
      <c r="C790">
        <f t="shared" si="27"/>
        <v>14654</v>
      </c>
      <c r="D790" s="12">
        <f t="shared" si="26"/>
        <v>2370000</v>
      </c>
    </row>
    <row r="791" spans="1:4" x14ac:dyDescent="0.3">
      <c r="A791">
        <v>791</v>
      </c>
      <c r="B791">
        <v>21</v>
      </c>
      <c r="C791">
        <f t="shared" si="27"/>
        <v>14675</v>
      </c>
      <c r="D791" s="12">
        <f t="shared" si="26"/>
        <v>2373000</v>
      </c>
    </row>
    <row r="792" spans="1:4" x14ac:dyDescent="0.3">
      <c r="A792">
        <v>792</v>
      </c>
      <c r="B792">
        <v>21</v>
      </c>
      <c r="C792">
        <f t="shared" si="27"/>
        <v>14696</v>
      </c>
      <c r="D792" s="12">
        <f t="shared" si="26"/>
        <v>2376000</v>
      </c>
    </row>
    <row r="793" spans="1:4" x14ac:dyDescent="0.3">
      <c r="A793">
        <v>793</v>
      </c>
      <c r="B793">
        <v>21</v>
      </c>
      <c r="C793">
        <f t="shared" si="27"/>
        <v>14717</v>
      </c>
      <c r="D793" s="12">
        <f t="shared" si="26"/>
        <v>2379000</v>
      </c>
    </row>
    <row r="794" spans="1:4" x14ac:dyDescent="0.3">
      <c r="A794">
        <v>794</v>
      </c>
      <c r="B794">
        <v>21</v>
      </c>
      <c r="C794">
        <f t="shared" si="27"/>
        <v>14738</v>
      </c>
      <c r="D794" s="12">
        <f t="shared" si="26"/>
        <v>2382000</v>
      </c>
    </row>
    <row r="795" spans="1:4" x14ac:dyDescent="0.3">
      <c r="A795">
        <v>795</v>
      </c>
      <c r="B795">
        <v>21</v>
      </c>
      <c r="C795">
        <f t="shared" si="27"/>
        <v>14759</v>
      </c>
      <c r="D795" s="12">
        <f t="shared" si="26"/>
        <v>2385000</v>
      </c>
    </row>
    <row r="796" spans="1:4" x14ac:dyDescent="0.3">
      <c r="A796">
        <v>796</v>
      </c>
      <c r="B796">
        <v>21</v>
      </c>
      <c r="C796">
        <f t="shared" si="27"/>
        <v>14780</v>
      </c>
      <c r="D796" s="12">
        <f t="shared" si="26"/>
        <v>2388000</v>
      </c>
    </row>
    <row r="797" spans="1:4" x14ac:dyDescent="0.3">
      <c r="A797">
        <v>797</v>
      </c>
      <c r="B797">
        <v>21</v>
      </c>
      <c r="C797">
        <f t="shared" si="27"/>
        <v>14801</v>
      </c>
      <c r="D797" s="12">
        <f t="shared" si="26"/>
        <v>2391000</v>
      </c>
    </row>
    <row r="798" spans="1:4" x14ac:dyDescent="0.3">
      <c r="A798">
        <v>798</v>
      </c>
      <c r="B798">
        <v>21</v>
      </c>
      <c r="C798">
        <f t="shared" si="27"/>
        <v>14822</v>
      </c>
      <c r="D798" s="12">
        <f t="shared" si="26"/>
        <v>2394000</v>
      </c>
    </row>
    <row r="799" spans="1:4" x14ac:dyDescent="0.3">
      <c r="A799">
        <v>799</v>
      </c>
      <c r="B799">
        <v>21</v>
      </c>
      <c r="C799">
        <f t="shared" si="27"/>
        <v>14843</v>
      </c>
      <c r="D799" s="12">
        <f t="shared" si="26"/>
        <v>2397000</v>
      </c>
    </row>
    <row r="800" spans="1:4" x14ac:dyDescent="0.3">
      <c r="A800">
        <v>800</v>
      </c>
      <c r="B800">
        <v>21</v>
      </c>
      <c r="C800">
        <f t="shared" si="27"/>
        <v>14864</v>
      </c>
      <c r="D800" s="12">
        <f t="shared" si="26"/>
        <v>2400000</v>
      </c>
    </row>
    <row r="801" spans="1:4" x14ac:dyDescent="0.3">
      <c r="A801">
        <v>801</v>
      </c>
      <c r="B801">
        <v>21</v>
      </c>
      <c r="C801">
        <f t="shared" si="27"/>
        <v>14885</v>
      </c>
      <c r="D801" s="12">
        <f t="shared" si="26"/>
        <v>2403000</v>
      </c>
    </row>
    <row r="802" spans="1:4" x14ac:dyDescent="0.3">
      <c r="A802">
        <v>802</v>
      </c>
      <c r="B802">
        <v>21</v>
      </c>
      <c r="C802">
        <f t="shared" si="27"/>
        <v>14906</v>
      </c>
      <c r="D802" s="12">
        <f t="shared" si="26"/>
        <v>2406000</v>
      </c>
    </row>
    <row r="803" spans="1:4" x14ac:dyDescent="0.3">
      <c r="A803">
        <v>803</v>
      </c>
      <c r="B803">
        <v>21</v>
      </c>
      <c r="C803">
        <f t="shared" si="27"/>
        <v>14927</v>
      </c>
      <c r="D803" s="12">
        <f t="shared" si="26"/>
        <v>2409000</v>
      </c>
    </row>
    <row r="804" spans="1:4" x14ac:dyDescent="0.3">
      <c r="A804">
        <v>804</v>
      </c>
      <c r="B804">
        <v>21</v>
      </c>
      <c r="C804">
        <f t="shared" si="27"/>
        <v>14948</v>
      </c>
      <c r="D804" s="12">
        <f t="shared" si="26"/>
        <v>2412000</v>
      </c>
    </row>
    <row r="805" spans="1:4" x14ac:dyDescent="0.3">
      <c r="A805">
        <v>805</v>
      </c>
      <c r="B805">
        <v>21</v>
      </c>
      <c r="C805">
        <f t="shared" si="27"/>
        <v>14969</v>
      </c>
      <c r="D805" s="12">
        <f t="shared" si="26"/>
        <v>2415000</v>
      </c>
    </row>
    <row r="806" spans="1:4" x14ac:dyDescent="0.3">
      <c r="A806">
        <v>806</v>
      </c>
      <c r="B806">
        <v>21</v>
      </c>
      <c r="C806">
        <f t="shared" si="27"/>
        <v>14990</v>
      </c>
      <c r="D806" s="12">
        <f t="shared" si="26"/>
        <v>2418000</v>
      </c>
    </row>
    <row r="807" spans="1:4" x14ac:dyDescent="0.3">
      <c r="A807">
        <v>807</v>
      </c>
      <c r="B807">
        <v>21</v>
      </c>
      <c r="C807">
        <f t="shared" si="27"/>
        <v>15011</v>
      </c>
      <c r="D807" s="12">
        <f t="shared" si="26"/>
        <v>2421000</v>
      </c>
    </row>
    <row r="808" spans="1:4" x14ac:dyDescent="0.3">
      <c r="A808">
        <v>808</v>
      </c>
      <c r="B808">
        <v>21</v>
      </c>
      <c r="C808">
        <f t="shared" si="27"/>
        <v>15032</v>
      </c>
      <c r="D808" s="12">
        <f t="shared" si="26"/>
        <v>2424000</v>
      </c>
    </row>
    <row r="809" spans="1:4" x14ac:dyDescent="0.3">
      <c r="A809">
        <v>809</v>
      </c>
      <c r="B809">
        <v>21</v>
      </c>
      <c r="C809">
        <f t="shared" si="27"/>
        <v>15053</v>
      </c>
      <c r="D809" s="12">
        <f t="shared" si="26"/>
        <v>2427000</v>
      </c>
    </row>
    <row r="810" spans="1:4" x14ac:dyDescent="0.3">
      <c r="A810">
        <v>810</v>
      </c>
      <c r="B810">
        <v>21</v>
      </c>
      <c r="C810">
        <f t="shared" si="27"/>
        <v>15074</v>
      </c>
      <c r="D810" s="12">
        <f t="shared" si="26"/>
        <v>2430000</v>
      </c>
    </row>
    <row r="811" spans="1:4" x14ac:dyDescent="0.3">
      <c r="A811">
        <v>811</v>
      </c>
      <c r="B811">
        <v>21</v>
      </c>
      <c r="C811">
        <f t="shared" si="27"/>
        <v>15095</v>
      </c>
      <c r="D811" s="12">
        <f t="shared" si="26"/>
        <v>2433000</v>
      </c>
    </row>
    <row r="812" spans="1:4" x14ac:dyDescent="0.3">
      <c r="A812">
        <v>812</v>
      </c>
      <c r="B812">
        <v>21</v>
      </c>
      <c r="C812">
        <f t="shared" si="27"/>
        <v>15116</v>
      </c>
      <c r="D812" s="12">
        <f t="shared" si="26"/>
        <v>2436000</v>
      </c>
    </row>
    <row r="813" spans="1:4" x14ac:dyDescent="0.3">
      <c r="A813">
        <v>813</v>
      </c>
      <c r="B813">
        <v>21</v>
      </c>
      <c r="C813">
        <f t="shared" si="27"/>
        <v>15137</v>
      </c>
      <c r="D813" s="12">
        <f t="shared" si="26"/>
        <v>2439000</v>
      </c>
    </row>
    <row r="814" spans="1:4" x14ac:dyDescent="0.3">
      <c r="A814">
        <v>814</v>
      </c>
      <c r="B814">
        <v>21</v>
      </c>
      <c r="C814">
        <f t="shared" si="27"/>
        <v>15158</v>
      </c>
      <c r="D814" s="12">
        <f t="shared" si="26"/>
        <v>2442000</v>
      </c>
    </row>
    <row r="815" spans="1:4" x14ac:dyDescent="0.3">
      <c r="A815">
        <v>815</v>
      </c>
      <c r="B815">
        <v>21</v>
      </c>
      <c r="C815">
        <f t="shared" si="27"/>
        <v>15179</v>
      </c>
      <c r="D815" s="12">
        <f t="shared" si="26"/>
        <v>2445000</v>
      </c>
    </row>
    <row r="816" spans="1:4" x14ac:dyDescent="0.3">
      <c r="A816">
        <v>816</v>
      </c>
      <c r="B816">
        <v>21</v>
      </c>
      <c r="C816">
        <f t="shared" si="27"/>
        <v>15200</v>
      </c>
      <c r="D816" s="12">
        <f t="shared" si="26"/>
        <v>2448000</v>
      </c>
    </row>
    <row r="817" spans="1:4" x14ac:dyDescent="0.3">
      <c r="A817">
        <v>817</v>
      </c>
      <c r="B817">
        <v>21</v>
      </c>
      <c r="C817">
        <f t="shared" si="27"/>
        <v>15221</v>
      </c>
      <c r="D817" s="12">
        <f t="shared" si="26"/>
        <v>2451000</v>
      </c>
    </row>
    <row r="818" spans="1:4" x14ac:dyDescent="0.3">
      <c r="A818">
        <v>818</v>
      </c>
      <c r="B818">
        <v>21</v>
      </c>
      <c r="C818">
        <f t="shared" si="27"/>
        <v>15242</v>
      </c>
      <c r="D818" s="12">
        <f t="shared" si="26"/>
        <v>2454000</v>
      </c>
    </row>
    <row r="819" spans="1:4" x14ac:dyDescent="0.3">
      <c r="A819">
        <v>819</v>
      </c>
      <c r="B819">
        <v>21</v>
      </c>
      <c r="C819">
        <f t="shared" si="27"/>
        <v>15263</v>
      </c>
      <c r="D819" s="12">
        <f t="shared" si="26"/>
        <v>2457000</v>
      </c>
    </row>
    <row r="820" spans="1:4" x14ac:dyDescent="0.3">
      <c r="A820">
        <v>820</v>
      </c>
      <c r="B820">
        <v>21</v>
      </c>
      <c r="C820">
        <f t="shared" si="27"/>
        <v>15284</v>
      </c>
      <c r="D820" s="12">
        <f t="shared" si="26"/>
        <v>2460000</v>
      </c>
    </row>
    <row r="821" spans="1:4" x14ac:dyDescent="0.3">
      <c r="A821">
        <v>821</v>
      </c>
      <c r="B821">
        <v>21</v>
      </c>
      <c r="C821">
        <f t="shared" si="27"/>
        <v>15305</v>
      </c>
      <c r="D821" s="12">
        <f t="shared" si="26"/>
        <v>2463000</v>
      </c>
    </row>
    <row r="822" spans="1:4" x14ac:dyDescent="0.3">
      <c r="A822">
        <v>822</v>
      </c>
      <c r="B822">
        <v>21</v>
      </c>
      <c r="C822">
        <f t="shared" si="27"/>
        <v>15326</v>
      </c>
      <c r="D822" s="12">
        <f t="shared" si="26"/>
        <v>2466000</v>
      </c>
    </row>
    <row r="823" spans="1:4" x14ac:dyDescent="0.3">
      <c r="A823">
        <v>823</v>
      </c>
      <c r="B823">
        <v>21</v>
      </c>
      <c r="C823">
        <f t="shared" si="27"/>
        <v>15347</v>
      </c>
      <c r="D823" s="12">
        <f t="shared" si="26"/>
        <v>2469000</v>
      </c>
    </row>
    <row r="824" spans="1:4" x14ac:dyDescent="0.3">
      <c r="A824">
        <v>824</v>
      </c>
      <c r="B824">
        <v>21</v>
      </c>
      <c r="C824">
        <f t="shared" si="27"/>
        <v>15368</v>
      </c>
      <c r="D824" s="12">
        <f t="shared" si="26"/>
        <v>2472000</v>
      </c>
    </row>
    <row r="825" spans="1:4" x14ac:dyDescent="0.3">
      <c r="A825">
        <v>825</v>
      </c>
      <c r="B825">
        <v>21</v>
      </c>
      <c r="C825">
        <f t="shared" si="27"/>
        <v>15389</v>
      </c>
      <c r="D825" s="12">
        <f t="shared" si="26"/>
        <v>2475000</v>
      </c>
    </row>
    <row r="826" spans="1:4" x14ac:dyDescent="0.3">
      <c r="A826">
        <v>826</v>
      </c>
      <c r="B826">
        <v>21</v>
      </c>
      <c r="C826">
        <f t="shared" si="27"/>
        <v>15410</v>
      </c>
      <c r="D826" s="12">
        <f t="shared" si="26"/>
        <v>2478000</v>
      </c>
    </row>
    <row r="827" spans="1:4" x14ac:dyDescent="0.3">
      <c r="A827">
        <v>827</v>
      </c>
      <c r="B827">
        <v>21</v>
      </c>
      <c r="C827">
        <f t="shared" si="27"/>
        <v>15431</v>
      </c>
      <c r="D827" s="12">
        <f t="shared" si="26"/>
        <v>2481000</v>
      </c>
    </row>
    <row r="828" spans="1:4" x14ac:dyDescent="0.3">
      <c r="A828">
        <v>828</v>
      </c>
      <c r="B828">
        <v>21</v>
      </c>
      <c r="C828">
        <f t="shared" si="27"/>
        <v>15452</v>
      </c>
      <c r="D828" s="12">
        <f t="shared" si="26"/>
        <v>2484000</v>
      </c>
    </row>
    <row r="829" spans="1:4" x14ac:dyDescent="0.3">
      <c r="A829">
        <v>829</v>
      </c>
      <c r="B829">
        <v>21</v>
      </c>
      <c r="C829">
        <f t="shared" si="27"/>
        <v>15473</v>
      </c>
      <c r="D829" s="12">
        <f t="shared" si="26"/>
        <v>2487000</v>
      </c>
    </row>
    <row r="830" spans="1:4" x14ac:dyDescent="0.3">
      <c r="A830">
        <v>830</v>
      </c>
      <c r="B830">
        <v>21</v>
      </c>
      <c r="C830">
        <f t="shared" si="27"/>
        <v>15494</v>
      </c>
      <c r="D830" s="12">
        <f t="shared" si="26"/>
        <v>2490000</v>
      </c>
    </row>
    <row r="831" spans="1:4" x14ac:dyDescent="0.3">
      <c r="A831">
        <v>831</v>
      </c>
      <c r="B831">
        <v>21</v>
      </c>
      <c r="C831">
        <f t="shared" si="27"/>
        <v>15515</v>
      </c>
      <c r="D831" s="12">
        <f t="shared" si="26"/>
        <v>2493000</v>
      </c>
    </row>
    <row r="832" spans="1:4" x14ac:dyDescent="0.3">
      <c r="A832">
        <v>832</v>
      </c>
      <c r="B832">
        <v>21</v>
      </c>
      <c r="C832">
        <f t="shared" si="27"/>
        <v>15536</v>
      </c>
      <c r="D832" s="12">
        <f t="shared" si="26"/>
        <v>2496000</v>
      </c>
    </row>
    <row r="833" spans="1:4" x14ac:dyDescent="0.3">
      <c r="A833">
        <v>833</v>
      </c>
      <c r="B833">
        <v>21</v>
      </c>
      <c r="C833">
        <f t="shared" si="27"/>
        <v>15557</v>
      </c>
      <c r="D833" s="12">
        <f t="shared" si="26"/>
        <v>2499000</v>
      </c>
    </row>
    <row r="834" spans="1:4" x14ac:dyDescent="0.3">
      <c r="A834">
        <v>834</v>
      </c>
      <c r="B834">
        <v>21</v>
      </c>
      <c r="C834">
        <f t="shared" si="27"/>
        <v>15578</v>
      </c>
      <c r="D834" s="12">
        <f t="shared" ref="D834:D897" si="28">A834*3000</f>
        <v>2502000</v>
      </c>
    </row>
    <row r="835" spans="1:4" x14ac:dyDescent="0.3">
      <c r="A835">
        <v>835</v>
      </c>
      <c r="B835">
        <v>21</v>
      </c>
      <c r="C835">
        <f t="shared" ref="C835:C898" si="29">C834+B835</f>
        <v>15599</v>
      </c>
      <c r="D835" s="12">
        <f t="shared" si="28"/>
        <v>2505000</v>
      </c>
    </row>
    <row r="836" spans="1:4" x14ac:dyDescent="0.3">
      <c r="A836">
        <v>836</v>
      </c>
      <c r="B836">
        <v>21</v>
      </c>
      <c r="C836">
        <f t="shared" si="29"/>
        <v>15620</v>
      </c>
      <c r="D836" s="12">
        <f t="shared" si="28"/>
        <v>2508000</v>
      </c>
    </row>
    <row r="837" spans="1:4" x14ac:dyDescent="0.3">
      <c r="A837">
        <v>837</v>
      </c>
      <c r="B837">
        <v>21</v>
      </c>
      <c r="C837">
        <f t="shared" si="29"/>
        <v>15641</v>
      </c>
      <c r="D837" s="12">
        <f t="shared" si="28"/>
        <v>2511000</v>
      </c>
    </row>
    <row r="838" spans="1:4" x14ac:dyDescent="0.3">
      <c r="A838">
        <v>838</v>
      </c>
      <c r="B838">
        <v>21</v>
      </c>
      <c r="C838">
        <f t="shared" si="29"/>
        <v>15662</v>
      </c>
      <c r="D838" s="12">
        <f t="shared" si="28"/>
        <v>2514000</v>
      </c>
    </row>
    <row r="839" spans="1:4" x14ac:dyDescent="0.3">
      <c r="A839">
        <v>839</v>
      </c>
      <c r="B839">
        <v>21</v>
      </c>
      <c r="C839">
        <f t="shared" si="29"/>
        <v>15683</v>
      </c>
      <c r="D839" s="12">
        <f t="shared" si="28"/>
        <v>2517000</v>
      </c>
    </row>
    <row r="840" spans="1:4" x14ac:dyDescent="0.3">
      <c r="A840">
        <v>840</v>
      </c>
      <c r="B840">
        <v>21</v>
      </c>
      <c r="C840">
        <f t="shared" si="29"/>
        <v>15704</v>
      </c>
      <c r="D840" s="12">
        <f t="shared" si="28"/>
        <v>2520000</v>
      </c>
    </row>
    <row r="841" spans="1:4" x14ac:dyDescent="0.3">
      <c r="A841">
        <v>841</v>
      </c>
      <c r="B841">
        <v>21</v>
      </c>
      <c r="C841">
        <f t="shared" si="29"/>
        <v>15725</v>
      </c>
      <c r="D841" s="12">
        <f t="shared" si="28"/>
        <v>2523000</v>
      </c>
    </row>
    <row r="842" spans="1:4" x14ac:dyDescent="0.3">
      <c r="A842">
        <v>842</v>
      </c>
      <c r="B842">
        <v>21</v>
      </c>
      <c r="C842">
        <f t="shared" si="29"/>
        <v>15746</v>
      </c>
      <c r="D842" s="12">
        <f t="shared" si="28"/>
        <v>2526000</v>
      </c>
    </row>
    <row r="843" spans="1:4" x14ac:dyDescent="0.3">
      <c r="A843">
        <v>843</v>
      </c>
      <c r="B843">
        <v>21</v>
      </c>
      <c r="C843">
        <f t="shared" si="29"/>
        <v>15767</v>
      </c>
      <c r="D843" s="12">
        <f t="shared" si="28"/>
        <v>2529000</v>
      </c>
    </row>
    <row r="844" spans="1:4" x14ac:dyDescent="0.3">
      <c r="A844">
        <v>844</v>
      </c>
      <c r="B844">
        <v>21</v>
      </c>
      <c r="C844">
        <f t="shared" si="29"/>
        <v>15788</v>
      </c>
      <c r="D844" s="12">
        <f t="shared" si="28"/>
        <v>2532000</v>
      </c>
    </row>
    <row r="845" spans="1:4" x14ac:dyDescent="0.3">
      <c r="A845">
        <v>845</v>
      </c>
      <c r="B845">
        <v>21</v>
      </c>
      <c r="C845">
        <f t="shared" si="29"/>
        <v>15809</v>
      </c>
      <c r="D845" s="12">
        <f t="shared" si="28"/>
        <v>2535000</v>
      </c>
    </row>
    <row r="846" spans="1:4" x14ac:dyDescent="0.3">
      <c r="A846">
        <v>846</v>
      </c>
      <c r="B846">
        <v>21</v>
      </c>
      <c r="C846">
        <f t="shared" si="29"/>
        <v>15830</v>
      </c>
      <c r="D846" s="12">
        <f t="shared" si="28"/>
        <v>2538000</v>
      </c>
    </row>
    <row r="847" spans="1:4" x14ac:dyDescent="0.3">
      <c r="A847">
        <v>847</v>
      </c>
      <c r="B847">
        <v>21</v>
      </c>
      <c r="C847">
        <f t="shared" si="29"/>
        <v>15851</v>
      </c>
      <c r="D847" s="12">
        <f t="shared" si="28"/>
        <v>2541000</v>
      </c>
    </row>
    <row r="848" spans="1:4" x14ac:dyDescent="0.3">
      <c r="A848">
        <v>848</v>
      </c>
      <c r="B848">
        <v>21</v>
      </c>
      <c r="C848">
        <f t="shared" si="29"/>
        <v>15872</v>
      </c>
      <c r="D848" s="12">
        <f t="shared" si="28"/>
        <v>2544000</v>
      </c>
    </row>
    <row r="849" spans="1:4" x14ac:dyDescent="0.3">
      <c r="A849">
        <v>849</v>
      </c>
      <c r="B849">
        <v>21</v>
      </c>
      <c r="C849">
        <f t="shared" si="29"/>
        <v>15893</v>
      </c>
      <c r="D849" s="12">
        <f t="shared" si="28"/>
        <v>2547000</v>
      </c>
    </row>
    <row r="850" spans="1:4" x14ac:dyDescent="0.3">
      <c r="A850">
        <v>850</v>
      </c>
      <c r="B850">
        <v>21</v>
      </c>
      <c r="C850">
        <f t="shared" si="29"/>
        <v>15914</v>
      </c>
      <c r="D850" s="12">
        <f t="shared" si="28"/>
        <v>2550000</v>
      </c>
    </row>
    <row r="851" spans="1:4" x14ac:dyDescent="0.3">
      <c r="A851">
        <v>851</v>
      </c>
      <c r="B851">
        <v>21</v>
      </c>
      <c r="C851">
        <f t="shared" si="29"/>
        <v>15935</v>
      </c>
      <c r="D851" s="12">
        <f t="shared" si="28"/>
        <v>2553000</v>
      </c>
    </row>
    <row r="852" spans="1:4" x14ac:dyDescent="0.3">
      <c r="A852">
        <v>852</v>
      </c>
      <c r="B852">
        <v>21</v>
      </c>
      <c r="C852">
        <f t="shared" si="29"/>
        <v>15956</v>
      </c>
      <c r="D852" s="12">
        <f t="shared" si="28"/>
        <v>2556000</v>
      </c>
    </row>
    <row r="853" spans="1:4" x14ac:dyDescent="0.3">
      <c r="A853">
        <v>853</v>
      </c>
      <c r="B853">
        <v>21</v>
      </c>
      <c r="C853">
        <f t="shared" si="29"/>
        <v>15977</v>
      </c>
      <c r="D853" s="12">
        <f t="shared" si="28"/>
        <v>2559000</v>
      </c>
    </row>
    <row r="854" spans="1:4" x14ac:dyDescent="0.3">
      <c r="A854">
        <v>854</v>
      </c>
      <c r="B854">
        <v>21</v>
      </c>
      <c r="C854">
        <f t="shared" si="29"/>
        <v>15998</v>
      </c>
      <c r="D854" s="12">
        <f t="shared" si="28"/>
        <v>2562000</v>
      </c>
    </row>
    <row r="855" spans="1:4" x14ac:dyDescent="0.3">
      <c r="A855">
        <v>855</v>
      </c>
      <c r="B855">
        <v>21</v>
      </c>
      <c r="C855">
        <f t="shared" si="29"/>
        <v>16019</v>
      </c>
      <c r="D855" s="12">
        <f t="shared" si="28"/>
        <v>2565000</v>
      </c>
    </row>
    <row r="856" spans="1:4" x14ac:dyDescent="0.3">
      <c r="A856">
        <v>856</v>
      </c>
      <c r="B856">
        <v>21</v>
      </c>
      <c r="C856">
        <f t="shared" si="29"/>
        <v>16040</v>
      </c>
      <c r="D856" s="12">
        <f t="shared" si="28"/>
        <v>2568000</v>
      </c>
    </row>
    <row r="857" spans="1:4" x14ac:dyDescent="0.3">
      <c r="A857">
        <v>857</v>
      </c>
      <c r="B857">
        <v>21</v>
      </c>
      <c r="C857">
        <f t="shared" si="29"/>
        <v>16061</v>
      </c>
      <c r="D857" s="12">
        <f t="shared" si="28"/>
        <v>2571000</v>
      </c>
    </row>
    <row r="858" spans="1:4" x14ac:dyDescent="0.3">
      <c r="A858">
        <v>858</v>
      </c>
      <c r="B858">
        <v>21</v>
      </c>
      <c r="C858">
        <f t="shared" si="29"/>
        <v>16082</v>
      </c>
      <c r="D858" s="12">
        <f t="shared" si="28"/>
        <v>2574000</v>
      </c>
    </row>
    <row r="859" spans="1:4" x14ac:dyDescent="0.3">
      <c r="A859">
        <v>859</v>
      </c>
      <c r="B859">
        <v>21</v>
      </c>
      <c r="C859">
        <f t="shared" si="29"/>
        <v>16103</v>
      </c>
      <c r="D859" s="12">
        <f t="shared" si="28"/>
        <v>2577000</v>
      </c>
    </row>
    <row r="860" spans="1:4" x14ac:dyDescent="0.3">
      <c r="A860">
        <v>860</v>
      </c>
      <c r="B860">
        <v>21</v>
      </c>
      <c r="C860">
        <f t="shared" si="29"/>
        <v>16124</v>
      </c>
      <c r="D860" s="12">
        <f t="shared" si="28"/>
        <v>2580000</v>
      </c>
    </row>
    <row r="861" spans="1:4" x14ac:dyDescent="0.3">
      <c r="A861">
        <v>861</v>
      </c>
      <c r="B861">
        <v>21</v>
      </c>
      <c r="C861">
        <f t="shared" si="29"/>
        <v>16145</v>
      </c>
      <c r="D861" s="12">
        <f t="shared" si="28"/>
        <v>2583000</v>
      </c>
    </row>
    <row r="862" spans="1:4" x14ac:dyDescent="0.3">
      <c r="A862">
        <v>862</v>
      </c>
      <c r="B862">
        <v>21</v>
      </c>
      <c r="C862">
        <f t="shared" si="29"/>
        <v>16166</v>
      </c>
      <c r="D862" s="12">
        <f t="shared" si="28"/>
        <v>2586000</v>
      </c>
    </row>
    <row r="863" spans="1:4" x14ac:dyDescent="0.3">
      <c r="A863">
        <v>863</v>
      </c>
      <c r="B863">
        <v>21</v>
      </c>
      <c r="C863">
        <f t="shared" si="29"/>
        <v>16187</v>
      </c>
      <c r="D863" s="12">
        <f t="shared" si="28"/>
        <v>2589000</v>
      </c>
    </row>
    <row r="864" spans="1:4" x14ac:dyDescent="0.3">
      <c r="A864">
        <v>864</v>
      </c>
      <c r="B864">
        <v>21</v>
      </c>
      <c r="C864">
        <f t="shared" si="29"/>
        <v>16208</v>
      </c>
      <c r="D864" s="12">
        <f t="shared" si="28"/>
        <v>2592000</v>
      </c>
    </row>
    <row r="865" spans="1:4" x14ac:dyDescent="0.3">
      <c r="A865">
        <v>865</v>
      </c>
      <c r="B865">
        <v>21</v>
      </c>
      <c r="C865">
        <f t="shared" si="29"/>
        <v>16229</v>
      </c>
      <c r="D865" s="12">
        <f t="shared" si="28"/>
        <v>2595000</v>
      </c>
    </row>
    <row r="866" spans="1:4" x14ac:dyDescent="0.3">
      <c r="A866">
        <v>866</v>
      </c>
      <c r="B866">
        <v>21</v>
      </c>
      <c r="C866">
        <f t="shared" si="29"/>
        <v>16250</v>
      </c>
      <c r="D866" s="12">
        <f t="shared" si="28"/>
        <v>2598000</v>
      </c>
    </row>
    <row r="867" spans="1:4" x14ac:dyDescent="0.3">
      <c r="A867">
        <v>867</v>
      </c>
      <c r="B867">
        <v>21</v>
      </c>
      <c r="C867">
        <f t="shared" si="29"/>
        <v>16271</v>
      </c>
      <c r="D867" s="12">
        <f t="shared" si="28"/>
        <v>2601000</v>
      </c>
    </row>
    <row r="868" spans="1:4" x14ac:dyDescent="0.3">
      <c r="A868">
        <v>868</v>
      </c>
      <c r="B868">
        <v>21</v>
      </c>
      <c r="C868">
        <f t="shared" si="29"/>
        <v>16292</v>
      </c>
      <c r="D868" s="12">
        <f t="shared" si="28"/>
        <v>2604000</v>
      </c>
    </row>
    <row r="869" spans="1:4" x14ac:dyDescent="0.3">
      <c r="A869">
        <v>869</v>
      </c>
      <c r="B869">
        <v>21</v>
      </c>
      <c r="C869">
        <f t="shared" si="29"/>
        <v>16313</v>
      </c>
      <c r="D869" s="12">
        <f t="shared" si="28"/>
        <v>2607000</v>
      </c>
    </row>
    <row r="870" spans="1:4" x14ac:dyDescent="0.3">
      <c r="A870">
        <v>870</v>
      </c>
      <c r="B870">
        <v>21</v>
      </c>
      <c r="C870">
        <f t="shared" si="29"/>
        <v>16334</v>
      </c>
      <c r="D870" s="12">
        <f t="shared" si="28"/>
        <v>2610000</v>
      </c>
    </row>
    <row r="871" spans="1:4" x14ac:dyDescent="0.3">
      <c r="A871">
        <v>871</v>
      </c>
      <c r="B871">
        <v>21</v>
      </c>
      <c r="C871">
        <f t="shared" si="29"/>
        <v>16355</v>
      </c>
      <c r="D871" s="12">
        <f t="shared" si="28"/>
        <v>2613000</v>
      </c>
    </row>
    <row r="872" spans="1:4" x14ac:dyDescent="0.3">
      <c r="A872">
        <v>872</v>
      </c>
      <c r="B872">
        <v>21</v>
      </c>
      <c r="C872">
        <f t="shared" si="29"/>
        <v>16376</v>
      </c>
      <c r="D872" s="12">
        <f t="shared" si="28"/>
        <v>2616000</v>
      </c>
    </row>
    <row r="873" spans="1:4" x14ac:dyDescent="0.3">
      <c r="A873">
        <v>873</v>
      </c>
      <c r="B873">
        <v>21</v>
      </c>
      <c r="C873">
        <f t="shared" si="29"/>
        <v>16397</v>
      </c>
      <c r="D873" s="12">
        <f t="shared" si="28"/>
        <v>2619000</v>
      </c>
    </row>
    <row r="874" spans="1:4" x14ac:dyDescent="0.3">
      <c r="A874">
        <v>874</v>
      </c>
      <c r="B874">
        <v>21</v>
      </c>
      <c r="C874">
        <f t="shared" si="29"/>
        <v>16418</v>
      </c>
      <c r="D874" s="12">
        <f t="shared" si="28"/>
        <v>2622000</v>
      </c>
    </row>
    <row r="875" spans="1:4" x14ac:dyDescent="0.3">
      <c r="A875">
        <v>875</v>
      </c>
      <c r="B875">
        <v>21</v>
      </c>
      <c r="C875">
        <f t="shared" si="29"/>
        <v>16439</v>
      </c>
      <c r="D875" s="12">
        <f t="shared" si="28"/>
        <v>2625000</v>
      </c>
    </row>
    <row r="876" spans="1:4" x14ac:dyDescent="0.3">
      <c r="A876">
        <v>876</v>
      </c>
      <c r="B876">
        <v>21</v>
      </c>
      <c r="C876">
        <f t="shared" si="29"/>
        <v>16460</v>
      </c>
      <c r="D876" s="12">
        <f t="shared" si="28"/>
        <v>2628000</v>
      </c>
    </row>
    <row r="877" spans="1:4" x14ac:dyDescent="0.3">
      <c r="A877">
        <v>877</v>
      </c>
      <c r="B877">
        <v>21</v>
      </c>
      <c r="C877">
        <f t="shared" si="29"/>
        <v>16481</v>
      </c>
      <c r="D877" s="12">
        <f t="shared" si="28"/>
        <v>2631000</v>
      </c>
    </row>
    <row r="878" spans="1:4" x14ac:dyDescent="0.3">
      <c r="A878">
        <v>878</v>
      </c>
      <c r="B878">
        <v>21</v>
      </c>
      <c r="C878">
        <f t="shared" si="29"/>
        <v>16502</v>
      </c>
      <c r="D878" s="12">
        <f t="shared" si="28"/>
        <v>2634000</v>
      </c>
    </row>
    <row r="879" spans="1:4" x14ac:dyDescent="0.3">
      <c r="A879">
        <v>879</v>
      </c>
      <c r="B879">
        <v>21</v>
      </c>
      <c r="C879">
        <f t="shared" si="29"/>
        <v>16523</v>
      </c>
      <c r="D879" s="12">
        <f t="shared" si="28"/>
        <v>2637000</v>
      </c>
    </row>
    <row r="880" spans="1:4" x14ac:dyDescent="0.3">
      <c r="A880">
        <v>880</v>
      </c>
      <c r="B880">
        <v>21</v>
      </c>
      <c r="C880">
        <f t="shared" si="29"/>
        <v>16544</v>
      </c>
      <c r="D880" s="12">
        <f t="shared" si="28"/>
        <v>2640000</v>
      </c>
    </row>
    <row r="881" spans="1:4" x14ac:dyDescent="0.3">
      <c r="A881">
        <v>881</v>
      </c>
      <c r="B881">
        <v>21</v>
      </c>
      <c r="C881">
        <f t="shared" si="29"/>
        <v>16565</v>
      </c>
      <c r="D881" s="12">
        <f t="shared" si="28"/>
        <v>2643000</v>
      </c>
    </row>
    <row r="882" spans="1:4" x14ac:dyDescent="0.3">
      <c r="A882">
        <v>882</v>
      </c>
      <c r="B882">
        <v>21</v>
      </c>
      <c r="C882">
        <f t="shared" si="29"/>
        <v>16586</v>
      </c>
      <c r="D882" s="12">
        <f t="shared" si="28"/>
        <v>2646000</v>
      </c>
    </row>
    <row r="883" spans="1:4" x14ac:dyDescent="0.3">
      <c r="A883">
        <v>883</v>
      </c>
      <c r="B883">
        <v>21</v>
      </c>
      <c r="C883">
        <f t="shared" si="29"/>
        <v>16607</v>
      </c>
      <c r="D883" s="12">
        <f t="shared" si="28"/>
        <v>2649000</v>
      </c>
    </row>
    <row r="884" spans="1:4" x14ac:dyDescent="0.3">
      <c r="A884">
        <v>884</v>
      </c>
      <c r="B884">
        <v>21</v>
      </c>
      <c r="C884">
        <f t="shared" si="29"/>
        <v>16628</v>
      </c>
      <c r="D884" s="12">
        <f t="shared" si="28"/>
        <v>2652000</v>
      </c>
    </row>
    <row r="885" spans="1:4" x14ac:dyDescent="0.3">
      <c r="A885">
        <v>885</v>
      </c>
      <c r="B885">
        <v>21</v>
      </c>
      <c r="C885">
        <f t="shared" si="29"/>
        <v>16649</v>
      </c>
      <c r="D885" s="12">
        <f t="shared" si="28"/>
        <v>2655000</v>
      </c>
    </row>
    <row r="886" spans="1:4" x14ac:dyDescent="0.3">
      <c r="A886">
        <v>886</v>
      </c>
      <c r="B886">
        <v>21</v>
      </c>
      <c r="C886">
        <f t="shared" si="29"/>
        <v>16670</v>
      </c>
      <c r="D886" s="12">
        <f t="shared" si="28"/>
        <v>2658000</v>
      </c>
    </row>
    <row r="887" spans="1:4" x14ac:dyDescent="0.3">
      <c r="A887">
        <v>887</v>
      </c>
      <c r="B887">
        <v>21</v>
      </c>
      <c r="C887">
        <f t="shared" si="29"/>
        <v>16691</v>
      </c>
      <c r="D887" s="12">
        <f t="shared" si="28"/>
        <v>2661000</v>
      </c>
    </row>
    <row r="888" spans="1:4" x14ac:dyDescent="0.3">
      <c r="A888">
        <v>888</v>
      </c>
      <c r="B888">
        <v>21</v>
      </c>
      <c r="C888">
        <f t="shared" si="29"/>
        <v>16712</v>
      </c>
      <c r="D888" s="12">
        <f t="shared" si="28"/>
        <v>2664000</v>
      </c>
    </row>
    <row r="889" spans="1:4" x14ac:dyDescent="0.3">
      <c r="A889">
        <v>889</v>
      </c>
      <c r="B889">
        <v>21</v>
      </c>
      <c r="C889">
        <f t="shared" si="29"/>
        <v>16733</v>
      </c>
      <c r="D889" s="12">
        <f t="shared" si="28"/>
        <v>2667000</v>
      </c>
    </row>
    <row r="890" spans="1:4" x14ac:dyDescent="0.3">
      <c r="A890">
        <v>890</v>
      </c>
      <c r="B890">
        <v>21</v>
      </c>
      <c r="C890">
        <f t="shared" si="29"/>
        <v>16754</v>
      </c>
      <c r="D890" s="12">
        <f t="shared" si="28"/>
        <v>2670000</v>
      </c>
    </row>
    <row r="891" spans="1:4" x14ac:dyDescent="0.3">
      <c r="A891">
        <v>891</v>
      </c>
      <c r="B891">
        <v>21</v>
      </c>
      <c r="C891">
        <f t="shared" si="29"/>
        <v>16775</v>
      </c>
      <c r="D891" s="12">
        <f t="shared" si="28"/>
        <v>2673000</v>
      </c>
    </row>
    <row r="892" spans="1:4" x14ac:dyDescent="0.3">
      <c r="A892">
        <v>892</v>
      </c>
      <c r="B892">
        <v>21</v>
      </c>
      <c r="C892">
        <f t="shared" si="29"/>
        <v>16796</v>
      </c>
      <c r="D892" s="12">
        <f t="shared" si="28"/>
        <v>2676000</v>
      </c>
    </row>
    <row r="893" spans="1:4" x14ac:dyDescent="0.3">
      <c r="A893">
        <v>893</v>
      </c>
      <c r="B893">
        <v>21</v>
      </c>
      <c r="C893">
        <f t="shared" si="29"/>
        <v>16817</v>
      </c>
      <c r="D893" s="12">
        <f t="shared" si="28"/>
        <v>2679000</v>
      </c>
    </row>
    <row r="894" spans="1:4" x14ac:dyDescent="0.3">
      <c r="A894">
        <v>894</v>
      </c>
      <c r="B894">
        <v>21</v>
      </c>
      <c r="C894">
        <f t="shared" si="29"/>
        <v>16838</v>
      </c>
      <c r="D894" s="12">
        <f t="shared" si="28"/>
        <v>2682000</v>
      </c>
    </row>
    <row r="895" spans="1:4" x14ac:dyDescent="0.3">
      <c r="A895">
        <v>895</v>
      </c>
      <c r="B895">
        <v>21</v>
      </c>
      <c r="C895">
        <f t="shared" si="29"/>
        <v>16859</v>
      </c>
      <c r="D895" s="12">
        <f t="shared" si="28"/>
        <v>2685000</v>
      </c>
    </row>
    <row r="896" spans="1:4" x14ac:dyDescent="0.3">
      <c r="A896">
        <v>896</v>
      </c>
      <c r="B896">
        <v>21</v>
      </c>
      <c r="C896">
        <f t="shared" si="29"/>
        <v>16880</v>
      </c>
      <c r="D896" s="12">
        <f t="shared" si="28"/>
        <v>2688000</v>
      </c>
    </row>
    <row r="897" spans="1:4" x14ac:dyDescent="0.3">
      <c r="A897">
        <v>897</v>
      </c>
      <c r="B897">
        <v>21</v>
      </c>
      <c r="C897">
        <f t="shared" si="29"/>
        <v>16901</v>
      </c>
      <c r="D897" s="12">
        <f t="shared" si="28"/>
        <v>2691000</v>
      </c>
    </row>
    <row r="898" spans="1:4" x14ac:dyDescent="0.3">
      <c r="A898">
        <v>898</v>
      </c>
      <c r="B898">
        <v>21</v>
      </c>
      <c r="C898">
        <f t="shared" si="29"/>
        <v>16922</v>
      </c>
      <c r="D898" s="12">
        <f t="shared" ref="D898:D961" si="30">A898*3000</f>
        <v>2694000</v>
      </c>
    </row>
    <row r="899" spans="1:4" x14ac:dyDescent="0.3">
      <c r="A899">
        <v>899</v>
      </c>
      <c r="B899">
        <v>21</v>
      </c>
      <c r="C899">
        <f t="shared" ref="C899:C962" si="31">C898+B899</f>
        <v>16943</v>
      </c>
      <c r="D899" s="12">
        <f t="shared" si="30"/>
        <v>2697000</v>
      </c>
    </row>
    <row r="900" spans="1:4" x14ac:dyDescent="0.3">
      <c r="A900">
        <v>900</v>
      </c>
      <c r="B900">
        <v>21</v>
      </c>
      <c r="C900">
        <f t="shared" si="31"/>
        <v>16964</v>
      </c>
      <c r="D900" s="12">
        <f t="shared" si="30"/>
        <v>2700000</v>
      </c>
    </row>
    <row r="901" spans="1:4" x14ac:dyDescent="0.3">
      <c r="A901">
        <v>901</v>
      </c>
      <c r="B901">
        <v>21</v>
      </c>
      <c r="C901">
        <f t="shared" si="31"/>
        <v>16985</v>
      </c>
      <c r="D901" s="12">
        <f t="shared" si="30"/>
        <v>2703000</v>
      </c>
    </row>
    <row r="902" spans="1:4" x14ac:dyDescent="0.3">
      <c r="A902">
        <v>902</v>
      </c>
      <c r="B902">
        <v>21</v>
      </c>
      <c r="C902">
        <f t="shared" si="31"/>
        <v>17006</v>
      </c>
      <c r="D902" s="12">
        <f t="shared" si="30"/>
        <v>2706000</v>
      </c>
    </row>
    <row r="903" spans="1:4" x14ac:dyDescent="0.3">
      <c r="A903">
        <v>903</v>
      </c>
      <c r="B903">
        <v>21</v>
      </c>
      <c r="C903">
        <f t="shared" si="31"/>
        <v>17027</v>
      </c>
      <c r="D903" s="12">
        <f t="shared" si="30"/>
        <v>2709000</v>
      </c>
    </row>
    <row r="904" spans="1:4" x14ac:dyDescent="0.3">
      <c r="A904">
        <v>904</v>
      </c>
      <c r="B904">
        <v>21</v>
      </c>
      <c r="C904">
        <f t="shared" si="31"/>
        <v>17048</v>
      </c>
      <c r="D904" s="12">
        <f t="shared" si="30"/>
        <v>2712000</v>
      </c>
    </row>
    <row r="905" spans="1:4" x14ac:dyDescent="0.3">
      <c r="A905">
        <v>905</v>
      </c>
      <c r="B905">
        <v>21</v>
      </c>
      <c r="C905">
        <f t="shared" si="31"/>
        <v>17069</v>
      </c>
      <c r="D905" s="12">
        <f t="shared" si="30"/>
        <v>2715000</v>
      </c>
    </row>
    <row r="906" spans="1:4" x14ac:dyDescent="0.3">
      <c r="A906">
        <v>906</v>
      </c>
      <c r="B906">
        <v>21</v>
      </c>
      <c r="C906">
        <f t="shared" si="31"/>
        <v>17090</v>
      </c>
      <c r="D906" s="12">
        <f t="shared" si="30"/>
        <v>2718000</v>
      </c>
    </row>
    <row r="907" spans="1:4" x14ac:dyDescent="0.3">
      <c r="A907">
        <v>907</v>
      </c>
      <c r="B907">
        <v>21</v>
      </c>
      <c r="C907">
        <f t="shared" si="31"/>
        <v>17111</v>
      </c>
      <c r="D907" s="12">
        <f t="shared" si="30"/>
        <v>2721000</v>
      </c>
    </row>
    <row r="908" spans="1:4" x14ac:dyDescent="0.3">
      <c r="A908">
        <v>908</v>
      </c>
      <c r="B908">
        <v>21</v>
      </c>
      <c r="C908">
        <f t="shared" si="31"/>
        <v>17132</v>
      </c>
      <c r="D908" s="12">
        <f t="shared" si="30"/>
        <v>2724000</v>
      </c>
    </row>
    <row r="909" spans="1:4" x14ac:dyDescent="0.3">
      <c r="A909">
        <v>909</v>
      </c>
      <c r="B909">
        <v>21</v>
      </c>
      <c r="C909">
        <f t="shared" si="31"/>
        <v>17153</v>
      </c>
      <c r="D909" s="12">
        <f t="shared" si="30"/>
        <v>2727000</v>
      </c>
    </row>
    <row r="910" spans="1:4" x14ac:dyDescent="0.3">
      <c r="A910">
        <v>910</v>
      </c>
      <c r="B910">
        <v>21</v>
      </c>
      <c r="C910">
        <f t="shared" si="31"/>
        <v>17174</v>
      </c>
      <c r="D910" s="12">
        <f t="shared" si="30"/>
        <v>2730000</v>
      </c>
    </row>
    <row r="911" spans="1:4" x14ac:dyDescent="0.3">
      <c r="A911">
        <v>911</v>
      </c>
      <c r="B911">
        <v>21</v>
      </c>
      <c r="C911">
        <f t="shared" si="31"/>
        <v>17195</v>
      </c>
      <c r="D911" s="12">
        <f t="shared" si="30"/>
        <v>2733000</v>
      </c>
    </row>
    <row r="912" spans="1:4" x14ac:dyDescent="0.3">
      <c r="A912">
        <v>912</v>
      </c>
      <c r="B912">
        <v>21</v>
      </c>
      <c r="C912">
        <f t="shared" si="31"/>
        <v>17216</v>
      </c>
      <c r="D912" s="12">
        <f t="shared" si="30"/>
        <v>2736000</v>
      </c>
    </row>
    <row r="913" spans="1:4" x14ac:dyDescent="0.3">
      <c r="A913">
        <v>913</v>
      </c>
      <c r="B913">
        <v>21</v>
      </c>
      <c r="C913">
        <f t="shared" si="31"/>
        <v>17237</v>
      </c>
      <c r="D913" s="12">
        <f t="shared" si="30"/>
        <v>2739000</v>
      </c>
    </row>
    <row r="914" spans="1:4" x14ac:dyDescent="0.3">
      <c r="A914">
        <v>914</v>
      </c>
      <c r="B914">
        <v>21</v>
      </c>
      <c r="C914">
        <f t="shared" si="31"/>
        <v>17258</v>
      </c>
      <c r="D914" s="12">
        <f t="shared" si="30"/>
        <v>2742000</v>
      </c>
    </row>
    <row r="915" spans="1:4" x14ac:dyDescent="0.3">
      <c r="A915">
        <v>915</v>
      </c>
      <c r="B915">
        <v>21</v>
      </c>
      <c r="C915">
        <f t="shared" si="31"/>
        <v>17279</v>
      </c>
      <c r="D915" s="12">
        <f t="shared" si="30"/>
        <v>2745000</v>
      </c>
    </row>
    <row r="916" spans="1:4" x14ac:dyDescent="0.3">
      <c r="A916">
        <v>916</v>
      </c>
      <c r="B916">
        <v>21</v>
      </c>
      <c r="C916">
        <f t="shared" si="31"/>
        <v>17300</v>
      </c>
      <c r="D916" s="12">
        <f t="shared" si="30"/>
        <v>2748000</v>
      </c>
    </row>
    <row r="917" spans="1:4" x14ac:dyDescent="0.3">
      <c r="A917">
        <v>917</v>
      </c>
      <c r="B917">
        <v>21</v>
      </c>
      <c r="C917">
        <f t="shared" si="31"/>
        <v>17321</v>
      </c>
      <c r="D917" s="12">
        <f t="shared" si="30"/>
        <v>2751000</v>
      </c>
    </row>
    <row r="918" spans="1:4" x14ac:dyDescent="0.3">
      <c r="A918">
        <v>918</v>
      </c>
      <c r="B918">
        <v>21</v>
      </c>
      <c r="C918">
        <f t="shared" si="31"/>
        <v>17342</v>
      </c>
      <c r="D918" s="12">
        <f t="shared" si="30"/>
        <v>2754000</v>
      </c>
    </row>
    <row r="919" spans="1:4" x14ac:dyDescent="0.3">
      <c r="A919">
        <v>919</v>
      </c>
      <c r="B919">
        <v>21</v>
      </c>
      <c r="C919">
        <f t="shared" si="31"/>
        <v>17363</v>
      </c>
      <c r="D919" s="12">
        <f t="shared" si="30"/>
        <v>2757000</v>
      </c>
    </row>
    <row r="920" spans="1:4" x14ac:dyDescent="0.3">
      <c r="A920">
        <v>920</v>
      </c>
      <c r="B920">
        <v>21</v>
      </c>
      <c r="C920">
        <f t="shared" si="31"/>
        <v>17384</v>
      </c>
      <c r="D920" s="12">
        <f t="shared" si="30"/>
        <v>2760000</v>
      </c>
    </row>
    <row r="921" spans="1:4" x14ac:dyDescent="0.3">
      <c r="A921">
        <v>921</v>
      </c>
      <c r="B921">
        <v>21</v>
      </c>
      <c r="C921">
        <f t="shared" si="31"/>
        <v>17405</v>
      </c>
      <c r="D921" s="12">
        <f t="shared" si="30"/>
        <v>2763000</v>
      </c>
    </row>
    <row r="922" spans="1:4" x14ac:dyDescent="0.3">
      <c r="A922">
        <v>922</v>
      </c>
      <c r="B922">
        <v>21</v>
      </c>
      <c r="C922">
        <f t="shared" si="31"/>
        <v>17426</v>
      </c>
      <c r="D922" s="12">
        <f t="shared" si="30"/>
        <v>2766000</v>
      </c>
    </row>
    <row r="923" spans="1:4" x14ac:dyDescent="0.3">
      <c r="A923">
        <v>923</v>
      </c>
      <c r="B923">
        <v>21</v>
      </c>
      <c r="C923">
        <f t="shared" si="31"/>
        <v>17447</v>
      </c>
      <c r="D923" s="12">
        <f t="shared" si="30"/>
        <v>2769000</v>
      </c>
    </row>
    <row r="924" spans="1:4" x14ac:dyDescent="0.3">
      <c r="A924">
        <v>924</v>
      </c>
      <c r="B924">
        <v>21</v>
      </c>
      <c r="C924">
        <f t="shared" si="31"/>
        <v>17468</v>
      </c>
      <c r="D924" s="12">
        <f t="shared" si="30"/>
        <v>2772000</v>
      </c>
    </row>
    <row r="925" spans="1:4" x14ac:dyDescent="0.3">
      <c r="A925">
        <v>925</v>
      </c>
      <c r="B925">
        <v>21</v>
      </c>
      <c r="C925">
        <f t="shared" si="31"/>
        <v>17489</v>
      </c>
      <c r="D925" s="12">
        <f t="shared" si="30"/>
        <v>2775000</v>
      </c>
    </row>
    <row r="926" spans="1:4" x14ac:dyDescent="0.3">
      <c r="A926">
        <v>926</v>
      </c>
      <c r="B926">
        <v>21</v>
      </c>
      <c r="C926">
        <f t="shared" si="31"/>
        <v>17510</v>
      </c>
      <c r="D926" s="12">
        <f t="shared" si="30"/>
        <v>2778000</v>
      </c>
    </row>
    <row r="927" spans="1:4" x14ac:dyDescent="0.3">
      <c r="A927">
        <v>927</v>
      </c>
      <c r="B927">
        <v>21</v>
      </c>
      <c r="C927">
        <f t="shared" si="31"/>
        <v>17531</v>
      </c>
      <c r="D927" s="12">
        <f t="shared" si="30"/>
        <v>2781000</v>
      </c>
    </row>
    <row r="928" spans="1:4" x14ac:dyDescent="0.3">
      <c r="A928">
        <v>928</v>
      </c>
      <c r="B928">
        <v>21</v>
      </c>
      <c r="C928">
        <f t="shared" si="31"/>
        <v>17552</v>
      </c>
      <c r="D928" s="12">
        <f t="shared" si="30"/>
        <v>2784000</v>
      </c>
    </row>
    <row r="929" spans="1:4" x14ac:dyDescent="0.3">
      <c r="A929">
        <v>929</v>
      </c>
      <c r="B929">
        <v>21</v>
      </c>
      <c r="C929">
        <f t="shared" si="31"/>
        <v>17573</v>
      </c>
      <c r="D929" s="12">
        <f t="shared" si="30"/>
        <v>2787000</v>
      </c>
    </row>
    <row r="930" spans="1:4" x14ac:dyDescent="0.3">
      <c r="A930">
        <v>930</v>
      </c>
      <c r="B930">
        <v>21</v>
      </c>
      <c r="C930">
        <f t="shared" si="31"/>
        <v>17594</v>
      </c>
      <c r="D930" s="12">
        <f t="shared" si="30"/>
        <v>2790000</v>
      </c>
    </row>
    <row r="931" spans="1:4" x14ac:dyDescent="0.3">
      <c r="A931">
        <v>931</v>
      </c>
      <c r="B931">
        <v>21</v>
      </c>
      <c r="C931">
        <f t="shared" si="31"/>
        <v>17615</v>
      </c>
      <c r="D931" s="12">
        <f t="shared" si="30"/>
        <v>2793000</v>
      </c>
    </row>
    <row r="932" spans="1:4" x14ac:dyDescent="0.3">
      <c r="A932">
        <v>932</v>
      </c>
      <c r="B932">
        <v>21</v>
      </c>
      <c r="C932">
        <f t="shared" si="31"/>
        <v>17636</v>
      </c>
      <c r="D932" s="12">
        <f t="shared" si="30"/>
        <v>2796000</v>
      </c>
    </row>
    <row r="933" spans="1:4" x14ac:dyDescent="0.3">
      <c r="A933">
        <v>933</v>
      </c>
      <c r="B933">
        <v>21</v>
      </c>
      <c r="C933">
        <f t="shared" si="31"/>
        <v>17657</v>
      </c>
      <c r="D933" s="12">
        <f t="shared" si="30"/>
        <v>2799000</v>
      </c>
    </row>
    <row r="934" spans="1:4" x14ac:dyDescent="0.3">
      <c r="A934">
        <v>934</v>
      </c>
      <c r="B934">
        <v>21</v>
      </c>
      <c r="C934">
        <f t="shared" si="31"/>
        <v>17678</v>
      </c>
      <c r="D934" s="12">
        <f t="shared" si="30"/>
        <v>2802000</v>
      </c>
    </row>
    <row r="935" spans="1:4" x14ac:dyDescent="0.3">
      <c r="A935">
        <v>935</v>
      </c>
      <c r="B935">
        <v>21</v>
      </c>
      <c r="C935">
        <f t="shared" si="31"/>
        <v>17699</v>
      </c>
      <c r="D935" s="12">
        <f t="shared" si="30"/>
        <v>2805000</v>
      </c>
    </row>
    <row r="936" spans="1:4" x14ac:dyDescent="0.3">
      <c r="A936">
        <v>936</v>
      </c>
      <c r="B936">
        <v>21</v>
      </c>
      <c r="C936">
        <f t="shared" si="31"/>
        <v>17720</v>
      </c>
      <c r="D936" s="12">
        <f t="shared" si="30"/>
        <v>2808000</v>
      </c>
    </row>
    <row r="937" spans="1:4" x14ac:dyDescent="0.3">
      <c r="A937">
        <v>937</v>
      </c>
      <c r="B937">
        <v>21</v>
      </c>
      <c r="C937">
        <f t="shared" si="31"/>
        <v>17741</v>
      </c>
      <c r="D937" s="12">
        <f t="shared" si="30"/>
        <v>2811000</v>
      </c>
    </row>
    <row r="938" spans="1:4" x14ac:dyDescent="0.3">
      <c r="A938">
        <v>938</v>
      </c>
      <c r="B938">
        <v>21</v>
      </c>
      <c r="C938">
        <f t="shared" si="31"/>
        <v>17762</v>
      </c>
      <c r="D938" s="12">
        <f t="shared" si="30"/>
        <v>2814000</v>
      </c>
    </row>
    <row r="939" spans="1:4" x14ac:dyDescent="0.3">
      <c r="A939">
        <v>939</v>
      </c>
      <c r="B939">
        <v>21</v>
      </c>
      <c r="C939">
        <f t="shared" si="31"/>
        <v>17783</v>
      </c>
      <c r="D939" s="12">
        <f t="shared" si="30"/>
        <v>2817000</v>
      </c>
    </row>
    <row r="940" spans="1:4" x14ac:dyDescent="0.3">
      <c r="A940">
        <v>940</v>
      </c>
      <c r="B940">
        <v>21</v>
      </c>
      <c r="C940">
        <f t="shared" si="31"/>
        <v>17804</v>
      </c>
      <c r="D940" s="12">
        <f t="shared" si="30"/>
        <v>2820000</v>
      </c>
    </row>
    <row r="941" spans="1:4" x14ac:dyDescent="0.3">
      <c r="A941">
        <v>941</v>
      </c>
      <c r="B941">
        <v>21</v>
      </c>
      <c r="C941">
        <f t="shared" si="31"/>
        <v>17825</v>
      </c>
      <c r="D941" s="12">
        <f t="shared" si="30"/>
        <v>2823000</v>
      </c>
    </row>
    <row r="942" spans="1:4" x14ac:dyDescent="0.3">
      <c r="A942">
        <v>942</v>
      </c>
      <c r="B942">
        <v>21</v>
      </c>
      <c r="C942">
        <f t="shared" si="31"/>
        <v>17846</v>
      </c>
      <c r="D942" s="12">
        <f t="shared" si="30"/>
        <v>2826000</v>
      </c>
    </row>
    <row r="943" spans="1:4" x14ac:dyDescent="0.3">
      <c r="A943">
        <v>943</v>
      </c>
      <c r="B943">
        <v>21</v>
      </c>
      <c r="C943">
        <f t="shared" si="31"/>
        <v>17867</v>
      </c>
      <c r="D943" s="12">
        <f t="shared" si="30"/>
        <v>2829000</v>
      </c>
    </row>
    <row r="944" spans="1:4" x14ac:dyDescent="0.3">
      <c r="A944">
        <v>944</v>
      </c>
      <c r="B944">
        <v>21</v>
      </c>
      <c r="C944">
        <f t="shared" si="31"/>
        <v>17888</v>
      </c>
      <c r="D944" s="12">
        <f t="shared" si="30"/>
        <v>2832000</v>
      </c>
    </row>
    <row r="945" spans="1:4" x14ac:dyDescent="0.3">
      <c r="A945">
        <v>945</v>
      </c>
      <c r="B945">
        <v>21</v>
      </c>
      <c r="C945">
        <f t="shared" si="31"/>
        <v>17909</v>
      </c>
      <c r="D945" s="12">
        <f t="shared" si="30"/>
        <v>2835000</v>
      </c>
    </row>
    <row r="946" spans="1:4" x14ac:dyDescent="0.3">
      <c r="A946">
        <v>946</v>
      </c>
      <c r="B946">
        <v>21</v>
      </c>
      <c r="C946">
        <f t="shared" si="31"/>
        <v>17930</v>
      </c>
      <c r="D946" s="12">
        <f t="shared" si="30"/>
        <v>2838000</v>
      </c>
    </row>
    <row r="947" spans="1:4" x14ac:dyDescent="0.3">
      <c r="A947">
        <v>947</v>
      </c>
      <c r="B947">
        <v>21</v>
      </c>
      <c r="C947">
        <f t="shared" si="31"/>
        <v>17951</v>
      </c>
      <c r="D947" s="12">
        <f t="shared" si="30"/>
        <v>2841000</v>
      </c>
    </row>
    <row r="948" spans="1:4" x14ac:dyDescent="0.3">
      <c r="A948">
        <v>948</v>
      </c>
      <c r="B948">
        <v>21</v>
      </c>
      <c r="C948">
        <f t="shared" si="31"/>
        <v>17972</v>
      </c>
      <c r="D948" s="12">
        <f t="shared" si="30"/>
        <v>2844000</v>
      </c>
    </row>
    <row r="949" spans="1:4" x14ac:dyDescent="0.3">
      <c r="A949">
        <v>949</v>
      </c>
      <c r="B949">
        <v>21</v>
      </c>
      <c r="C949">
        <f t="shared" si="31"/>
        <v>17993</v>
      </c>
      <c r="D949" s="12">
        <f t="shared" si="30"/>
        <v>2847000</v>
      </c>
    </row>
    <row r="950" spans="1:4" x14ac:dyDescent="0.3">
      <c r="A950">
        <v>950</v>
      </c>
      <c r="B950">
        <v>21</v>
      </c>
      <c r="C950">
        <f t="shared" si="31"/>
        <v>18014</v>
      </c>
      <c r="D950" s="12">
        <f t="shared" si="30"/>
        <v>2850000</v>
      </c>
    </row>
    <row r="951" spans="1:4" x14ac:dyDescent="0.3">
      <c r="A951">
        <v>951</v>
      </c>
      <c r="B951">
        <v>21</v>
      </c>
      <c r="C951">
        <f t="shared" si="31"/>
        <v>18035</v>
      </c>
      <c r="D951" s="12">
        <f t="shared" si="30"/>
        <v>2853000</v>
      </c>
    </row>
    <row r="952" spans="1:4" x14ac:dyDescent="0.3">
      <c r="A952">
        <v>952</v>
      </c>
      <c r="B952">
        <v>21</v>
      </c>
      <c r="C952">
        <f t="shared" si="31"/>
        <v>18056</v>
      </c>
      <c r="D952" s="12">
        <f t="shared" si="30"/>
        <v>2856000</v>
      </c>
    </row>
    <row r="953" spans="1:4" x14ac:dyDescent="0.3">
      <c r="A953">
        <v>953</v>
      </c>
      <c r="B953">
        <v>21</v>
      </c>
      <c r="C953">
        <f t="shared" si="31"/>
        <v>18077</v>
      </c>
      <c r="D953" s="12">
        <f t="shared" si="30"/>
        <v>2859000</v>
      </c>
    </row>
    <row r="954" spans="1:4" x14ac:dyDescent="0.3">
      <c r="A954">
        <v>954</v>
      </c>
      <c r="B954">
        <v>21</v>
      </c>
      <c r="C954">
        <f t="shared" si="31"/>
        <v>18098</v>
      </c>
      <c r="D954" s="12">
        <f t="shared" si="30"/>
        <v>2862000</v>
      </c>
    </row>
    <row r="955" spans="1:4" x14ac:dyDescent="0.3">
      <c r="A955">
        <v>955</v>
      </c>
      <c r="B955">
        <v>21</v>
      </c>
      <c r="C955">
        <f t="shared" si="31"/>
        <v>18119</v>
      </c>
      <c r="D955" s="12">
        <f t="shared" si="30"/>
        <v>2865000</v>
      </c>
    </row>
    <row r="956" spans="1:4" x14ac:dyDescent="0.3">
      <c r="A956">
        <v>956</v>
      </c>
      <c r="B956">
        <v>21</v>
      </c>
      <c r="C956">
        <f t="shared" si="31"/>
        <v>18140</v>
      </c>
      <c r="D956" s="12">
        <f t="shared" si="30"/>
        <v>2868000</v>
      </c>
    </row>
    <row r="957" spans="1:4" x14ac:dyDescent="0.3">
      <c r="A957">
        <v>957</v>
      </c>
      <c r="B957">
        <v>21</v>
      </c>
      <c r="C957">
        <f t="shared" si="31"/>
        <v>18161</v>
      </c>
      <c r="D957" s="12">
        <f t="shared" si="30"/>
        <v>2871000</v>
      </c>
    </row>
    <row r="958" spans="1:4" x14ac:dyDescent="0.3">
      <c r="A958">
        <v>958</v>
      </c>
      <c r="B958">
        <v>21</v>
      </c>
      <c r="C958">
        <f t="shared" si="31"/>
        <v>18182</v>
      </c>
      <c r="D958" s="12">
        <f t="shared" si="30"/>
        <v>2874000</v>
      </c>
    </row>
    <row r="959" spans="1:4" x14ac:dyDescent="0.3">
      <c r="A959">
        <v>959</v>
      </c>
      <c r="B959">
        <v>21</v>
      </c>
      <c r="C959">
        <f t="shared" si="31"/>
        <v>18203</v>
      </c>
      <c r="D959" s="12">
        <f t="shared" si="30"/>
        <v>2877000</v>
      </c>
    </row>
    <row r="960" spans="1:4" x14ac:dyDescent="0.3">
      <c r="A960">
        <v>960</v>
      </c>
      <c r="B960">
        <v>21</v>
      </c>
      <c r="C960">
        <f t="shared" si="31"/>
        <v>18224</v>
      </c>
      <c r="D960" s="12">
        <f t="shared" si="30"/>
        <v>2880000</v>
      </c>
    </row>
    <row r="961" spans="1:4" x14ac:dyDescent="0.3">
      <c r="A961">
        <v>961</v>
      </c>
      <c r="B961">
        <v>21</v>
      </c>
      <c r="C961">
        <f t="shared" si="31"/>
        <v>18245</v>
      </c>
      <c r="D961" s="12">
        <f t="shared" si="30"/>
        <v>2883000</v>
      </c>
    </row>
    <row r="962" spans="1:4" x14ac:dyDescent="0.3">
      <c r="A962">
        <v>962</v>
      </c>
      <c r="B962">
        <v>21</v>
      </c>
      <c r="C962">
        <f t="shared" si="31"/>
        <v>18266</v>
      </c>
      <c r="D962" s="12">
        <f t="shared" ref="D962:D1003" si="32">A962*3000</f>
        <v>2886000</v>
      </c>
    </row>
    <row r="963" spans="1:4" x14ac:dyDescent="0.3">
      <c r="A963">
        <v>963</v>
      </c>
      <c r="B963">
        <v>21</v>
      </c>
      <c r="C963">
        <f t="shared" ref="C963:C1003" si="33">C962+B963</f>
        <v>18287</v>
      </c>
      <c r="D963" s="12">
        <f t="shared" si="32"/>
        <v>2889000</v>
      </c>
    </row>
    <row r="964" spans="1:4" x14ac:dyDescent="0.3">
      <c r="A964">
        <v>964</v>
      </c>
      <c r="B964">
        <v>21</v>
      </c>
      <c r="C964">
        <f t="shared" si="33"/>
        <v>18308</v>
      </c>
      <c r="D964" s="12">
        <f t="shared" si="32"/>
        <v>2892000</v>
      </c>
    </row>
    <row r="965" spans="1:4" x14ac:dyDescent="0.3">
      <c r="A965">
        <v>965</v>
      </c>
      <c r="B965">
        <v>21</v>
      </c>
      <c r="C965">
        <f t="shared" si="33"/>
        <v>18329</v>
      </c>
      <c r="D965" s="12">
        <f t="shared" si="32"/>
        <v>2895000</v>
      </c>
    </row>
    <row r="966" spans="1:4" x14ac:dyDescent="0.3">
      <c r="A966">
        <v>966</v>
      </c>
      <c r="B966">
        <v>21</v>
      </c>
      <c r="C966">
        <f t="shared" si="33"/>
        <v>18350</v>
      </c>
      <c r="D966" s="12">
        <f t="shared" si="32"/>
        <v>2898000</v>
      </c>
    </row>
    <row r="967" spans="1:4" x14ac:dyDescent="0.3">
      <c r="A967">
        <v>967</v>
      </c>
      <c r="B967">
        <v>21</v>
      </c>
      <c r="C967">
        <f t="shared" si="33"/>
        <v>18371</v>
      </c>
      <c r="D967" s="12">
        <f t="shared" si="32"/>
        <v>2901000</v>
      </c>
    </row>
    <row r="968" spans="1:4" x14ac:dyDescent="0.3">
      <c r="A968">
        <v>968</v>
      </c>
      <c r="B968">
        <v>21</v>
      </c>
      <c r="C968">
        <f t="shared" si="33"/>
        <v>18392</v>
      </c>
      <c r="D968" s="12">
        <f t="shared" si="32"/>
        <v>2904000</v>
      </c>
    </row>
    <row r="969" spans="1:4" x14ac:dyDescent="0.3">
      <c r="A969">
        <v>969</v>
      </c>
      <c r="B969">
        <v>21</v>
      </c>
      <c r="C969">
        <f t="shared" si="33"/>
        <v>18413</v>
      </c>
      <c r="D969" s="12">
        <f t="shared" si="32"/>
        <v>2907000</v>
      </c>
    </row>
    <row r="970" spans="1:4" x14ac:dyDescent="0.3">
      <c r="A970">
        <v>970</v>
      </c>
      <c r="B970">
        <v>21</v>
      </c>
      <c r="C970">
        <f t="shared" si="33"/>
        <v>18434</v>
      </c>
      <c r="D970" s="12">
        <f t="shared" si="32"/>
        <v>2910000</v>
      </c>
    </row>
    <row r="971" spans="1:4" x14ac:dyDescent="0.3">
      <c r="A971">
        <v>971</v>
      </c>
      <c r="B971">
        <v>21</v>
      </c>
      <c r="C971">
        <f t="shared" si="33"/>
        <v>18455</v>
      </c>
      <c r="D971" s="12">
        <f t="shared" si="32"/>
        <v>2913000</v>
      </c>
    </row>
    <row r="972" spans="1:4" x14ac:dyDescent="0.3">
      <c r="A972">
        <v>972</v>
      </c>
      <c r="B972">
        <v>21</v>
      </c>
      <c r="C972">
        <f t="shared" si="33"/>
        <v>18476</v>
      </c>
      <c r="D972" s="12">
        <f t="shared" si="32"/>
        <v>2916000</v>
      </c>
    </row>
    <row r="973" spans="1:4" x14ac:dyDescent="0.3">
      <c r="A973">
        <v>973</v>
      </c>
      <c r="B973">
        <v>21</v>
      </c>
      <c r="C973">
        <f t="shared" si="33"/>
        <v>18497</v>
      </c>
      <c r="D973" s="12">
        <f t="shared" si="32"/>
        <v>2919000</v>
      </c>
    </row>
    <row r="974" spans="1:4" x14ac:dyDescent="0.3">
      <c r="A974">
        <v>974</v>
      </c>
      <c r="B974">
        <v>21</v>
      </c>
      <c r="C974">
        <f t="shared" si="33"/>
        <v>18518</v>
      </c>
      <c r="D974" s="12">
        <f t="shared" si="32"/>
        <v>2922000</v>
      </c>
    </row>
    <row r="975" spans="1:4" x14ac:dyDescent="0.3">
      <c r="A975">
        <v>975</v>
      </c>
      <c r="B975">
        <v>21</v>
      </c>
      <c r="C975">
        <f t="shared" si="33"/>
        <v>18539</v>
      </c>
      <c r="D975" s="12">
        <f t="shared" si="32"/>
        <v>2925000</v>
      </c>
    </row>
    <row r="976" spans="1:4" x14ac:dyDescent="0.3">
      <c r="A976">
        <v>976</v>
      </c>
      <c r="B976">
        <v>21</v>
      </c>
      <c r="C976">
        <f t="shared" si="33"/>
        <v>18560</v>
      </c>
      <c r="D976" s="12">
        <f t="shared" si="32"/>
        <v>2928000</v>
      </c>
    </row>
    <row r="977" spans="1:4" x14ac:dyDescent="0.3">
      <c r="A977">
        <v>977</v>
      </c>
      <c r="B977">
        <v>21</v>
      </c>
      <c r="C977">
        <f t="shared" si="33"/>
        <v>18581</v>
      </c>
      <c r="D977" s="12">
        <f t="shared" si="32"/>
        <v>2931000</v>
      </c>
    </row>
    <row r="978" spans="1:4" x14ac:dyDescent="0.3">
      <c r="A978">
        <v>978</v>
      </c>
      <c r="B978">
        <v>21</v>
      </c>
      <c r="C978">
        <f t="shared" si="33"/>
        <v>18602</v>
      </c>
      <c r="D978" s="12">
        <f t="shared" si="32"/>
        <v>2934000</v>
      </c>
    </row>
    <row r="979" spans="1:4" x14ac:dyDescent="0.3">
      <c r="A979">
        <v>979</v>
      </c>
      <c r="B979">
        <v>21</v>
      </c>
      <c r="C979">
        <f t="shared" si="33"/>
        <v>18623</v>
      </c>
      <c r="D979" s="12">
        <f t="shared" si="32"/>
        <v>2937000</v>
      </c>
    </row>
    <row r="980" spans="1:4" x14ac:dyDescent="0.3">
      <c r="A980">
        <v>980</v>
      </c>
      <c r="B980">
        <v>21</v>
      </c>
      <c r="C980">
        <f t="shared" si="33"/>
        <v>18644</v>
      </c>
      <c r="D980" s="12">
        <f t="shared" si="32"/>
        <v>2940000</v>
      </c>
    </row>
    <row r="981" spans="1:4" x14ac:dyDescent="0.3">
      <c r="A981">
        <v>981</v>
      </c>
      <c r="B981">
        <v>21</v>
      </c>
      <c r="C981">
        <f t="shared" si="33"/>
        <v>18665</v>
      </c>
      <c r="D981" s="12">
        <f t="shared" si="32"/>
        <v>2943000</v>
      </c>
    </row>
    <row r="982" spans="1:4" x14ac:dyDescent="0.3">
      <c r="A982">
        <v>982</v>
      </c>
      <c r="B982">
        <v>21</v>
      </c>
      <c r="C982">
        <f t="shared" si="33"/>
        <v>18686</v>
      </c>
      <c r="D982" s="12">
        <f t="shared" si="32"/>
        <v>2946000</v>
      </c>
    </row>
    <row r="983" spans="1:4" x14ac:dyDescent="0.3">
      <c r="A983">
        <v>983</v>
      </c>
      <c r="B983">
        <v>21</v>
      </c>
      <c r="C983">
        <f t="shared" si="33"/>
        <v>18707</v>
      </c>
      <c r="D983" s="12">
        <f t="shared" si="32"/>
        <v>2949000</v>
      </c>
    </row>
    <row r="984" spans="1:4" x14ac:dyDescent="0.3">
      <c r="A984">
        <v>984</v>
      </c>
      <c r="B984">
        <v>21</v>
      </c>
      <c r="C984">
        <f t="shared" si="33"/>
        <v>18728</v>
      </c>
      <c r="D984" s="12">
        <f t="shared" si="32"/>
        <v>2952000</v>
      </c>
    </row>
    <row r="985" spans="1:4" x14ac:dyDescent="0.3">
      <c r="A985">
        <v>985</v>
      </c>
      <c r="B985">
        <v>21</v>
      </c>
      <c r="C985">
        <f t="shared" si="33"/>
        <v>18749</v>
      </c>
      <c r="D985" s="12">
        <f t="shared" si="32"/>
        <v>2955000</v>
      </c>
    </row>
    <row r="986" spans="1:4" x14ac:dyDescent="0.3">
      <c r="A986">
        <v>986</v>
      </c>
      <c r="B986">
        <v>21</v>
      </c>
      <c r="C986">
        <f t="shared" si="33"/>
        <v>18770</v>
      </c>
      <c r="D986" s="12">
        <f t="shared" si="32"/>
        <v>2958000</v>
      </c>
    </row>
    <row r="987" spans="1:4" x14ac:dyDescent="0.3">
      <c r="A987">
        <v>987</v>
      </c>
      <c r="B987">
        <v>21</v>
      </c>
      <c r="C987">
        <f t="shared" si="33"/>
        <v>18791</v>
      </c>
      <c r="D987" s="12">
        <f t="shared" si="32"/>
        <v>2961000</v>
      </c>
    </row>
    <row r="988" spans="1:4" x14ac:dyDescent="0.3">
      <c r="A988">
        <v>988</v>
      </c>
      <c r="B988">
        <v>21</v>
      </c>
      <c r="C988">
        <f t="shared" si="33"/>
        <v>18812</v>
      </c>
      <c r="D988" s="12">
        <f t="shared" si="32"/>
        <v>2964000</v>
      </c>
    </row>
    <row r="989" spans="1:4" x14ac:dyDescent="0.3">
      <c r="A989">
        <v>989</v>
      </c>
      <c r="B989">
        <v>21</v>
      </c>
      <c r="C989">
        <f t="shared" si="33"/>
        <v>18833</v>
      </c>
      <c r="D989" s="12">
        <f t="shared" si="32"/>
        <v>2967000</v>
      </c>
    </row>
    <row r="990" spans="1:4" x14ac:dyDescent="0.3">
      <c r="A990">
        <v>990</v>
      </c>
      <c r="B990">
        <v>21</v>
      </c>
      <c r="C990">
        <f t="shared" si="33"/>
        <v>18854</v>
      </c>
      <c r="D990" s="12">
        <f t="shared" si="32"/>
        <v>2970000</v>
      </c>
    </row>
    <row r="991" spans="1:4" x14ac:dyDescent="0.3">
      <c r="A991">
        <v>991</v>
      </c>
      <c r="B991">
        <v>21</v>
      </c>
      <c r="C991">
        <f t="shared" si="33"/>
        <v>18875</v>
      </c>
      <c r="D991" s="12">
        <f t="shared" si="32"/>
        <v>2973000</v>
      </c>
    </row>
    <row r="992" spans="1:4" x14ac:dyDescent="0.3">
      <c r="A992">
        <v>992</v>
      </c>
      <c r="B992">
        <v>21</v>
      </c>
      <c r="C992">
        <f t="shared" si="33"/>
        <v>18896</v>
      </c>
      <c r="D992" s="12">
        <f t="shared" si="32"/>
        <v>2976000</v>
      </c>
    </row>
    <row r="993" spans="1:4" x14ac:dyDescent="0.3">
      <c r="A993">
        <v>993</v>
      </c>
      <c r="B993">
        <v>21</v>
      </c>
      <c r="C993">
        <f t="shared" si="33"/>
        <v>18917</v>
      </c>
      <c r="D993" s="12">
        <f t="shared" si="32"/>
        <v>2979000</v>
      </c>
    </row>
    <row r="994" spans="1:4" x14ac:dyDescent="0.3">
      <c r="A994">
        <v>994</v>
      </c>
      <c r="B994">
        <v>21</v>
      </c>
      <c r="C994">
        <f t="shared" si="33"/>
        <v>18938</v>
      </c>
      <c r="D994" s="12">
        <f t="shared" si="32"/>
        <v>2982000</v>
      </c>
    </row>
    <row r="995" spans="1:4" x14ac:dyDescent="0.3">
      <c r="A995">
        <v>995</v>
      </c>
      <c r="B995">
        <v>21</v>
      </c>
      <c r="C995">
        <f t="shared" si="33"/>
        <v>18959</v>
      </c>
      <c r="D995" s="12">
        <f t="shared" si="32"/>
        <v>2985000</v>
      </c>
    </row>
    <row r="996" spans="1:4" x14ac:dyDescent="0.3">
      <c r="A996">
        <v>996</v>
      </c>
      <c r="B996">
        <v>21</v>
      </c>
      <c r="C996">
        <f t="shared" si="33"/>
        <v>18980</v>
      </c>
      <c r="D996" s="12">
        <f t="shared" si="32"/>
        <v>2988000</v>
      </c>
    </row>
    <row r="997" spans="1:4" x14ac:dyDescent="0.3">
      <c r="A997">
        <v>997</v>
      </c>
      <c r="B997">
        <v>21</v>
      </c>
      <c r="C997">
        <f t="shared" si="33"/>
        <v>19001</v>
      </c>
      <c r="D997" s="12">
        <f t="shared" si="32"/>
        <v>2991000</v>
      </c>
    </row>
    <row r="998" spans="1:4" x14ac:dyDescent="0.3">
      <c r="A998">
        <v>998</v>
      </c>
      <c r="B998">
        <v>21</v>
      </c>
      <c r="C998">
        <f t="shared" si="33"/>
        <v>19022</v>
      </c>
      <c r="D998" s="12">
        <f t="shared" si="32"/>
        <v>2994000</v>
      </c>
    </row>
    <row r="999" spans="1:4" x14ac:dyDescent="0.3">
      <c r="A999">
        <v>999</v>
      </c>
      <c r="B999">
        <v>21</v>
      </c>
      <c r="C999">
        <f t="shared" si="33"/>
        <v>19043</v>
      </c>
      <c r="D999" s="12">
        <f t="shared" si="32"/>
        <v>2997000</v>
      </c>
    </row>
    <row r="1000" spans="1:4" x14ac:dyDescent="0.3">
      <c r="A1000">
        <v>1000</v>
      </c>
      <c r="B1000">
        <v>21</v>
      </c>
      <c r="C1000">
        <f t="shared" si="33"/>
        <v>19064</v>
      </c>
      <c r="D1000" s="12">
        <f t="shared" si="32"/>
        <v>3000000</v>
      </c>
    </row>
    <row r="1001" spans="1:4" x14ac:dyDescent="0.3">
      <c r="A1001">
        <v>1001</v>
      </c>
      <c r="B1001">
        <v>21</v>
      </c>
      <c r="C1001">
        <f t="shared" si="33"/>
        <v>19085</v>
      </c>
      <c r="D1001" s="12">
        <f t="shared" si="32"/>
        <v>3003000</v>
      </c>
    </row>
    <row r="1002" spans="1:4" x14ac:dyDescent="0.3">
      <c r="A1002">
        <v>1002</v>
      </c>
      <c r="B1002">
        <v>21</v>
      </c>
      <c r="C1002">
        <f t="shared" si="33"/>
        <v>19106</v>
      </c>
      <c r="D1002" s="12">
        <f t="shared" si="32"/>
        <v>3006000</v>
      </c>
    </row>
    <row r="1003" spans="1:4" x14ac:dyDescent="0.3">
      <c r="A1003">
        <v>1003</v>
      </c>
      <c r="B1003">
        <v>21</v>
      </c>
      <c r="C1003">
        <f t="shared" si="33"/>
        <v>19127</v>
      </c>
      <c r="D1003" s="12">
        <f t="shared" si="32"/>
        <v>3009000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비교 </vt:lpstr>
      <vt:lpstr>능력치</vt:lpstr>
      <vt:lpstr>확율계산</vt:lpstr>
      <vt:lpstr>소환횟수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2025-08-04T05:22:46Z</dcterms:created>
  <dcterms:modified xsi:type="dcterms:W3CDTF">2025-08-07T08:36:59Z</dcterms:modified>
</cp:coreProperties>
</file>