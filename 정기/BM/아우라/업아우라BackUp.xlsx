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JJG\엑셀\정기\BM\아우라\"/>
    </mc:Choice>
  </mc:AlternateContent>
  <xr:revisionPtr revIDLastSave="0" documentId="13_ncr:1_{A3D8BF1E-5065-49D7-9DF4-56A2BE7DDBC9}" xr6:coauthVersionLast="47" xr6:coauthVersionMax="47" xr10:uidLastSave="{00000000-0000-0000-0000-000000000000}"/>
  <bookViews>
    <workbookView xWindow="-120" yWindow="-120" windowWidth="29040" windowHeight="15720" activeTab="1" xr2:uid="{1F01208C-37A0-4ED2-BEE4-5B146DDE4991}"/>
  </bookViews>
  <sheets>
    <sheet name="비교 " sheetId="1" r:id="rId1"/>
    <sheet name="능력치" sheetId="3" r:id="rId2"/>
    <sheet name="확율계산" sheetId="4" r:id="rId3"/>
    <sheet name="소환횟수" sheetId="5" r:id="rId4"/>
    <sheet name="슬키 비용" sheetId="6" r:id="rId5"/>
  </sheets>
  <externalReferences>
    <externalReference r:id="rId6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66" i="3" l="1"/>
  <c r="G67" i="3" s="1"/>
  <c r="D65" i="3"/>
  <c r="D64" i="3"/>
  <c r="D63" i="3"/>
  <c r="D62" i="3"/>
  <c r="D61" i="3"/>
  <c r="D60" i="3"/>
  <c r="D59" i="3"/>
  <c r="D58" i="3"/>
  <c r="D57" i="3"/>
  <c r="D56" i="3"/>
  <c r="D55" i="3"/>
  <c r="D54" i="3"/>
  <c r="D53" i="3"/>
  <c r="D52" i="3"/>
  <c r="D51" i="3"/>
  <c r="D50" i="3"/>
  <c r="D49" i="3"/>
  <c r="D48" i="3"/>
  <c r="D47" i="3"/>
  <c r="D46" i="3"/>
  <c r="L71" i="3"/>
  <c r="BL5" i="6" l="1" a="1"/>
  <c r="BL5" i="6" s="1"/>
  <c r="J28" i="6"/>
  <c r="AL567" i="6"/>
  <c r="AM567" i="6"/>
  <c r="AN567" i="6"/>
  <c r="AO567" i="6"/>
  <c r="AP567" i="6"/>
  <c r="AQ567" i="6"/>
  <c r="AR567" i="6"/>
  <c r="AS567" i="6"/>
  <c r="AT567" i="6"/>
  <c r="AU567" i="6"/>
  <c r="AV567" i="6"/>
  <c r="AW567" i="6"/>
  <c r="AX567" i="6"/>
  <c r="AY567" i="6"/>
  <c r="AZ567" i="6"/>
  <c r="BA567" i="6"/>
  <c r="BB567" i="6"/>
  <c r="BC567" i="6"/>
  <c r="BD567" i="6"/>
  <c r="BE567" i="6"/>
  <c r="BF567" i="6"/>
  <c r="BG567" i="6"/>
  <c r="BH567" i="6"/>
  <c r="BI567" i="6"/>
  <c r="BJ567" i="6"/>
  <c r="BK567" i="6"/>
  <c r="AL568" i="6"/>
  <c r="AM568" i="6"/>
  <c r="AN568" i="6"/>
  <c r="AO568" i="6"/>
  <c r="AP568" i="6"/>
  <c r="AQ568" i="6"/>
  <c r="AR568" i="6"/>
  <c r="AS568" i="6"/>
  <c r="AT568" i="6"/>
  <c r="AU568" i="6"/>
  <c r="AV568" i="6"/>
  <c r="AW568" i="6"/>
  <c r="AX568" i="6"/>
  <c r="AY568" i="6"/>
  <c r="AZ568" i="6"/>
  <c r="BA568" i="6"/>
  <c r="BB568" i="6"/>
  <c r="BC568" i="6"/>
  <c r="BD568" i="6"/>
  <c r="BE568" i="6"/>
  <c r="BF568" i="6"/>
  <c r="BG568" i="6"/>
  <c r="BH568" i="6"/>
  <c r="BI568" i="6"/>
  <c r="BJ568" i="6"/>
  <c r="BK568" i="6"/>
  <c r="AL569" i="6"/>
  <c r="AM569" i="6"/>
  <c r="AN569" i="6"/>
  <c r="AO569" i="6"/>
  <c r="AP569" i="6"/>
  <c r="AQ569" i="6"/>
  <c r="AR569" i="6"/>
  <c r="AS569" i="6"/>
  <c r="AT569" i="6"/>
  <c r="AU569" i="6"/>
  <c r="AV569" i="6"/>
  <c r="AW569" i="6"/>
  <c r="AX569" i="6"/>
  <c r="AY569" i="6"/>
  <c r="AZ569" i="6"/>
  <c r="BA569" i="6"/>
  <c r="BB569" i="6"/>
  <c r="BC569" i="6"/>
  <c r="BD569" i="6"/>
  <c r="BE569" i="6"/>
  <c r="BF569" i="6"/>
  <c r="BG569" i="6"/>
  <c r="BH569" i="6"/>
  <c r="BI569" i="6"/>
  <c r="BJ569" i="6"/>
  <c r="BK569" i="6"/>
  <c r="AL570" i="6"/>
  <c r="AM570" i="6"/>
  <c r="AN570" i="6"/>
  <c r="AO570" i="6"/>
  <c r="AP570" i="6"/>
  <c r="AQ570" i="6"/>
  <c r="AR570" i="6"/>
  <c r="AS570" i="6"/>
  <c r="AT570" i="6"/>
  <c r="AU570" i="6"/>
  <c r="AV570" i="6"/>
  <c r="AW570" i="6"/>
  <c r="AX570" i="6"/>
  <c r="AY570" i="6"/>
  <c r="AZ570" i="6"/>
  <c r="BA570" i="6"/>
  <c r="BB570" i="6"/>
  <c r="BC570" i="6"/>
  <c r="BD570" i="6"/>
  <c r="BE570" i="6"/>
  <c r="BF570" i="6"/>
  <c r="BG570" i="6"/>
  <c r="BH570" i="6"/>
  <c r="BI570" i="6"/>
  <c r="BJ570" i="6"/>
  <c r="BK570" i="6"/>
  <c r="AL571" i="6"/>
  <c r="AM571" i="6"/>
  <c r="AN571" i="6"/>
  <c r="AO571" i="6"/>
  <c r="AP571" i="6"/>
  <c r="AQ571" i="6"/>
  <c r="AR571" i="6"/>
  <c r="AS571" i="6"/>
  <c r="AT571" i="6"/>
  <c r="AU571" i="6"/>
  <c r="AV571" i="6"/>
  <c r="AW571" i="6"/>
  <c r="AX571" i="6"/>
  <c r="AY571" i="6"/>
  <c r="AZ571" i="6"/>
  <c r="BA571" i="6"/>
  <c r="BB571" i="6"/>
  <c r="BC571" i="6"/>
  <c r="BD571" i="6"/>
  <c r="BE571" i="6"/>
  <c r="BF571" i="6"/>
  <c r="BG571" i="6"/>
  <c r="BH571" i="6"/>
  <c r="BI571" i="6"/>
  <c r="BJ571" i="6"/>
  <c r="BK571" i="6"/>
  <c r="AL572" i="6"/>
  <c r="AM572" i="6"/>
  <c r="AN572" i="6"/>
  <c r="AO572" i="6"/>
  <c r="AP572" i="6"/>
  <c r="AQ572" i="6"/>
  <c r="AR572" i="6"/>
  <c r="AS572" i="6"/>
  <c r="AT572" i="6"/>
  <c r="AU572" i="6"/>
  <c r="AV572" i="6"/>
  <c r="AW572" i="6"/>
  <c r="AX572" i="6"/>
  <c r="AY572" i="6"/>
  <c r="AZ572" i="6"/>
  <c r="BA572" i="6"/>
  <c r="BB572" i="6"/>
  <c r="BC572" i="6"/>
  <c r="BD572" i="6"/>
  <c r="BE572" i="6"/>
  <c r="BF572" i="6"/>
  <c r="BG572" i="6"/>
  <c r="BH572" i="6"/>
  <c r="BI572" i="6"/>
  <c r="BJ572" i="6"/>
  <c r="BK572" i="6"/>
  <c r="AL573" i="6"/>
  <c r="AM573" i="6"/>
  <c r="AN573" i="6"/>
  <c r="AO573" i="6"/>
  <c r="AP573" i="6"/>
  <c r="AQ573" i="6"/>
  <c r="AR573" i="6"/>
  <c r="AS573" i="6"/>
  <c r="AT573" i="6"/>
  <c r="AU573" i="6"/>
  <c r="AV573" i="6"/>
  <c r="AW573" i="6"/>
  <c r="AX573" i="6"/>
  <c r="AY573" i="6"/>
  <c r="AZ573" i="6"/>
  <c r="BA573" i="6"/>
  <c r="BB573" i="6"/>
  <c r="BC573" i="6"/>
  <c r="BD573" i="6"/>
  <c r="BE573" i="6"/>
  <c r="BF573" i="6"/>
  <c r="BG573" i="6"/>
  <c r="BH573" i="6"/>
  <c r="BI573" i="6"/>
  <c r="BJ573" i="6"/>
  <c r="BK573" i="6"/>
  <c r="AL574" i="6"/>
  <c r="AM574" i="6"/>
  <c r="AN574" i="6"/>
  <c r="AO574" i="6"/>
  <c r="AP574" i="6"/>
  <c r="AQ574" i="6"/>
  <c r="AR574" i="6"/>
  <c r="AS574" i="6"/>
  <c r="AT574" i="6"/>
  <c r="AU574" i="6"/>
  <c r="AV574" i="6"/>
  <c r="AW574" i="6"/>
  <c r="AX574" i="6"/>
  <c r="AY574" i="6"/>
  <c r="AZ574" i="6"/>
  <c r="BA574" i="6"/>
  <c r="BB574" i="6"/>
  <c r="BC574" i="6"/>
  <c r="BD574" i="6"/>
  <c r="BE574" i="6"/>
  <c r="BF574" i="6"/>
  <c r="BG574" i="6"/>
  <c r="BH574" i="6"/>
  <c r="BI574" i="6"/>
  <c r="BJ574" i="6"/>
  <c r="BK574" i="6"/>
  <c r="AL575" i="6"/>
  <c r="AM575" i="6"/>
  <c r="AN575" i="6"/>
  <c r="AO575" i="6"/>
  <c r="AP575" i="6"/>
  <c r="AQ575" i="6"/>
  <c r="AR575" i="6"/>
  <c r="AS575" i="6"/>
  <c r="AT575" i="6"/>
  <c r="AU575" i="6"/>
  <c r="AV575" i="6"/>
  <c r="AW575" i="6"/>
  <c r="AX575" i="6"/>
  <c r="AY575" i="6"/>
  <c r="AZ575" i="6"/>
  <c r="BA575" i="6"/>
  <c r="BB575" i="6"/>
  <c r="BC575" i="6"/>
  <c r="BD575" i="6"/>
  <c r="BE575" i="6"/>
  <c r="BF575" i="6"/>
  <c r="BG575" i="6"/>
  <c r="BH575" i="6"/>
  <c r="BI575" i="6"/>
  <c r="BJ575" i="6"/>
  <c r="BK575" i="6"/>
  <c r="AL576" i="6"/>
  <c r="AM576" i="6"/>
  <c r="AN576" i="6"/>
  <c r="AO576" i="6"/>
  <c r="AP576" i="6"/>
  <c r="AQ576" i="6"/>
  <c r="AR576" i="6"/>
  <c r="AS576" i="6"/>
  <c r="AT576" i="6"/>
  <c r="AU576" i="6"/>
  <c r="AV576" i="6"/>
  <c r="AW576" i="6"/>
  <c r="AX576" i="6"/>
  <c r="AY576" i="6"/>
  <c r="AZ576" i="6"/>
  <c r="BA576" i="6"/>
  <c r="BB576" i="6"/>
  <c r="BC576" i="6"/>
  <c r="BD576" i="6"/>
  <c r="BE576" i="6"/>
  <c r="BF576" i="6"/>
  <c r="BG576" i="6"/>
  <c r="BH576" i="6"/>
  <c r="BI576" i="6"/>
  <c r="BJ576" i="6"/>
  <c r="BK576" i="6"/>
  <c r="AL577" i="6"/>
  <c r="AM577" i="6"/>
  <c r="AN577" i="6"/>
  <c r="AO577" i="6"/>
  <c r="AP577" i="6"/>
  <c r="AQ577" i="6"/>
  <c r="AR577" i="6"/>
  <c r="AS577" i="6"/>
  <c r="AT577" i="6"/>
  <c r="AU577" i="6"/>
  <c r="AV577" i="6"/>
  <c r="AW577" i="6"/>
  <c r="AX577" i="6"/>
  <c r="AY577" i="6"/>
  <c r="AZ577" i="6"/>
  <c r="BA577" i="6"/>
  <c r="BB577" i="6"/>
  <c r="BC577" i="6"/>
  <c r="BD577" i="6"/>
  <c r="BE577" i="6"/>
  <c r="BF577" i="6"/>
  <c r="BG577" i="6"/>
  <c r="BH577" i="6"/>
  <c r="BI577" i="6"/>
  <c r="BJ577" i="6"/>
  <c r="BK577" i="6"/>
  <c r="AL578" i="6"/>
  <c r="AM578" i="6"/>
  <c r="AN578" i="6"/>
  <c r="AO578" i="6"/>
  <c r="AP578" i="6"/>
  <c r="AQ578" i="6"/>
  <c r="AR578" i="6"/>
  <c r="AS578" i="6"/>
  <c r="AT578" i="6"/>
  <c r="AU578" i="6"/>
  <c r="AV578" i="6"/>
  <c r="AW578" i="6"/>
  <c r="AX578" i="6"/>
  <c r="AY578" i="6"/>
  <c r="AZ578" i="6"/>
  <c r="BA578" i="6"/>
  <c r="BB578" i="6"/>
  <c r="BC578" i="6"/>
  <c r="BD578" i="6"/>
  <c r="BE578" i="6"/>
  <c r="BF578" i="6"/>
  <c r="BG578" i="6"/>
  <c r="BH578" i="6"/>
  <c r="BI578" i="6"/>
  <c r="BJ578" i="6"/>
  <c r="BK578" i="6"/>
  <c r="AL579" i="6"/>
  <c r="AM579" i="6"/>
  <c r="AN579" i="6"/>
  <c r="AO579" i="6"/>
  <c r="AP579" i="6"/>
  <c r="AQ579" i="6"/>
  <c r="AR579" i="6"/>
  <c r="AS579" i="6"/>
  <c r="AT579" i="6"/>
  <c r="AU579" i="6"/>
  <c r="AV579" i="6"/>
  <c r="AW579" i="6"/>
  <c r="AX579" i="6"/>
  <c r="AY579" i="6"/>
  <c r="AZ579" i="6"/>
  <c r="BA579" i="6"/>
  <c r="BB579" i="6"/>
  <c r="BC579" i="6"/>
  <c r="BD579" i="6"/>
  <c r="BE579" i="6"/>
  <c r="BF579" i="6"/>
  <c r="BG579" i="6"/>
  <c r="BH579" i="6"/>
  <c r="BI579" i="6"/>
  <c r="BJ579" i="6"/>
  <c r="BK579" i="6"/>
  <c r="AL580" i="6"/>
  <c r="AM580" i="6"/>
  <c r="AN580" i="6"/>
  <c r="AO580" i="6"/>
  <c r="AP580" i="6"/>
  <c r="AQ580" i="6"/>
  <c r="AR580" i="6"/>
  <c r="AS580" i="6"/>
  <c r="AT580" i="6"/>
  <c r="AU580" i="6"/>
  <c r="AV580" i="6"/>
  <c r="AW580" i="6"/>
  <c r="AX580" i="6"/>
  <c r="AY580" i="6"/>
  <c r="AZ580" i="6"/>
  <c r="BA580" i="6"/>
  <c r="BB580" i="6"/>
  <c r="BC580" i="6"/>
  <c r="BD580" i="6"/>
  <c r="BE580" i="6"/>
  <c r="BF580" i="6"/>
  <c r="BG580" i="6"/>
  <c r="BH580" i="6"/>
  <c r="BI580" i="6"/>
  <c r="BJ580" i="6"/>
  <c r="BK580" i="6"/>
  <c r="AL581" i="6"/>
  <c r="AM581" i="6"/>
  <c r="AN581" i="6"/>
  <c r="AO581" i="6"/>
  <c r="AP581" i="6"/>
  <c r="AQ581" i="6"/>
  <c r="AR581" i="6"/>
  <c r="AS581" i="6"/>
  <c r="AT581" i="6"/>
  <c r="AU581" i="6"/>
  <c r="AV581" i="6"/>
  <c r="AW581" i="6"/>
  <c r="AX581" i="6"/>
  <c r="AY581" i="6"/>
  <c r="AZ581" i="6"/>
  <c r="BA581" i="6"/>
  <c r="BB581" i="6"/>
  <c r="BC581" i="6"/>
  <c r="BD581" i="6"/>
  <c r="BE581" i="6"/>
  <c r="BF581" i="6"/>
  <c r="BG581" i="6"/>
  <c r="BH581" i="6"/>
  <c r="BI581" i="6"/>
  <c r="BJ581" i="6"/>
  <c r="BK581" i="6"/>
  <c r="AL582" i="6"/>
  <c r="AM582" i="6"/>
  <c r="AN582" i="6"/>
  <c r="AO582" i="6"/>
  <c r="AP582" i="6"/>
  <c r="AQ582" i="6"/>
  <c r="AR582" i="6"/>
  <c r="AS582" i="6"/>
  <c r="AT582" i="6"/>
  <c r="AU582" i="6"/>
  <c r="AV582" i="6"/>
  <c r="AW582" i="6"/>
  <c r="AX582" i="6"/>
  <c r="AY582" i="6"/>
  <c r="AZ582" i="6"/>
  <c r="BA582" i="6"/>
  <c r="BB582" i="6"/>
  <c r="BC582" i="6"/>
  <c r="BD582" i="6"/>
  <c r="BE582" i="6"/>
  <c r="BF582" i="6"/>
  <c r="BG582" i="6"/>
  <c r="BH582" i="6"/>
  <c r="BI582" i="6"/>
  <c r="BJ582" i="6"/>
  <c r="BK582" i="6"/>
  <c r="AL583" i="6"/>
  <c r="AM583" i="6"/>
  <c r="AN583" i="6"/>
  <c r="AO583" i="6"/>
  <c r="AP583" i="6"/>
  <c r="AQ583" i="6"/>
  <c r="AR583" i="6"/>
  <c r="AS583" i="6"/>
  <c r="AT583" i="6"/>
  <c r="AU583" i="6"/>
  <c r="AV583" i="6"/>
  <c r="AW583" i="6"/>
  <c r="AX583" i="6"/>
  <c r="AY583" i="6"/>
  <c r="AZ583" i="6"/>
  <c r="BA583" i="6"/>
  <c r="BB583" i="6"/>
  <c r="BC583" i="6"/>
  <c r="BD583" i="6"/>
  <c r="BE583" i="6"/>
  <c r="BF583" i="6"/>
  <c r="BG583" i="6"/>
  <c r="BH583" i="6"/>
  <c r="BI583" i="6"/>
  <c r="BJ583" i="6"/>
  <c r="BK583" i="6"/>
  <c r="AL584" i="6"/>
  <c r="AM584" i="6"/>
  <c r="AN584" i="6"/>
  <c r="AO584" i="6"/>
  <c r="AP584" i="6"/>
  <c r="AQ584" i="6"/>
  <c r="AR584" i="6"/>
  <c r="AS584" i="6"/>
  <c r="AT584" i="6"/>
  <c r="AU584" i="6"/>
  <c r="AV584" i="6"/>
  <c r="AW584" i="6"/>
  <c r="AX584" i="6"/>
  <c r="AY584" i="6"/>
  <c r="AZ584" i="6"/>
  <c r="BA584" i="6"/>
  <c r="BB584" i="6"/>
  <c r="BC584" i="6"/>
  <c r="BD584" i="6"/>
  <c r="BE584" i="6"/>
  <c r="BF584" i="6"/>
  <c r="BG584" i="6"/>
  <c r="BH584" i="6"/>
  <c r="BI584" i="6"/>
  <c r="BJ584" i="6"/>
  <c r="BK584" i="6"/>
  <c r="AL585" i="6"/>
  <c r="AM585" i="6"/>
  <c r="AN585" i="6"/>
  <c r="AO585" i="6"/>
  <c r="AP585" i="6"/>
  <c r="AQ585" i="6"/>
  <c r="AR585" i="6"/>
  <c r="AS585" i="6"/>
  <c r="AT585" i="6"/>
  <c r="AU585" i="6"/>
  <c r="AV585" i="6"/>
  <c r="AW585" i="6"/>
  <c r="AX585" i="6"/>
  <c r="AY585" i="6"/>
  <c r="AZ585" i="6"/>
  <c r="BA585" i="6"/>
  <c r="BB585" i="6"/>
  <c r="BC585" i="6"/>
  <c r="BD585" i="6"/>
  <c r="BE585" i="6"/>
  <c r="BF585" i="6"/>
  <c r="BG585" i="6"/>
  <c r="BH585" i="6"/>
  <c r="BI585" i="6"/>
  <c r="BJ585" i="6"/>
  <c r="BK585" i="6"/>
  <c r="AL586" i="6"/>
  <c r="AM586" i="6"/>
  <c r="AN586" i="6"/>
  <c r="AO586" i="6"/>
  <c r="AP586" i="6"/>
  <c r="AQ586" i="6"/>
  <c r="AR586" i="6"/>
  <c r="AS586" i="6"/>
  <c r="AT586" i="6"/>
  <c r="AU586" i="6"/>
  <c r="AV586" i="6"/>
  <c r="AW586" i="6"/>
  <c r="AX586" i="6"/>
  <c r="AY586" i="6"/>
  <c r="AZ586" i="6"/>
  <c r="BA586" i="6"/>
  <c r="BB586" i="6"/>
  <c r="BC586" i="6"/>
  <c r="BD586" i="6"/>
  <c r="BE586" i="6"/>
  <c r="BF586" i="6"/>
  <c r="BG586" i="6"/>
  <c r="BH586" i="6"/>
  <c r="BI586" i="6"/>
  <c r="BJ586" i="6"/>
  <c r="BK586" i="6"/>
  <c r="AL587" i="6"/>
  <c r="AM587" i="6"/>
  <c r="AN587" i="6"/>
  <c r="AO587" i="6"/>
  <c r="AP587" i="6"/>
  <c r="AQ587" i="6"/>
  <c r="AR587" i="6"/>
  <c r="AS587" i="6"/>
  <c r="AT587" i="6"/>
  <c r="AU587" i="6"/>
  <c r="AV587" i="6"/>
  <c r="AW587" i="6"/>
  <c r="AX587" i="6"/>
  <c r="AY587" i="6"/>
  <c r="AZ587" i="6"/>
  <c r="BA587" i="6"/>
  <c r="BB587" i="6"/>
  <c r="BC587" i="6"/>
  <c r="BD587" i="6"/>
  <c r="BE587" i="6"/>
  <c r="BF587" i="6"/>
  <c r="BG587" i="6"/>
  <c r="BH587" i="6"/>
  <c r="BI587" i="6"/>
  <c r="BJ587" i="6"/>
  <c r="BK587" i="6"/>
  <c r="AL588" i="6"/>
  <c r="AM588" i="6"/>
  <c r="AN588" i="6"/>
  <c r="AO588" i="6"/>
  <c r="AP588" i="6"/>
  <c r="AQ588" i="6"/>
  <c r="AR588" i="6"/>
  <c r="AS588" i="6"/>
  <c r="AT588" i="6"/>
  <c r="AU588" i="6"/>
  <c r="AV588" i="6"/>
  <c r="AW588" i="6"/>
  <c r="AX588" i="6"/>
  <c r="AY588" i="6"/>
  <c r="AZ588" i="6"/>
  <c r="BA588" i="6"/>
  <c r="BB588" i="6"/>
  <c r="BC588" i="6"/>
  <c r="BD588" i="6"/>
  <c r="BE588" i="6"/>
  <c r="BF588" i="6"/>
  <c r="BG588" i="6"/>
  <c r="BH588" i="6"/>
  <c r="BI588" i="6"/>
  <c r="BJ588" i="6"/>
  <c r="BK588" i="6"/>
  <c r="AL589" i="6"/>
  <c r="AM589" i="6"/>
  <c r="AN589" i="6"/>
  <c r="AO589" i="6"/>
  <c r="AP589" i="6"/>
  <c r="AQ589" i="6"/>
  <c r="AR589" i="6"/>
  <c r="AS589" i="6"/>
  <c r="AT589" i="6"/>
  <c r="AU589" i="6"/>
  <c r="AV589" i="6"/>
  <c r="AW589" i="6"/>
  <c r="AX589" i="6"/>
  <c r="AY589" i="6"/>
  <c r="AZ589" i="6"/>
  <c r="BA589" i="6"/>
  <c r="BB589" i="6"/>
  <c r="BC589" i="6"/>
  <c r="BD589" i="6"/>
  <c r="BE589" i="6"/>
  <c r="BF589" i="6"/>
  <c r="BG589" i="6"/>
  <c r="BH589" i="6"/>
  <c r="BI589" i="6"/>
  <c r="BJ589" i="6"/>
  <c r="BK589" i="6"/>
  <c r="AL590" i="6"/>
  <c r="AM590" i="6"/>
  <c r="AN590" i="6"/>
  <c r="AO590" i="6"/>
  <c r="AP590" i="6"/>
  <c r="AQ590" i="6"/>
  <c r="AR590" i="6"/>
  <c r="AS590" i="6"/>
  <c r="AT590" i="6"/>
  <c r="AU590" i="6"/>
  <c r="AV590" i="6"/>
  <c r="AW590" i="6"/>
  <c r="AX590" i="6"/>
  <c r="AY590" i="6"/>
  <c r="AZ590" i="6"/>
  <c r="BA590" i="6"/>
  <c r="BB590" i="6"/>
  <c r="BC590" i="6"/>
  <c r="BD590" i="6"/>
  <c r="BE590" i="6"/>
  <c r="BF590" i="6"/>
  <c r="BG590" i="6"/>
  <c r="BH590" i="6"/>
  <c r="BI590" i="6"/>
  <c r="BJ590" i="6"/>
  <c r="BK590" i="6"/>
  <c r="AL591" i="6"/>
  <c r="AM591" i="6"/>
  <c r="AN591" i="6"/>
  <c r="AO591" i="6"/>
  <c r="AP591" i="6"/>
  <c r="AQ591" i="6"/>
  <c r="AR591" i="6"/>
  <c r="AS591" i="6"/>
  <c r="AT591" i="6"/>
  <c r="AU591" i="6"/>
  <c r="AV591" i="6"/>
  <c r="AW591" i="6"/>
  <c r="AX591" i="6"/>
  <c r="AY591" i="6"/>
  <c r="AZ591" i="6"/>
  <c r="BA591" i="6"/>
  <c r="BB591" i="6"/>
  <c r="BC591" i="6"/>
  <c r="BD591" i="6"/>
  <c r="BE591" i="6"/>
  <c r="BF591" i="6"/>
  <c r="BG591" i="6"/>
  <c r="BH591" i="6"/>
  <c r="BI591" i="6"/>
  <c r="BJ591" i="6"/>
  <c r="BK591" i="6"/>
  <c r="AL592" i="6"/>
  <c r="AM592" i="6"/>
  <c r="AN592" i="6"/>
  <c r="AO592" i="6"/>
  <c r="AP592" i="6"/>
  <c r="AQ592" i="6"/>
  <c r="AR592" i="6"/>
  <c r="AS592" i="6"/>
  <c r="AT592" i="6"/>
  <c r="AU592" i="6"/>
  <c r="AV592" i="6"/>
  <c r="AW592" i="6"/>
  <c r="AX592" i="6"/>
  <c r="AY592" i="6"/>
  <c r="AZ592" i="6"/>
  <c r="BA592" i="6"/>
  <c r="BB592" i="6"/>
  <c r="BC592" i="6"/>
  <c r="BD592" i="6"/>
  <c r="BE592" i="6"/>
  <c r="BF592" i="6"/>
  <c r="BG592" i="6"/>
  <c r="BH592" i="6"/>
  <c r="BI592" i="6"/>
  <c r="BJ592" i="6"/>
  <c r="BK592" i="6"/>
  <c r="AL593" i="6"/>
  <c r="AM593" i="6"/>
  <c r="AN593" i="6"/>
  <c r="AO593" i="6"/>
  <c r="AP593" i="6"/>
  <c r="AQ593" i="6"/>
  <c r="AR593" i="6"/>
  <c r="AS593" i="6"/>
  <c r="AT593" i="6"/>
  <c r="AU593" i="6"/>
  <c r="AV593" i="6"/>
  <c r="AW593" i="6"/>
  <c r="AX593" i="6"/>
  <c r="AY593" i="6"/>
  <c r="AZ593" i="6"/>
  <c r="BA593" i="6"/>
  <c r="BB593" i="6"/>
  <c r="BC593" i="6"/>
  <c r="BD593" i="6"/>
  <c r="BE593" i="6"/>
  <c r="BF593" i="6"/>
  <c r="BG593" i="6"/>
  <c r="BH593" i="6"/>
  <c r="BI593" i="6"/>
  <c r="BJ593" i="6"/>
  <c r="BK593" i="6"/>
  <c r="AL594" i="6"/>
  <c r="AM594" i="6"/>
  <c r="AN594" i="6"/>
  <c r="AO594" i="6"/>
  <c r="AP594" i="6"/>
  <c r="AQ594" i="6"/>
  <c r="AR594" i="6"/>
  <c r="AS594" i="6"/>
  <c r="AT594" i="6"/>
  <c r="AU594" i="6"/>
  <c r="AV594" i="6"/>
  <c r="AW594" i="6"/>
  <c r="AX594" i="6"/>
  <c r="AY594" i="6"/>
  <c r="AZ594" i="6"/>
  <c r="BA594" i="6"/>
  <c r="BB594" i="6"/>
  <c r="BC594" i="6"/>
  <c r="BD594" i="6"/>
  <c r="BE594" i="6"/>
  <c r="BF594" i="6"/>
  <c r="BG594" i="6"/>
  <c r="BH594" i="6"/>
  <c r="BI594" i="6"/>
  <c r="BJ594" i="6"/>
  <c r="BK594" i="6"/>
  <c r="AL595" i="6"/>
  <c r="AM595" i="6"/>
  <c r="AN595" i="6"/>
  <c r="AO595" i="6"/>
  <c r="AP595" i="6"/>
  <c r="AQ595" i="6"/>
  <c r="AR595" i="6"/>
  <c r="AS595" i="6"/>
  <c r="AT595" i="6"/>
  <c r="AU595" i="6"/>
  <c r="AV595" i="6"/>
  <c r="AW595" i="6"/>
  <c r="AX595" i="6"/>
  <c r="AY595" i="6"/>
  <c r="AZ595" i="6"/>
  <c r="BA595" i="6"/>
  <c r="BB595" i="6"/>
  <c r="BC595" i="6"/>
  <c r="BD595" i="6"/>
  <c r="BE595" i="6"/>
  <c r="BF595" i="6"/>
  <c r="BG595" i="6"/>
  <c r="BH595" i="6"/>
  <c r="BI595" i="6"/>
  <c r="BJ595" i="6"/>
  <c r="BK595" i="6"/>
  <c r="AL596" i="6"/>
  <c r="AM596" i="6"/>
  <c r="AN596" i="6"/>
  <c r="AO596" i="6"/>
  <c r="AP596" i="6"/>
  <c r="AQ596" i="6"/>
  <c r="AR596" i="6"/>
  <c r="AS596" i="6"/>
  <c r="AT596" i="6"/>
  <c r="AU596" i="6"/>
  <c r="AV596" i="6"/>
  <c r="AW596" i="6"/>
  <c r="AX596" i="6"/>
  <c r="AY596" i="6"/>
  <c r="AZ596" i="6"/>
  <c r="BA596" i="6"/>
  <c r="BB596" i="6"/>
  <c r="BC596" i="6"/>
  <c r="BD596" i="6"/>
  <c r="BE596" i="6"/>
  <c r="BF596" i="6"/>
  <c r="BG596" i="6"/>
  <c r="BH596" i="6"/>
  <c r="BI596" i="6"/>
  <c r="BJ596" i="6"/>
  <c r="BK596" i="6"/>
  <c r="AL597" i="6"/>
  <c r="AM597" i="6"/>
  <c r="AN597" i="6"/>
  <c r="AO597" i="6"/>
  <c r="AP597" i="6"/>
  <c r="AQ597" i="6"/>
  <c r="AR597" i="6"/>
  <c r="AS597" i="6"/>
  <c r="AT597" i="6"/>
  <c r="AU597" i="6"/>
  <c r="AV597" i="6"/>
  <c r="AW597" i="6"/>
  <c r="AX597" i="6"/>
  <c r="AY597" i="6"/>
  <c r="AZ597" i="6"/>
  <c r="BA597" i="6"/>
  <c r="BB597" i="6"/>
  <c r="BC597" i="6"/>
  <c r="BD597" i="6"/>
  <c r="BE597" i="6"/>
  <c r="BF597" i="6"/>
  <c r="BG597" i="6"/>
  <c r="BH597" i="6"/>
  <c r="BI597" i="6"/>
  <c r="BJ597" i="6"/>
  <c r="BK597" i="6"/>
  <c r="AL598" i="6"/>
  <c r="AM598" i="6"/>
  <c r="AN598" i="6"/>
  <c r="AO598" i="6"/>
  <c r="AP598" i="6"/>
  <c r="AQ598" i="6"/>
  <c r="AR598" i="6"/>
  <c r="AS598" i="6"/>
  <c r="AT598" i="6"/>
  <c r="AU598" i="6"/>
  <c r="AV598" i="6"/>
  <c r="AW598" i="6"/>
  <c r="AX598" i="6"/>
  <c r="AY598" i="6"/>
  <c r="AZ598" i="6"/>
  <c r="BA598" i="6"/>
  <c r="BB598" i="6"/>
  <c r="BC598" i="6"/>
  <c r="BD598" i="6"/>
  <c r="BE598" i="6"/>
  <c r="BF598" i="6"/>
  <c r="BG598" i="6"/>
  <c r="BH598" i="6"/>
  <c r="BI598" i="6"/>
  <c r="BJ598" i="6"/>
  <c r="BK598" i="6"/>
  <c r="AL599" i="6"/>
  <c r="AM599" i="6"/>
  <c r="AN599" i="6"/>
  <c r="AO599" i="6"/>
  <c r="AP599" i="6"/>
  <c r="AQ599" i="6"/>
  <c r="AR599" i="6"/>
  <c r="AS599" i="6"/>
  <c r="AT599" i="6"/>
  <c r="AU599" i="6"/>
  <c r="AV599" i="6"/>
  <c r="AW599" i="6"/>
  <c r="AX599" i="6"/>
  <c r="AY599" i="6"/>
  <c r="AZ599" i="6"/>
  <c r="BA599" i="6"/>
  <c r="BB599" i="6"/>
  <c r="BC599" i="6"/>
  <c r="BD599" i="6"/>
  <c r="BE599" i="6"/>
  <c r="BF599" i="6"/>
  <c r="BG599" i="6"/>
  <c r="BH599" i="6"/>
  <c r="BI599" i="6"/>
  <c r="BJ599" i="6"/>
  <c r="BK599" i="6"/>
  <c r="AL600" i="6"/>
  <c r="AM600" i="6"/>
  <c r="AN600" i="6"/>
  <c r="AO600" i="6"/>
  <c r="AP600" i="6"/>
  <c r="AQ600" i="6"/>
  <c r="AR600" i="6"/>
  <c r="AS600" i="6"/>
  <c r="AT600" i="6"/>
  <c r="AU600" i="6"/>
  <c r="AV600" i="6"/>
  <c r="AW600" i="6"/>
  <c r="AX600" i="6"/>
  <c r="AY600" i="6"/>
  <c r="AZ600" i="6"/>
  <c r="BA600" i="6"/>
  <c r="BB600" i="6"/>
  <c r="BC600" i="6"/>
  <c r="BD600" i="6"/>
  <c r="BE600" i="6"/>
  <c r="BF600" i="6"/>
  <c r="BG600" i="6"/>
  <c r="BH600" i="6"/>
  <c r="BI600" i="6"/>
  <c r="BJ600" i="6"/>
  <c r="BK600" i="6"/>
  <c r="AL601" i="6"/>
  <c r="AM601" i="6"/>
  <c r="AN601" i="6"/>
  <c r="AO601" i="6"/>
  <c r="AP601" i="6"/>
  <c r="AQ601" i="6"/>
  <c r="AR601" i="6"/>
  <c r="AS601" i="6"/>
  <c r="AT601" i="6"/>
  <c r="AU601" i="6"/>
  <c r="AV601" i="6"/>
  <c r="AW601" i="6"/>
  <c r="AX601" i="6"/>
  <c r="AY601" i="6"/>
  <c r="AZ601" i="6"/>
  <c r="BA601" i="6"/>
  <c r="BB601" i="6"/>
  <c r="BC601" i="6"/>
  <c r="BD601" i="6"/>
  <c r="BE601" i="6"/>
  <c r="BF601" i="6"/>
  <c r="BG601" i="6"/>
  <c r="BH601" i="6"/>
  <c r="BI601" i="6"/>
  <c r="BJ601" i="6"/>
  <c r="BK601" i="6"/>
  <c r="AL602" i="6"/>
  <c r="AM602" i="6"/>
  <c r="AN602" i="6"/>
  <c r="AO602" i="6"/>
  <c r="AP602" i="6"/>
  <c r="AQ602" i="6"/>
  <c r="AR602" i="6"/>
  <c r="AS602" i="6"/>
  <c r="AT602" i="6"/>
  <c r="AU602" i="6"/>
  <c r="AV602" i="6"/>
  <c r="AW602" i="6"/>
  <c r="AX602" i="6"/>
  <c r="AY602" i="6"/>
  <c r="AZ602" i="6"/>
  <c r="BA602" i="6"/>
  <c r="BB602" i="6"/>
  <c r="BC602" i="6"/>
  <c r="BD602" i="6"/>
  <c r="BE602" i="6"/>
  <c r="BF602" i="6"/>
  <c r="BG602" i="6"/>
  <c r="BH602" i="6"/>
  <c r="BI602" i="6"/>
  <c r="BJ602" i="6"/>
  <c r="BK602" i="6"/>
  <c r="AL603" i="6"/>
  <c r="AM603" i="6"/>
  <c r="AN603" i="6"/>
  <c r="AO603" i="6"/>
  <c r="AP603" i="6"/>
  <c r="AQ603" i="6"/>
  <c r="AR603" i="6"/>
  <c r="AS603" i="6"/>
  <c r="AT603" i="6"/>
  <c r="AU603" i="6"/>
  <c r="AV603" i="6"/>
  <c r="AW603" i="6"/>
  <c r="AX603" i="6"/>
  <c r="AY603" i="6"/>
  <c r="AZ603" i="6"/>
  <c r="BA603" i="6"/>
  <c r="BB603" i="6"/>
  <c r="BC603" i="6"/>
  <c r="BD603" i="6"/>
  <c r="BE603" i="6"/>
  <c r="BF603" i="6"/>
  <c r="BG603" i="6"/>
  <c r="BH603" i="6"/>
  <c r="BI603" i="6"/>
  <c r="BJ603" i="6"/>
  <c r="BK603" i="6"/>
  <c r="AL604" i="6"/>
  <c r="AM604" i="6"/>
  <c r="AN604" i="6"/>
  <c r="AO604" i="6"/>
  <c r="AP604" i="6"/>
  <c r="AQ604" i="6"/>
  <c r="AR604" i="6"/>
  <c r="AS604" i="6"/>
  <c r="AT604" i="6"/>
  <c r="AU604" i="6"/>
  <c r="AV604" i="6"/>
  <c r="AW604" i="6"/>
  <c r="AX604" i="6"/>
  <c r="AY604" i="6"/>
  <c r="AZ604" i="6"/>
  <c r="BA604" i="6"/>
  <c r="BB604" i="6"/>
  <c r="BC604" i="6"/>
  <c r="BD604" i="6"/>
  <c r="BE604" i="6"/>
  <c r="BF604" i="6"/>
  <c r="BG604" i="6"/>
  <c r="BH604" i="6"/>
  <c r="BI604" i="6"/>
  <c r="BJ604" i="6"/>
  <c r="BK604" i="6"/>
  <c r="AL605" i="6"/>
  <c r="AM605" i="6"/>
  <c r="AN605" i="6"/>
  <c r="AO605" i="6"/>
  <c r="AP605" i="6"/>
  <c r="AQ605" i="6"/>
  <c r="AR605" i="6"/>
  <c r="AS605" i="6"/>
  <c r="AT605" i="6"/>
  <c r="AU605" i="6"/>
  <c r="AV605" i="6"/>
  <c r="AW605" i="6"/>
  <c r="AX605" i="6"/>
  <c r="AY605" i="6"/>
  <c r="AZ605" i="6"/>
  <c r="BA605" i="6"/>
  <c r="BB605" i="6"/>
  <c r="BC605" i="6"/>
  <c r="BD605" i="6"/>
  <c r="BE605" i="6"/>
  <c r="BF605" i="6"/>
  <c r="BG605" i="6"/>
  <c r="BH605" i="6"/>
  <c r="BI605" i="6"/>
  <c r="BJ605" i="6"/>
  <c r="BK605" i="6"/>
  <c r="AL606" i="6"/>
  <c r="AM606" i="6"/>
  <c r="AN606" i="6"/>
  <c r="AO606" i="6"/>
  <c r="AP606" i="6"/>
  <c r="AQ606" i="6"/>
  <c r="AR606" i="6"/>
  <c r="AS606" i="6"/>
  <c r="AT606" i="6"/>
  <c r="AU606" i="6"/>
  <c r="AV606" i="6"/>
  <c r="AW606" i="6"/>
  <c r="AX606" i="6"/>
  <c r="AY606" i="6"/>
  <c r="AZ606" i="6"/>
  <c r="BA606" i="6"/>
  <c r="BB606" i="6"/>
  <c r="BC606" i="6"/>
  <c r="BD606" i="6"/>
  <c r="BE606" i="6"/>
  <c r="BF606" i="6"/>
  <c r="BG606" i="6"/>
  <c r="BH606" i="6"/>
  <c r="BI606" i="6"/>
  <c r="BJ606" i="6"/>
  <c r="BK606" i="6"/>
  <c r="AL607" i="6"/>
  <c r="AM607" i="6"/>
  <c r="AN607" i="6"/>
  <c r="AO607" i="6"/>
  <c r="AP607" i="6"/>
  <c r="AQ607" i="6"/>
  <c r="AR607" i="6"/>
  <c r="AS607" i="6"/>
  <c r="AT607" i="6"/>
  <c r="AU607" i="6"/>
  <c r="AV607" i="6"/>
  <c r="AW607" i="6"/>
  <c r="AX607" i="6"/>
  <c r="AY607" i="6"/>
  <c r="AZ607" i="6"/>
  <c r="BA607" i="6"/>
  <c r="BB607" i="6"/>
  <c r="BC607" i="6"/>
  <c r="BD607" i="6"/>
  <c r="BE607" i="6"/>
  <c r="BF607" i="6"/>
  <c r="BG607" i="6"/>
  <c r="BH607" i="6"/>
  <c r="BI607" i="6"/>
  <c r="BJ607" i="6"/>
  <c r="BK607" i="6"/>
  <c r="AL608" i="6"/>
  <c r="AM608" i="6"/>
  <c r="AN608" i="6"/>
  <c r="AO608" i="6"/>
  <c r="AP608" i="6"/>
  <c r="AQ608" i="6"/>
  <c r="AR608" i="6"/>
  <c r="AS608" i="6"/>
  <c r="AT608" i="6"/>
  <c r="AU608" i="6"/>
  <c r="AV608" i="6"/>
  <c r="AW608" i="6"/>
  <c r="AX608" i="6"/>
  <c r="AY608" i="6"/>
  <c r="AZ608" i="6"/>
  <c r="BA608" i="6"/>
  <c r="BB608" i="6"/>
  <c r="BC608" i="6"/>
  <c r="BD608" i="6"/>
  <c r="BE608" i="6"/>
  <c r="BF608" i="6"/>
  <c r="BG608" i="6"/>
  <c r="BH608" i="6"/>
  <c r="BI608" i="6"/>
  <c r="BJ608" i="6"/>
  <c r="BK608" i="6"/>
  <c r="AL609" i="6"/>
  <c r="AM609" i="6"/>
  <c r="AN609" i="6"/>
  <c r="AO609" i="6"/>
  <c r="AP609" i="6"/>
  <c r="AQ609" i="6"/>
  <c r="AR609" i="6"/>
  <c r="AS609" i="6"/>
  <c r="AT609" i="6"/>
  <c r="AU609" i="6"/>
  <c r="AV609" i="6"/>
  <c r="AW609" i="6"/>
  <c r="AX609" i="6"/>
  <c r="AY609" i="6"/>
  <c r="AZ609" i="6"/>
  <c r="BA609" i="6"/>
  <c r="BB609" i="6"/>
  <c r="BC609" i="6"/>
  <c r="BD609" i="6"/>
  <c r="BE609" i="6"/>
  <c r="BF609" i="6"/>
  <c r="BG609" i="6"/>
  <c r="BH609" i="6"/>
  <c r="BI609" i="6"/>
  <c r="BJ609" i="6"/>
  <c r="BK609" i="6"/>
  <c r="AL610" i="6"/>
  <c r="AM610" i="6"/>
  <c r="AN610" i="6"/>
  <c r="AO610" i="6"/>
  <c r="AP610" i="6"/>
  <c r="AQ610" i="6"/>
  <c r="AR610" i="6"/>
  <c r="AS610" i="6"/>
  <c r="AT610" i="6"/>
  <c r="AU610" i="6"/>
  <c r="AV610" i="6"/>
  <c r="AW610" i="6"/>
  <c r="AX610" i="6"/>
  <c r="AY610" i="6"/>
  <c r="AZ610" i="6"/>
  <c r="BA610" i="6"/>
  <c r="BB610" i="6"/>
  <c r="BC610" i="6"/>
  <c r="BD610" i="6"/>
  <c r="BE610" i="6"/>
  <c r="BF610" i="6"/>
  <c r="BG610" i="6"/>
  <c r="BH610" i="6"/>
  <c r="BI610" i="6"/>
  <c r="BJ610" i="6"/>
  <c r="BK610" i="6"/>
  <c r="AL611" i="6"/>
  <c r="AM611" i="6"/>
  <c r="AN611" i="6"/>
  <c r="AO611" i="6"/>
  <c r="AP611" i="6"/>
  <c r="AQ611" i="6"/>
  <c r="AR611" i="6"/>
  <c r="AS611" i="6"/>
  <c r="AT611" i="6"/>
  <c r="AU611" i="6"/>
  <c r="AV611" i="6"/>
  <c r="AW611" i="6"/>
  <c r="AX611" i="6"/>
  <c r="AY611" i="6"/>
  <c r="AZ611" i="6"/>
  <c r="BA611" i="6"/>
  <c r="BB611" i="6"/>
  <c r="BC611" i="6"/>
  <c r="BD611" i="6"/>
  <c r="BE611" i="6"/>
  <c r="BF611" i="6"/>
  <c r="BG611" i="6"/>
  <c r="BH611" i="6"/>
  <c r="BI611" i="6"/>
  <c r="BJ611" i="6"/>
  <c r="BK611" i="6"/>
  <c r="AL612" i="6"/>
  <c r="AM612" i="6"/>
  <c r="AN612" i="6"/>
  <c r="AO612" i="6"/>
  <c r="AP612" i="6"/>
  <c r="AQ612" i="6"/>
  <c r="AR612" i="6"/>
  <c r="AS612" i="6"/>
  <c r="AT612" i="6"/>
  <c r="AU612" i="6"/>
  <c r="AV612" i="6"/>
  <c r="AW612" i="6"/>
  <c r="AX612" i="6"/>
  <c r="AY612" i="6"/>
  <c r="AZ612" i="6"/>
  <c r="BA612" i="6"/>
  <c r="BB612" i="6"/>
  <c r="BC612" i="6"/>
  <c r="BD612" i="6"/>
  <c r="BE612" i="6"/>
  <c r="BF612" i="6"/>
  <c r="BG612" i="6"/>
  <c r="BH612" i="6"/>
  <c r="BI612" i="6"/>
  <c r="BJ612" i="6"/>
  <c r="BK612" i="6"/>
  <c r="AL613" i="6"/>
  <c r="AM613" i="6"/>
  <c r="AN613" i="6"/>
  <c r="AO613" i="6"/>
  <c r="AP613" i="6"/>
  <c r="AQ613" i="6"/>
  <c r="AR613" i="6"/>
  <c r="AS613" i="6"/>
  <c r="AT613" i="6"/>
  <c r="AU613" i="6"/>
  <c r="AV613" i="6"/>
  <c r="AW613" i="6"/>
  <c r="AX613" i="6"/>
  <c r="AY613" i="6"/>
  <c r="AZ613" i="6"/>
  <c r="BA613" i="6"/>
  <c r="BB613" i="6"/>
  <c r="BC613" i="6"/>
  <c r="BD613" i="6"/>
  <c r="BE613" i="6"/>
  <c r="BF613" i="6"/>
  <c r="BG613" i="6"/>
  <c r="BH613" i="6"/>
  <c r="BI613" i="6"/>
  <c r="BJ613" i="6"/>
  <c r="BK613" i="6"/>
  <c r="AL614" i="6"/>
  <c r="AM614" i="6"/>
  <c r="AN614" i="6"/>
  <c r="AO614" i="6"/>
  <c r="AP614" i="6"/>
  <c r="AQ614" i="6"/>
  <c r="AR614" i="6"/>
  <c r="AS614" i="6"/>
  <c r="AT614" i="6"/>
  <c r="AU614" i="6"/>
  <c r="AV614" i="6"/>
  <c r="AW614" i="6"/>
  <c r="AX614" i="6"/>
  <c r="AY614" i="6"/>
  <c r="AZ614" i="6"/>
  <c r="BA614" i="6"/>
  <c r="BB614" i="6"/>
  <c r="BC614" i="6"/>
  <c r="BD614" i="6"/>
  <c r="BE614" i="6"/>
  <c r="BF614" i="6"/>
  <c r="BG614" i="6"/>
  <c r="BH614" i="6"/>
  <c r="BI614" i="6"/>
  <c r="BJ614" i="6"/>
  <c r="BK614" i="6"/>
  <c r="AL615" i="6"/>
  <c r="AM615" i="6"/>
  <c r="AN615" i="6"/>
  <c r="AO615" i="6"/>
  <c r="AP615" i="6"/>
  <c r="AQ615" i="6"/>
  <c r="AR615" i="6"/>
  <c r="AS615" i="6"/>
  <c r="AT615" i="6"/>
  <c r="AU615" i="6"/>
  <c r="AV615" i="6"/>
  <c r="AW615" i="6"/>
  <c r="AX615" i="6"/>
  <c r="AY615" i="6"/>
  <c r="AZ615" i="6"/>
  <c r="BA615" i="6"/>
  <c r="BB615" i="6"/>
  <c r="BC615" i="6"/>
  <c r="BD615" i="6"/>
  <c r="BE615" i="6"/>
  <c r="BF615" i="6"/>
  <c r="BG615" i="6"/>
  <c r="BH615" i="6"/>
  <c r="BI615" i="6"/>
  <c r="BJ615" i="6"/>
  <c r="BK615" i="6"/>
  <c r="AL616" i="6"/>
  <c r="AM616" i="6"/>
  <c r="AN616" i="6"/>
  <c r="AO616" i="6"/>
  <c r="AP616" i="6"/>
  <c r="AQ616" i="6"/>
  <c r="AR616" i="6"/>
  <c r="AS616" i="6"/>
  <c r="AT616" i="6"/>
  <c r="AU616" i="6"/>
  <c r="AV616" i="6"/>
  <c r="AW616" i="6"/>
  <c r="AX616" i="6"/>
  <c r="AY616" i="6"/>
  <c r="AZ616" i="6"/>
  <c r="BA616" i="6"/>
  <c r="BB616" i="6"/>
  <c r="BC616" i="6"/>
  <c r="BD616" i="6"/>
  <c r="BE616" i="6"/>
  <c r="BF616" i="6"/>
  <c r="BG616" i="6"/>
  <c r="BH616" i="6"/>
  <c r="BI616" i="6"/>
  <c r="BJ616" i="6"/>
  <c r="BK616" i="6"/>
  <c r="AL617" i="6"/>
  <c r="AM617" i="6"/>
  <c r="AN617" i="6"/>
  <c r="AO617" i="6"/>
  <c r="AP617" i="6"/>
  <c r="AQ617" i="6"/>
  <c r="AR617" i="6"/>
  <c r="AS617" i="6"/>
  <c r="AT617" i="6"/>
  <c r="AU617" i="6"/>
  <c r="AV617" i="6"/>
  <c r="AW617" i="6"/>
  <c r="AX617" i="6"/>
  <c r="AY617" i="6"/>
  <c r="AZ617" i="6"/>
  <c r="BA617" i="6"/>
  <c r="BB617" i="6"/>
  <c r="BC617" i="6"/>
  <c r="BD617" i="6"/>
  <c r="BE617" i="6"/>
  <c r="BF617" i="6"/>
  <c r="BG617" i="6"/>
  <c r="BH617" i="6"/>
  <c r="BI617" i="6"/>
  <c r="BJ617" i="6"/>
  <c r="BK617" i="6"/>
  <c r="AL618" i="6"/>
  <c r="AM618" i="6"/>
  <c r="AN618" i="6"/>
  <c r="AO618" i="6"/>
  <c r="AP618" i="6"/>
  <c r="AQ618" i="6"/>
  <c r="AR618" i="6"/>
  <c r="AS618" i="6"/>
  <c r="AT618" i="6"/>
  <c r="AU618" i="6"/>
  <c r="AV618" i="6"/>
  <c r="AW618" i="6"/>
  <c r="AX618" i="6"/>
  <c r="AY618" i="6"/>
  <c r="AZ618" i="6"/>
  <c r="BA618" i="6"/>
  <c r="BB618" i="6"/>
  <c r="BC618" i="6"/>
  <c r="BD618" i="6"/>
  <c r="BE618" i="6"/>
  <c r="BF618" i="6"/>
  <c r="BG618" i="6"/>
  <c r="BH618" i="6"/>
  <c r="BI618" i="6"/>
  <c r="BJ618" i="6"/>
  <c r="BK618" i="6"/>
  <c r="AL619" i="6"/>
  <c r="AM619" i="6"/>
  <c r="AN619" i="6"/>
  <c r="AO619" i="6"/>
  <c r="AP619" i="6"/>
  <c r="AQ619" i="6"/>
  <c r="AR619" i="6"/>
  <c r="AS619" i="6"/>
  <c r="AT619" i="6"/>
  <c r="AU619" i="6"/>
  <c r="AV619" i="6"/>
  <c r="AW619" i="6"/>
  <c r="AX619" i="6"/>
  <c r="AY619" i="6"/>
  <c r="AZ619" i="6"/>
  <c r="BA619" i="6"/>
  <c r="BB619" i="6"/>
  <c r="BC619" i="6"/>
  <c r="BD619" i="6"/>
  <c r="BE619" i="6"/>
  <c r="BF619" i="6"/>
  <c r="BG619" i="6"/>
  <c r="BH619" i="6"/>
  <c r="BI619" i="6"/>
  <c r="BJ619" i="6"/>
  <c r="BK619" i="6"/>
  <c r="AL620" i="6"/>
  <c r="AM620" i="6"/>
  <c r="AN620" i="6"/>
  <c r="AO620" i="6"/>
  <c r="AP620" i="6"/>
  <c r="AQ620" i="6"/>
  <c r="AR620" i="6"/>
  <c r="AS620" i="6"/>
  <c r="AT620" i="6"/>
  <c r="AU620" i="6"/>
  <c r="AV620" i="6"/>
  <c r="AW620" i="6"/>
  <c r="AX620" i="6"/>
  <c r="AY620" i="6"/>
  <c r="AZ620" i="6"/>
  <c r="BA620" i="6"/>
  <c r="BB620" i="6"/>
  <c r="BC620" i="6"/>
  <c r="BD620" i="6"/>
  <c r="BE620" i="6"/>
  <c r="BF620" i="6"/>
  <c r="BG620" i="6"/>
  <c r="BH620" i="6"/>
  <c r="BI620" i="6"/>
  <c r="BJ620" i="6"/>
  <c r="BK620" i="6"/>
  <c r="AL621" i="6"/>
  <c r="AM621" i="6"/>
  <c r="AN621" i="6"/>
  <c r="AO621" i="6"/>
  <c r="AP621" i="6"/>
  <c r="AQ621" i="6"/>
  <c r="AR621" i="6"/>
  <c r="AS621" i="6"/>
  <c r="AT621" i="6"/>
  <c r="AU621" i="6"/>
  <c r="AV621" i="6"/>
  <c r="AW621" i="6"/>
  <c r="AX621" i="6"/>
  <c r="AY621" i="6"/>
  <c r="AZ621" i="6"/>
  <c r="BA621" i="6"/>
  <c r="BB621" i="6"/>
  <c r="BC621" i="6"/>
  <c r="BD621" i="6"/>
  <c r="BE621" i="6"/>
  <c r="BF621" i="6"/>
  <c r="BG621" i="6"/>
  <c r="BH621" i="6"/>
  <c r="BI621" i="6"/>
  <c r="BJ621" i="6"/>
  <c r="BK621" i="6"/>
  <c r="AL622" i="6"/>
  <c r="AM622" i="6"/>
  <c r="AN622" i="6"/>
  <c r="AO622" i="6"/>
  <c r="AP622" i="6"/>
  <c r="AQ622" i="6"/>
  <c r="AR622" i="6"/>
  <c r="AS622" i="6"/>
  <c r="AT622" i="6"/>
  <c r="AU622" i="6"/>
  <c r="AV622" i="6"/>
  <c r="AW622" i="6"/>
  <c r="AX622" i="6"/>
  <c r="AY622" i="6"/>
  <c r="AZ622" i="6"/>
  <c r="BA622" i="6"/>
  <c r="BB622" i="6"/>
  <c r="BC622" i="6"/>
  <c r="BD622" i="6"/>
  <c r="BE622" i="6"/>
  <c r="BF622" i="6"/>
  <c r="BG622" i="6"/>
  <c r="BH622" i="6"/>
  <c r="BI622" i="6"/>
  <c r="BJ622" i="6"/>
  <c r="BK622" i="6"/>
  <c r="AL623" i="6"/>
  <c r="AM623" i="6"/>
  <c r="AN623" i="6"/>
  <c r="AO623" i="6"/>
  <c r="AP623" i="6"/>
  <c r="AQ623" i="6"/>
  <c r="AR623" i="6"/>
  <c r="AS623" i="6"/>
  <c r="AT623" i="6"/>
  <c r="AU623" i="6"/>
  <c r="AV623" i="6"/>
  <c r="AW623" i="6"/>
  <c r="AX623" i="6"/>
  <c r="AY623" i="6"/>
  <c r="AZ623" i="6"/>
  <c r="BA623" i="6"/>
  <c r="BB623" i="6"/>
  <c r="BC623" i="6"/>
  <c r="BD623" i="6"/>
  <c r="BE623" i="6"/>
  <c r="BF623" i="6"/>
  <c r="BG623" i="6"/>
  <c r="BH623" i="6"/>
  <c r="BI623" i="6"/>
  <c r="BJ623" i="6"/>
  <c r="BK623" i="6"/>
  <c r="AL624" i="6"/>
  <c r="AM624" i="6"/>
  <c r="AN624" i="6"/>
  <c r="AO624" i="6"/>
  <c r="AP624" i="6"/>
  <c r="AQ624" i="6"/>
  <c r="AR624" i="6"/>
  <c r="AS624" i="6"/>
  <c r="AT624" i="6"/>
  <c r="AU624" i="6"/>
  <c r="AV624" i="6"/>
  <c r="AW624" i="6"/>
  <c r="AX624" i="6"/>
  <c r="AY624" i="6"/>
  <c r="AZ624" i="6"/>
  <c r="BA624" i="6"/>
  <c r="BB624" i="6"/>
  <c r="BC624" i="6"/>
  <c r="BD624" i="6"/>
  <c r="BE624" i="6"/>
  <c r="BF624" i="6"/>
  <c r="BG624" i="6"/>
  <c r="BH624" i="6"/>
  <c r="BI624" i="6"/>
  <c r="BJ624" i="6"/>
  <c r="BK624" i="6"/>
  <c r="AL625" i="6"/>
  <c r="AM625" i="6"/>
  <c r="AN625" i="6"/>
  <c r="AO625" i="6"/>
  <c r="AP625" i="6"/>
  <c r="AQ625" i="6"/>
  <c r="AR625" i="6"/>
  <c r="AS625" i="6"/>
  <c r="AT625" i="6"/>
  <c r="AU625" i="6"/>
  <c r="AV625" i="6"/>
  <c r="AW625" i="6"/>
  <c r="AX625" i="6"/>
  <c r="AY625" i="6"/>
  <c r="AZ625" i="6"/>
  <c r="BA625" i="6"/>
  <c r="BB625" i="6"/>
  <c r="BC625" i="6"/>
  <c r="BD625" i="6"/>
  <c r="BE625" i="6"/>
  <c r="BF625" i="6"/>
  <c r="BG625" i="6"/>
  <c r="BH625" i="6"/>
  <c r="BI625" i="6"/>
  <c r="BJ625" i="6"/>
  <c r="BK625" i="6"/>
  <c r="AL626" i="6"/>
  <c r="AM626" i="6"/>
  <c r="AN626" i="6"/>
  <c r="AO626" i="6"/>
  <c r="AP626" i="6"/>
  <c r="AQ626" i="6"/>
  <c r="AR626" i="6"/>
  <c r="AS626" i="6"/>
  <c r="AT626" i="6"/>
  <c r="AU626" i="6"/>
  <c r="AV626" i="6"/>
  <c r="AW626" i="6"/>
  <c r="AX626" i="6"/>
  <c r="AY626" i="6"/>
  <c r="AZ626" i="6"/>
  <c r="BA626" i="6"/>
  <c r="BB626" i="6"/>
  <c r="BC626" i="6"/>
  <c r="BD626" i="6"/>
  <c r="BE626" i="6"/>
  <c r="BF626" i="6"/>
  <c r="BG626" i="6"/>
  <c r="BH626" i="6"/>
  <c r="BI626" i="6"/>
  <c r="BJ626" i="6"/>
  <c r="BK626" i="6"/>
  <c r="AL627" i="6"/>
  <c r="AM627" i="6"/>
  <c r="AN627" i="6"/>
  <c r="AO627" i="6"/>
  <c r="AP627" i="6"/>
  <c r="AQ627" i="6"/>
  <c r="AR627" i="6"/>
  <c r="AS627" i="6"/>
  <c r="AT627" i="6"/>
  <c r="AU627" i="6"/>
  <c r="AV627" i="6"/>
  <c r="AW627" i="6"/>
  <c r="AX627" i="6"/>
  <c r="AY627" i="6"/>
  <c r="AZ627" i="6"/>
  <c r="BA627" i="6"/>
  <c r="BB627" i="6"/>
  <c r="BC627" i="6"/>
  <c r="BD627" i="6"/>
  <c r="BE627" i="6"/>
  <c r="BF627" i="6"/>
  <c r="BG627" i="6"/>
  <c r="BH627" i="6"/>
  <c r="BI627" i="6"/>
  <c r="BJ627" i="6"/>
  <c r="BK627" i="6"/>
  <c r="AL628" i="6"/>
  <c r="AM628" i="6"/>
  <c r="AN628" i="6"/>
  <c r="AO628" i="6"/>
  <c r="AP628" i="6"/>
  <c r="AQ628" i="6"/>
  <c r="AR628" i="6"/>
  <c r="AS628" i="6"/>
  <c r="AT628" i="6"/>
  <c r="AU628" i="6"/>
  <c r="AV628" i="6"/>
  <c r="AW628" i="6"/>
  <c r="AX628" i="6"/>
  <c r="AY628" i="6"/>
  <c r="AZ628" i="6"/>
  <c r="BA628" i="6"/>
  <c r="BB628" i="6"/>
  <c r="BC628" i="6"/>
  <c r="BD628" i="6"/>
  <c r="BE628" i="6"/>
  <c r="BF628" i="6"/>
  <c r="BG628" i="6"/>
  <c r="BH628" i="6"/>
  <c r="BI628" i="6"/>
  <c r="BJ628" i="6"/>
  <c r="BK628" i="6"/>
  <c r="AL629" i="6"/>
  <c r="AM629" i="6"/>
  <c r="AN629" i="6"/>
  <c r="AO629" i="6"/>
  <c r="AP629" i="6"/>
  <c r="AQ629" i="6"/>
  <c r="AR629" i="6"/>
  <c r="AS629" i="6"/>
  <c r="AT629" i="6"/>
  <c r="AU629" i="6"/>
  <c r="AV629" i="6"/>
  <c r="AW629" i="6"/>
  <c r="AX629" i="6"/>
  <c r="AY629" i="6"/>
  <c r="AZ629" i="6"/>
  <c r="BA629" i="6"/>
  <c r="BB629" i="6"/>
  <c r="BC629" i="6"/>
  <c r="BD629" i="6"/>
  <c r="BE629" i="6"/>
  <c r="BF629" i="6"/>
  <c r="BG629" i="6"/>
  <c r="BH629" i="6"/>
  <c r="BI629" i="6"/>
  <c r="BJ629" i="6"/>
  <c r="BK629" i="6"/>
  <c r="AL630" i="6"/>
  <c r="AM630" i="6"/>
  <c r="AN630" i="6"/>
  <c r="AO630" i="6"/>
  <c r="AP630" i="6"/>
  <c r="AQ630" i="6"/>
  <c r="AR630" i="6"/>
  <c r="AS630" i="6"/>
  <c r="AT630" i="6"/>
  <c r="AU630" i="6"/>
  <c r="AV630" i="6"/>
  <c r="AW630" i="6"/>
  <c r="AX630" i="6"/>
  <c r="AY630" i="6"/>
  <c r="AZ630" i="6"/>
  <c r="BA630" i="6"/>
  <c r="BB630" i="6"/>
  <c r="BC630" i="6"/>
  <c r="BD630" i="6"/>
  <c r="BE630" i="6"/>
  <c r="BF630" i="6"/>
  <c r="BG630" i="6"/>
  <c r="BH630" i="6"/>
  <c r="BI630" i="6"/>
  <c r="BJ630" i="6"/>
  <c r="BK630" i="6"/>
  <c r="AL631" i="6"/>
  <c r="AM631" i="6"/>
  <c r="AN631" i="6"/>
  <c r="AO631" i="6"/>
  <c r="AP631" i="6"/>
  <c r="AQ631" i="6"/>
  <c r="AR631" i="6"/>
  <c r="AS631" i="6"/>
  <c r="AT631" i="6"/>
  <c r="AU631" i="6"/>
  <c r="AV631" i="6"/>
  <c r="AW631" i="6"/>
  <c r="AX631" i="6"/>
  <c r="AY631" i="6"/>
  <c r="AZ631" i="6"/>
  <c r="BA631" i="6"/>
  <c r="BB631" i="6"/>
  <c r="BC631" i="6"/>
  <c r="BD631" i="6"/>
  <c r="BE631" i="6"/>
  <c r="BF631" i="6"/>
  <c r="BG631" i="6"/>
  <c r="BH631" i="6"/>
  <c r="BI631" i="6"/>
  <c r="BJ631" i="6"/>
  <c r="BK631" i="6"/>
  <c r="AL632" i="6"/>
  <c r="AM632" i="6"/>
  <c r="AN632" i="6"/>
  <c r="AO632" i="6"/>
  <c r="AP632" i="6"/>
  <c r="AQ632" i="6"/>
  <c r="AR632" i="6"/>
  <c r="AS632" i="6"/>
  <c r="AT632" i="6"/>
  <c r="AU632" i="6"/>
  <c r="AV632" i="6"/>
  <c r="AW632" i="6"/>
  <c r="AX632" i="6"/>
  <c r="AY632" i="6"/>
  <c r="AZ632" i="6"/>
  <c r="BA632" i="6"/>
  <c r="BB632" i="6"/>
  <c r="BC632" i="6"/>
  <c r="BD632" i="6"/>
  <c r="BE632" i="6"/>
  <c r="BF632" i="6"/>
  <c r="BG632" i="6"/>
  <c r="BH632" i="6"/>
  <c r="BI632" i="6"/>
  <c r="BJ632" i="6"/>
  <c r="BK632" i="6"/>
  <c r="AL633" i="6"/>
  <c r="AM633" i="6"/>
  <c r="AN633" i="6"/>
  <c r="AO633" i="6"/>
  <c r="AP633" i="6"/>
  <c r="AQ633" i="6"/>
  <c r="AR633" i="6"/>
  <c r="AS633" i="6"/>
  <c r="AT633" i="6"/>
  <c r="AU633" i="6"/>
  <c r="AV633" i="6"/>
  <c r="AW633" i="6"/>
  <c r="AX633" i="6"/>
  <c r="AY633" i="6"/>
  <c r="AZ633" i="6"/>
  <c r="BA633" i="6"/>
  <c r="BB633" i="6"/>
  <c r="BC633" i="6"/>
  <c r="BD633" i="6"/>
  <c r="BE633" i="6"/>
  <c r="BF633" i="6"/>
  <c r="BG633" i="6"/>
  <c r="BH633" i="6"/>
  <c r="BI633" i="6"/>
  <c r="BJ633" i="6"/>
  <c r="BK633" i="6"/>
  <c r="AL634" i="6"/>
  <c r="AM634" i="6"/>
  <c r="AN634" i="6"/>
  <c r="AO634" i="6"/>
  <c r="AP634" i="6"/>
  <c r="AQ634" i="6"/>
  <c r="AR634" i="6"/>
  <c r="AS634" i="6"/>
  <c r="AT634" i="6"/>
  <c r="AU634" i="6"/>
  <c r="AV634" i="6"/>
  <c r="AW634" i="6"/>
  <c r="AX634" i="6"/>
  <c r="AY634" i="6"/>
  <c r="AZ634" i="6"/>
  <c r="BA634" i="6"/>
  <c r="BB634" i="6"/>
  <c r="BC634" i="6"/>
  <c r="BD634" i="6"/>
  <c r="BE634" i="6"/>
  <c r="BF634" i="6"/>
  <c r="BG634" i="6"/>
  <c r="BH634" i="6"/>
  <c r="BI634" i="6"/>
  <c r="BJ634" i="6"/>
  <c r="BK634" i="6"/>
  <c r="AL635" i="6"/>
  <c r="AM635" i="6"/>
  <c r="AN635" i="6"/>
  <c r="AO635" i="6"/>
  <c r="AP635" i="6"/>
  <c r="AQ635" i="6"/>
  <c r="AR635" i="6"/>
  <c r="AS635" i="6"/>
  <c r="AT635" i="6"/>
  <c r="AU635" i="6"/>
  <c r="AV635" i="6"/>
  <c r="AW635" i="6"/>
  <c r="AX635" i="6"/>
  <c r="AY635" i="6"/>
  <c r="AZ635" i="6"/>
  <c r="BA635" i="6"/>
  <c r="BB635" i="6"/>
  <c r="BC635" i="6"/>
  <c r="BD635" i="6"/>
  <c r="BE635" i="6"/>
  <c r="BF635" i="6"/>
  <c r="BG635" i="6"/>
  <c r="BH635" i="6"/>
  <c r="BI635" i="6"/>
  <c r="BJ635" i="6"/>
  <c r="BK635" i="6"/>
  <c r="AL636" i="6"/>
  <c r="AM636" i="6"/>
  <c r="AN636" i="6"/>
  <c r="AO636" i="6"/>
  <c r="AP636" i="6"/>
  <c r="AQ636" i="6"/>
  <c r="AR636" i="6"/>
  <c r="AS636" i="6"/>
  <c r="AT636" i="6"/>
  <c r="AU636" i="6"/>
  <c r="AV636" i="6"/>
  <c r="AW636" i="6"/>
  <c r="AX636" i="6"/>
  <c r="AY636" i="6"/>
  <c r="AZ636" i="6"/>
  <c r="BA636" i="6"/>
  <c r="BB636" i="6"/>
  <c r="BC636" i="6"/>
  <c r="BD636" i="6"/>
  <c r="BE636" i="6"/>
  <c r="BF636" i="6"/>
  <c r="BG636" i="6"/>
  <c r="BH636" i="6"/>
  <c r="BI636" i="6"/>
  <c r="BJ636" i="6"/>
  <c r="BK636" i="6"/>
  <c r="AL637" i="6"/>
  <c r="AM637" i="6"/>
  <c r="AN637" i="6"/>
  <c r="AO637" i="6"/>
  <c r="AP637" i="6"/>
  <c r="AQ637" i="6"/>
  <c r="AR637" i="6"/>
  <c r="AS637" i="6"/>
  <c r="AT637" i="6"/>
  <c r="AU637" i="6"/>
  <c r="AV637" i="6"/>
  <c r="AW637" i="6"/>
  <c r="AX637" i="6"/>
  <c r="AY637" i="6"/>
  <c r="AZ637" i="6"/>
  <c r="BA637" i="6"/>
  <c r="BB637" i="6"/>
  <c r="BC637" i="6"/>
  <c r="BD637" i="6"/>
  <c r="BE637" i="6"/>
  <c r="BF637" i="6"/>
  <c r="BG637" i="6"/>
  <c r="BH637" i="6"/>
  <c r="BI637" i="6"/>
  <c r="BJ637" i="6"/>
  <c r="BK637" i="6"/>
  <c r="AL638" i="6"/>
  <c r="AM638" i="6"/>
  <c r="AN638" i="6"/>
  <c r="AO638" i="6"/>
  <c r="AP638" i="6"/>
  <c r="AQ638" i="6"/>
  <c r="AR638" i="6"/>
  <c r="AS638" i="6"/>
  <c r="AT638" i="6"/>
  <c r="AU638" i="6"/>
  <c r="AV638" i="6"/>
  <c r="AW638" i="6"/>
  <c r="AX638" i="6"/>
  <c r="AY638" i="6"/>
  <c r="AZ638" i="6"/>
  <c r="BA638" i="6"/>
  <c r="BB638" i="6"/>
  <c r="BC638" i="6"/>
  <c r="BD638" i="6"/>
  <c r="BE638" i="6"/>
  <c r="BF638" i="6"/>
  <c r="BG638" i="6"/>
  <c r="BH638" i="6"/>
  <c r="BI638" i="6"/>
  <c r="BJ638" i="6"/>
  <c r="BK638" i="6"/>
  <c r="AL639" i="6"/>
  <c r="AM639" i="6"/>
  <c r="AN639" i="6"/>
  <c r="AO639" i="6"/>
  <c r="AP639" i="6"/>
  <c r="AQ639" i="6"/>
  <c r="AR639" i="6"/>
  <c r="AS639" i="6"/>
  <c r="AT639" i="6"/>
  <c r="AU639" i="6"/>
  <c r="AV639" i="6"/>
  <c r="AW639" i="6"/>
  <c r="AX639" i="6"/>
  <c r="AY639" i="6"/>
  <c r="AZ639" i="6"/>
  <c r="BA639" i="6"/>
  <c r="BB639" i="6"/>
  <c r="BC639" i="6"/>
  <c r="BD639" i="6"/>
  <c r="BE639" i="6"/>
  <c r="BF639" i="6"/>
  <c r="BG639" i="6"/>
  <c r="BH639" i="6"/>
  <c r="BI639" i="6"/>
  <c r="BJ639" i="6"/>
  <c r="BK639" i="6"/>
  <c r="AL640" i="6"/>
  <c r="AM640" i="6"/>
  <c r="AN640" i="6"/>
  <c r="AO640" i="6"/>
  <c r="AP640" i="6"/>
  <c r="AQ640" i="6"/>
  <c r="AR640" i="6"/>
  <c r="AS640" i="6"/>
  <c r="AT640" i="6"/>
  <c r="AU640" i="6"/>
  <c r="AV640" i="6"/>
  <c r="AW640" i="6"/>
  <c r="AX640" i="6"/>
  <c r="AY640" i="6"/>
  <c r="AZ640" i="6"/>
  <c r="BA640" i="6"/>
  <c r="BB640" i="6"/>
  <c r="BC640" i="6"/>
  <c r="BD640" i="6"/>
  <c r="BE640" i="6"/>
  <c r="BF640" i="6"/>
  <c r="BG640" i="6"/>
  <c r="BH640" i="6"/>
  <c r="BI640" i="6"/>
  <c r="BJ640" i="6"/>
  <c r="BK640" i="6"/>
  <c r="AL641" i="6"/>
  <c r="AM641" i="6"/>
  <c r="AN641" i="6"/>
  <c r="AO641" i="6"/>
  <c r="AP641" i="6"/>
  <c r="AQ641" i="6"/>
  <c r="AR641" i="6"/>
  <c r="AS641" i="6"/>
  <c r="AT641" i="6"/>
  <c r="AU641" i="6"/>
  <c r="AV641" i="6"/>
  <c r="AW641" i="6"/>
  <c r="AX641" i="6"/>
  <c r="AY641" i="6"/>
  <c r="AZ641" i="6"/>
  <c r="BA641" i="6"/>
  <c r="BB641" i="6"/>
  <c r="BC641" i="6"/>
  <c r="BD641" i="6"/>
  <c r="BE641" i="6"/>
  <c r="BF641" i="6"/>
  <c r="BG641" i="6"/>
  <c r="BH641" i="6"/>
  <c r="BI641" i="6"/>
  <c r="BJ641" i="6"/>
  <c r="BK641" i="6"/>
  <c r="AL642" i="6"/>
  <c r="AM642" i="6"/>
  <c r="AN642" i="6"/>
  <c r="AO642" i="6"/>
  <c r="AP642" i="6"/>
  <c r="AQ642" i="6"/>
  <c r="AR642" i="6"/>
  <c r="AS642" i="6"/>
  <c r="AT642" i="6"/>
  <c r="AU642" i="6"/>
  <c r="AV642" i="6"/>
  <c r="AW642" i="6"/>
  <c r="AX642" i="6"/>
  <c r="AY642" i="6"/>
  <c r="AZ642" i="6"/>
  <c r="BA642" i="6"/>
  <c r="BB642" i="6"/>
  <c r="BC642" i="6"/>
  <c r="BD642" i="6"/>
  <c r="BE642" i="6"/>
  <c r="BF642" i="6"/>
  <c r="BG642" i="6"/>
  <c r="BH642" i="6"/>
  <c r="BI642" i="6"/>
  <c r="BJ642" i="6"/>
  <c r="BK642" i="6"/>
  <c r="AL643" i="6"/>
  <c r="AM643" i="6"/>
  <c r="AN643" i="6"/>
  <c r="AO643" i="6"/>
  <c r="AP643" i="6"/>
  <c r="AQ643" i="6"/>
  <c r="AR643" i="6"/>
  <c r="AS643" i="6"/>
  <c r="AT643" i="6"/>
  <c r="AU643" i="6"/>
  <c r="AV643" i="6"/>
  <c r="AW643" i="6"/>
  <c r="AX643" i="6"/>
  <c r="AY643" i="6"/>
  <c r="AZ643" i="6"/>
  <c r="BA643" i="6"/>
  <c r="BB643" i="6"/>
  <c r="BC643" i="6"/>
  <c r="BD643" i="6"/>
  <c r="BE643" i="6"/>
  <c r="BF643" i="6"/>
  <c r="BG643" i="6"/>
  <c r="BH643" i="6"/>
  <c r="BI643" i="6"/>
  <c r="BJ643" i="6"/>
  <c r="BK643" i="6"/>
  <c r="AL644" i="6"/>
  <c r="AM644" i="6"/>
  <c r="AN644" i="6"/>
  <c r="AO644" i="6"/>
  <c r="AP644" i="6"/>
  <c r="AQ644" i="6"/>
  <c r="AR644" i="6"/>
  <c r="AS644" i="6"/>
  <c r="AT644" i="6"/>
  <c r="AU644" i="6"/>
  <c r="AV644" i="6"/>
  <c r="AW644" i="6"/>
  <c r="AX644" i="6"/>
  <c r="AY644" i="6"/>
  <c r="AZ644" i="6"/>
  <c r="BA644" i="6"/>
  <c r="BB644" i="6"/>
  <c r="BC644" i="6"/>
  <c r="BD644" i="6"/>
  <c r="BE644" i="6"/>
  <c r="BF644" i="6"/>
  <c r="BG644" i="6"/>
  <c r="BH644" i="6"/>
  <c r="BI644" i="6"/>
  <c r="BJ644" i="6"/>
  <c r="BK644" i="6"/>
  <c r="AL645" i="6"/>
  <c r="AM645" i="6"/>
  <c r="AN645" i="6"/>
  <c r="AO645" i="6"/>
  <c r="AP645" i="6"/>
  <c r="AQ645" i="6"/>
  <c r="AR645" i="6"/>
  <c r="AS645" i="6"/>
  <c r="AT645" i="6"/>
  <c r="AU645" i="6"/>
  <c r="AV645" i="6"/>
  <c r="AW645" i="6"/>
  <c r="AX645" i="6"/>
  <c r="AY645" i="6"/>
  <c r="AZ645" i="6"/>
  <c r="BA645" i="6"/>
  <c r="BB645" i="6"/>
  <c r="BC645" i="6"/>
  <c r="BD645" i="6"/>
  <c r="BE645" i="6"/>
  <c r="BF645" i="6"/>
  <c r="BG645" i="6"/>
  <c r="BH645" i="6"/>
  <c r="BI645" i="6"/>
  <c r="BJ645" i="6"/>
  <c r="BK645" i="6"/>
  <c r="AL646" i="6"/>
  <c r="AM646" i="6"/>
  <c r="AN646" i="6"/>
  <c r="AO646" i="6"/>
  <c r="AP646" i="6"/>
  <c r="AQ646" i="6"/>
  <c r="AR646" i="6"/>
  <c r="AS646" i="6"/>
  <c r="AT646" i="6"/>
  <c r="AU646" i="6"/>
  <c r="AV646" i="6"/>
  <c r="AW646" i="6"/>
  <c r="AX646" i="6"/>
  <c r="AY646" i="6"/>
  <c r="AZ646" i="6"/>
  <c r="BA646" i="6"/>
  <c r="BB646" i="6"/>
  <c r="BC646" i="6"/>
  <c r="BD646" i="6"/>
  <c r="BE646" i="6"/>
  <c r="BF646" i="6"/>
  <c r="BG646" i="6"/>
  <c r="BH646" i="6"/>
  <c r="BI646" i="6"/>
  <c r="BJ646" i="6"/>
  <c r="BK646" i="6"/>
  <c r="AL647" i="6"/>
  <c r="AM647" i="6"/>
  <c r="AN647" i="6"/>
  <c r="AO647" i="6"/>
  <c r="AP647" i="6"/>
  <c r="AQ647" i="6"/>
  <c r="AR647" i="6"/>
  <c r="AS647" i="6"/>
  <c r="AT647" i="6"/>
  <c r="AU647" i="6"/>
  <c r="AV647" i="6"/>
  <c r="AW647" i="6"/>
  <c r="AX647" i="6"/>
  <c r="AY647" i="6"/>
  <c r="AZ647" i="6"/>
  <c r="BA647" i="6"/>
  <c r="BB647" i="6"/>
  <c r="BC647" i="6"/>
  <c r="BD647" i="6"/>
  <c r="BE647" i="6"/>
  <c r="BF647" i="6"/>
  <c r="BG647" i="6"/>
  <c r="BH647" i="6"/>
  <c r="BI647" i="6"/>
  <c r="BJ647" i="6"/>
  <c r="BK647" i="6"/>
  <c r="AL648" i="6"/>
  <c r="AM648" i="6"/>
  <c r="AN648" i="6"/>
  <c r="AO648" i="6"/>
  <c r="AP648" i="6"/>
  <c r="AQ648" i="6"/>
  <c r="AR648" i="6"/>
  <c r="AS648" i="6"/>
  <c r="AT648" i="6"/>
  <c r="AU648" i="6"/>
  <c r="AV648" i="6"/>
  <c r="AW648" i="6"/>
  <c r="AX648" i="6"/>
  <c r="AY648" i="6"/>
  <c r="AZ648" i="6"/>
  <c r="BA648" i="6"/>
  <c r="BB648" i="6"/>
  <c r="BC648" i="6"/>
  <c r="BD648" i="6"/>
  <c r="BE648" i="6"/>
  <c r="BF648" i="6"/>
  <c r="BG648" i="6"/>
  <c r="BH648" i="6"/>
  <c r="BI648" i="6"/>
  <c r="BJ648" i="6"/>
  <c r="BK648" i="6"/>
  <c r="AL649" i="6"/>
  <c r="AM649" i="6"/>
  <c r="AN649" i="6"/>
  <c r="AO649" i="6"/>
  <c r="AP649" i="6"/>
  <c r="AQ649" i="6"/>
  <c r="AR649" i="6"/>
  <c r="AS649" i="6"/>
  <c r="AT649" i="6"/>
  <c r="AU649" i="6"/>
  <c r="AV649" i="6"/>
  <c r="AW649" i="6"/>
  <c r="AX649" i="6"/>
  <c r="AY649" i="6"/>
  <c r="AZ649" i="6"/>
  <c r="BA649" i="6"/>
  <c r="BB649" i="6"/>
  <c r="BC649" i="6"/>
  <c r="BD649" i="6"/>
  <c r="BE649" i="6"/>
  <c r="BF649" i="6"/>
  <c r="BG649" i="6"/>
  <c r="BH649" i="6"/>
  <c r="BI649" i="6"/>
  <c r="BJ649" i="6"/>
  <c r="BK649" i="6"/>
  <c r="AL650" i="6"/>
  <c r="AM650" i="6"/>
  <c r="AN650" i="6"/>
  <c r="AO650" i="6"/>
  <c r="AP650" i="6"/>
  <c r="AQ650" i="6"/>
  <c r="AR650" i="6"/>
  <c r="AS650" i="6"/>
  <c r="AT650" i="6"/>
  <c r="AU650" i="6"/>
  <c r="AV650" i="6"/>
  <c r="AW650" i="6"/>
  <c r="AX650" i="6"/>
  <c r="AY650" i="6"/>
  <c r="AZ650" i="6"/>
  <c r="BA650" i="6"/>
  <c r="BB650" i="6"/>
  <c r="BC650" i="6"/>
  <c r="BD650" i="6"/>
  <c r="BE650" i="6"/>
  <c r="BF650" i="6"/>
  <c r="BG650" i="6"/>
  <c r="BH650" i="6"/>
  <c r="BI650" i="6"/>
  <c r="BJ650" i="6"/>
  <c r="BK650" i="6"/>
  <c r="AL651" i="6"/>
  <c r="AM651" i="6"/>
  <c r="AN651" i="6"/>
  <c r="AO651" i="6"/>
  <c r="AP651" i="6"/>
  <c r="AQ651" i="6"/>
  <c r="AR651" i="6"/>
  <c r="AS651" i="6"/>
  <c r="AT651" i="6"/>
  <c r="AU651" i="6"/>
  <c r="AV651" i="6"/>
  <c r="AW651" i="6"/>
  <c r="AX651" i="6"/>
  <c r="AY651" i="6"/>
  <c r="AZ651" i="6"/>
  <c r="BA651" i="6"/>
  <c r="BB651" i="6"/>
  <c r="BC651" i="6"/>
  <c r="BD651" i="6"/>
  <c r="BE651" i="6"/>
  <c r="BF651" i="6"/>
  <c r="BG651" i="6"/>
  <c r="BH651" i="6"/>
  <c r="BI651" i="6"/>
  <c r="BJ651" i="6"/>
  <c r="BK651" i="6"/>
  <c r="AL652" i="6"/>
  <c r="AM652" i="6"/>
  <c r="AN652" i="6"/>
  <c r="AO652" i="6"/>
  <c r="AP652" i="6"/>
  <c r="AQ652" i="6"/>
  <c r="AR652" i="6"/>
  <c r="AS652" i="6"/>
  <c r="AT652" i="6"/>
  <c r="AU652" i="6"/>
  <c r="AV652" i="6"/>
  <c r="AW652" i="6"/>
  <c r="AX652" i="6"/>
  <c r="AY652" i="6"/>
  <c r="AZ652" i="6"/>
  <c r="BA652" i="6"/>
  <c r="BB652" i="6"/>
  <c r="BC652" i="6"/>
  <c r="BD652" i="6"/>
  <c r="BE652" i="6"/>
  <c r="BF652" i="6"/>
  <c r="BG652" i="6"/>
  <c r="BH652" i="6"/>
  <c r="BI652" i="6"/>
  <c r="BJ652" i="6"/>
  <c r="BK652" i="6"/>
  <c r="AL653" i="6"/>
  <c r="AM653" i="6"/>
  <c r="AN653" i="6"/>
  <c r="AO653" i="6"/>
  <c r="AP653" i="6"/>
  <c r="AQ653" i="6"/>
  <c r="AR653" i="6"/>
  <c r="AS653" i="6"/>
  <c r="AT653" i="6"/>
  <c r="AU653" i="6"/>
  <c r="AV653" i="6"/>
  <c r="AW653" i="6"/>
  <c r="AX653" i="6"/>
  <c r="AY653" i="6"/>
  <c r="AZ653" i="6"/>
  <c r="BA653" i="6"/>
  <c r="BB653" i="6"/>
  <c r="BC653" i="6"/>
  <c r="BD653" i="6"/>
  <c r="BE653" i="6"/>
  <c r="BF653" i="6"/>
  <c r="BG653" i="6"/>
  <c r="BH653" i="6"/>
  <c r="BI653" i="6"/>
  <c r="BJ653" i="6"/>
  <c r="BK653" i="6"/>
  <c r="AL654" i="6"/>
  <c r="AM654" i="6"/>
  <c r="AN654" i="6"/>
  <c r="AO654" i="6"/>
  <c r="AP654" i="6"/>
  <c r="AQ654" i="6"/>
  <c r="AR654" i="6"/>
  <c r="AS654" i="6"/>
  <c r="AT654" i="6"/>
  <c r="AU654" i="6"/>
  <c r="AV654" i="6"/>
  <c r="AW654" i="6"/>
  <c r="AX654" i="6"/>
  <c r="AY654" i="6"/>
  <c r="AZ654" i="6"/>
  <c r="BA654" i="6"/>
  <c r="BB654" i="6"/>
  <c r="BC654" i="6"/>
  <c r="BD654" i="6"/>
  <c r="BE654" i="6"/>
  <c r="BF654" i="6"/>
  <c r="BG654" i="6"/>
  <c r="BH654" i="6"/>
  <c r="BI654" i="6"/>
  <c r="BJ654" i="6"/>
  <c r="BK654" i="6"/>
  <c r="AL655" i="6"/>
  <c r="AM655" i="6"/>
  <c r="AN655" i="6"/>
  <c r="AO655" i="6"/>
  <c r="AP655" i="6"/>
  <c r="AQ655" i="6"/>
  <c r="AR655" i="6"/>
  <c r="AS655" i="6"/>
  <c r="AT655" i="6"/>
  <c r="AU655" i="6"/>
  <c r="AV655" i="6"/>
  <c r="AW655" i="6"/>
  <c r="AX655" i="6"/>
  <c r="AY655" i="6"/>
  <c r="AZ655" i="6"/>
  <c r="BA655" i="6"/>
  <c r="BB655" i="6"/>
  <c r="BC655" i="6"/>
  <c r="BD655" i="6"/>
  <c r="BE655" i="6"/>
  <c r="BF655" i="6"/>
  <c r="BG655" i="6"/>
  <c r="BH655" i="6"/>
  <c r="BI655" i="6"/>
  <c r="BJ655" i="6"/>
  <c r="BK655" i="6"/>
  <c r="AL656" i="6"/>
  <c r="AM656" i="6"/>
  <c r="AN656" i="6"/>
  <c r="AO656" i="6"/>
  <c r="AP656" i="6"/>
  <c r="AQ656" i="6"/>
  <c r="AR656" i="6"/>
  <c r="AS656" i="6"/>
  <c r="AT656" i="6"/>
  <c r="AU656" i="6"/>
  <c r="AV656" i="6"/>
  <c r="AW656" i="6"/>
  <c r="AX656" i="6"/>
  <c r="AY656" i="6"/>
  <c r="AZ656" i="6"/>
  <c r="BA656" i="6"/>
  <c r="BB656" i="6"/>
  <c r="BC656" i="6"/>
  <c r="BD656" i="6"/>
  <c r="BE656" i="6"/>
  <c r="BF656" i="6"/>
  <c r="BG656" i="6"/>
  <c r="BH656" i="6"/>
  <c r="BI656" i="6"/>
  <c r="BJ656" i="6"/>
  <c r="BK656" i="6"/>
  <c r="AL657" i="6"/>
  <c r="AM657" i="6"/>
  <c r="AN657" i="6"/>
  <c r="AO657" i="6"/>
  <c r="AP657" i="6"/>
  <c r="AQ657" i="6"/>
  <c r="AR657" i="6"/>
  <c r="AS657" i="6"/>
  <c r="AT657" i="6"/>
  <c r="AU657" i="6"/>
  <c r="AV657" i="6"/>
  <c r="AW657" i="6"/>
  <c r="AX657" i="6"/>
  <c r="AY657" i="6"/>
  <c r="AZ657" i="6"/>
  <c r="BA657" i="6"/>
  <c r="BB657" i="6"/>
  <c r="BC657" i="6"/>
  <c r="BD657" i="6"/>
  <c r="BE657" i="6"/>
  <c r="BF657" i="6"/>
  <c r="BG657" i="6"/>
  <c r="BH657" i="6"/>
  <c r="BI657" i="6"/>
  <c r="BJ657" i="6"/>
  <c r="BK657" i="6"/>
  <c r="AL658" i="6"/>
  <c r="AM658" i="6"/>
  <c r="AN658" i="6"/>
  <c r="AO658" i="6"/>
  <c r="AP658" i="6"/>
  <c r="AQ658" i="6"/>
  <c r="AR658" i="6"/>
  <c r="AS658" i="6"/>
  <c r="AT658" i="6"/>
  <c r="AU658" i="6"/>
  <c r="AV658" i="6"/>
  <c r="AW658" i="6"/>
  <c r="AX658" i="6"/>
  <c r="AY658" i="6"/>
  <c r="AZ658" i="6"/>
  <c r="BA658" i="6"/>
  <c r="BB658" i="6"/>
  <c r="BC658" i="6"/>
  <c r="BD658" i="6"/>
  <c r="BE658" i="6"/>
  <c r="BF658" i="6"/>
  <c r="BG658" i="6"/>
  <c r="BH658" i="6"/>
  <c r="BI658" i="6"/>
  <c r="BJ658" i="6"/>
  <c r="BK658" i="6"/>
  <c r="AL659" i="6"/>
  <c r="AM659" i="6"/>
  <c r="AN659" i="6"/>
  <c r="AO659" i="6"/>
  <c r="AP659" i="6"/>
  <c r="AQ659" i="6"/>
  <c r="AR659" i="6"/>
  <c r="AS659" i="6"/>
  <c r="AT659" i="6"/>
  <c r="AU659" i="6"/>
  <c r="AV659" i="6"/>
  <c r="AW659" i="6"/>
  <c r="AX659" i="6"/>
  <c r="AY659" i="6"/>
  <c r="AZ659" i="6"/>
  <c r="BA659" i="6"/>
  <c r="BB659" i="6"/>
  <c r="BC659" i="6"/>
  <c r="BD659" i="6"/>
  <c r="BE659" i="6"/>
  <c r="BF659" i="6"/>
  <c r="BG659" i="6"/>
  <c r="BH659" i="6"/>
  <c r="BI659" i="6"/>
  <c r="BJ659" i="6"/>
  <c r="BK659" i="6"/>
  <c r="AL660" i="6"/>
  <c r="AM660" i="6"/>
  <c r="AN660" i="6"/>
  <c r="AO660" i="6"/>
  <c r="AP660" i="6"/>
  <c r="AQ660" i="6"/>
  <c r="AR660" i="6"/>
  <c r="AS660" i="6"/>
  <c r="AT660" i="6"/>
  <c r="AU660" i="6"/>
  <c r="AV660" i="6"/>
  <c r="AW660" i="6"/>
  <c r="AX660" i="6"/>
  <c r="AY660" i="6"/>
  <c r="AZ660" i="6"/>
  <c r="BA660" i="6"/>
  <c r="BB660" i="6"/>
  <c r="BC660" i="6"/>
  <c r="BD660" i="6"/>
  <c r="BE660" i="6"/>
  <c r="BF660" i="6"/>
  <c r="BG660" i="6"/>
  <c r="BH660" i="6"/>
  <c r="BI660" i="6"/>
  <c r="BJ660" i="6"/>
  <c r="BK660" i="6"/>
  <c r="AL661" i="6"/>
  <c r="AM661" i="6"/>
  <c r="AN661" i="6"/>
  <c r="AO661" i="6"/>
  <c r="AP661" i="6"/>
  <c r="AQ661" i="6"/>
  <c r="AR661" i="6"/>
  <c r="AS661" i="6"/>
  <c r="AT661" i="6"/>
  <c r="AU661" i="6"/>
  <c r="AV661" i="6"/>
  <c r="AW661" i="6"/>
  <c r="AX661" i="6"/>
  <c r="AY661" i="6"/>
  <c r="AZ661" i="6"/>
  <c r="BA661" i="6"/>
  <c r="BB661" i="6"/>
  <c r="BC661" i="6"/>
  <c r="BD661" i="6"/>
  <c r="BE661" i="6"/>
  <c r="BF661" i="6"/>
  <c r="BG661" i="6"/>
  <c r="BH661" i="6"/>
  <c r="BI661" i="6"/>
  <c r="BJ661" i="6"/>
  <c r="BK661" i="6"/>
  <c r="AL662" i="6"/>
  <c r="AM662" i="6"/>
  <c r="AN662" i="6"/>
  <c r="AO662" i="6"/>
  <c r="AP662" i="6"/>
  <c r="AQ662" i="6"/>
  <c r="AR662" i="6"/>
  <c r="AS662" i="6"/>
  <c r="AT662" i="6"/>
  <c r="AU662" i="6"/>
  <c r="AV662" i="6"/>
  <c r="AW662" i="6"/>
  <c r="AX662" i="6"/>
  <c r="AY662" i="6"/>
  <c r="AZ662" i="6"/>
  <c r="BA662" i="6"/>
  <c r="BB662" i="6"/>
  <c r="BC662" i="6"/>
  <c r="BD662" i="6"/>
  <c r="BE662" i="6"/>
  <c r="BF662" i="6"/>
  <c r="BG662" i="6"/>
  <c r="BH662" i="6"/>
  <c r="BI662" i="6"/>
  <c r="BJ662" i="6"/>
  <c r="BK662" i="6"/>
  <c r="AL663" i="6"/>
  <c r="AM663" i="6"/>
  <c r="AN663" i="6"/>
  <c r="AO663" i="6"/>
  <c r="AP663" i="6"/>
  <c r="AQ663" i="6"/>
  <c r="AR663" i="6"/>
  <c r="AS663" i="6"/>
  <c r="AT663" i="6"/>
  <c r="AU663" i="6"/>
  <c r="AV663" i="6"/>
  <c r="AW663" i="6"/>
  <c r="AX663" i="6"/>
  <c r="AY663" i="6"/>
  <c r="AZ663" i="6"/>
  <c r="BA663" i="6"/>
  <c r="BB663" i="6"/>
  <c r="BC663" i="6"/>
  <c r="BD663" i="6"/>
  <c r="BE663" i="6"/>
  <c r="BF663" i="6"/>
  <c r="BG663" i="6"/>
  <c r="BH663" i="6"/>
  <c r="BI663" i="6"/>
  <c r="BJ663" i="6"/>
  <c r="BK663" i="6"/>
  <c r="AL664" i="6"/>
  <c r="AM664" i="6"/>
  <c r="AN664" i="6"/>
  <c r="AO664" i="6"/>
  <c r="AP664" i="6"/>
  <c r="AQ664" i="6"/>
  <c r="AR664" i="6"/>
  <c r="AS664" i="6"/>
  <c r="AT664" i="6"/>
  <c r="AU664" i="6"/>
  <c r="AV664" i="6"/>
  <c r="AW664" i="6"/>
  <c r="AX664" i="6"/>
  <c r="AY664" i="6"/>
  <c r="AZ664" i="6"/>
  <c r="BA664" i="6"/>
  <c r="BB664" i="6"/>
  <c r="BC664" i="6"/>
  <c r="BD664" i="6"/>
  <c r="BE664" i="6"/>
  <c r="BF664" i="6"/>
  <c r="BG664" i="6"/>
  <c r="BH664" i="6"/>
  <c r="BI664" i="6"/>
  <c r="BJ664" i="6"/>
  <c r="BK664" i="6"/>
  <c r="AL665" i="6"/>
  <c r="AM665" i="6"/>
  <c r="AN665" i="6"/>
  <c r="AO665" i="6"/>
  <c r="AP665" i="6"/>
  <c r="AQ665" i="6"/>
  <c r="AR665" i="6"/>
  <c r="AS665" i="6"/>
  <c r="AT665" i="6"/>
  <c r="AU665" i="6"/>
  <c r="AV665" i="6"/>
  <c r="AW665" i="6"/>
  <c r="AX665" i="6"/>
  <c r="AY665" i="6"/>
  <c r="AZ665" i="6"/>
  <c r="BA665" i="6"/>
  <c r="BB665" i="6"/>
  <c r="BC665" i="6"/>
  <c r="BD665" i="6"/>
  <c r="BE665" i="6"/>
  <c r="BF665" i="6"/>
  <c r="BG665" i="6"/>
  <c r="BH665" i="6"/>
  <c r="BI665" i="6"/>
  <c r="BJ665" i="6"/>
  <c r="BK665" i="6"/>
  <c r="AL666" i="6"/>
  <c r="AM666" i="6"/>
  <c r="AN666" i="6"/>
  <c r="AO666" i="6"/>
  <c r="AP666" i="6"/>
  <c r="AQ666" i="6"/>
  <c r="AR666" i="6"/>
  <c r="AS666" i="6"/>
  <c r="AT666" i="6"/>
  <c r="AU666" i="6"/>
  <c r="AV666" i="6"/>
  <c r="AW666" i="6"/>
  <c r="AX666" i="6"/>
  <c r="AY666" i="6"/>
  <c r="AZ666" i="6"/>
  <c r="BA666" i="6"/>
  <c r="BB666" i="6"/>
  <c r="BC666" i="6"/>
  <c r="BD666" i="6"/>
  <c r="BE666" i="6"/>
  <c r="BF666" i="6"/>
  <c r="BG666" i="6"/>
  <c r="BH666" i="6"/>
  <c r="BI666" i="6"/>
  <c r="BJ666" i="6"/>
  <c r="BK666" i="6"/>
  <c r="AL667" i="6"/>
  <c r="AM667" i="6"/>
  <c r="AN667" i="6"/>
  <c r="AO667" i="6"/>
  <c r="AP667" i="6"/>
  <c r="AQ667" i="6"/>
  <c r="AR667" i="6"/>
  <c r="AS667" i="6"/>
  <c r="AT667" i="6"/>
  <c r="AU667" i="6"/>
  <c r="AV667" i="6"/>
  <c r="AW667" i="6"/>
  <c r="AX667" i="6"/>
  <c r="AY667" i="6"/>
  <c r="AZ667" i="6"/>
  <c r="BA667" i="6"/>
  <c r="BB667" i="6"/>
  <c r="BC667" i="6"/>
  <c r="BD667" i="6"/>
  <c r="BE667" i="6"/>
  <c r="BF667" i="6"/>
  <c r="BG667" i="6"/>
  <c r="BH667" i="6"/>
  <c r="BI667" i="6"/>
  <c r="BJ667" i="6"/>
  <c r="BK667" i="6"/>
  <c r="AL668" i="6"/>
  <c r="AM668" i="6"/>
  <c r="AN668" i="6"/>
  <c r="AO668" i="6"/>
  <c r="AP668" i="6"/>
  <c r="AQ668" i="6"/>
  <c r="AR668" i="6"/>
  <c r="AS668" i="6"/>
  <c r="AT668" i="6"/>
  <c r="AU668" i="6"/>
  <c r="AV668" i="6"/>
  <c r="AW668" i="6"/>
  <c r="AX668" i="6"/>
  <c r="AY668" i="6"/>
  <c r="AZ668" i="6"/>
  <c r="BA668" i="6"/>
  <c r="BB668" i="6"/>
  <c r="BC668" i="6"/>
  <c r="BD668" i="6"/>
  <c r="BE668" i="6"/>
  <c r="BF668" i="6"/>
  <c r="BG668" i="6"/>
  <c r="BH668" i="6"/>
  <c r="BI668" i="6"/>
  <c r="BJ668" i="6"/>
  <c r="BK668" i="6"/>
  <c r="AL669" i="6"/>
  <c r="AM669" i="6"/>
  <c r="AN669" i="6"/>
  <c r="AO669" i="6"/>
  <c r="AP669" i="6"/>
  <c r="AQ669" i="6"/>
  <c r="AR669" i="6"/>
  <c r="AS669" i="6"/>
  <c r="AT669" i="6"/>
  <c r="AU669" i="6"/>
  <c r="AV669" i="6"/>
  <c r="AW669" i="6"/>
  <c r="AX669" i="6"/>
  <c r="AY669" i="6"/>
  <c r="AZ669" i="6"/>
  <c r="BA669" i="6"/>
  <c r="BB669" i="6"/>
  <c r="BC669" i="6"/>
  <c r="BD669" i="6"/>
  <c r="BE669" i="6"/>
  <c r="BF669" i="6"/>
  <c r="BG669" i="6"/>
  <c r="BH669" i="6"/>
  <c r="BI669" i="6"/>
  <c r="BJ669" i="6"/>
  <c r="BK669" i="6"/>
  <c r="AL670" i="6"/>
  <c r="AM670" i="6"/>
  <c r="AN670" i="6"/>
  <c r="AO670" i="6"/>
  <c r="AP670" i="6"/>
  <c r="AQ670" i="6"/>
  <c r="AR670" i="6"/>
  <c r="AS670" i="6"/>
  <c r="AT670" i="6"/>
  <c r="AU670" i="6"/>
  <c r="AV670" i="6"/>
  <c r="AW670" i="6"/>
  <c r="AX670" i="6"/>
  <c r="AY670" i="6"/>
  <c r="AZ670" i="6"/>
  <c r="BA670" i="6"/>
  <c r="BB670" i="6"/>
  <c r="BC670" i="6"/>
  <c r="BD670" i="6"/>
  <c r="BE670" i="6"/>
  <c r="BF670" i="6"/>
  <c r="BG670" i="6"/>
  <c r="BH670" i="6"/>
  <c r="BI670" i="6"/>
  <c r="BJ670" i="6"/>
  <c r="BK670" i="6"/>
  <c r="AL671" i="6"/>
  <c r="AM671" i="6"/>
  <c r="AN671" i="6"/>
  <c r="AO671" i="6"/>
  <c r="AP671" i="6"/>
  <c r="AQ671" i="6"/>
  <c r="AR671" i="6"/>
  <c r="AS671" i="6"/>
  <c r="AT671" i="6"/>
  <c r="AU671" i="6"/>
  <c r="AV671" i="6"/>
  <c r="AW671" i="6"/>
  <c r="AX671" i="6"/>
  <c r="AY671" i="6"/>
  <c r="AZ671" i="6"/>
  <c r="BA671" i="6"/>
  <c r="BB671" i="6"/>
  <c r="BC671" i="6"/>
  <c r="BD671" i="6"/>
  <c r="BE671" i="6"/>
  <c r="BF671" i="6"/>
  <c r="BG671" i="6"/>
  <c r="BH671" i="6"/>
  <c r="BI671" i="6"/>
  <c r="BJ671" i="6"/>
  <c r="BK671" i="6"/>
  <c r="AL672" i="6"/>
  <c r="AM672" i="6"/>
  <c r="AN672" i="6"/>
  <c r="AO672" i="6"/>
  <c r="AP672" i="6"/>
  <c r="AQ672" i="6"/>
  <c r="AR672" i="6"/>
  <c r="AS672" i="6"/>
  <c r="AT672" i="6"/>
  <c r="AU672" i="6"/>
  <c r="AV672" i="6"/>
  <c r="AW672" i="6"/>
  <c r="AX672" i="6"/>
  <c r="AY672" i="6"/>
  <c r="AZ672" i="6"/>
  <c r="BA672" i="6"/>
  <c r="BB672" i="6"/>
  <c r="BC672" i="6"/>
  <c r="BD672" i="6"/>
  <c r="BE672" i="6"/>
  <c r="BF672" i="6"/>
  <c r="BG672" i="6"/>
  <c r="BH672" i="6"/>
  <c r="BI672" i="6"/>
  <c r="BJ672" i="6"/>
  <c r="BK672" i="6"/>
  <c r="AL673" i="6"/>
  <c r="AM673" i="6"/>
  <c r="AN673" i="6"/>
  <c r="AO673" i="6"/>
  <c r="AP673" i="6"/>
  <c r="AQ673" i="6"/>
  <c r="AR673" i="6"/>
  <c r="AS673" i="6"/>
  <c r="AT673" i="6"/>
  <c r="AU673" i="6"/>
  <c r="AV673" i="6"/>
  <c r="AW673" i="6"/>
  <c r="AX673" i="6"/>
  <c r="AY673" i="6"/>
  <c r="AZ673" i="6"/>
  <c r="BA673" i="6"/>
  <c r="BB673" i="6"/>
  <c r="BC673" i="6"/>
  <c r="BD673" i="6"/>
  <c r="BE673" i="6"/>
  <c r="BF673" i="6"/>
  <c r="BG673" i="6"/>
  <c r="BH673" i="6"/>
  <c r="BI673" i="6"/>
  <c r="BJ673" i="6"/>
  <c r="BK673" i="6"/>
  <c r="AL674" i="6"/>
  <c r="AM674" i="6"/>
  <c r="AN674" i="6"/>
  <c r="AO674" i="6"/>
  <c r="AP674" i="6"/>
  <c r="AQ674" i="6"/>
  <c r="AR674" i="6"/>
  <c r="AS674" i="6"/>
  <c r="AT674" i="6"/>
  <c r="AU674" i="6"/>
  <c r="AV674" i="6"/>
  <c r="AW674" i="6"/>
  <c r="AX674" i="6"/>
  <c r="AY674" i="6"/>
  <c r="AZ674" i="6"/>
  <c r="BA674" i="6"/>
  <c r="BB674" i="6"/>
  <c r="BC674" i="6"/>
  <c r="BD674" i="6"/>
  <c r="BE674" i="6"/>
  <c r="BF674" i="6"/>
  <c r="BG674" i="6"/>
  <c r="BH674" i="6"/>
  <c r="BI674" i="6"/>
  <c r="BJ674" i="6"/>
  <c r="BK674" i="6"/>
  <c r="AL675" i="6"/>
  <c r="AM675" i="6"/>
  <c r="AN675" i="6"/>
  <c r="AO675" i="6"/>
  <c r="AP675" i="6"/>
  <c r="AQ675" i="6"/>
  <c r="AR675" i="6"/>
  <c r="AS675" i="6"/>
  <c r="AT675" i="6"/>
  <c r="AU675" i="6"/>
  <c r="AV675" i="6"/>
  <c r="AW675" i="6"/>
  <c r="AX675" i="6"/>
  <c r="AY675" i="6"/>
  <c r="AZ675" i="6"/>
  <c r="BA675" i="6"/>
  <c r="BB675" i="6"/>
  <c r="BC675" i="6"/>
  <c r="BD675" i="6"/>
  <c r="BE675" i="6"/>
  <c r="BF675" i="6"/>
  <c r="BG675" i="6"/>
  <c r="BH675" i="6"/>
  <c r="BI675" i="6"/>
  <c r="BJ675" i="6"/>
  <c r="BK675" i="6"/>
  <c r="AL676" i="6"/>
  <c r="AM676" i="6"/>
  <c r="AN676" i="6"/>
  <c r="AO676" i="6"/>
  <c r="AP676" i="6"/>
  <c r="AQ676" i="6"/>
  <c r="AR676" i="6"/>
  <c r="AS676" i="6"/>
  <c r="AT676" i="6"/>
  <c r="AU676" i="6"/>
  <c r="AV676" i="6"/>
  <c r="AW676" i="6"/>
  <c r="AX676" i="6"/>
  <c r="AY676" i="6"/>
  <c r="AZ676" i="6"/>
  <c r="BA676" i="6"/>
  <c r="BB676" i="6"/>
  <c r="BC676" i="6"/>
  <c r="BD676" i="6"/>
  <c r="BE676" i="6"/>
  <c r="BF676" i="6"/>
  <c r="BG676" i="6"/>
  <c r="BH676" i="6"/>
  <c r="BI676" i="6"/>
  <c r="BJ676" i="6"/>
  <c r="BK676" i="6"/>
  <c r="AL677" i="6"/>
  <c r="AM677" i="6"/>
  <c r="AN677" i="6"/>
  <c r="AO677" i="6"/>
  <c r="AP677" i="6"/>
  <c r="AQ677" i="6"/>
  <c r="AR677" i="6"/>
  <c r="AS677" i="6"/>
  <c r="AT677" i="6"/>
  <c r="AU677" i="6"/>
  <c r="AV677" i="6"/>
  <c r="AW677" i="6"/>
  <c r="AX677" i="6"/>
  <c r="AY677" i="6"/>
  <c r="AZ677" i="6"/>
  <c r="BA677" i="6"/>
  <c r="BB677" i="6"/>
  <c r="BC677" i="6"/>
  <c r="BD677" i="6"/>
  <c r="BE677" i="6"/>
  <c r="BF677" i="6"/>
  <c r="BG677" i="6"/>
  <c r="BH677" i="6"/>
  <c r="BI677" i="6"/>
  <c r="BJ677" i="6"/>
  <c r="BK677" i="6"/>
  <c r="AL678" i="6"/>
  <c r="AM678" i="6"/>
  <c r="AN678" i="6"/>
  <c r="AO678" i="6"/>
  <c r="AP678" i="6"/>
  <c r="AQ678" i="6"/>
  <c r="AR678" i="6"/>
  <c r="AS678" i="6"/>
  <c r="AT678" i="6"/>
  <c r="AU678" i="6"/>
  <c r="AV678" i="6"/>
  <c r="AW678" i="6"/>
  <c r="AX678" i="6"/>
  <c r="AY678" i="6"/>
  <c r="AZ678" i="6"/>
  <c r="BA678" i="6"/>
  <c r="BB678" i="6"/>
  <c r="BC678" i="6"/>
  <c r="BD678" i="6"/>
  <c r="BE678" i="6"/>
  <c r="BF678" i="6"/>
  <c r="BG678" i="6"/>
  <c r="BH678" i="6"/>
  <c r="BI678" i="6"/>
  <c r="BJ678" i="6"/>
  <c r="BK678" i="6"/>
  <c r="AL679" i="6"/>
  <c r="AM679" i="6"/>
  <c r="AN679" i="6"/>
  <c r="AO679" i="6"/>
  <c r="AP679" i="6"/>
  <c r="AQ679" i="6"/>
  <c r="AR679" i="6"/>
  <c r="AS679" i="6"/>
  <c r="AT679" i="6"/>
  <c r="AU679" i="6"/>
  <c r="AV679" i="6"/>
  <c r="AW679" i="6"/>
  <c r="AX679" i="6"/>
  <c r="AY679" i="6"/>
  <c r="AZ679" i="6"/>
  <c r="BA679" i="6"/>
  <c r="BB679" i="6"/>
  <c r="BC679" i="6"/>
  <c r="BD679" i="6"/>
  <c r="BE679" i="6"/>
  <c r="BF679" i="6"/>
  <c r="BG679" i="6"/>
  <c r="BH679" i="6"/>
  <c r="BI679" i="6"/>
  <c r="BJ679" i="6"/>
  <c r="BK679" i="6"/>
  <c r="AL680" i="6"/>
  <c r="AM680" i="6"/>
  <c r="AN680" i="6"/>
  <c r="AO680" i="6"/>
  <c r="AP680" i="6"/>
  <c r="AQ680" i="6"/>
  <c r="AR680" i="6"/>
  <c r="AS680" i="6"/>
  <c r="AT680" i="6"/>
  <c r="AU680" i="6"/>
  <c r="AV680" i="6"/>
  <c r="AW680" i="6"/>
  <c r="AX680" i="6"/>
  <c r="AY680" i="6"/>
  <c r="AZ680" i="6"/>
  <c r="BA680" i="6"/>
  <c r="BB680" i="6"/>
  <c r="BC680" i="6"/>
  <c r="BD680" i="6"/>
  <c r="BE680" i="6"/>
  <c r="BF680" i="6"/>
  <c r="BG680" i="6"/>
  <c r="BH680" i="6"/>
  <c r="BI680" i="6"/>
  <c r="BJ680" i="6"/>
  <c r="BK680" i="6"/>
  <c r="AL681" i="6"/>
  <c r="AM681" i="6"/>
  <c r="AN681" i="6"/>
  <c r="AO681" i="6"/>
  <c r="AP681" i="6"/>
  <c r="AQ681" i="6"/>
  <c r="AR681" i="6"/>
  <c r="AS681" i="6"/>
  <c r="AT681" i="6"/>
  <c r="AU681" i="6"/>
  <c r="AV681" i="6"/>
  <c r="AW681" i="6"/>
  <c r="AX681" i="6"/>
  <c r="AY681" i="6"/>
  <c r="AZ681" i="6"/>
  <c r="BA681" i="6"/>
  <c r="BB681" i="6"/>
  <c r="BC681" i="6"/>
  <c r="BD681" i="6"/>
  <c r="BE681" i="6"/>
  <c r="BF681" i="6"/>
  <c r="BG681" i="6"/>
  <c r="BH681" i="6"/>
  <c r="BI681" i="6"/>
  <c r="BJ681" i="6"/>
  <c r="BK681" i="6"/>
  <c r="AL682" i="6"/>
  <c r="AM682" i="6"/>
  <c r="AN682" i="6"/>
  <c r="AO682" i="6"/>
  <c r="AP682" i="6"/>
  <c r="AQ682" i="6"/>
  <c r="AR682" i="6"/>
  <c r="AS682" i="6"/>
  <c r="AT682" i="6"/>
  <c r="AU682" i="6"/>
  <c r="AV682" i="6"/>
  <c r="AW682" i="6"/>
  <c r="AX682" i="6"/>
  <c r="AY682" i="6"/>
  <c r="AZ682" i="6"/>
  <c r="BA682" i="6"/>
  <c r="BB682" i="6"/>
  <c r="BC682" i="6"/>
  <c r="BD682" i="6"/>
  <c r="BE682" i="6"/>
  <c r="BF682" i="6"/>
  <c r="BG682" i="6"/>
  <c r="BH682" i="6"/>
  <c r="BI682" i="6"/>
  <c r="BJ682" i="6"/>
  <c r="BK682" i="6"/>
  <c r="AL683" i="6"/>
  <c r="AM683" i="6"/>
  <c r="AN683" i="6"/>
  <c r="AO683" i="6"/>
  <c r="AP683" i="6"/>
  <c r="AQ683" i="6"/>
  <c r="AR683" i="6"/>
  <c r="AS683" i="6"/>
  <c r="AT683" i="6"/>
  <c r="AU683" i="6"/>
  <c r="AV683" i="6"/>
  <c r="AW683" i="6"/>
  <c r="AX683" i="6"/>
  <c r="AY683" i="6"/>
  <c r="AZ683" i="6"/>
  <c r="BA683" i="6"/>
  <c r="BB683" i="6"/>
  <c r="BC683" i="6"/>
  <c r="BD683" i="6"/>
  <c r="BE683" i="6"/>
  <c r="BF683" i="6"/>
  <c r="BG683" i="6"/>
  <c r="BH683" i="6"/>
  <c r="BI683" i="6"/>
  <c r="BJ683" i="6"/>
  <c r="BK683" i="6"/>
  <c r="AL684" i="6"/>
  <c r="AM684" i="6"/>
  <c r="AN684" i="6"/>
  <c r="AO684" i="6"/>
  <c r="AP684" i="6"/>
  <c r="AQ684" i="6"/>
  <c r="AR684" i="6"/>
  <c r="AS684" i="6"/>
  <c r="AT684" i="6"/>
  <c r="AU684" i="6"/>
  <c r="AV684" i="6"/>
  <c r="AW684" i="6"/>
  <c r="AX684" i="6"/>
  <c r="AY684" i="6"/>
  <c r="AZ684" i="6"/>
  <c r="BA684" i="6"/>
  <c r="BB684" i="6"/>
  <c r="BC684" i="6"/>
  <c r="BD684" i="6"/>
  <c r="BE684" i="6"/>
  <c r="BF684" i="6"/>
  <c r="BG684" i="6"/>
  <c r="BH684" i="6"/>
  <c r="BI684" i="6"/>
  <c r="BJ684" i="6"/>
  <c r="BK684" i="6"/>
  <c r="AL685" i="6"/>
  <c r="AM685" i="6"/>
  <c r="AN685" i="6"/>
  <c r="AO685" i="6"/>
  <c r="AP685" i="6"/>
  <c r="AQ685" i="6"/>
  <c r="AR685" i="6"/>
  <c r="AS685" i="6"/>
  <c r="AT685" i="6"/>
  <c r="AU685" i="6"/>
  <c r="AV685" i="6"/>
  <c r="AW685" i="6"/>
  <c r="AX685" i="6"/>
  <c r="AY685" i="6"/>
  <c r="AZ685" i="6"/>
  <c r="BA685" i="6"/>
  <c r="BB685" i="6"/>
  <c r="BC685" i="6"/>
  <c r="BD685" i="6"/>
  <c r="BE685" i="6"/>
  <c r="BF685" i="6"/>
  <c r="BG685" i="6"/>
  <c r="BH685" i="6"/>
  <c r="BI685" i="6"/>
  <c r="BJ685" i="6"/>
  <c r="BK685" i="6"/>
  <c r="AL686" i="6"/>
  <c r="AM686" i="6"/>
  <c r="AN686" i="6"/>
  <c r="AO686" i="6"/>
  <c r="AP686" i="6"/>
  <c r="AQ686" i="6"/>
  <c r="AR686" i="6"/>
  <c r="AS686" i="6"/>
  <c r="AT686" i="6"/>
  <c r="AU686" i="6"/>
  <c r="AV686" i="6"/>
  <c r="AW686" i="6"/>
  <c r="AX686" i="6"/>
  <c r="AY686" i="6"/>
  <c r="AZ686" i="6"/>
  <c r="BA686" i="6"/>
  <c r="BB686" i="6"/>
  <c r="BC686" i="6"/>
  <c r="BD686" i="6"/>
  <c r="BE686" i="6"/>
  <c r="BF686" i="6"/>
  <c r="BG686" i="6"/>
  <c r="BH686" i="6"/>
  <c r="BI686" i="6"/>
  <c r="BJ686" i="6"/>
  <c r="BK686" i="6"/>
  <c r="AL687" i="6"/>
  <c r="AM687" i="6"/>
  <c r="AN687" i="6"/>
  <c r="AO687" i="6"/>
  <c r="AP687" i="6"/>
  <c r="AQ687" i="6"/>
  <c r="AR687" i="6"/>
  <c r="AS687" i="6"/>
  <c r="AT687" i="6"/>
  <c r="AU687" i="6"/>
  <c r="AV687" i="6"/>
  <c r="AW687" i="6"/>
  <c r="AX687" i="6"/>
  <c r="AY687" i="6"/>
  <c r="AZ687" i="6"/>
  <c r="BA687" i="6"/>
  <c r="BB687" i="6"/>
  <c r="BC687" i="6"/>
  <c r="BD687" i="6"/>
  <c r="BE687" i="6"/>
  <c r="BF687" i="6"/>
  <c r="BG687" i="6"/>
  <c r="BH687" i="6"/>
  <c r="BI687" i="6"/>
  <c r="BJ687" i="6"/>
  <c r="BK687" i="6"/>
  <c r="AL688" i="6"/>
  <c r="AM688" i="6"/>
  <c r="AN688" i="6"/>
  <c r="AO688" i="6"/>
  <c r="AP688" i="6"/>
  <c r="AQ688" i="6"/>
  <c r="AR688" i="6"/>
  <c r="AS688" i="6"/>
  <c r="AT688" i="6"/>
  <c r="AU688" i="6"/>
  <c r="AV688" i="6"/>
  <c r="AW688" i="6"/>
  <c r="AX688" i="6"/>
  <c r="AY688" i="6"/>
  <c r="AZ688" i="6"/>
  <c r="BA688" i="6"/>
  <c r="BB688" i="6"/>
  <c r="BC688" i="6"/>
  <c r="BD688" i="6"/>
  <c r="BE688" i="6"/>
  <c r="BF688" i="6"/>
  <c r="BG688" i="6"/>
  <c r="BH688" i="6"/>
  <c r="BI688" i="6"/>
  <c r="BJ688" i="6"/>
  <c r="BK688" i="6"/>
  <c r="AL689" i="6"/>
  <c r="AM689" i="6"/>
  <c r="AN689" i="6"/>
  <c r="AO689" i="6"/>
  <c r="AP689" i="6"/>
  <c r="AQ689" i="6"/>
  <c r="AR689" i="6"/>
  <c r="AS689" i="6"/>
  <c r="AT689" i="6"/>
  <c r="AU689" i="6"/>
  <c r="AV689" i="6"/>
  <c r="AW689" i="6"/>
  <c r="AX689" i="6"/>
  <c r="AY689" i="6"/>
  <c r="AZ689" i="6"/>
  <c r="BA689" i="6"/>
  <c r="BB689" i="6"/>
  <c r="BC689" i="6"/>
  <c r="BD689" i="6"/>
  <c r="BE689" i="6"/>
  <c r="BF689" i="6"/>
  <c r="BG689" i="6"/>
  <c r="BH689" i="6"/>
  <c r="BI689" i="6"/>
  <c r="BJ689" i="6"/>
  <c r="BK689" i="6"/>
  <c r="AL690" i="6"/>
  <c r="AM690" i="6"/>
  <c r="AN690" i="6"/>
  <c r="AO690" i="6"/>
  <c r="AP690" i="6"/>
  <c r="AQ690" i="6"/>
  <c r="AR690" i="6"/>
  <c r="AS690" i="6"/>
  <c r="AT690" i="6"/>
  <c r="AU690" i="6"/>
  <c r="AV690" i="6"/>
  <c r="AW690" i="6"/>
  <c r="AX690" i="6"/>
  <c r="AY690" i="6"/>
  <c r="AZ690" i="6"/>
  <c r="BA690" i="6"/>
  <c r="BB690" i="6"/>
  <c r="BC690" i="6"/>
  <c r="BD690" i="6"/>
  <c r="BE690" i="6"/>
  <c r="BF690" i="6"/>
  <c r="BG690" i="6"/>
  <c r="BH690" i="6"/>
  <c r="BI690" i="6"/>
  <c r="BJ690" i="6"/>
  <c r="BK690" i="6"/>
  <c r="AL691" i="6"/>
  <c r="AM691" i="6"/>
  <c r="AN691" i="6"/>
  <c r="AO691" i="6"/>
  <c r="AP691" i="6"/>
  <c r="AQ691" i="6"/>
  <c r="AR691" i="6"/>
  <c r="AS691" i="6"/>
  <c r="AT691" i="6"/>
  <c r="AU691" i="6"/>
  <c r="AV691" i="6"/>
  <c r="AW691" i="6"/>
  <c r="AX691" i="6"/>
  <c r="AY691" i="6"/>
  <c r="AZ691" i="6"/>
  <c r="BA691" i="6"/>
  <c r="BB691" i="6"/>
  <c r="BC691" i="6"/>
  <c r="BD691" i="6"/>
  <c r="BE691" i="6"/>
  <c r="BF691" i="6"/>
  <c r="BG691" i="6"/>
  <c r="BH691" i="6"/>
  <c r="BI691" i="6"/>
  <c r="BJ691" i="6"/>
  <c r="BK691" i="6"/>
  <c r="AL692" i="6"/>
  <c r="AM692" i="6"/>
  <c r="AN692" i="6"/>
  <c r="AO692" i="6"/>
  <c r="AP692" i="6"/>
  <c r="AQ692" i="6"/>
  <c r="AR692" i="6"/>
  <c r="AS692" i="6"/>
  <c r="AT692" i="6"/>
  <c r="AU692" i="6"/>
  <c r="AV692" i="6"/>
  <c r="AW692" i="6"/>
  <c r="AX692" i="6"/>
  <c r="AY692" i="6"/>
  <c r="AZ692" i="6"/>
  <c r="BA692" i="6"/>
  <c r="BB692" i="6"/>
  <c r="BC692" i="6"/>
  <c r="BD692" i="6"/>
  <c r="BE692" i="6"/>
  <c r="BF692" i="6"/>
  <c r="BG692" i="6"/>
  <c r="BH692" i="6"/>
  <c r="BI692" i="6"/>
  <c r="BJ692" i="6"/>
  <c r="BK692" i="6"/>
  <c r="AL693" i="6"/>
  <c r="AM693" i="6"/>
  <c r="AN693" i="6"/>
  <c r="AO693" i="6"/>
  <c r="AP693" i="6"/>
  <c r="AQ693" i="6"/>
  <c r="AR693" i="6"/>
  <c r="AS693" i="6"/>
  <c r="AT693" i="6"/>
  <c r="AU693" i="6"/>
  <c r="AV693" i="6"/>
  <c r="AW693" i="6"/>
  <c r="AX693" i="6"/>
  <c r="AY693" i="6"/>
  <c r="AZ693" i="6"/>
  <c r="BA693" i="6"/>
  <c r="BB693" i="6"/>
  <c r="BC693" i="6"/>
  <c r="BD693" i="6"/>
  <c r="BE693" i="6"/>
  <c r="BF693" i="6"/>
  <c r="BG693" i="6"/>
  <c r="BH693" i="6"/>
  <c r="BI693" i="6"/>
  <c r="BJ693" i="6"/>
  <c r="BK693" i="6"/>
  <c r="AL694" i="6"/>
  <c r="AM694" i="6"/>
  <c r="AN694" i="6"/>
  <c r="AO694" i="6"/>
  <c r="AP694" i="6"/>
  <c r="AQ694" i="6"/>
  <c r="AR694" i="6"/>
  <c r="AS694" i="6"/>
  <c r="AT694" i="6"/>
  <c r="AU694" i="6"/>
  <c r="AV694" i="6"/>
  <c r="AW694" i="6"/>
  <c r="AX694" i="6"/>
  <c r="AY694" i="6"/>
  <c r="AZ694" i="6"/>
  <c r="BA694" i="6"/>
  <c r="BB694" i="6"/>
  <c r="BC694" i="6"/>
  <c r="BD694" i="6"/>
  <c r="BE694" i="6"/>
  <c r="BF694" i="6"/>
  <c r="BG694" i="6"/>
  <c r="BH694" i="6"/>
  <c r="BI694" i="6"/>
  <c r="BJ694" i="6"/>
  <c r="BK694" i="6"/>
  <c r="AL695" i="6"/>
  <c r="AM695" i="6"/>
  <c r="AN695" i="6"/>
  <c r="AO695" i="6"/>
  <c r="AP695" i="6"/>
  <c r="AQ695" i="6"/>
  <c r="AR695" i="6"/>
  <c r="AS695" i="6"/>
  <c r="AT695" i="6"/>
  <c r="AU695" i="6"/>
  <c r="AV695" i="6"/>
  <c r="AW695" i="6"/>
  <c r="AX695" i="6"/>
  <c r="AY695" i="6"/>
  <c r="AZ695" i="6"/>
  <c r="BA695" i="6"/>
  <c r="BB695" i="6"/>
  <c r="BC695" i="6"/>
  <c r="BD695" i="6"/>
  <c r="BE695" i="6"/>
  <c r="BF695" i="6"/>
  <c r="BG695" i="6"/>
  <c r="BH695" i="6"/>
  <c r="BI695" i="6"/>
  <c r="BJ695" i="6"/>
  <c r="BK695" i="6"/>
  <c r="AL696" i="6"/>
  <c r="AM696" i="6"/>
  <c r="AN696" i="6"/>
  <c r="AO696" i="6"/>
  <c r="AP696" i="6"/>
  <c r="AQ696" i="6"/>
  <c r="AR696" i="6"/>
  <c r="AS696" i="6"/>
  <c r="AT696" i="6"/>
  <c r="AU696" i="6"/>
  <c r="AV696" i="6"/>
  <c r="AW696" i="6"/>
  <c r="AX696" i="6"/>
  <c r="AY696" i="6"/>
  <c r="AZ696" i="6"/>
  <c r="BA696" i="6"/>
  <c r="BB696" i="6"/>
  <c r="BC696" i="6"/>
  <c r="BD696" i="6"/>
  <c r="BE696" i="6"/>
  <c r="BF696" i="6"/>
  <c r="BG696" i="6"/>
  <c r="BH696" i="6"/>
  <c r="BI696" i="6"/>
  <c r="BJ696" i="6"/>
  <c r="BK696" i="6"/>
  <c r="AL697" i="6"/>
  <c r="AM697" i="6"/>
  <c r="AN697" i="6"/>
  <c r="AO697" i="6"/>
  <c r="AP697" i="6"/>
  <c r="AQ697" i="6"/>
  <c r="AR697" i="6"/>
  <c r="AS697" i="6"/>
  <c r="AT697" i="6"/>
  <c r="AU697" i="6"/>
  <c r="AV697" i="6"/>
  <c r="AW697" i="6"/>
  <c r="AX697" i="6"/>
  <c r="AY697" i="6"/>
  <c r="AZ697" i="6"/>
  <c r="BA697" i="6"/>
  <c r="BB697" i="6"/>
  <c r="BC697" i="6"/>
  <c r="BD697" i="6"/>
  <c r="BE697" i="6"/>
  <c r="BF697" i="6"/>
  <c r="BG697" i="6"/>
  <c r="BH697" i="6"/>
  <c r="BI697" i="6"/>
  <c r="BJ697" i="6"/>
  <c r="BK697" i="6"/>
  <c r="AL698" i="6"/>
  <c r="AM698" i="6"/>
  <c r="AN698" i="6"/>
  <c r="AO698" i="6"/>
  <c r="AP698" i="6"/>
  <c r="AQ698" i="6"/>
  <c r="AR698" i="6"/>
  <c r="AS698" i="6"/>
  <c r="AT698" i="6"/>
  <c r="AU698" i="6"/>
  <c r="AV698" i="6"/>
  <c r="AW698" i="6"/>
  <c r="AX698" i="6"/>
  <c r="AY698" i="6"/>
  <c r="AZ698" i="6"/>
  <c r="BA698" i="6"/>
  <c r="BB698" i="6"/>
  <c r="BC698" i="6"/>
  <c r="BD698" i="6"/>
  <c r="BE698" i="6"/>
  <c r="BF698" i="6"/>
  <c r="BG698" i="6"/>
  <c r="BH698" i="6"/>
  <c r="BI698" i="6"/>
  <c r="BJ698" i="6"/>
  <c r="BK698" i="6"/>
  <c r="AL699" i="6"/>
  <c r="AM699" i="6"/>
  <c r="AN699" i="6"/>
  <c r="AO699" i="6"/>
  <c r="AP699" i="6"/>
  <c r="AQ699" i="6"/>
  <c r="AR699" i="6"/>
  <c r="AS699" i="6"/>
  <c r="AT699" i="6"/>
  <c r="AU699" i="6"/>
  <c r="AV699" i="6"/>
  <c r="AW699" i="6"/>
  <c r="AX699" i="6"/>
  <c r="AY699" i="6"/>
  <c r="AZ699" i="6"/>
  <c r="BA699" i="6"/>
  <c r="BB699" i="6"/>
  <c r="BC699" i="6"/>
  <c r="BD699" i="6"/>
  <c r="BE699" i="6"/>
  <c r="BF699" i="6"/>
  <c r="BG699" i="6"/>
  <c r="BH699" i="6"/>
  <c r="BI699" i="6"/>
  <c r="BJ699" i="6"/>
  <c r="BK699" i="6"/>
  <c r="AL700" i="6"/>
  <c r="AM700" i="6"/>
  <c r="AN700" i="6"/>
  <c r="AO700" i="6"/>
  <c r="AP700" i="6"/>
  <c r="AQ700" i="6"/>
  <c r="AR700" i="6"/>
  <c r="AS700" i="6"/>
  <c r="AT700" i="6"/>
  <c r="AU700" i="6"/>
  <c r="AV700" i="6"/>
  <c r="AW700" i="6"/>
  <c r="AX700" i="6"/>
  <c r="AY700" i="6"/>
  <c r="AZ700" i="6"/>
  <c r="BA700" i="6"/>
  <c r="BB700" i="6"/>
  <c r="BC700" i="6"/>
  <c r="BD700" i="6"/>
  <c r="BE700" i="6"/>
  <c r="BF700" i="6"/>
  <c r="BG700" i="6"/>
  <c r="BH700" i="6"/>
  <c r="BI700" i="6"/>
  <c r="BJ700" i="6"/>
  <c r="BK700" i="6"/>
  <c r="AL701" i="6"/>
  <c r="AM701" i="6"/>
  <c r="AN701" i="6"/>
  <c r="AO701" i="6"/>
  <c r="AP701" i="6"/>
  <c r="AQ701" i="6"/>
  <c r="AR701" i="6"/>
  <c r="AS701" i="6"/>
  <c r="AT701" i="6"/>
  <c r="AU701" i="6"/>
  <c r="AV701" i="6"/>
  <c r="AW701" i="6"/>
  <c r="AX701" i="6"/>
  <c r="AY701" i="6"/>
  <c r="AZ701" i="6"/>
  <c r="BA701" i="6"/>
  <c r="BB701" i="6"/>
  <c r="BC701" i="6"/>
  <c r="BD701" i="6"/>
  <c r="BE701" i="6"/>
  <c r="BF701" i="6"/>
  <c r="BG701" i="6"/>
  <c r="BH701" i="6"/>
  <c r="BI701" i="6"/>
  <c r="BJ701" i="6"/>
  <c r="BK701" i="6"/>
  <c r="AL702" i="6"/>
  <c r="AM702" i="6"/>
  <c r="AN702" i="6"/>
  <c r="AO702" i="6"/>
  <c r="AP702" i="6"/>
  <c r="AQ702" i="6"/>
  <c r="AR702" i="6"/>
  <c r="AS702" i="6"/>
  <c r="AT702" i="6"/>
  <c r="AU702" i="6"/>
  <c r="AV702" i="6"/>
  <c r="AW702" i="6"/>
  <c r="AX702" i="6"/>
  <c r="AY702" i="6"/>
  <c r="AZ702" i="6"/>
  <c r="BA702" i="6"/>
  <c r="BB702" i="6"/>
  <c r="BC702" i="6"/>
  <c r="BD702" i="6"/>
  <c r="BE702" i="6"/>
  <c r="BF702" i="6"/>
  <c r="BG702" i="6"/>
  <c r="BH702" i="6"/>
  <c r="BI702" i="6"/>
  <c r="BJ702" i="6"/>
  <c r="BK702" i="6"/>
  <c r="AL703" i="6"/>
  <c r="AM703" i="6"/>
  <c r="AN703" i="6"/>
  <c r="AO703" i="6"/>
  <c r="AP703" i="6"/>
  <c r="AQ703" i="6"/>
  <c r="AR703" i="6"/>
  <c r="AS703" i="6"/>
  <c r="AT703" i="6"/>
  <c r="AU703" i="6"/>
  <c r="AV703" i="6"/>
  <c r="AW703" i="6"/>
  <c r="AX703" i="6"/>
  <c r="AY703" i="6"/>
  <c r="AZ703" i="6"/>
  <c r="BA703" i="6"/>
  <c r="BB703" i="6"/>
  <c r="BC703" i="6"/>
  <c r="BD703" i="6"/>
  <c r="BE703" i="6"/>
  <c r="BF703" i="6"/>
  <c r="BG703" i="6"/>
  <c r="BH703" i="6"/>
  <c r="BI703" i="6"/>
  <c r="BJ703" i="6"/>
  <c r="BK703" i="6"/>
  <c r="AL704" i="6"/>
  <c r="AM704" i="6"/>
  <c r="AN704" i="6"/>
  <c r="AO704" i="6"/>
  <c r="AP704" i="6"/>
  <c r="AQ704" i="6"/>
  <c r="AR704" i="6"/>
  <c r="AS704" i="6"/>
  <c r="AT704" i="6"/>
  <c r="AU704" i="6"/>
  <c r="AV704" i="6"/>
  <c r="AW704" i="6"/>
  <c r="AX704" i="6"/>
  <c r="AY704" i="6"/>
  <c r="AZ704" i="6"/>
  <c r="BA704" i="6"/>
  <c r="BB704" i="6"/>
  <c r="BC704" i="6"/>
  <c r="BD704" i="6"/>
  <c r="BE704" i="6"/>
  <c r="BF704" i="6"/>
  <c r="BG704" i="6"/>
  <c r="BH704" i="6"/>
  <c r="BI704" i="6"/>
  <c r="BJ704" i="6"/>
  <c r="BK704" i="6"/>
  <c r="AL705" i="6"/>
  <c r="AM705" i="6"/>
  <c r="AN705" i="6"/>
  <c r="AO705" i="6"/>
  <c r="AP705" i="6"/>
  <c r="AQ705" i="6"/>
  <c r="AR705" i="6"/>
  <c r="AS705" i="6"/>
  <c r="AT705" i="6"/>
  <c r="AU705" i="6"/>
  <c r="AV705" i="6"/>
  <c r="AW705" i="6"/>
  <c r="AX705" i="6"/>
  <c r="AY705" i="6"/>
  <c r="AZ705" i="6"/>
  <c r="BA705" i="6"/>
  <c r="BB705" i="6"/>
  <c r="BC705" i="6"/>
  <c r="BD705" i="6"/>
  <c r="BE705" i="6"/>
  <c r="BF705" i="6"/>
  <c r="BG705" i="6"/>
  <c r="BH705" i="6"/>
  <c r="BI705" i="6"/>
  <c r="BJ705" i="6"/>
  <c r="BK705" i="6"/>
  <c r="AL706" i="6"/>
  <c r="AM706" i="6"/>
  <c r="AN706" i="6"/>
  <c r="AO706" i="6"/>
  <c r="AP706" i="6"/>
  <c r="AQ706" i="6"/>
  <c r="AR706" i="6"/>
  <c r="AS706" i="6"/>
  <c r="AT706" i="6"/>
  <c r="AU706" i="6"/>
  <c r="AV706" i="6"/>
  <c r="AW706" i="6"/>
  <c r="AX706" i="6"/>
  <c r="AY706" i="6"/>
  <c r="AZ706" i="6"/>
  <c r="BA706" i="6"/>
  <c r="BB706" i="6"/>
  <c r="BC706" i="6"/>
  <c r="BD706" i="6"/>
  <c r="BE706" i="6"/>
  <c r="BF706" i="6"/>
  <c r="BG706" i="6"/>
  <c r="BH706" i="6"/>
  <c r="BI706" i="6"/>
  <c r="BJ706" i="6"/>
  <c r="BK706" i="6"/>
  <c r="AL707" i="6"/>
  <c r="AM707" i="6"/>
  <c r="AN707" i="6"/>
  <c r="AO707" i="6"/>
  <c r="AP707" i="6"/>
  <c r="AQ707" i="6"/>
  <c r="AR707" i="6"/>
  <c r="AS707" i="6"/>
  <c r="AT707" i="6"/>
  <c r="AU707" i="6"/>
  <c r="AV707" i="6"/>
  <c r="AW707" i="6"/>
  <c r="AX707" i="6"/>
  <c r="AY707" i="6"/>
  <c r="AZ707" i="6"/>
  <c r="BA707" i="6"/>
  <c r="BB707" i="6"/>
  <c r="BC707" i="6"/>
  <c r="BD707" i="6"/>
  <c r="BE707" i="6"/>
  <c r="BF707" i="6"/>
  <c r="BG707" i="6"/>
  <c r="BH707" i="6"/>
  <c r="BI707" i="6"/>
  <c r="BJ707" i="6"/>
  <c r="BK707" i="6"/>
  <c r="AL708" i="6"/>
  <c r="AM708" i="6"/>
  <c r="AN708" i="6"/>
  <c r="AO708" i="6"/>
  <c r="AP708" i="6"/>
  <c r="AQ708" i="6"/>
  <c r="AR708" i="6"/>
  <c r="AS708" i="6"/>
  <c r="AT708" i="6"/>
  <c r="AU708" i="6"/>
  <c r="AV708" i="6"/>
  <c r="AW708" i="6"/>
  <c r="AX708" i="6"/>
  <c r="AY708" i="6"/>
  <c r="AZ708" i="6"/>
  <c r="BA708" i="6"/>
  <c r="BB708" i="6"/>
  <c r="BC708" i="6"/>
  <c r="BD708" i="6"/>
  <c r="BE708" i="6"/>
  <c r="BF708" i="6"/>
  <c r="BG708" i="6"/>
  <c r="BH708" i="6"/>
  <c r="BI708" i="6"/>
  <c r="BJ708" i="6"/>
  <c r="BK708" i="6"/>
  <c r="AL709" i="6"/>
  <c r="AM709" i="6"/>
  <c r="AN709" i="6"/>
  <c r="AO709" i="6"/>
  <c r="AP709" i="6"/>
  <c r="AQ709" i="6"/>
  <c r="AR709" i="6"/>
  <c r="AS709" i="6"/>
  <c r="AT709" i="6"/>
  <c r="AU709" i="6"/>
  <c r="AV709" i="6"/>
  <c r="AW709" i="6"/>
  <c r="AX709" i="6"/>
  <c r="AY709" i="6"/>
  <c r="AZ709" i="6"/>
  <c r="BA709" i="6"/>
  <c r="BB709" i="6"/>
  <c r="BC709" i="6"/>
  <c r="BD709" i="6"/>
  <c r="BE709" i="6"/>
  <c r="BF709" i="6"/>
  <c r="BG709" i="6"/>
  <c r="BH709" i="6"/>
  <c r="BI709" i="6"/>
  <c r="BJ709" i="6"/>
  <c r="BK709" i="6"/>
  <c r="AL710" i="6"/>
  <c r="AM710" i="6"/>
  <c r="AN710" i="6"/>
  <c r="AO710" i="6"/>
  <c r="AP710" i="6"/>
  <c r="AQ710" i="6"/>
  <c r="AR710" i="6"/>
  <c r="AS710" i="6"/>
  <c r="AT710" i="6"/>
  <c r="AU710" i="6"/>
  <c r="AV710" i="6"/>
  <c r="AW710" i="6"/>
  <c r="AX710" i="6"/>
  <c r="AY710" i="6"/>
  <c r="AZ710" i="6"/>
  <c r="BA710" i="6"/>
  <c r="BB710" i="6"/>
  <c r="BC710" i="6"/>
  <c r="BD710" i="6"/>
  <c r="BE710" i="6"/>
  <c r="BF710" i="6"/>
  <c r="BG710" i="6"/>
  <c r="BH710" i="6"/>
  <c r="BI710" i="6"/>
  <c r="BJ710" i="6"/>
  <c r="BK710" i="6"/>
  <c r="AL711" i="6"/>
  <c r="AM711" i="6"/>
  <c r="AN711" i="6"/>
  <c r="AO711" i="6"/>
  <c r="AP711" i="6"/>
  <c r="AQ711" i="6"/>
  <c r="AR711" i="6"/>
  <c r="AS711" i="6"/>
  <c r="AT711" i="6"/>
  <c r="AU711" i="6"/>
  <c r="AV711" i="6"/>
  <c r="AW711" i="6"/>
  <c r="AX711" i="6"/>
  <c r="AY711" i="6"/>
  <c r="AZ711" i="6"/>
  <c r="BA711" i="6"/>
  <c r="BB711" i="6"/>
  <c r="BC711" i="6"/>
  <c r="BD711" i="6"/>
  <c r="BE711" i="6"/>
  <c r="BF711" i="6"/>
  <c r="BG711" i="6"/>
  <c r="BH711" i="6"/>
  <c r="BI711" i="6"/>
  <c r="BJ711" i="6"/>
  <c r="BK711" i="6"/>
  <c r="AL712" i="6"/>
  <c r="AM712" i="6"/>
  <c r="AN712" i="6"/>
  <c r="AO712" i="6"/>
  <c r="AP712" i="6"/>
  <c r="AQ712" i="6"/>
  <c r="AR712" i="6"/>
  <c r="AS712" i="6"/>
  <c r="AT712" i="6"/>
  <c r="AU712" i="6"/>
  <c r="AV712" i="6"/>
  <c r="AW712" i="6"/>
  <c r="AX712" i="6"/>
  <c r="AY712" i="6"/>
  <c r="AZ712" i="6"/>
  <c r="BA712" i="6"/>
  <c r="BB712" i="6"/>
  <c r="BC712" i="6"/>
  <c r="BD712" i="6"/>
  <c r="BE712" i="6"/>
  <c r="BF712" i="6"/>
  <c r="BG712" i="6"/>
  <c r="BH712" i="6"/>
  <c r="BI712" i="6"/>
  <c r="BJ712" i="6"/>
  <c r="BK712" i="6"/>
  <c r="AL713" i="6"/>
  <c r="AM713" i="6"/>
  <c r="AN713" i="6"/>
  <c r="AO713" i="6"/>
  <c r="AP713" i="6"/>
  <c r="AQ713" i="6"/>
  <c r="AR713" i="6"/>
  <c r="AS713" i="6"/>
  <c r="AT713" i="6"/>
  <c r="AU713" i="6"/>
  <c r="AV713" i="6"/>
  <c r="AW713" i="6"/>
  <c r="AX713" i="6"/>
  <c r="AY713" i="6"/>
  <c r="AZ713" i="6"/>
  <c r="BA713" i="6"/>
  <c r="BB713" i="6"/>
  <c r="BC713" i="6"/>
  <c r="BD713" i="6"/>
  <c r="BE713" i="6"/>
  <c r="BF713" i="6"/>
  <c r="BG713" i="6"/>
  <c r="BH713" i="6"/>
  <c r="BI713" i="6"/>
  <c r="BJ713" i="6"/>
  <c r="BK713" i="6"/>
  <c r="AL714" i="6"/>
  <c r="AM714" i="6"/>
  <c r="AN714" i="6"/>
  <c r="AO714" i="6"/>
  <c r="AP714" i="6"/>
  <c r="AQ714" i="6"/>
  <c r="AR714" i="6"/>
  <c r="AS714" i="6"/>
  <c r="AT714" i="6"/>
  <c r="AU714" i="6"/>
  <c r="AV714" i="6"/>
  <c r="AW714" i="6"/>
  <c r="AX714" i="6"/>
  <c r="AY714" i="6"/>
  <c r="AZ714" i="6"/>
  <c r="BA714" i="6"/>
  <c r="BB714" i="6"/>
  <c r="BC714" i="6"/>
  <c r="BD714" i="6"/>
  <c r="BE714" i="6"/>
  <c r="BF714" i="6"/>
  <c r="BG714" i="6"/>
  <c r="BH714" i="6"/>
  <c r="BI714" i="6"/>
  <c r="BJ714" i="6"/>
  <c r="BK714" i="6"/>
  <c r="AL715" i="6"/>
  <c r="AM715" i="6"/>
  <c r="AN715" i="6"/>
  <c r="AO715" i="6"/>
  <c r="AP715" i="6"/>
  <c r="AQ715" i="6"/>
  <c r="AR715" i="6"/>
  <c r="AS715" i="6"/>
  <c r="AT715" i="6"/>
  <c r="AU715" i="6"/>
  <c r="AV715" i="6"/>
  <c r="AW715" i="6"/>
  <c r="AX715" i="6"/>
  <c r="AY715" i="6"/>
  <c r="AZ715" i="6"/>
  <c r="BA715" i="6"/>
  <c r="BB715" i="6"/>
  <c r="BC715" i="6"/>
  <c r="BD715" i="6"/>
  <c r="BE715" i="6"/>
  <c r="BF715" i="6"/>
  <c r="BG715" i="6"/>
  <c r="BH715" i="6"/>
  <c r="BI715" i="6"/>
  <c r="BJ715" i="6"/>
  <c r="BK715" i="6"/>
  <c r="AL716" i="6"/>
  <c r="AM716" i="6"/>
  <c r="AN716" i="6"/>
  <c r="AO716" i="6"/>
  <c r="AP716" i="6"/>
  <c r="AQ716" i="6"/>
  <c r="AR716" i="6"/>
  <c r="AS716" i="6"/>
  <c r="AT716" i="6"/>
  <c r="AU716" i="6"/>
  <c r="AV716" i="6"/>
  <c r="AW716" i="6"/>
  <c r="AX716" i="6"/>
  <c r="AY716" i="6"/>
  <c r="AZ716" i="6"/>
  <c r="BA716" i="6"/>
  <c r="BB716" i="6"/>
  <c r="BC716" i="6"/>
  <c r="BD716" i="6"/>
  <c r="BE716" i="6"/>
  <c r="BF716" i="6"/>
  <c r="BG716" i="6"/>
  <c r="BH716" i="6"/>
  <c r="BI716" i="6"/>
  <c r="BJ716" i="6"/>
  <c r="BK716" i="6"/>
  <c r="AL717" i="6"/>
  <c r="AM717" i="6"/>
  <c r="AN717" i="6"/>
  <c r="AO717" i="6"/>
  <c r="AP717" i="6"/>
  <c r="AQ717" i="6"/>
  <c r="AR717" i="6"/>
  <c r="AS717" i="6"/>
  <c r="AT717" i="6"/>
  <c r="AU717" i="6"/>
  <c r="AV717" i="6"/>
  <c r="AW717" i="6"/>
  <c r="AX717" i="6"/>
  <c r="AY717" i="6"/>
  <c r="AZ717" i="6"/>
  <c r="BA717" i="6"/>
  <c r="BB717" i="6"/>
  <c r="BC717" i="6"/>
  <c r="BD717" i="6"/>
  <c r="BE717" i="6"/>
  <c r="BF717" i="6"/>
  <c r="BG717" i="6"/>
  <c r="BH717" i="6"/>
  <c r="BI717" i="6"/>
  <c r="BJ717" i="6"/>
  <c r="BK717" i="6"/>
  <c r="AL718" i="6"/>
  <c r="AM718" i="6"/>
  <c r="AN718" i="6"/>
  <c r="AO718" i="6"/>
  <c r="AP718" i="6"/>
  <c r="AQ718" i="6"/>
  <c r="AR718" i="6"/>
  <c r="AS718" i="6"/>
  <c r="AT718" i="6"/>
  <c r="AU718" i="6"/>
  <c r="AV718" i="6"/>
  <c r="AW718" i="6"/>
  <c r="AX718" i="6"/>
  <c r="AY718" i="6"/>
  <c r="AZ718" i="6"/>
  <c r="BA718" i="6"/>
  <c r="BB718" i="6"/>
  <c r="BC718" i="6"/>
  <c r="BD718" i="6"/>
  <c r="BE718" i="6"/>
  <c r="BF718" i="6"/>
  <c r="BG718" i="6"/>
  <c r="BH718" i="6"/>
  <c r="BI718" i="6"/>
  <c r="BJ718" i="6"/>
  <c r="BK718" i="6"/>
  <c r="AL719" i="6"/>
  <c r="AM719" i="6"/>
  <c r="AN719" i="6"/>
  <c r="AO719" i="6"/>
  <c r="AP719" i="6"/>
  <c r="AQ719" i="6"/>
  <c r="AR719" i="6"/>
  <c r="AS719" i="6"/>
  <c r="AT719" i="6"/>
  <c r="AU719" i="6"/>
  <c r="AV719" i="6"/>
  <c r="AW719" i="6"/>
  <c r="AX719" i="6"/>
  <c r="AY719" i="6"/>
  <c r="AZ719" i="6"/>
  <c r="BA719" i="6"/>
  <c r="BB719" i="6"/>
  <c r="BC719" i="6"/>
  <c r="BD719" i="6"/>
  <c r="BE719" i="6"/>
  <c r="BF719" i="6"/>
  <c r="BG719" i="6"/>
  <c r="BH719" i="6"/>
  <c r="BI719" i="6"/>
  <c r="BJ719" i="6"/>
  <c r="BK719" i="6"/>
  <c r="AL720" i="6"/>
  <c r="AM720" i="6"/>
  <c r="AN720" i="6"/>
  <c r="AO720" i="6"/>
  <c r="AP720" i="6"/>
  <c r="AQ720" i="6"/>
  <c r="AR720" i="6"/>
  <c r="AS720" i="6"/>
  <c r="AT720" i="6"/>
  <c r="AU720" i="6"/>
  <c r="AV720" i="6"/>
  <c r="AW720" i="6"/>
  <c r="AX720" i="6"/>
  <c r="AY720" i="6"/>
  <c r="AZ720" i="6"/>
  <c r="BA720" i="6"/>
  <c r="BB720" i="6"/>
  <c r="BC720" i="6"/>
  <c r="BD720" i="6"/>
  <c r="BE720" i="6"/>
  <c r="BF720" i="6"/>
  <c r="BG720" i="6"/>
  <c r="BH720" i="6"/>
  <c r="BI720" i="6"/>
  <c r="BJ720" i="6"/>
  <c r="BK720" i="6"/>
  <c r="AL721" i="6"/>
  <c r="AM721" i="6"/>
  <c r="AN721" i="6"/>
  <c r="AO721" i="6"/>
  <c r="AP721" i="6"/>
  <c r="AQ721" i="6"/>
  <c r="AR721" i="6"/>
  <c r="AS721" i="6"/>
  <c r="AT721" i="6"/>
  <c r="AU721" i="6"/>
  <c r="AV721" i="6"/>
  <c r="AW721" i="6"/>
  <c r="AX721" i="6"/>
  <c r="AY721" i="6"/>
  <c r="AZ721" i="6"/>
  <c r="BA721" i="6"/>
  <c r="BB721" i="6"/>
  <c r="BC721" i="6"/>
  <c r="BD721" i="6"/>
  <c r="BE721" i="6"/>
  <c r="BF721" i="6"/>
  <c r="BG721" i="6"/>
  <c r="BH721" i="6"/>
  <c r="BI721" i="6"/>
  <c r="BJ721" i="6"/>
  <c r="BK721" i="6"/>
  <c r="AL722" i="6"/>
  <c r="AM722" i="6"/>
  <c r="AN722" i="6"/>
  <c r="AO722" i="6"/>
  <c r="AP722" i="6"/>
  <c r="AQ722" i="6"/>
  <c r="AR722" i="6"/>
  <c r="AS722" i="6"/>
  <c r="AT722" i="6"/>
  <c r="AU722" i="6"/>
  <c r="AV722" i="6"/>
  <c r="AW722" i="6"/>
  <c r="AX722" i="6"/>
  <c r="AY722" i="6"/>
  <c r="AZ722" i="6"/>
  <c r="BA722" i="6"/>
  <c r="BB722" i="6"/>
  <c r="BC722" i="6"/>
  <c r="BD722" i="6"/>
  <c r="BE722" i="6"/>
  <c r="BF722" i="6"/>
  <c r="BG722" i="6"/>
  <c r="BH722" i="6"/>
  <c r="BI722" i="6"/>
  <c r="BJ722" i="6"/>
  <c r="BK722" i="6"/>
  <c r="AL723" i="6"/>
  <c r="AM723" i="6"/>
  <c r="AN723" i="6"/>
  <c r="AO723" i="6"/>
  <c r="AP723" i="6"/>
  <c r="AQ723" i="6"/>
  <c r="AR723" i="6"/>
  <c r="AS723" i="6"/>
  <c r="AT723" i="6"/>
  <c r="AU723" i="6"/>
  <c r="AV723" i="6"/>
  <c r="AW723" i="6"/>
  <c r="AX723" i="6"/>
  <c r="AY723" i="6"/>
  <c r="AZ723" i="6"/>
  <c r="BA723" i="6"/>
  <c r="BB723" i="6"/>
  <c r="BC723" i="6"/>
  <c r="BD723" i="6"/>
  <c r="BE723" i="6"/>
  <c r="BF723" i="6"/>
  <c r="BG723" i="6"/>
  <c r="BH723" i="6"/>
  <c r="BI723" i="6"/>
  <c r="BJ723" i="6"/>
  <c r="BK723" i="6"/>
  <c r="AL724" i="6"/>
  <c r="AM724" i="6"/>
  <c r="AN724" i="6"/>
  <c r="AO724" i="6"/>
  <c r="AP724" i="6"/>
  <c r="AQ724" i="6"/>
  <c r="AR724" i="6"/>
  <c r="AS724" i="6"/>
  <c r="AT724" i="6"/>
  <c r="AU724" i="6"/>
  <c r="AV724" i="6"/>
  <c r="AW724" i="6"/>
  <c r="AX724" i="6"/>
  <c r="AY724" i="6"/>
  <c r="AZ724" i="6"/>
  <c r="BA724" i="6"/>
  <c r="BB724" i="6"/>
  <c r="BC724" i="6"/>
  <c r="BD724" i="6"/>
  <c r="BE724" i="6"/>
  <c r="BF724" i="6"/>
  <c r="BG724" i="6"/>
  <c r="BH724" i="6"/>
  <c r="BI724" i="6"/>
  <c r="BJ724" i="6"/>
  <c r="BK724" i="6"/>
  <c r="AL725" i="6"/>
  <c r="AM725" i="6"/>
  <c r="AN725" i="6"/>
  <c r="AO725" i="6"/>
  <c r="AP725" i="6"/>
  <c r="AQ725" i="6"/>
  <c r="AR725" i="6"/>
  <c r="AS725" i="6"/>
  <c r="AT725" i="6"/>
  <c r="AU725" i="6"/>
  <c r="AV725" i="6"/>
  <c r="AW725" i="6"/>
  <c r="AX725" i="6"/>
  <c r="AY725" i="6"/>
  <c r="AZ725" i="6"/>
  <c r="BA725" i="6"/>
  <c r="BB725" i="6"/>
  <c r="BC725" i="6"/>
  <c r="BD725" i="6"/>
  <c r="BE725" i="6"/>
  <c r="BF725" i="6"/>
  <c r="BG725" i="6"/>
  <c r="BH725" i="6"/>
  <c r="BI725" i="6"/>
  <c r="BJ725" i="6"/>
  <c r="BK725" i="6"/>
  <c r="AL726" i="6"/>
  <c r="AM726" i="6"/>
  <c r="AN726" i="6"/>
  <c r="AO726" i="6"/>
  <c r="AP726" i="6"/>
  <c r="AQ726" i="6"/>
  <c r="AR726" i="6"/>
  <c r="AS726" i="6"/>
  <c r="AT726" i="6"/>
  <c r="AU726" i="6"/>
  <c r="AV726" i="6"/>
  <c r="AW726" i="6"/>
  <c r="AX726" i="6"/>
  <c r="AY726" i="6"/>
  <c r="AZ726" i="6"/>
  <c r="BA726" i="6"/>
  <c r="BB726" i="6"/>
  <c r="BC726" i="6"/>
  <c r="BD726" i="6"/>
  <c r="BE726" i="6"/>
  <c r="BF726" i="6"/>
  <c r="BG726" i="6"/>
  <c r="BH726" i="6"/>
  <c r="BI726" i="6"/>
  <c r="BJ726" i="6"/>
  <c r="BK726" i="6"/>
  <c r="AL727" i="6"/>
  <c r="AM727" i="6"/>
  <c r="AN727" i="6"/>
  <c r="AO727" i="6"/>
  <c r="AP727" i="6"/>
  <c r="AQ727" i="6"/>
  <c r="AR727" i="6"/>
  <c r="AS727" i="6"/>
  <c r="AT727" i="6"/>
  <c r="AU727" i="6"/>
  <c r="AV727" i="6"/>
  <c r="AW727" i="6"/>
  <c r="AX727" i="6"/>
  <c r="AY727" i="6"/>
  <c r="AZ727" i="6"/>
  <c r="BA727" i="6"/>
  <c r="BB727" i="6"/>
  <c r="BC727" i="6"/>
  <c r="BD727" i="6"/>
  <c r="BE727" i="6"/>
  <c r="BF727" i="6"/>
  <c r="BG727" i="6"/>
  <c r="BH727" i="6"/>
  <c r="BI727" i="6"/>
  <c r="BJ727" i="6"/>
  <c r="BK727" i="6"/>
  <c r="AL728" i="6"/>
  <c r="AM728" i="6"/>
  <c r="AN728" i="6"/>
  <c r="AO728" i="6"/>
  <c r="AP728" i="6"/>
  <c r="AQ728" i="6"/>
  <c r="AR728" i="6"/>
  <c r="AS728" i="6"/>
  <c r="AT728" i="6"/>
  <c r="AU728" i="6"/>
  <c r="AV728" i="6"/>
  <c r="AW728" i="6"/>
  <c r="AX728" i="6"/>
  <c r="AY728" i="6"/>
  <c r="AZ728" i="6"/>
  <c r="BA728" i="6"/>
  <c r="BB728" i="6"/>
  <c r="BC728" i="6"/>
  <c r="BD728" i="6"/>
  <c r="BE728" i="6"/>
  <c r="BF728" i="6"/>
  <c r="BG728" i="6"/>
  <c r="BH728" i="6"/>
  <c r="BI728" i="6"/>
  <c r="BJ728" i="6"/>
  <c r="BK728" i="6"/>
  <c r="AL729" i="6"/>
  <c r="AM729" i="6"/>
  <c r="AN729" i="6"/>
  <c r="AO729" i="6"/>
  <c r="AP729" i="6"/>
  <c r="AQ729" i="6"/>
  <c r="AR729" i="6"/>
  <c r="AS729" i="6"/>
  <c r="AT729" i="6"/>
  <c r="AU729" i="6"/>
  <c r="AV729" i="6"/>
  <c r="AW729" i="6"/>
  <c r="AX729" i="6"/>
  <c r="AY729" i="6"/>
  <c r="AZ729" i="6"/>
  <c r="BA729" i="6"/>
  <c r="BB729" i="6"/>
  <c r="BC729" i="6"/>
  <c r="BD729" i="6"/>
  <c r="BE729" i="6"/>
  <c r="BF729" i="6"/>
  <c r="BG729" i="6"/>
  <c r="BH729" i="6"/>
  <c r="BI729" i="6"/>
  <c r="BJ729" i="6"/>
  <c r="BK729" i="6"/>
  <c r="AL730" i="6"/>
  <c r="AM730" i="6"/>
  <c r="AN730" i="6"/>
  <c r="AO730" i="6"/>
  <c r="AP730" i="6"/>
  <c r="AQ730" i="6"/>
  <c r="AR730" i="6"/>
  <c r="AS730" i="6"/>
  <c r="AT730" i="6"/>
  <c r="AU730" i="6"/>
  <c r="AV730" i="6"/>
  <c r="AW730" i="6"/>
  <c r="AX730" i="6"/>
  <c r="AY730" i="6"/>
  <c r="AZ730" i="6"/>
  <c r="BA730" i="6"/>
  <c r="BB730" i="6"/>
  <c r="BC730" i="6"/>
  <c r="BD730" i="6"/>
  <c r="BE730" i="6"/>
  <c r="BF730" i="6"/>
  <c r="BG730" i="6"/>
  <c r="BH730" i="6"/>
  <c r="BI730" i="6"/>
  <c r="BJ730" i="6"/>
  <c r="BK730" i="6"/>
  <c r="AL731" i="6"/>
  <c r="AM731" i="6"/>
  <c r="AN731" i="6"/>
  <c r="AO731" i="6"/>
  <c r="AP731" i="6"/>
  <c r="AQ731" i="6"/>
  <c r="AR731" i="6"/>
  <c r="AS731" i="6"/>
  <c r="AT731" i="6"/>
  <c r="AU731" i="6"/>
  <c r="AV731" i="6"/>
  <c r="AW731" i="6"/>
  <c r="AX731" i="6"/>
  <c r="AY731" i="6"/>
  <c r="AZ731" i="6"/>
  <c r="BA731" i="6"/>
  <c r="BB731" i="6"/>
  <c r="BC731" i="6"/>
  <c r="BD731" i="6"/>
  <c r="BE731" i="6"/>
  <c r="BF731" i="6"/>
  <c r="BG731" i="6"/>
  <c r="BH731" i="6"/>
  <c r="BI731" i="6"/>
  <c r="BJ731" i="6"/>
  <c r="BK731" i="6"/>
  <c r="AL732" i="6"/>
  <c r="AM732" i="6"/>
  <c r="AN732" i="6"/>
  <c r="AO732" i="6"/>
  <c r="AP732" i="6"/>
  <c r="AQ732" i="6"/>
  <c r="AR732" i="6"/>
  <c r="AS732" i="6"/>
  <c r="AT732" i="6"/>
  <c r="AU732" i="6"/>
  <c r="AV732" i="6"/>
  <c r="AW732" i="6"/>
  <c r="AX732" i="6"/>
  <c r="AY732" i="6"/>
  <c r="AZ732" i="6"/>
  <c r="BA732" i="6"/>
  <c r="BB732" i="6"/>
  <c r="BC732" i="6"/>
  <c r="BD732" i="6"/>
  <c r="BE732" i="6"/>
  <c r="BF732" i="6"/>
  <c r="BG732" i="6"/>
  <c r="BH732" i="6"/>
  <c r="BI732" i="6"/>
  <c r="BJ732" i="6"/>
  <c r="BK732" i="6"/>
  <c r="AL733" i="6"/>
  <c r="AM733" i="6"/>
  <c r="AN733" i="6"/>
  <c r="AO733" i="6"/>
  <c r="AP733" i="6"/>
  <c r="AQ733" i="6"/>
  <c r="AR733" i="6"/>
  <c r="AS733" i="6"/>
  <c r="AT733" i="6"/>
  <c r="AU733" i="6"/>
  <c r="AV733" i="6"/>
  <c r="AW733" i="6"/>
  <c r="AX733" i="6"/>
  <c r="AY733" i="6"/>
  <c r="AZ733" i="6"/>
  <c r="BA733" i="6"/>
  <c r="BB733" i="6"/>
  <c r="BC733" i="6"/>
  <c r="BD733" i="6"/>
  <c r="BE733" i="6"/>
  <c r="BF733" i="6"/>
  <c r="BG733" i="6"/>
  <c r="BH733" i="6"/>
  <c r="BI733" i="6"/>
  <c r="BJ733" i="6"/>
  <c r="BK733" i="6"/>
  <c r="AL734" i="6"/>
  <c r="AM734" i="6"/>
  <c r="AN734" i="6"/>
  <c r="AO734" i="6"/>
  <c r="AP734" i="6"/>
  <c r="AQ734" i="6"/>
  <c r="AR734" i="6"/>
  <c r="AS734" i="6"/>
  <c r="AT734" i="6"/>
  <c r="AU734" i="6"/>
  <c r="AV734" i="6"/>
  <c r="AW734" i="6"/>
  <c r="AX734" i="6"/>
  <c r="AY734" i="6"/>
  <c r="AZ734" i="6"/>
  <c r="BA734" i="6"/>
  <c r="BB734" i="6"/>
  <c r="BC734" i="6"/>
  <c r="BD734" i="6"/>
  <c r="BE734" i="6"/>
  <c r="BF734" i="6"/>
  <c r="BG734" i="6"/>
  <c r="BH734" i="6"/>
  <c r="BI734" i="6"/>
  <c r="BJ734" i="6"/>
  <c r="BK734" i="6"/>
  <c r="AL735" i="6"/>
  <c r="AM735" i="6"/>
  <c r="AN735" i="6"/>
  <c r="AO735" i="6"/>
  <c r="AP735" i="6"/>
  <c r="AQ735" i="6"/>
  <c r="AR735" i="6"/>
  <c r="AS735" i="6"/>
  <c r="AT735" i="6"/>
  <c r="AU735" i="6"/>
  <c r="AV735" i="6"/>
  <c r="AW735" i="6"/>
  <c r="AX735" i="6"/>
  <c r="AY735" i="6"/>
  <c r="AZ735" i="6"/>
  <c r="BA735" i="6"/>
  <c r="BB735" i="6"/>
  <c r="BC735" i="6"/>
  <c r="BD735" i="6"/>
  <c r="BE735" i="6"/>
  <c r="BF735" i="6"/>
  <c r="BG735" i="6"/>
  <c r="BH735" i="6"/>
  <c r="BI735" i="6"/>
  <c r="BJ735" i="6"/>
  <c r="BK735" i="6"/>
  <c r="AL736" i="6"/>
  <c r="AM736" i="6"/>
  <c r="AN736" i="6"/>
  <c r="AO736" i="6"/>
  <c r="AP736" i="6"/>
  <c r="AQ736" i="6"/>
  <c r="AR736" i="6"/>
  <c r="AS736" i="6"/>
  <c r="AT736" i="6"/>
  <c r="AU736" i="6"/>
  <c r="AV736" i="6"/>
  <c r="AW736" i="6"/>
  <c r="AX736" i="6"/>
  <c r="AY736" i="6"/>
  <c r="AZ736" i="6"/>
  <c r="BA736" i="6"/>
  <c r="BB736" i="6"/>
  <c r="BC736" i="6"/>
  <c r="BD736" i="6"/>
  <c r="BE736" i="6"/>
  <c r="BF736" i="6"/>
  <c r="BG736" i="6"/>
  <c r="BH736" i="6"/>
  <c r="BI736" i="6"/>
  <c r="BJ736" i="6"/>
  <c r="BK736" i="6"/>
  <c r="AL737" i="6"/>
  <c r="AM737" i="6"/>
  <c r="AN737" i="6"/>
  <c r="AO737" i="6"/>
  <c r="AP737" i="6"/>
  <c r="AQ737" i="6"/>
  <c r="AR737" i="6"/>
  <c r="AS737" i="6"/>
  <c r="AT737" i="6"/>
  <c r="AU737" i="6"/>
  <c r="AV737" i="6"/>
  <c r="AW737" i="6"/>
  <c r="AX737" i="6"/>
  <c r="AY737" i="6"/>
  <c r="AZ737" i="6"/>
  <c r="BA737" i="6"/>
  <c r="BB737" i="6"/>
  <c r="BC737" i="6"/>
  <c r="BD737" i="6"/>
  <c r="BE737" i="6"/>
  <c r="BF737" i="6"/>
  <c r="BG737" i="6"/>
  <c r="BH737" i="6"/>
  <c r="BI737" i="6"/>
  <c r="BJ737" i="6"/>
  <c r="BK737" i="6"/>
  <c r="AL738" i="6"/>
  <c r="AM738" i="6"/>
  <c r="AN738" i="6"/>
  <c r="AO738" i="6"/>
  <c r="AP738" i="6"/>
  <c r="AQ738" i="6"/>
  <c r="AR738" i="6"/>
  <c r="AS738" i="6"/>
  <c r="AT738" i="6"/>
  <c r="AU738" i="6"/>
  <c r="AV738" i="6"/>
  <c r="AW738" i="6"/>
  <c r="AX738" i="6"/>
  <c r="AY738" i="6"/>
  <c r="AZ738" i="6"/>
  <c r="BA738" i="6"/>
  <c r="BB738" i="6"/>
  <c r="BC738" i="6"/>
  <c r="BD738" i="6"/>
  <c r="BE738" i="6"/>
  <c r="BF738" i="6"/>
  <c r="BG738" i="6"/>
  <c r="BH738" i="6"/>
  <c r="BI738" i="6"/>
  <c r="BJ738" i="6"/>
  <c r="BK738" i="6"/>
  <c r="AL739" i="6"/>
  <c r="AM739" i="6"/>
  <c r="AN739" i="6"/>
  <c r="AO739" i="6"/>
  <c r="AP739" i="6"/>
  <c r="AQ739" i="6"/>
  <c r="AR739" i="6"/>
  <c r="AS739" i="6"/>
  <c r="AT739" i="6"/>
  <c r="AU739" i="6"/>
  <c r="AV739" i="6"/>
  <c r="AW739" i="6"/>
  <c r="AX739" i="6"/>
  <c r="AY739" i="6"/>
  <c r="AZ739" i="6"/>
  <c r="BA739" i="6"/>
  <c r="BB739" i="6"/>
  <c r="BC739" i="6"/>
  <c r="BD739" i="6"/>
  <c r="BE739" i="6"/>
  <c r="BF739" i="6"/>
  <c r="BG739" i="6"/>
  <c r="BH739" i="6"/>
  <c r="BI739" i="6"/>
  <c r="BJ739" i="6"/>
  <c r="BK739" i="6"/>
  <c r="AL740" i="6"/>
  <c r="AM740" i="6"/>
  <c r="AN740" i="6"/>
  <c r="AO740" i="6"/>
  <c r="AP740" i="6"/>
  <c r="AQ740" i="6"/>
  <c r="AR740" i="6"/>
  <c r="AS740" i="6"/>
  <c r="AT740" i="6"/>
  <c r="AU740" i="6"/>
  <c r="AV740" i="6"/>
  <c r="AW740" i="6"/>
  <c r="AX740" i="6"/>
  <c r="AY740" i="6"/>
  <c r="AZ740" i="6"/>
  <c r="BA740" i="6"/>
  <c r="BB740" i="6"/>
  <c r="BC740" i="6"/>
  <c r="BD740" i="6"/>
  <c r="BE740" i="6"/>
  <c r="BF740" i="6"/>
  <c r="BG740" i="6"/>
  <c r="BH740" i="6"/>
  <c r="BI740" i="6"/>
  <c r="BJ740" i="6"/>
  <c r="BK740" i="6"/>
  <c r="AL741" i="6"/>
  <c r="AM741" i="6"/>
  <c r="AN741" i="6"/>
  <c r="AO741" i="6"/>
  <c r="AP741" i="6"/>
  <c r="AQ741" i="6"/>
  <c r="AR741" i="6"/>
  <c r="AS741" i="6"/>
  <c r="AT741" i="6"/>
  <c r="AU741" i="6"/>
  <c r="AV741" i="6"/>
  <c r="AW741" i="6"/>
  <c r="AX741" i="6"/>
  <c r="AY741" i="6"/>
  <c r="AZ741" i="6"/>
  <c r="BA741" i="6"/>
  <c r="BB741" i="6"/>
  <c r="BC741" i="6"/>
  <c r="BD741" i="6"/>
  <c r="BE741" i="6"/>
  <c r="BF741" i="6"/>
  <c r="BG741" i="6"/>
  <c r="BH741" i="6"/>
  <c r="BI741" i="6"/>
  <c r="BJ741" i="6"/>
  <c r="BK741" i="6"/>
  <c r="AL742" i="6"/>
  <c r="AM742" i="6"/>
  <c r="AN742" i="6"/>
  <c r="AO742" i="6"/>
  <c r="AP742" i="6"/>
  <c r="AQ742" i="6"/>
  <c r="AR742" i="6"/>
  <c r="AS742" i="6"/>
  <c r="AT742" i="6"/>
  <c r="AU742" i="6"/>
  <c r="AV742" i="6"/>
  <c r="AW742" i="6"/>
  <c r="AX742" i="6"/>
  <c r="AY742" i="6"/>
  <c r="AZ742" i="6"/>
  <c r="BA742" i="6"/>
  <c r="BB742" i="6"/>
  <c r="BC742" i="6"/>
  <c r="BD742" i="6"/>
  <c r="BE742" i="6"/>
  <c r="BF742" i="6"/>
  <c r="BG742" i="6"/>
  <c r="BH742" i="6"/>
  <c r="BI742" i="6"/>
  <c r="BJ742" i="6"/>
  <c r="BK742" i="6"/>
  <c r="AL743" i="6"/>
  <c r="AM743" i="6"/>
  <c r="AN743" i="6"/>
  <c r="AO743" i="6"/>
  <c r="AP743" i="6"/>
  <c r="AQ743" i="6"/>
  <c r="AR743" i="6"/>
  <c r="AS743" i="6"/>
  <c r="AT743" i="6"/>
  <c r="AU743" i="6"/>
  <c r="AV743" i="6"/>
  <c r="AW743" i="6"/>
  <c r="AX743" i="6"/>
  <c r="AY743" i="6"/>
  <c r="AZ743" i="6"/>
  <c r="BA743" i="6"/>
  <c r="BB743" i="6"/>
  <c r="BC743" i="6"/>
  <c r="BD743" i="6"/>
  <c r="BE743" i="6"/>
  <c r="BF743" i="6"/>
  <c r="BG743" i="6"/>
  <c r="BH743" i="6"/>
  <c r="BI743" i="6"/>
  <c r="BJ743" i="6"/>
  <c r="BK743" i="6"/>
  <c r="AL744" i="6"/>
  <c r="AM744" i="6"/>
  <c r="AN744" i="6"/>
  <c r="AO744" i="6"/>
  <c r="AP744" i="6"/>
  <c r="AQ744" i="6"/>
  <c r="AR744" i="6"/>
  <c r="AS744" i="6"/>
  <c r="AT744" i="6"/>
  <c r="AU744" i="6"/>
  <c r="AV744" i="6"/>
  <c r="AW744" i="6"/>
  <c r="AX744" i="6"/>
  <c r="AY744" i="6"/>
  <c r="AZ744" i="6"/>
  <c r="BA744" i="6"/>
  <c r="BB744" i="6"/>
  <c r="BC744" i="6"/>
  <c r="BD744" i="6"/>
  <c r="BE744" i="6"/>
  <c r="BF744" i="6"/>
  <c r="BG744" i="6"/>
  <c r="BH744" i="6"/>
  <c r="BI744" i="6"/>
  <c r="BJ744" i="6"/>
  <c r="BK744" i="6"/>
  <c r="AL745" i="6"/>
  <c r="AM745" i="6"/>
  <c r="AN745" i="6"/>
  <c r="AO745" i="6"/>
  <c r="AP745" i="6"/>
  <c r="AQ745" i="6"/>
  <c r="AR745" i="6"/>
  <c r="AS745" i="6"/>
  <c r="AT745" i="6"/>
  <c r="AU745" i="6"/>
  <c r="AV745" i="6"/>
  <c r="AW745" i="6"/>
  <c r="AX745" i="6"/>
  <c r="AY745" i="6"/>
  <c r="AZ745" i="6"/>
  <c r="BA745" i="6"/>
  <c r="BB745" i="6"/>
  <c r="BC745" i="6"/>
  <c r="BD745" i="6"/>
  <c r="BE745" i="6"/>
  <c r="BF745" i="6"/>
  <c r="BG745" i="6"/>
  <c r="BH745" i="6"/>
  <c r="BI745" i="6"/>
  <c r="BJ745" i="6"/>
  <c r="BK745" i="6"/>
  <c r="AL746" i="6"/>
  <c r="AM746" i="6"/>
  <c r="AN746" i="6"/>
  <c r="AO746" i="6"/>
  <c r="AP746" i="6"/>
  <c r="AQ746" i="6"/>
  <c r="AR746" i="6"/>
  <c r="AS746" i="6"/>
  <c r="AT746" i="6"/>
  <c r="AU746" i="6"/>
  <c r="AV746" i="6"/>
  <c r="AW746" i="6"/>
  <c r="AX746" i="6"/>
  <c r="AY746" i="6"/>
  <c r="AZ746" i="6"/>
  <c r="BA746" i="6"/>
  <c r="BB746" i="6"/>
  <c r="BC746" i="6"/>
  <c r="BD746" i="6"/>
  <c r="BE746" i="6"/>
  <c r="BF746" i="6"/>
  <c r="BG746" i="6"/>
  <c r="BH746" i="6"/>
  <c r="BI746" i="6"/>
  <c r="BJ746" i="6"/>
  <c r="BK746" i="6"/>
  <c r="AL747" i="6"/>
  <c r="AM747" i="6"/>
  <c r="AN747" i="6"/>
  <c r="AO747" i="6"/>
  <c r="AP747" i="6"/>
  <c r="AQ747" i="6"/>
  <c r="AR747" i="6"/>
  <c r="AS747" i="6"/>
  <c r="AT747" i="6"/>
  <c r="AU747" i="6"/>
  <c r="AV747" i="6"/>
  <c r="AW747" i="6"/>
  <c r="AX747" i="6"/>
  <c r="AY747" i="6"/>
  <c r="AZ747" i="6"/>
  <c r="BA747" i="6"/>
  <c r="BB747" i="6"/>
  <c r="BC747" i="6"/>
  <c r="BD747" i="6"/>
  <c r="BE747" i="6"/>
  <c r="BF747" i="6"/>
  <c r="BG747" i="6"/>
  <c r="BH747" i="6"/>
  <c r="BI747" i="6"/>
  <c r="BJ747" i="6"/>
  <c r="BK747" i="6"/>
  <c r="AL748" i="6"/>
  <c r="AM748" i="6"/>
  <c r="AN748" i="6"/>
  <c r="AO748" i="6"/>
  <c r="AP748" i="6"/>
  <c r="AQ748" i="6"/>
  <c r="AR748" i="6"/>
  <c r="AS748" i="6"/>
  <c r="AT748" i="6"/>
  <c r="AU748" i="6"/>
  <c r="AV748" i="6"/>
  <c r="AW748" i="6"/>
  <c r="AX748" i="6"/>
  <c r="AY748" i="6"/>
  <c r="AZ748" i="6"/>
  <c r="BA748" i="6"/>
  <c r="BB748" i="6"/>
  <c r="BC748" i="6"/>
  <c r="BD748" i="6"/>
  <c r="BE748" i="6"/>
  <c r="BF748" i="6"/>
  <c r="BG748" i="6"/>
  <c r="BH748" i="6"/>
  <c r="BI748" i="6"/>
  <c r="BJ748" i="6"/>
  <c r="BK748" i="6"/>
  <c r="AL749" i="6"/>
  <c r="AM749" i="6"/>
  <c r="AN749" i="6"/>
  <c r="AO749" i="6"/>
  <c r="AP749" i="6"/>
  <c r="AQ749" i="6"/>
  <c r="AR749" i="6"/>
  <c r="AS749" i="6"/>
  <c r="AT749" i="6"/>
  <c r="AU749" i="6"/>
  <c r="AV749" i="6"/>
  <c r="AW749" i="6"/>
  <c r="AX749" i="6"/>
  <c r="AY749" i="6"/>
  <c r="AZ749" i="6"/>
  <c r="BA749" i="6"/>
  <c r="BB749" i="6"/>
  <c r="BC749" i="6"/>
  <c r="BD749" i="6"/>
  <c r="BE749" i="6"/>
  <c r="BF749" i="6"/>
  <c r="BG749" i="6"/>
  <c r="BH749" i="6"/>
  <c r="BI749" i="6"/>
  <c r="BJ749" i="6"/>
  <c r="BK749" i="6"/>
  <c r="AL750" i="6"/>
  <c r="AM750" i="6"/>
  <c r="AN750" i="6"/>
  <c r="AO750" i="6"/>
  <c r="AP750" i="6"/>
  <c r="AQ750" i="6"/>
  <c r="AR750" i="6"/>
  <c r="AS750" i="6"/>
  <c r="AT750" i="6"/>
  <c r="AU750" i="6"/>
  <c r="AV750" i="6"/>
  <c r="AW750" i="6"/>
  <c r="AX750" i="6"/>
  <c r="AY750" i="6"/>
  <c r="AZ750" i="6"/>
  <c r="BA750" i="6"/>
  <c r="BB750" i="6"/>
  <c r="BC750" i="6"/>
  <c r="BD750" i="6"/>
  <c r="BE750" i="6"/>
  <c r="BF750" i="6"/>
  <c r="BG750" i="6"/>
  <c r="BH750" i="6"/>
  <c r="BI750" i="6"/>
  <c r="BJ750" i="6"/>
  <c r="BK750" i="6"/>
  <c r="AL751" i="6"/>
  <c r="AM751" i="6"/>
  <c r="AN751" i="6"/>
  <c r="AO751" i="6"/>
  <c r="AP751" i="6"/>
  <c r="AQ751" i="6"/>
  <c r="AR751" i="6"/>
  <c r="AS751" i="6"/>
  <c r="AT751" i="6"/>
  <c r="AU751" i="6"/>
  <c r="AV751" i="6"/>
  <c r="AW751" i="6"/>
  <c r="AX751" i="6"/>
  <c r="AY751" i="6"/>
  <c r="AZ751" i="6"/>
  <c r="BA751" i="6"/>
  <c r="BB751" i="6"/>
  <c r="BC751" i="6"/>
  <c r="BD751" i="6"/>
  <c r="BE751" i="6"/>
  <c r="BF751" i="6"/>
  <c r="BG751" i="6"/>
  <c r="BH751" i="6"/>
  <c r="BI751" i="6"/>
  <c r="BJ751" i="6"/>
  <c r="BK751" i="6"/>
  <c r="AL752" i="6"/>
  <c r="AM752" i="6"/>
  <c r="AN752" i="6"/>
  <c r="AO752" i="6"/>
  <c r="AP752" i="6"/>
  <c r="AQ752" i="6"/>
  <c r="AR752" i="6"/>
  <c r="AS752" i="6"/>
  <c r="AT752" i="6"/>
  <c r="AU752" i="6"/>
  <c r="AV752" i="6"/>
  <c r="AW752" i="6"/>
  <c r="AX752" i="6"/>
  <c r="AY752" i="6"/>
  <c r="AZ752" i="6"/>
  <c r="BA752" i="6"/>
  <c r="BB752" i="6"/>
  <c r="BC752" i="6"/>
  <c r="BD752" i="6"/>
  <c r="BE752" i="6"/>
  <c r="BF752" i="6"/>
  <c r="BG752" i="6"/>
  <c r="BH752" i="6"/>
  <c r="BI752" i="6"/>
  <c r="BJ752" i="6"/>
  <c r="BK752" i="6"/>
  <c r="AL753" i="6"/>
  <c r="AM753" i="6"/>
  <c r="AN753" i="6"/>
  <c r="AO753" i="6"/>
  <c r="AP753" i="6"/>
  <c r="AQ753" i="6"/>
  <c r="AR753" i="6"/>
  <c r="AS753" i="6"/>
  <c r="AT753" i="6"/>
  <c r="AU753" i="6"/>
  <c r="AV753" i="6"/>
  <c r="AW753" i="6"/>
  <c r="AX753" i="6"/>
  <c r="AY753" i="6"/>
  <c r="AZ753" i="6"/>
  <c r="BA753" i="6"/>
  <c r="BB753" i="6"/>
  <c r="BC753" i="6"/>
  <c r="BD753" i="6"/>
  <c r="BE753" i="6"/>
  <c r="BF753" i="6"/>
  <c r="BG753" i="6"/>
  <c r="BH753" i="6"/>
  <c r="BI753" i="6"/>
  <c r="BJ753" i="6"/>
  <c r="BK753" i="6"/>
  <c r="AL754" i="6"/>
  <c r="AM754" i="6"/>
  <c r="AN754" i="6"/>
  <c r="AO754" i="6"/>
  <c r="AP754" i="6"/>
  <c r="AQ754" i="6"/>
  <c r="AR754" i="6"/>
  <c r="AS754" i="6"/>
  <c r="AT754" i="6"/>
  <c r="AU754" i="6"/>
  <c r="AV754" i="6"/>
  <c r="AW754" i="6"/>
  <c r="AX754" i="6"/>
  <c r="AY754" i="6"/>
  <c r="AZ754" i="6"/>
  <c r="BA754" i="6"/>
  <c r="BB754" i="6"/>
  <c r="BC754" i="6"/>
  <c r="BD754" i="6"/>
  <c r="BE754" i="6"/>
  <c r="BF754" i="6"/>
  <c r="BG754" i="6"/>
  <c r="BH754" i="6"/>
  <c r="BI754" i="6"/>
  <c r="BJ754" i="6"/>
  <c r="BK754" i="6"/>
  <c r="AL755" i="6"/>
  <c r="AM755" i="6"/>
  <c r="AN755" i="6"/>
  <c r="AO755" i="6"/>
  <c r="AP755" i="6"/>
  <c r="AQ755" i="6"/>
  <c r="AR755" i="6"/>
  <c r="AS755" i="6"/>
  <c r="AT755" i="6"/>
  <c r="AU755" i="6"/>
  <c r="AV755" i="6"/>
  <c r="AW755" i="6"/>
  <c r="AX755" i="6"/>
  <c r="AY755" i="6"/>
  <c r="AZ755" i="6"/>
  <c r="BA755" i="6"/>
  <c r="BB755" i="6"/>
  <c r="BC755" i="6"/>
  <c r="BD755" i="6"/>
  <c r="BE755" i="6"/>
  <c r="BF755" i="6"/>
  <c r="BG755" i="6"/>
  <c r="BH755" i="6"/>
  <c r="BI755" i="6"/>
  <c r="BJ755" i="6"/>
  <c r="BK755" i="6"/>
  <c r="AL756" i="6"/>
  <c r="AM756" i="6"/>
  <c r="AN756" i="6"/>
  <c r="AO756" i="6"/>
  <c r="AP756" i="6"/>
  <c r="AQ756" i="6"/>
  <c r="AR756" i="6"/>
  <c r="AS756" i="6"/>
  <c r="AT756" i="6"/>
  <c r="AU756" i="6"/>
  <c r="AV756" i="6"/>
  <c r="AW756" i="6"/>
  <c r="AX756" i="6"/>
  <c r="AY756" i="6"/>
  <c r="AZ756" i="6"/>
  <c r="BA756" i="6"/>
  <c r="BB756" i="6"/>
  <c r="BC756" i="6"/>
  <c r="BD756" i="6"/>
  <c r="BE756" i="6"/>
  <c r="BF756" i="6"/>
  <c r="BG756" i="6"/>
  <c r="BH756" i="6"/>
  <c r="BI756" i="6"/>
  <c r="BJ756" i="6"/>
  <c r="BK756" i="6"/>
  <c r="AL757" i="6"/>
  <c r="AM757" i="6"/>
  <c r="AN757" i="6"/>
  <c r="AO757" i="6"/>
  <c r="AP757" i="6"/>
  <c r="AQ757" i="6"/>
  <c r="AR757" i="6"/>
  <c r="AS757" i="6"/>
  <c r="AT757" i="6"/>
  <c r="AU757" i="6"/>
  <c r="AV757" i="6"/>
  <c r="AW757" i="6"/>
  <c r="AX757" i="6"/>
  <c r="AY757" i="6"/>
  <c r="AZ757" i="6"/>
  <c r="BA757" i="6"/>
  <c r="BB757" i="6"/>
  <c r="BC757" i="6"/>
  <c r="BD757" i="6"/>
  <c r="BE757" i="6"/>
  <c r="BF757" i="6"/>
  <c r="BG757" i="6"/>
  <c r="BH757" i="6"/>
  <c r="BI757" i="6"/>
  <c r="BJ757" i="6"/>
  <c r="BK757" i="6"/>
  <c r="AL758" i="6"/>
  <c r="AM758" i="6"/>
  <c r="AN758" i="6"/>
  <c r="AO758" i="6"/>
  <c r="AP758" i="6"/>
  <c r="AQ758" i="6"/>
  <c r="AR758" i="6"/>
  <c r="AS758" i="6"/>
  <c r="AT758" i="6"/>
  <c r="AU758" i="6"/>
  <c r="AV758" i="6"/>
  <c r="AW758" i="6"/>
  <c r="AX758" i="6"/>
  <c r="AY758" i="6"/>
  <c r="AZ758" i="6"/>
  <c r="BA758" i="6"/>
  <c r="BB758" i="6"/>
  <c r="BC758" i="6"/>
  <c r="BD758" i="6"/>
  <c r="BE758" i="6"/>
  <c r="BF758" i="6"/>
  <c r="BG758" i="6"/>
  <c r="BH758" i="6"/>
  <c r="BI758" i="6"/>
  <c r="BJ758" i="6"/>
  <c r="BK758" i="6"/>
  <c r="AL759" i="6"/>
  <c r="AM759" i="6"/>
  <c r="AN759" i="6"/>
  <c r="AO759" i="6"/>
  <c r="AP759" i="6"/>
  <c r="AQ759" i="6"/>
  <c r="AR759" i="6"/>
  <c r="AS759" i="6"/>
  <c r="AT759" i="6"/>
  <c r="AU759" i="6"/>
  <c r="AV759" i="6"/>
  <c r="AW759" i="6"/>
  <c r="AX759" i="6"/>
  <c r="AY759" i="6"/>
  <c r="AZ759" i="6"/>
  <c r="BA759" i="6"/>
  <c r="BB759" i="6"/>
  <c r="BC759" i="6"/>
  <c r="BD759" i="6"/>
  <c r="BE759" i="6"/>
  <c r="BF759" i="6"/>
  <c r="BG759" i="6"/>
  <c r="BH759" i="6"/>
  <c r="BI759" i="6"/>
  <c r="BJ759" i="6"/>
  <c r="BK759" i="6"/>
  <c r="AL760" i="6"/>
  <c r="AM760" i="6"/>
  <c r="AN760" i="6"/>
  <c r="AO760" i="6"/>
  <c r="AP760" i="6"/>
  <c r="AQ760" i="6"/>
  <c r="AR760" i="6"/>
  <c r="AS760" i="6"/>
  <c r="AT760" i="6"/>
  <c r="AU760" i="6"/>
  <c r="AV760" i="6"/>
  <c r="AW760" i="6"/>
  <c r="AX760" i="6"/>
  <c r="AY760" i="6"/>
  <c r="AZ760" i="6"/>
  <c r="BA760" i="6"/>
  <c r="BB760" i="6"/>
  <c r="BC760" i="6"/>
  <c r="BD760" i="6"/>
  <c r="BE760" i="6"/>
  <c r="BF760" i="6"/>
  <c r="BG760" i="6"/>
  <c r="BH760" i="6"/>
  <c r="BI760" i="6"/>
  <c r="BJ760" i="6"/>
  <c r="BK760" i="6"/>
  <c r="AL761" i="6"/>
  <c r="AM761" i="6"/>
  <c r="AN761" i="6"/>
  <c r="AO761" i="6"/>
  <c r="AP761" i="6"/>
  <c r="AQ761" i="6"/>
  <c r="AR761" i="6"/>
  <c r="AS761" i="6"/>
  <c r="AT761" i="6"/>
  <c r="AU761" i="6"/>
  <c r="AV761" i="6"/>
  <c r="AW761" i="6"/>
  <c r="AX761" i="6"/>
  <c r="AY761" i="6"/>
  <c r="AZ761" i="6"/>
  <c r="BA761" i="6"/>
  <c r="BB761" i="6"/>
  <c r="BC761" i="6"/>
  <c r="BD761" i="6"/>
  <c r="BE761" i="6"/>
  <c r="BF761" i="6"/>
  <c r="BG761" i="6"/>
  <c r="BH761" i="6"/>
  <c r="BI761" i="6"/>
  <c r="BJ761" i="6"/>
  <c r="BK761" i="6"/>
  <c r="AL762" i="6"/>
  <c r="AM762" i="6"/>
  <c r="AN762" i="6"/>
  <c r="AO762" i="6"/>
  <c r="AP762" i="6"/>
  <c r="AQ762" i="6"/>
  <c r="AR762" i="6"/>
  <c r="AS762" i="6"/>
  <c r="AT762" i="6"/>
  <c r="AU762" i="6"/>
  <c r="AV762" i="6"/>
  <c r="AW762" i="6"/>
  <c r="AX762" i="6"/>
  <c r="AY762" i="6"/>
  <c r="AZ762" i="6"/>
  <c r="BA762" i="6"/>
  <c r="BB762" i="6"/>
  <c r="BC762" i="6"/>
  <c r="BD762" i="6"/>
  <c r="BE762" i="6"/>
  <c r="BF762" i="6"/>
  <c r="BG762" i="6"/>
  <c r="BH762" i="6"/>
  <c r="BI762" i="6"/>
  <c r="BJ762" i="6"/>
  <c r="BK762" i="6"/>
  <c r="AL763" i="6"/>
  <c r="AM763" i="6"/>
  <c r="AN763" i="6"/>
  <c r="AO763" i="6"/>
  <c r="AP763" i="6"/>
  <c r="AQ763" i="6"/>
  <c r="AR763" i="6"/>
  <c r="AS763" i="6"/>
  <c r="AT763" i="6"/>
  <c r="AU763" i="6"/>
  <c r="AV763" i="6"/>
  <c r="AW763" i="6"/>
  <c r="AX763" i="6"/>
  <c r="AY763" i="6"/>
  <c r="AZ763" i="6"/>
  <c r="BA763" i="6"/>
  <c r="BB763" i="6"/>
  <c r="BC763" i="6"/>
  <c r="BD763" i="6"/>
  <c r="BE763" i="6"/>
  <c r="BF763" i="6"/>
  <c r="BG763" i="6"/>
  <c r="BH763" i="6"/>
  <c r="BI763" i="6"/>
  <c r="BJ763" i="6"/>
  <c r="BK763" i="6"/>
  <c r="AL764" i="6"/>
  <c r="AM764" i="6"/>
  <c r="AN764" i="6"/>
  <c r="AO764" i="6"/>
  <c r="AP764" i="6"/>
  <c r="AQ764" i="6"/>
  <c r="AR764" i="6"/>
  <c r="AS764" i="6"/>
  <c r="AT764" i="6"/>
  <c r="AU764" i="6"/>
  <c r="AV764" i="6"/>
  <c r="AW764" i="6"/>
  <c r="AX764" i="6"/>
  <c r="AY764" i="6"/>
  <c r="AZ764" i="6"/>
  <c r="BA764" i="6"/>
  <c r="BB764" i="6"/>
  <c r="BC764" i="6"/>
  <c r="BD764" i="6"/>
  <c r="BE764" i="6"/>
  <c r="BF764" i="6"/>
  <c r="BG764" i="6"/>
  <c r="BH764" i="6"/>
  <c r="BI764" i="6"/>
  <c r="BJ764" i="6"/>
  <c r="BK764" i="6"/>
  <c r="AL765" i="6"/>
  <c r="AM765" i="6"/>
  <c r="AN765" i="6"/>
  <c r="AO765" i="6"/>
  <c r="AP765" i="6"/>
  <c r="AQ765" i="6"/>
  <c r="AR765" i="6"/>
  <c r="AS765" i="6"/>
  <c r="AT765" i="6"/>
  <c r="AU765" i="6"/>
  <c r="AV765" i="6"/>
  <c r="AW765" i="6"/>
  <c r="AX765" i="6"/>
  <c r="AY765" i="6"/>
  <c r="AZ765" i="6"/>
  <c r="BA765" i="6"/>
  <c r="BB765" i="6"/>
  <c r="BC765" i="6"/>
  <c r="BD765" i="6"/>
  <c r="BE765" i="6"/>
  <c r="BF765" i="6"/>
  <c r="BG765" i="6"/>
  <c r="BH765" i="6"/>
  <c r="BI765" i="6"/>
  <c r="BJ765" i="6"/>
  <c r="BK765" i="6"/>
  <c r="AL766" i="6"/>
  <c r="AM766" i="6"/>
  <c r="AN766" i="6"/>
  <c r="AO766" i="6"/>
  <c r="AP766" i="6"/>
  <c r="AQ766" i="6"/>
  <c r="AR766" i="6"/>
  <c r="AS766" i="6"/>
  <c r="AT766" i="6"/>
  <c r="AU766" i="6"/>
  <c r="AV766" i="6"/>
  <c r="AW766" i="6"/>
  <c r="AX766" i="6"/>
  <c r="AY766" i="6"/>
  <c r="AZ766" i="6"/>
  <c r="BA766" i="6"/>
  <c r="BB766" i="6"/>
  <c r="BC766" i="6"/>
  <c r="BD766" i="6"/>
  <c r="BE766" i="6"/>
  <c r="BF766" i="6"/>
  <c r="BG766" i="6"/>
  <c r="BH766" i="6"/>
  <c r="BI766" i="6"/>
  <c r="BJ766" i="6"/>
  <c r="BK766" i="6"/>
  <c r="AL767" i="6"/>
  <c r="AM767" i="6"/>
  <c r="AN767" i="6"/>
  <c r="AO767" i="6"/>
  <c r="AP767" i="6"/>
  <c r="AQ767" i="6"/>
  <c r="AR767" i="6"/>
  <c r="AS767" i="6"/>
  <c r="AT767" i="6"/>
  <c r="AU767" i="6"/>
  <c r="AV767" i="6"/>
  <c r="AW767" i="6"/>
  <c r="AX767" i="6"/>
  <c r="AY767" i="6"/>
  <c r="AZ767" i="6"/>
  <c r="BA767" i="6"/>
  <c r="BB767" i="6"/>
  <c r="BC767" i="6"/>
  <c r="BD767" i="6"/>
  <c r="BE767" i="6"/>
  <c r="BF767" i="6"/>
  <c r="BG767" i="6"/>
  <c r="BH767" i="6"/>
  <c r="BI767" i="6"/>
  <c r="BJ767" i="6"/>
  <c r="BK767" i="6"/>
  <c r="AL768" i="6"/>
  <c r="AM768" i="6"/>
  <c r="AN768" i="6"/>
  <c r="AO768" i="6"/>
  <c r="AP768" i="6"/>
  <c r="AQ768" i="6"/>
  <c r="AR768" i="6"/>
  <c r="AS768" i="6"/>
  <c r="AT768" i="6"/>
  <c r="AU768" i="6"/>
  <c r="AV768" i="6"/>
  <c r="AW768" i="6"/>
  <c r="AX768" i="6"/>
  <c r="AY768" i="6"/>
  <c r="AZ768" i="6"/>
  <c r="BA768" i="6"/>
  <c r="BB768" i="6"/>
  <c r="BC768" i="6"/>
  <c r="BD768" i="6"/>
  <c r="BE768" i="6"/>
  <c r="BF768" i="6"/>
  <c r="BG768" i="6"/>
  <c r="BH768" i="6"/>
  <c r="BI768" i="6"/>
  <c r="BJ768" i="6"/>
  <c r="BK768" i="6"/>
  <c r="AL769" i="6"/>
  <c r="AM769" i="6"/>
  <c r="AN769" i="6"/>
  <c r="AO769" i="6"/>
  <c r="AP769" i="6"/>
  <c r="AQ769" i="6"/>
  <c r="AR769" i="6"/>
  <c r="AS769" i="6"/>
  <c r="AT769" i="6"/>
  <c r="AU769" i="6"/>
  <c r="AV769" i="6"/>
  <c r="AW769" i="6"/>
  <c r="AX769" i="6"/>
  <c r="AY769" i="6"/>
  <c r="AZ769" i="6"/>
  <c r="BA769" i="6"/>
  <c r="BB769" i="6"/>
  <c r="BC769" i="6"/>
  <c r="BD769" i="6"/>
  <c r="BE769" i="6"/>
  <c r="BF769" i="6"/>
  <c r="BG769" i="6"/>
  <c r="BH769" i="6"/>
  <c r="BI769" i="6"/>
  <c r="BJ769" i="6"/>
  <c r="BK769" i="6"/>
  <c r="AL770" i="6"/>
  <c r="AM770" i="6"/>
  <c r="AN770" i="6"/>
  <c r="AO770" i="6"/>
  <c r="AP770" i="6"/>
  <c r="AQ770" i="6"/>
  <c r="AR770" i="6"/>
  <c r="AS770" i="6"/>
  <c r="AT770" i="6"/>
  <c r="AU770" i="6"/>
  <c r="AV770" i="6"/>
  <c r="AW770" i="6"/>
  <c r="AX770" i="6"/>
  <c r="AY770" i="6"/>
  <c r="AZ770" i="6"/>
  <c r="BA770" i="6"/>
  <c r="BB770" i="6"/>
  <c r="BC770" i="6"/>
  <c r="BD770" i="6"/>
  <c r="BE770" i="6"/>
  <c r="BF770" i="6"/>
  <c r="BG770" i="6"/>
  <c r="BH770" i="6"/>
  <c r="BI770" i="6"/>
  <c r="BJ770" i="6"/>
  <c r="BK770" i="6"/>
  <c r="AL771" i="6"/>
  <c r="AM771" i="6"/>
  <c r="AN771" i="6"/>
  <c r="AO771" i="6"/>
  <c r="AP771" i="6"/>
  <c r="AQ771" i="6"/>
  <c r="AR771" i="6"/>
  <c r="AS771" i="6"/>
  <c r="AT771" i="6"/>
  <c r="AU771" i="6"/>
  <c r="AV771" i="6"/>
  <c r="AW771" i="6"/>
  <c r="AX771" i="6"/>
  <c r="AY771" i="6"/>
  <c r="AZ771" i="6"/>
  <c r="BA771" i="6"/>
  <c r="BB771" i="6"/>
  <c r="BC771" i="6"/>
  <c r="BD771" i="6"/>
  <c r="BE771" i="6"/>
  <c r="BF771" i="6"/>
  <c r="BG771" i="6"/>
  <c r="BH771" i="6"/>
  <c r="BI771" i="6"/>
  <c r="BJ771" i="6"/>
  <c r="BK771" i="6"/>
  <c r="AL772" i="6"/>
  <c r="AM772" i="6"/>
  <c r="AN772" i="6"/>
  <c r="AO772" i="6"/>
  <c r="AP772" i="6"/>
  <c r="AQ772" i="6"/>
  <c r="AR772" i="6"/>
  <c r="AS772" i="6"/>
  <c r="AT772" i="6"/>
  <c r="AU772" i="6"/>
  <c r="AV772" i="6"/>
  <c r="AW772" i="6"/>
  <c r="AX772" i="6"/>
  <c r="AY772" i="6"/>
  <c r="AZ772" i="6"/>
  <c r="BA772" i="6"/>
  <c r="BB772" i="6"/>
  <c r="BC772" i="6"/>
  <c r="BD772" i="6"/>
  <c r="BE772" i="6"/>
  <c r="BF772" i="6"/>
  <c r="BG772" i="6"/>
  <c r="BH772" i="6"/>
  <c r="BI772" i="6"/>
  <c r="BJ772" i="6"/>
  <c r="BK772" i="6"/>
  <c r="AL773" i="6"/>
  <c r="AM773" i="6"/>
  <c r="AN773" i="6"/>
  <c r="AO773" i="6"/>
  <c r="AP773" i="6"/>
  <c r="AQ773" i="6"/>
  <c r="AR773" i="6"/>
  <c r="AS773" i="6"/>
  <c r="AT773" i="6"/>
  <c r="AU773" i="6"/>
  <c r="AV773" i="6"/>
  <c r="AW773" i="6"/>
  <c r="AX773" i="6"/>
  <c r="AY773" i="6"/>
  <c r="AZ773" i="6"/>
  <c r="BA773" i="6"/>
  <c r="BB773" i="6"/>
  <c r="BC773" i="6"/>
  <c r="BD773" i="6"/>
  <c r="BE773" i="6"/>
  <c r="BF773" i="6"/>
  <c r="BG773" i="6"/>
  <c r="BH773" i="6"/>
  <c r="BI773" i="6"/>
  <c r="BJ773" i="6"/>
  <c r="BK773" i="6"/>
  <c r="AL774" i="6"/>
  <c r="AM774" i="6"/>
  <c r="AN774" i="6"/>
  <c r="AO774" i="6"/>
  <c r="AP774" i="6"/>
  <c r="AQ774" i="6"/>
  <c r="AR774" i="6"/>
  <c r="AS774" i="6"/>
  <c r="AT774" i="6"/>
  <c r="AU774" i="6"/>
  <c r="AV774" i="6"/>
  <c r="AW774" i="6"/>
  <c r="AX774" i="6"/>
  <c r="AY774" i="6"/>
  <c r="AZ774" i="6"/>
  <c r="BA774" i="6"/>
  <c r="BB774" i="6"/>
  <c r="BC774" i="6"/>
  <c r="BD774" i="6"/>
  <c r="BE774" i="6"/>
  <c r="BF774" i="6"/>
  <c r="BG774" i="6"/>
  <c r="BH774" i="6"/>
  <c r="BI774" i="6"/>
  <c r="BJ774" i="6"/>
  <c r="BK774" i="6"/>
  <c r="AL775" i="6"/>
  <c r="AM775" i="6"/>
  <c r="AN775" i="6"/>
  <c r="AO775" i="6"/>
  <c r="AP775" i="6"/>
  <c r="AQ775" i="6"/>
  <c r="AR775" i="6"/>
  <c r="AS775" i="6"/>
  <c r="AT775" i="6"/>
  <c r="AU775" i="6"/>
  <c r="AV775" i="6"/>
  <c r="AW775" i="6"/>
  <c r="AX775" i="6"/>
  <c r="AY775" i="6"/>
  <c r="AZ775" i="6"/>
  <c r="BA775" i="6"/>
  <c r="BB775" i="6"/>
  <c r="BC775" i="6"/>
  <c r="BD775" i="6"/>
  <c r="BE775" i="6"/>
  <c r="BF775" i="6"/>
  <c r="BG775" i="6"/>
  <c r="BH775" i="6"/>
  <c r="BI775" i="6"/>
  <c r="BJ775" i="6"/>
  <c r="BK775" i="6"/>
  <c r="AL776" i="6"/>
  <c r="AM776" i="6"/>
  <c r="AN776" i="6"/>
  <c r="AO776" i="6"/>
  <c r="AP776" i="6"/>
  <c r="AQ776" i="6"/>
  <c r="AR776" i="6"/>
  <c r="AS776" i="6"/>
  <c r="AT776" i="6"/>
  <c r="AU776" i="6"/>
  <c r="AV776" i="6"/>
  <c r="AW776" i="6"/>
  <c r="AX776" i="6"/>
  <c r="AY776" i="6"/>
  <c r="AZ776" i="6"/>
  <c r="BA776" i="6"/>
  <c r="BB776" i="6"/>
  <c r="BC776" i="6"/>
  <c r="BD776" i="6"/>
  <c r="BE776" i="6"/>
  <c r="BF776" i="6"/>
  <c r="BG776" i="6"/>
  <c r="BH776" i="6"/>
  <c r="BI776" i="6"/>
  <c r="BJ776" i="6"/>
  <c r="BK776" i="6"/>
  <c r="AL777" i="6"/>
  <c r="AM777" i="6"/>
  <c r="AN777" i="6"/>
  <c r="AO777" i="6"/>
  <c r="AP777" i="6"/>
  <c r="AQ777" i="6"/>
  <c r="AR777" i="6"/>
  <c r="AS777" i="6"/>
  <c r="AT777" i="6"/>
  <c r="AU777" i="6"/>
  <c r="AV777" i="6"/>
  <c r="AW777" i="6"/>
  <c r="AX777" i="6"/>
  <c r="AY777" i="6"/>
  <c r="AZ777" i="6"/>
  <c r="BA777" i="6"/>
  <c r="BB777" i="6"/>
  <c r="BC777" i="6"/>
  <c r="BD777" i="6"/>
  <c r="BE777" i="6"/>
  <c r="BF777" i="6"/>
  <c r="BG777" i="6"/>
  <c r="BH777" i="6"/>
  <c r="BI777" i="6"/>
  <c r="BJ777" i="6"/>
  <c r="BK777" i="6"/>
  <c r="AL778" i="6"/>
  <c r="AM778" i="6"/>
  <c r="AN778" i="6"/>
  <c r="AO778" i="6"/>
  <c r="AP778" i="6"/>
  <c r="AQ778" i="6"/>
  <c r="AR778" i="6"/>
  <c r="AS778" i="6"/>
  <c r="AT778" i="6"/>
  <c r="AU778" i="6"/>
  <c r="AV778" i="6"/>
  <c r="AW778" i="6"/>
  <c r="AX778" i="6"/>
  <c r="AY778" i="6"/>
  <c r="AZ778" i="6"/>
  <c r="BA778" i="6"/>
  <c r="BB778" i="6"/>
  <c r="BC778" i="6"/>
  <c r="BD778" i="6"/>
  <c r="BE778" i="6"/>
  <c r="BF778" i="6"/>
  <c r="BG778" i="6"/>
  <c r="BH778" i="6"/>
  <c r="BI778" i="6"/>
  <c r="BJ778" i="6"/>
  <c r="BK778" i="6"/>
  <c r="AL779" i="6"/>
  <c r="AM779" i="6"/>
  <c r="AN779" i="6"/>
  <c r="AO779" i="6"/>
  <c r="AP779" i="6"/>
  <c r="AQ779" i="6"/>
  <c r="AR779" i="6"/>
  <c r="AS779" i="6"/>
  <c r="AT779" i="6"/>
  <c r="AU779" i="6"/>
  <c r="AV779" i="6"/>
  <c r="AW779" i="6"/>
  <c r="AX779" i="6"/>
  <c r="AY779" i="6"/>
  <c r="AZ779" i="6"/>
  <c r="BA779" i="6"/>
  <c r="BB779" i="6"/>
  <c r="BC779" i="6"/>
  <c r="BD779" i="6"/>
  <c r="BE779" i="6"/>
  <c r="BF779" i="6"/>
  <c r="BG779" i="6"/>
  <c r="BH779" i="6"/>
  <c r="BI779" i="6"/>
  <c r="BJ779" i="6"/>
  <c r="BK779" i="6"/>
  <c r="AL780" i="6"/>
  <c r="AM780" i="6"/>
  <c r="AN780" i="6"/>
  <c r="AO780" i="6"/>
  <c r="AP780" i="6"/>
  <c r="AQ780" i="6"/>
  <c r="AR780" i="6"/>
  <c r="AS780" i="6"/>
  <c r="AT780" i="6"/>
  <c r="AU780" i="6"/>
  <c r="AV780" i="6"/>
  <c r="AW780" i="6"/>
  <c r="AX780" i="6"/>
  <c r="AY780" i="6"/>
  <c r="AZ780" i="6"/>
  <c r="BA780" i="6"/>
  <c r="BB780" i="6"/>
  <c r="BC780" i="6"/>
  <c r="BD780" i="6"/>
  <c r="BE780" i="6"/>
  <c r="BF780" i="6"/>
  <c r="BG780" i="6"/>
  <c r="BH780" i="6"/>
  <c r="BI780" i="6"/>
  <c r="BJ780" i="6"/>
  <c r="BK780" i="6"/>
  <c r="AL781" i="6"/>
  <c r="AM781" i="6"/>
  <c r="AN781" i="6"/>
  <c r="AO781" i="6"/>
  <c r="AP781" i="6"/>
  <c r="AQ781" i="6"/>
  <c r="AR781" i="6"/>
  <c r="AS781" i="6"/>
  <c r="AT781" i="6"/>
  <c r="AU781" i="6"/>
  <c r="AV781" i="6"/>
  <c r="AW781" i="6"/>
  <c r="AX781" i="6"/>
  <c r="AY781" i="6"/>
  <c r="AZ781" i="6"/>
  <c r="BA781" i="6"/>
  <c r="BB781" i="6"/>
  <c r="BC781" i="6"/>
  <c r="BD781" i="6"/>
  <c r="BE781" i="6"/>
  <c r="BF781" i="6"/>
  <c r="BG781" i="6"/>
  <c r="BH781" i="6"/>
  <c r="BI781" i="6"/>
  <c r="BJ781" i="6"/>
  <c r="BK781" i="6"/>
  <c r="AL782" i="6"/>
  <c r="AM782" i="6"/>
  <c r="AN782" i="6"/>
  <c r="AO782" i="6"/>
  <c r="AP782" i="6"/>
  <c r="AQ782" i="6"/>
  <c r="AR782" i="6"/>
  <c r="AS782" i="6"/>
  <c r="AT782" i="6"/>
  <c r="AU782" i="6"/>
  <c r="AV782" i="6"/>
  <c r="AW782" i="6"/>
  <c r="AX782" i="6"/>
  <c r="AY782" i="6"/>
  <c r="AZ782" i="6"/>
  <c r="BA782" i="6"/>
  <c r="BB782" i="6"/>
  <c r="BC782" i="6"/>
  <c r="BD782" i="6"/>
  <c r="BE782" i="6"/>
  <c r="BF782" i="6"/>
  <c r="BG782" i="6"/>
  <c r="BH782" i="6"/>
  <c r="BI782" i="6"/>
  <c r="BJ782" i="6"/>
  <c r="BK782" i="6"/>
  <c r="AL783" i="6"/>
  <c r="AM783" i="6"/>
  <c r="AN783" i="6"/>
  <c r="AO783" i="6"/>
  <c r="AP783" i="6"/>
  <c r="AQ783" i="6"/>
  <c r="AR783" i="6"/>
  <c r="AS783" i="6"/>
  <c r="AT783" i="6"/>
  <c r="AU783" i="6"/>
  <c r="AV783" i="6"/>
  <c r="AW783" i="6"/>
  <c r="AX783" i="6"/>
  <c r="AY783" i="6"/>
  <c r="AZ783" i="6"/>
  <c r="BA783" i="6"/>
  <c r="BB783" i="6"/>
  <c r="BC783" i="6"/>
  <c r="BD783" i="6"/>
  <c r="BE783" i="6"/>
  <c r="BF783" i="6"/>
  <c r="BG783" i="6"/>
  <c r="BH783" i="6"/>
  <c r="BI783" i="6"/>
  <c r="BJ783" i="6"/>
  <c r="BK783" i="6"/>
  <c r="AL784" i="6"/>
  <c r="AM784" i="6"/>
  <c r="AN784" i="6"/>
  <c r="AO784" i="6"/>
  <c r="AP784" i="6"/>
  <c r="AQ784" i="6"/>
  <c r="AR784" i="6"/>
  <c r="AS784" i="6"/>
  <c r="AT784" i="6"/>
  <c r="AU784" i="6"/>
  <c r="AV784" i="6"/>
  <c r="AW784" i="6"/>
  <c r="AX784" i="6"/>
  <c r="AY784" i="6"/>
  <c r="AZ784" i="6"/>
  <c r="BA784" i="6"/>
  <c r="BB784" i="6"/>
  <c r="BC784" i="6"/>
  <c r="BD784" i="6"/>
  <c r="BE784" i="6"/>
  <c r="BF784" i="6"/>
  <c r="BG784" i="6"/>
  <c r="BH784" i="6"/>
  <c r="BI784" i="6"/>
  <c r="BJ784" i="6"/>
  <c r="BK784" i="6"/>
  <c r="AL785" i="6"/>
  <c r="AM785" i="6"/>
  <c r="AN785" i="6"/>
  <c r="AO785" i="6"/>
  <c r="AP785" i="6"/>
  <c r="AQ785" i="6"/>
  <c r="AR785" i="6"/>
  <c r="AS785" i="6"/>
  <c r="AT785" i="6"/>
  <c r="AU785" i="6"/>
  <c r="AV785" i="6"/>
  <c r="AW785" i="6"/>
  <c r="AX785" i="6"/>
  <c r="AY785" i="6"/>
  <c r="AZ785" i="6"/>
  <c r="BA785" i="6"/>
  <c r="BB785" i="6"/>
  <c r="BC785" i="6"/>
  <c r="BD785" i="6"/>
  <c r="BE785" i="6"/>
  <c r="BF785" i="6"/>
  <c r="BG785" i="6"/>
  <c r="BH785" i="6"/>
  <c r="BI785" i="6"/>
  <c r="BJ785" i="6"/>
  <c r="BK785" i="6"/>
  <c r="AL786" i="6"/>
  <c r="AM786" i="6"/>
  <c r="AN786" i="6"/>
  <c r="AO786" i="6"/>
  <c r="AP786" i="6"/>
  <c r="AQ786" i="6"/>
  <c r="AR786" i="6"/>
  <c r="AS786" i="6"/>
  <c r="AT786" i="6"/>
  <c r="AU786" i="6"/>
  <c r="AV786" i="6"/>
  <c r="AW786" i="6"/>
  <c r="AX786" i="6"/>
  <c r="AY786" i="6"/>
  <c r="AZ786" i="6"/>
  <c r="BA786" i="6"/>
  <c r="BB786" i="6"/>
  <c r="BC786" i="6"/>
  <c r="BD786" i="6"/>
  <c r="BE786" i="6"/>
  <c r="BF786" i="6"/>
  <c r="BG786" i="6"/>
  <c r="BH786" i="6"/>
  <c r="BI786" i="6"/>
  <c r="BJ786" i="6"/>
  <c r="BK786" i="6"/>
  <c r="AL787" i="6"/>
  <c r="AM787" i="6"/>
  <c r="AN787" i="6"/>
  <c r="AO787" i="6"/>
  <c r="AP787" i="6"/>
  <c r="AQ787" i="6"/>
  <c r="AR787" i="6"/>
  <c r="AS787" i="6"/>
  <c r="AT787" i="6"/>
  <c r="AU787" i="6"/>
  <c r="AV787" i="6"/>
  <c r="AW787" i="6"/>
  <c r="AX787" i="6"/>
  <c r="AY787" i="6"/>
  <c r="AZ787" i="6"/>
  <c r="BA787" i="6"/>
  <c r="BB787" i="6"/>
  <c r="BC787" i="6"/>
  <c r="BD787" i="6"/>
  <c r="BE787" i="6"/>
  <c r="BF787" i="6"/>
  <c r="BG787" i="6"/>
  <c r="BH787" i="6"/>
  <c r="BI787" i="6"/>
  <c r="BJ787" i="6"/>
  <c r="BK787" i="6"/>
  <c r="AL788" i="6"/>
  <c r="AM788" i="6"/>
  <c r="AN788" i="6"/>
  <c r="AO788" i="6"/>
  <c r="AP788" i="6"/>
  <c r="AQ788" i="6"/>
  <c r="AR788" i="6"/>
  <c r="AS788" i="6"/>
  <c r="AT788" i="6"/>
  <c r="AU788" i="6"/>
  <c r="AV788" i="6"/>
  <c r="AW788" i="6"/>
  <c r="AX788" i="6"/>
  <c r="AY788" i="6"/>
  <c r="AZ788" i="6"/>
  <c r="BA788" i="6"/>
  <c r="BB788" i="6"/>
  <c r="BC788" i="6"/>
  <c r="BD788" i="6"/>
  <c r="BE788" i="6"/>
  <c r="BF788" i="6"/>
  <c r="BG788" i="6"/>
  <c r="BH788" i="6"/>
  <c r="BI788" i="6"/>
  <c r="BJ788" i="6"/>
  <c r="BK788" i="6"/>
  <c r="AL789" i="6"/>
  <c r="AM789" i="6"/>
  <c r="AN789" i="6"/>
  <c r="AO789" i="6"/>
  <c r="AP789" i="6"/>
  <c r="AQ789" i="6"/>
  <c r="AR789" i="6"/>
  <c r="AS789" i="6"/>
  <c r="AT789" i="6"/>
  <c r="AU789" i="6"/>
  <c r="AV789" i="6"/>
  <c r="AW789" i="6"/>
  <c r="AX789" i="6"/>
  <c r="AY789" i="6"/>
  <c r="AZ789" i="6"/>
  <c r="BA789" i="6"/>
  <c r="BB789" i="6"/>
  <c r="BC789" i="6"/>
  <c r="BD789" i="6"/>
  <c r="BE789" i="6"/>
  <c r="BF789" i="6"/>
  <c r="BG789" i="6"/>
  <c r="BH789" i="6"/>
  <c r="BI789" i="6"/>
  <c r="BJ789" i="6"/>
  <c r="BK789" i="6"/>
  <c r="AL790" i="6"/>
  <c r="AM790" i="6"/>
  <c r="AN790" i="6"/>
  <c r="AO790" i="6"/>
  <c r="AP790" i="6"/>
  <c r="AQ790" i="6"/>
  <c r="AR790" i="6"/>
  <c r="AS790" i="6"/>
  <c r="AT790" i="6"/>
  <c r="AU790" i="6"/>
  <c r="AV790" i="6"/>
  <c r="AW790" i="6"/>
  <c r="AX790" i="6"/>
  <c r="AY790" i="6"/>
  <c r="AZ790" i="6"/>
  <c r="BA790" i="6"/>
  <c r="BB790" i="6"/>
  <c r="BC790" i="6"/>
  <c r="BD790" i="6"/>
  <c r="BE790" i="6"/>
  <c r="BF790" i="6"/>
  <c r="BG790" i="6"/>
  <c r="BH790" i="6"/>
  <c r="BI790" i="6"/>
  <c r="BJ790" i="6"/>
  <c r="BK790" i="6"/>
  <c r="AL791" i="6"/>
  <c r="AM791" i="6"/>
  <c r="AN791" i="6"/>
  <c r="AO791" i="6"/>
  <c r="AP791" i="6"/>
  <c r="AQ791" i="6"/>
  <c r="AR791" i="6"/>
  <c r="AS791" i="6"/>
  <c r="AT791" i="6"/>
  <c r="AU791" i="6"/>
  <c r="AV791" i="6"/>
  <c r="AW791" i="6"/>
  <c r="AX791" i="6"/>
  <c r="AY791" i="6"/>
  <c r="AZ791" i="6"/>
  <c r="BA791" i="6"/>
  <c r="BB791" i="6"/>
  <c r="BC791" i="6"/>
  <c r="BD791" i="6"/>
  <c r="BE791" i="6"/>
  <c r="BF791" i="6"/>
  <c r="BG791" i="6"/>
  <c r="BH791" i="6"/>
  <c r="BI791" i="6"/>
  <c r="BJ791" i="6"/>
  <c r="BK791" i="6"/>
  <c r="AL792" i="6"/>
  <c r="AM792" i="6"/>
  <c r="AN792" i="6"/>
  <c r="AO792" i="6"/>
  <c r="AP792" i="6"/>
  <c r="AQ792" i="6"/>
  <c r="AR792" i="6"/>
  <c r="AS792" i="6"/>
  <c r="AT792" i="6"/>
  <c r="AU792" i="6"/>
  <c r="AV792" i="6"/>
  <c r="AW792" i="6"/>
  <c r="AX792" i="6"/>
  <c r="AY792" i="6"/>
  <c r="AZ792" i="6"/>
  <c r="BA792" i="6"/>
  <c r="BB792" i="6"/>
  <c r="BC792" i="6"/>
  <c r="BD792" i="6"/>
  <c r="BE792" i="6"/>
  <c r="BF792" i="6"/>
  <c r="BG792" i="6"/>
  <c r="BH792" i="6"/>
  <c r="BI792" i="6"/>
  <c r="BJ792" i="6"/>
  <c r="BK792" i="6"/>
  <c r="AL793" i="6"/>
  <c r="AM793" i="6"/>
  <c r="AN793" i="6"/>
  <c r="AO793" i="6"/>
  <c r="AP793" i="6"/>
  <c r="AQ793" i="6"/>
  <c r="AR793" i="6"/>
  <c r="AS793" i="6"/>
  <c r="AT793" i="6"/>
  <c r="AU793" i="6"/>
  <c r="AV793" i="6"/>
  <c r="AW793" i="6"/>
  <c r="AX793" i="6"/>
  <c r="AY793" i="6"/>
  <c r="AZ793" i="6"/>
  <c r="BA793" i="6"/>
  <c r="BB793" i="6"/>
  <c r="BC793" i="6"/>
  <c r="BD793" i="6"/>
  <c r="BE793" i="6"/>
  <c r="BF793" i="6"/>
  <c r="BG793" i="6"/>
  <c r="BH793" i="6"/>
  <c r="BI793" i="6"/>
  <c r="BJ793" i="6"/>
  <c r="BK793" i="6"/>
  <c r="AL794" i="6"/>
  <c r="AM794" i="6"/>
  <c r="AN794" i="6"/>
  <c r="AO794" i="6"/>
  <c r="AP794" i="6"/>
  <c r="AQ794" i="6"/>
  <c r="AR794" i="6"/>
  <c r="AS794" i="6"/>
  <c r="AT794" i="6"/>
  <c r="AU794" i="6"/>
  <c r="AV794" i="6"/>
  <c r="AW794" i="6"/>
  <c r="AX794" i="6"/>
  <c r="AY794" i="6"/>
  <c r="AZ794" i="6"/>
  <c r="BA794" i="6"/>
  <c r="BB794" i="6"/>
  <c r="BC794" i="6"/>
  <c r="BD794" i="6"/>
  <c r="BE794" i="6"/>
  <c r="BF794" i="6"/>
  <c r="BG794" i="6"/>
  <c r="BH794" i="6"/>
  <c r="BI794" i="6"/>
  <c r="BJ794" i="6"/>
  <c r="BK794" i="6"/>
  <c r="AL795" i="6"/>
  <c r="AM795" i="6"/>
  <c r="AN795" i="6"/>
  <c r="AO795" i="6"/>
  <c r="AP795" i="6"/>
  <c r="AQ795" i="6"/>
  <c r="AR795" i="6"/>
  <c r="AS795" i="6"/>
  <c r="AT795" i="6"/>
  <c r="AU795" i="6"/>
  <c r="AV795" i="6"/>
  <c r="AW795" i="6"/>
  <c r="AX795" i="6"/>
  <c r="AY795" i="6"/>
  <c r="AZ795" i="6"/>
  <c r="BA795" i="6"/>
  <c r="BB795" i="6"/>
  <c r="BC795" i="6"/>
  <c r="BD795" i="6"/>
  <c r="BE795" i="6"/>
  <c r="BF795" i="6"/>
  <c r="BG795" i="6"/>
  <c r="BH795" i="6"/>
  <c r="BI795" i="6"/>
  <c r="BJ795" i="6"/>
  <c r="BK795" i="6"/>
  <c r="AL796" i="6"/>
  <c r="AM796" i="6"/>
  <c r="AN796" i="6"/>
  <c r="AO796" i="6"/>
  <c r="AP796" i="6"/>
  <c r="AQ796" i="6"/>
  <c r="AR796" i="6"/>
  <c r="AS796" i="6"/>
  <c r="AT796" i="6"/>
  <c r="AU796" i="6"/>
  <c r="AV796" i="6"/>
  <c r="AW796" i="6"/>
  <c r="AX796" i="6"/>
  <c r="AY796" i="6"/>
  <c r="AZ796" i="6"/>
  <c r="BA796" i="6"/>
  <c r="BB796" i="6"/>
  <c r="BC796" i="6"/>
  <c r="BD796" i="6"/>
  <c r="BE796" i="6"/>
  <c r="BF796" i="6"/>
  <c r="BG796" i="6"/>
  <c r="BH796" i="6"/>
  <c r="BI796" i="6"/>
  <c r="BJ796" i="6"/>
  <c r="BK796" i="6"/>
  <c r="AL797" i="6"/>
  <c r="AM797" i="6"/>
  <c r="AN797" i="6"/>
  <c r="AO797" i="6"/>
  <c r="AP797" i="6"/>
  <c r="AQ797" i="6"/>
  <c r="AR797" i="6"/>
  <c r="AS797" i="6"/>
  <c r="AT797" i="6"/>
  <c r="AU797" i="6"/>
  <c r="AV797" i="6"/>
  <c r="AW797" i="6"/>
  <c r="AX797" i="6"/>
  <c r="AY797" i="6"/>
  <c r="AZ797" i="6"/>
  <c r="BA797" i="6"/>
  <c r="BB797" i="6"/>
  <c r="BC797" i="6"/>
  <c r="BD797" i="6"/>
  <c r="BE797" i="6"/>
  <c r="BF797" i="6"/>
  <c r="BG797" i="6"/>
  <c r="BH797" i="6"/>
  <c r="BI797" i="6"/>
  <c r="BJ797" i="6"/>
  <c r="BK797" i="6"/>
  <c r="AL798" i="6"/>
  <c r="AM798" i="6"/>
  <c r="AN798" i="6"/>
  <c r="AO798" i="6"/>
  <c r="AP798" i="6"/>
  <c r="AQ798" i="6"/>
  <c r="AR798" i="6"/>
  <c r="AS798" i="6"/>
  <c r="AT798" i="6"/>
  <c r="AU798" i="6"/>
  <c r="AV798" i="6"/>
  <c r="AW798" i="6"/>
  <c r="AX798" i="6"/>
  <c r="AY798" i="6"/>
  <c r="AZ798" i="6"/>
  <c r="BA798" i="6"/>
  <c r="BB798" i="6"/>
  <c r="BC798" i="6"/>
  <c r="BD798" i="6"/>
  <c r="BE798" i="6"/>
  <c r="BF798" i="6"/>
  <c r="BG798" i="6"/>
  <c r="BH798" i="6"/>
  <c r="BI798" i="6"/>
  <c r="BJ798" i="6"/>
  <c r="BK798" i="6"/>
  <c r="AL799" i="6"/>
  <c r="AM799" i="6"/>
  <c r="AN799" i="6"/>
  <c r="AO799" i="6"/>
  <c r="AP799" i="6"/>
  <c r="AQ799" i="6"/>
  <c r="AR799" i="6"/>
  <c r="AS799" i="6"/>
  <c r="AT799" i="6"/>
  <c r="AU799" i="6"/>
  <c r="AV799" i="6"/>
  <c r="AW799" i="6"/>
  <c r="AX799" i="6"/>
  <c r="AY799" i="6"/>
  <c r="AZ799" i="6"/>
  <c r="BA799" i="6"/>
  <c r="BB799" i="6"/>
  <c r="BC799" i="6"/>
  <c r="BD799" i="6"/>
  <c r="BE799" i="6"/>
  <c r="BF799" i="6"/>
  <c r="BG799" i="6"/>
  <c r="BH799" i="6"/>
  <c r="BI799" i="6"/>
  <c r="BJ799" i="6"/>
  <c r="BK799" i="6"/>
  <c r="AL800" i="6"/>
  <c r="AM800" i="6"/>
  <c r="AN800" i="6"/>
  <c r="AO800" i="6"/>
  <c r="AP800" i="6"/>
  <c r="AQ800" i="6"/>
  <c r="AR800" i="6"/>
  <c r="AS800" i="6"/>
  <c r="AT800" i="6"/>
  <c r="AU800" i="6"/>
  <c r="AV800" i="6"/>
  <c r="AW800" i="6"/>
  <c r="AX800" i="6"/>
  <c r="AY800" i="6"/>
  <c r="AZ800" i="6"/>
  <c r="BA800" i="6"/>
  <c r="BB800" i="6"/>
  <c r="BC800" i="6"/>
  <c r="BD800" i="6"/>
  <c r="BE800" i="6"/>
  <c r="BF800" i="6"/>
  <c r="BG800" i="6"/>
  <c r="BH800" i="6"/>
  <c r="BI800" i="6"/>
  <c r="BJ800" i="6"/>
  <c r="BK800" i="6"/>
  <c r="AL801" i="6"/>
  <c r="AM801" i="6"/>
  <c r="AN801" i="6"/>
  <c r="AO801" i="6"/>
  <c r="AP801" i="6"/>
  <c r="AQ801" i="6"/>
  <c r="AR801" i="6"/>
  <c r="AS801" i="6"/>
  <c r="AT801" i="6"/>
  <c r="AU801" i="6"/>
  <c r="AV801" i="6"/>
  <c r="AW801" i="6"/>
  <c r="AX801" i="6"/>
  <c r="AY801" i="6"/>
  <c r="AZ801" i="6"/>
  <c r="BA801" i="6"/>
  <c r="BB801" i="6"/>
  <c r="BC801" i="6"/>
  <c r="BD801" i="6"/>
  <c r="BE801" i="6"/>
  <c r="BF801" i="6"/>
  <c r="BG801" i="6"/>
  <c r="BH801" i="6"/>
  <c r="BI801" i="6"/>
  <c r="BJ801" i="6"/>
  <c r="BK801" i="6"/>
  <c r="AL802" i="6"/>
  <c r="AM802" i="6"/>
  <c r="AN802" i="6"/>
  <c r="AO802" i="6"/>
  <c r="AP802" i="6"/>
  <c r="AQ802" i="6"/>
  <c r="AR802" i="6"/>
  <c r="AS802" i="6"/>
  <c r="AT802" i="6"/>
  <c r="AU802" i="6"/>
  <c r="AV802" i="6"/>
  <c r="AW802" i="6"/>
  <c r="AX802" i="6"/>
  <c r="AY802" i="6"/>
  <c r="AZ802" i="6"/>
  <c r="BA802" i="6"/>
  <c r="BB802" i="6"/>
  <c r="BC802" i="6"/>
  <c r="BD802" i="6"/>
  <c r="BE802" i="6"/>
  <c r="BF802" i="6"/>
  <c r="BG802" i="6"/>
  <c r="BH802" i="6"/>
  <c r="BI802" i="6"/>
  <c r="BJ802" i="6"/>
  <c r="BK802" i="6"/>
  <c r="AL803" i="6"/>
  <c r="AM803" i="6"/>
  <c r="AN803" i="6"/>
  <c r="AO803" i="6"/>
  <c r="AP803" i="6"/>
  <c r="AQ803" i="6"/>
  <c r="AR803" i="6"/>
  <c r="AS803" i="6"/>
  <c r="AT803" i="6"/>
  <c r="AU803" i="6"/>
  <c r="AV803" i="6"/>
  <c r="AW803" i="6"/>
  <c r="AX803" i="6"/>
  <c r="AY803" i="6"/>
  <c r="AZ803" i="6"/>
  <c r="BA803" i="6"/>
  <c r="BB803" i="6"/>
  <c r="BC803" i="6"/>
  <c r="BD803" i="6"/>
  <c r="BE803" i="6"/>
  <c r="BF803" i="6"/>
  <c r="BG803" i="6"/>
  <c r="BH803" i="6"/>
  <c r="BI803" i="6"/>
  <c r="BJ803" i="6"/>
  <c r="BK803" i="6"/>
  <c r="AL804" i="6"/>
  <c r="AM804" i="6"/>
  <c r="AN804" i="6"/>
  <c r="AO804" i="6"/>
  <c r="AP804" i="6"/>
  <c r="AQ804" i="6"/>
  <c r="AR804" i="6"/>
  <c r="AS804" i="6"/>
  <c r="AT804" i="6"/>
  <c r="AU804" i="6"/>
  <c r="AV804" i="6"/>
  <c r="AW804" i="6"/>
  <c r="AX804" i="6"/>
  <c r="AY804" i="6"/>
  <c r="AZ804" i="6"/>
  <c r="BA804" i="6"/>
  <c r="BB804" i="6"/>
  <c r="BC804" i="6"/>
  <c r="BD804" i="6"/>
  <c r="BE804" i="6"/>
  <c r="BF804" i="6"/>
  <c r="BG804" i="6"/>
  <c r="BH804" i="6"/>
  <c r="BI804" i="6"/>
  <c r="BJ804" i="6"/>
  <c r="BK804" i="6"/>
  <c r="AL805" i="6"/>
  <c r="AM805" i="6"/>
  <c r="AN805" i="6"/>
  <c r="AO805" i="6"/>
  <c r="AP805" i="6"/>
  <c r="AQ805" i="6"/>
  <c r="AR805" i="6"/>
  <c r="AS805" i="6"/>
  <c r="AT805" i="6"/>
  <c r="AU805" i="6"/>
  <c r="AV805" i="6"/>
  <c r="AW805" i="6"/>
  <c r="AX805" i="6"/>
  <c r="AY805" i="6"/>
  <c r="AZ805" i="6"/>
  <c r="BA805" i="6"/>
  <c r="BB805" i="6"/>
  <c r="BC805" i="6"/>
  <c r="BD805" i="6"/>
  <c r="BE805" i="6"/>
  <c r="BF805" i="6"/>
  <c r="BG805" i="6"/>
  <c r="BH805" i="6"/>
  <c r="BI805" i="6"/>
  <c r="BJ805" i="6"/>
  <c r="BK805" i="6"/>
  <c r="AL806" i="6"/>
  <c r="AM806" i="6"/>
  <c r="AN806" i="6"/>
  <c r="AO806" i="6"/>
  <c r="AP806" i="6"/>
  <c r="AQ806" i="6"/>
  <c r="AR806" i="6"/>
  <c r="AS806" i="6"/>
  <c r="AT806" i="6"/>
  <c r="AU806" i="6"/>
  <c r="AV806" i="6"/>
  <c r="AW806" i="6"/>
  <c r="AX806" i="6"/>
  <c r="AY806" i="6"/>
  <c r="AZ806" i="6"/>
  <c r="BA806" i="6"/>
  <c r="BB806" i="6"/>
  <c r="BC806" i="6"/>
  <c r="BD806" i="6"/>
  <c r="BE806" i="6"/>
  <c r="BF806" i="6"/>
  <c r="BG806" i="6"/>
  <c r="BH806" i="6"/>
  <c r="BI806" i="6"/>
  <c r="BJ806" i="6"/>
  <c r="BK806" i="6"/>
  <c r="AL807" i="6"/>
  <c r="AM807" i="6"/>
  <c r="AN807" i="6"/>
  <c r="AO807" i="6"/>
  <c r="AP807" i="6"/>
  <c r="AQ807" i="6"/>
  <c r="AR807" i="6"/>
  <c r="AS807" i="6"/>
  <c r="AT807" i="6"/>
  <c r="AU807" i="6"/>
  <c r="AV807" i="6"/>
  <c r="AW807" i="6"/>
  <c r="AX807" i="6"/>
  <c r="AY807" i="6"/>
  <c r="AZ807" i="6"/>
  <c r="BA807" i="6"/>
  <c r="BB807" i="6"/>
  <c r="BC807" i="6"/>
  <c r="BD807" i="6"/>
  <c r="BE807" i="6"/>
  <c r="BF807" i="6"/>
  <c r="BG807" i="6"/>
  <c r="BH807" i="6"/>
  <c r="BI807" i="6"/>
  <c r="BJ807" i="6"/>
  <c r="BK807" i="6"/>
  <c r="AL808" i="6"/>
  <c r="AM808" i="6"/>
  <c r="AN808" i="6"/>
  <c r="AO808" i="6"/>
  <c r="AP808" i="6"/>
  <c r="AQ808" i="6"/>
  <c r="AR808" i="6"/>
  <c r="AS808" i="6"/>
  <c r="AT808" i="6"/>
  <c r="AU808" i="6"/>
  <c r="AV808" i="6"/>
  <c r="AW808" i="6"/>
  <c r="AX808" i="6"/>
  <c r="AY808" i="6"/>
  <c r="AZ808" i="6"/>
  <c r="BA808" i="6"/>
  <c r="BB808" i="6"/>
  <c r="BC808" i="6"/>
  <c r="BD808" i="6"/>
  <c r="BE808" i="6"/>
  <c r="BF808" i="6"/>
  <c r="BG808" i="6"/>
  <c r="BH808" i="6"/>
  <c r="BI808" i="6"/>
  <c r="BJ808" i="6"/>
  <c r="BK808" i="6"/>
  <c r="AL809" i="6"/>
  <c r="AM809" i="6"/>
  <c r="AN809" i="6"/>
  <c r="AO809" i="6"/>
  <c r="AP809" i="6"/>
  <c r="AQ809" i="6"/>
  <c r="AR809" i="6"/>
  <c r="AS809" i="6"/>
  <c r="AT809" i="6"/>
  <c r="AU809" i="6"/>
  <c r="AV809" i="6"/>
  <c r="AW809" i="6"/>
  <c r="AX809" i="6"/>
  <c r="AY809" i="6"/>
  <c r="AZ809" i="6"/>
  <c r="BA809" i="6"/>
  <c r="BB809" i="6"/>
  <c r="BC809" i="6"/>
  <c r="BD809" i="6"/>
  <c r="BE809" i="6"/>
  <c r="BF809" i="6"/>
  <c r="BG809" i="6"/>
  <c r="BH809" i="6"/>
  <c r="BI809" i="6"/>
  <c r="BJ809" i="6"/>
  <c r="BK809" i="6"/>
  <c r="AL810" i="6"/>
  <c r="AM810" i="6"/>
  <c r="AN810" i="6"/>
  <c r="AO810" i="6"/>
  <c r="AP810" i="6"/>
  <c r="AQ810" i="6"/>
  <c r="AR810" i="6"/>
  <c r="AS810" i="6"/>
  <c r="AT810" i="6"/>
  <c r="AU810" i="6"/>
  <c r="AV810" i="6"/>
  <c r="AW810" i="6"/>
  <c r="AX810" i="6"/>
  <c r="AY810" i="6"/>
  <c r="AZ810" i="6"/>
  <c r="BA810" i="6"/>
  <c r="BB810" i="6"/>
  <c r="BC810" i="6"/>
  <c r="BD810" i="6"/>
  <c r="BE810" i="6"/>
  <c r="BF810" i="6"/>
  <c r="BG810" i="6"/>
  <c r="BH810" i="6"/>
  <c r="BI810" i="6"/>
  <c r="BJ810" i="6"/>
  <c r="BK810" i="6"/>
  <c r="AL811" i="6"/>
  <c r="AM811" i="6"/>
  <c r="AN811" i="6"/>
  <c r="AO811" i="6"/>
  <c r="AP811" i="6"/>
  <c r="AQ811" i="6"/>
  <c r="AR811" i="6"/>
  <c r="AS811" i="6"/>
  <c r="AT811" i="6"/>
  <c r="AU811" i="6"/>
  <c r="AV811" i="6"/>
  <c r="AW811" i="6"/>
  <c r="AX811" i="6"/>
  <c r="AY811" i="6"/>
  <c r="AZ811" i="6"/>
  <c r="BA811" i="6"/>
  <c r="BB811" i="6"/>
  <c r="BC811" i="6"/>
  <c r="BD811" i="6"/>
  <c r="BE811" i="6"/>
  <c r="BF811" i="6"/>
  <c r="BG811" i="6"/>
  <c r="BH811" i="6"/>
  <c r="BI811" i="6"/>
  <c r="BJ811" i="6"/>
  <c r="BK811" i="6"/>
  <c r="AL812" i="6"/>
  <c r="AM812" i="6"/>
  <c r="AN812" i="6"/>
  <c r="AO812" i="6"/>
  <c r="AP812" i="6"/>
  <c r="AQ812" i="6"/>
  <c r="AR812" i="6"/>
  <c r="AS812" i="6"/>
  <c r="AT812" i="6"/>
  <c r="AU812" i="6"/>
  <c r="AV812" i="6"/>
  <c r="AW812" i="6"/>
  <c r="AX812" i="6"/>
  <c r="AY812" i="6"/>
  <c r="AZ812" i="6"/>
  <c r="BA812" i="6"/>
  <c r="BB812" i="6"/>
  <c r="BC812" i="6"/>
  <c r="BD812" i="6"/>
  <c r="BE812" i="6"/>
  <c r="BF812" i="6"/>
  <c r="BG812" i="6"/>
  <c r="BH812" i="6"/>
  <c r="BI812" i="6"/>
  <c r="BJ812" i="6"/>
  <c r="BK812" i="6"/>
  <c r="AL813" i="6"/>
  <c r="AM813" i="6"/>
  <c r="AN813" i="6"/>
  <c r="AO813" i="6"/>
  <c r="AP813" i="6"/>
  <c r="AQ813" i="6"/>
  <c r="AR813" i="6"/>
  <c r="AS813" i="6"/>
  <c r="AT813" i="6"/>
  <c r="AU813" i="6"/>
  <c r="AV813" i="6"/>
  <c r="AW813" i="6"/>
  <c r="AX813" i="6"/>
  <c r="AY813" i="6"/>
  <c r="AZ813" i="6"/>
  <c r="BA813" i="6"/>
  <c r="BB813" i="6"/>
  <c r="BC813" i="6"/>
  <c r="BD813" i="6"/>
  <c r="BE813" i="6"/>
  <c r="BF813" i="6"/>
  <c r="BG813" i="6"/>
  <c r="BH813" i="6"/>
  <c r="BI813" i="6"/>
  <c r="BJ813" i="6"/>
  <c r="BK813" i="6"/>
  <c r="AL814" i="6"/>
  <c r="AM814" i="6"/>
  <c r="AN814" i="6"/>
  <c r="AO814" i="6"/>
  <c r="AP814" i="6"/>
  <c r="AQ814" i="6"/>
  <c r="AR814" i="6"/>
  <c r="AS814" i="6"/>
  <c r="AT814" i="6"/>
  <c r="AU814" i="6"/>
  <c r="AV814" i="6"/>
  <c r="AW814" i="6"/>
  <c r="AX814" i="6"/>
  <c r="AY814" i="6"/>
  <c r="AZ814" i="6"/>
  <c r="BA814" i="6"/>
  <c r="BB814" i="6"/>
  <c r="BC814" i="6"/>
  <c r="BD814" i="6"/>
  <c r="BE814" i="6"/>
  <c r="BF814" i="6"/>
  <c r="BG814" i="6"/>
  <c r="BH814" i="6"/>
  <c r="BI814" i="6"/>
  <c r="BJ814" i="6"/>
  <c r="BK814" i="6"/>
  <c r="AL815" i="6"/>
  <c r="AM815" i="6"/>
  <c r="AN815" i="6"/>
  <c r="AO815" i="6"/>
  <c r="AP815" i="6"/>
  <c r="AQ815" i="6"/>
  <c r="AR815" i="6"/>
  <c r="AS815" i="6"/>
  <c r="AT815" i="6"/>
  <c r="AU815" i="6"/>
  <c r="AV815" i="6"/>
  <c r="AW815" i="6"/>
  <c r="AX815" i="6"/>
  <c r="AY815" i="6"/>
  <c r="AZ815" i="6"/>
  <c r="BA815" i="6"/>
  <c r="BB815" i="6"/>
  <c r="BC815" i="6"/>
  <c r="BD815" i="6"/>
  <c r="BE815" i="6"/>
  <c r="BF815" i="6"/>
  <c r="BG815" i="6"/>
  <c r="BH815" i="6"/>
  <c r="BI815" i="6"/>
  <c r="BJ815" i="6"/>
  <c r="BK815" i="6"/>
  <c r="AL816" i="6"/>
  <c r="AM816" i="6"/>
  <c r="AN816" i="6"/>
  <c r="AO816" i="6"/>
  <c r="AP816" i="6"/>
  <c r="AQ816" i="6"/>
  <c r="AR816" i="6"/>
  <c r="AS816" i="6"/>
  <c r="AT816" i="6"/>
  <c r="AU816" i="6"/>
  <c r="AV816" i="6"/>
  <c r="AW816" i="6"/>
  <c r="AX816" i="6"/>
  <c r="AY816" i="6"/>
  <c r="AZ816" i="6"/>
  <c r="BA816" i="6"/>
  <c r="BB816" i="6"/>
  <c r="BC816" i="6"/>
  <c r="BD816" i="6"/>
  <c r="BE816" i="6"/>
  <c r="BF816" i="6"/>
  <c r="BG816" i="6"/>
  <c r="BH816" i="6"/>
  <c r="BI816" i="6"/>
  <c r="BJ816" i="6"/>
  <c r="BK816" i="6"/>
  <c r="AL817" i="6"/>
  <c r="AM817" i="6"/>
  <c r="AN817" i="6"/>
  <c r="AO817" i="6"/>
  <c r="AP817" i="6"/>
  <c r="AQ817" i="6"/>
  <c r="AR817" i="6"/>
  <c r="AS817" i="6"/>
  <c r="AT817" i="6"/>
  <c r="AU817" i="6"/>
  <c r="AV817" i="6"/>
  <c r="AW817" i="6"/>
  <c r="AX817" i="6"/>
  <c r="AY817" i="6"/>
  <c r="AZ817" i="6"/>
  <c r="BA817" i="6"/>
  <c r="BB817" i="6"/>
  <c r="BC817" i="6"/>
  <c r="BD817" i="6"/>
  <c r="BE817" i="6"/>
  <c r="BF817" i="6"/>
  <c r="BG817" i="6"/>
  <c r="BH817" i="6"/>
  <c r="BI817" i="6"/>
  <c r="BJ817" i="6"/>
  <c r="BK817" i="6"/>
  <c r="AL818" i="6"/>
  <c r="AM818" i="6"/>
  <c r="AN818" i="6"/>
  <c r="AO818" i="6"/>
  <c r="AP818" i="6"/>
  <c r="AQ818" i="6"/>
  <c r="AR818" i="6"/>
  <c r="AS818" i="6"/>
  <c r="AT818" i="6"/>
  <c r="AU818" i="6"/>
  <c r="AV818" i="6"/>
  <c r="AW818" i="6"/>
  <c r="AX818" i="6"/>
  <c r="AY818" i="6"/>
  <c r="AZ818" i="6"/>
  <c r="BA818" i="6"/>
  <c r="BB818" i="6"/>
  <c r="BC818" i="6"/>
  <c r="BD818" i="6"/>
  <c r="BE818" i="6"/>
  <c r="BF818" i="6"/>
  <c r="BG818" i="6"/>
  <c r="BH818" i="6"/>
  <c r="BI818" i="6"/>
  <c r="BJ818" i="6"/>
  <c r="BK818" i="6"/>
  <c r="AL819" i="6"/>
  <c r="AM819" i="6"/>
  <c r="AN819" i="6"/>
  <c r="AO819" i="6"/>
  <c r="AP819" i="6"/>
  <c r="AQ819" i="6"/>
  <c r="AR819" i="6"/>
  <c r="AS819" i="6"/>
  <c r="AT819" i="6"/>
  <c r="AU819" i="6"/>
  <c r="AV819" i="6"/>
  <c r="AW819" i="6"/>
  <c r="AX819" i="6"/>
  <c r="AY819" i="6"/>
  <c r="AZ819" i="6"/>
  <c r="BA819" i="6"/>
  <c r="BB819" i="6"/>
  <c r="BC819" i="6"/>
  <c r="BD819" i="6"/>
  <c r="BE819" i="6"/>
  <c r="BF819" i="6"/>
  <c r="BG819" i="6"/>
  <c r="BH819" i="6"/>
  <c r="BI819" i="6"/>
  <c r="BJ819" i="6"/>
  <c r="BK819" i="6"/>
  <c r="AL820" i="6"/>
  <c r="AM820" i="6"/>
  <c r="AN820" i="6"/>
  <c r="AO820" i="6"/>
  <c r="AP820" i="6"/>
  <c r="AQ820" i="6"/>
  <c r="AR820" i="6"/>
  <c r="AS820" i="6"/>
  <c r="AT820" i="6"/>
  <c r="AU820" i="6"/>
  <c r="AV820" i="6"/>
  <c r="AW820" i="6"/>
  <c r="AX820" i="6"/>
  <c r="AY820" i="6"/>
  <c r="AZ820" i="6"/>
  <c r="BA820" i="6"/>
  <c r="BB820" i="6"/>
  <c r="BC820" i="6"/>
  <c r="BD820" i="6"/>
  <c r="BE820" i="6"/>
  <c r="BF820" i="6"/>
  <c r="BG820" i="6"/>
  <c r="BH820" i="6"/>
  <c r="BI820" i="6"/>
  <c r="BJ820" i="6"/>
  <c r="BK820" i="6"/>
  <c r="AL821" i="6"/>
  <c r="AM821" i="6"/>
  <c r="AN821" i="6"/>
  <c r="AO821" i="6"/>
  <c r="AP821" i="6"/>
  <c r="AQ821" i="6"/>
  <c r="AR821" i="6"/>
  <c r="AS821" i="6"/>
  <c r="AT821" i="6"/>
  <c r="AU821" i="6"/>
  <c r="AV821" i="6"/>
  <c r="AW821" i="6"/>
  <c r="AX821" i="6"/>
  <c r="AY821" i="6"/>
  <c r="AZ821" i="6"/>
  <c r="BA821" i="6"/>
  <c r="BB821" i="6"/>
  <c r="BC821" i="6"/>
  <c r="BD821" i="6"/>
  <c r="BE821" i="6"/>
  <c r="BF821" i="6"/>
  <c r="BG821" i="6"/>
  <c r="BH821" i="6"/>
  <c r="BI821" i="6"/>
  <c r="BJ821" i="6"/>
  <c r="BK821" i="6"/>
  <c r="AL822" i="6"/>
  <c r="AM822" i="6"/>
  <c r="AN822" i="6"/>
  <c r="AO822" i="6"/>
  <c r="AP822" i="6"/>
  <c r="AQ822" i="6"/>
  <c r="AR822" i="6"/>
  <c r="AS822" i="6"/>
  <c r="AT822" i="6"/>
  <c r="AU822" i="6"/>
  <c r="AV822" i="6"/>
  <c r="AW822" i="6"/>
  <c r="AX822" i="6"/>
  <c r="AY822" i="6"/>
  <c r="AZ822" i="6"/>
  <c r="BA822" i="6"/>
  <c r="BB822" i="6"/>
  <c r="BC822" i="6"/>
  <c r="BD822" i="6"/>
  <c r="BE822" i="6"/>
  <c r="BF822" i="6"/>
  <c r="BG822" i="6"/>
  <c r="BH822" i="6"/>
  <c r="BI822" i="6"/>
  <c r="BJ822" i="6"/>
  <c r="BK822" i="6"/>
  <c r="AL823" i="6"/>
  <c r="AM823" i="6"/>
  <c r="AN823" i="6"/>
  <c r="AO823" i="6"/>
  <c r="AP823" i="6"/>
  <c r="AQ823" i="6"/>
  <c r="AR823" i="6"/>
  <c r="AS823" i="6"/>
  <c r="AT823" i="6"/>
  <c r="AU823" i="6"/>
  <c r="AV823" i="6"/>
  <c r="AW823" i="6"/>
  <c r="AX823" i="6"/>
  <c r="AY823" i="6"/>
  <c r="AZ823" i="6"/>
  <c r="BA823" i="6"/>
  <c r="BB823" i="6"/>
  <c r="BC823" i="6"/>
  <c r="BD823" i="6"/>
  <c r="BE823" i="6"/>
  <c r="BF823" i="6"/>
  <c r="BG823" i="6"/>
  <c r="BH823" i="6"/>
  <c r="BI823" i="6"/>
  <c r="BJ823" i="6"/>
  <c r="BK823" i="6"/>
  <c r="AL824" i="6"/>
  <c r="AM824" i="6"/>
  <c r="AN824" i="6"/>
  <c r="AO824" i="6"/>
  <c r="AP824" i="6"/>
  <c r="AQ824" i="6"/>
  <c r="AR824" i="6"/>
  <c r="AS824" i="6"/>
  <c r="AT824" i="6"/>
  <c r="AU824" i="6"/>
  <c r="AV824" i="6"/>
  <c r="AW824" i="6"/>
  <c r="AX824" i="6"/>
  <c r="AY824" i="6"/>
  <c r="AZ824" i="6"/>
  <c r="BA824" i="6"/>
  <c r="BB824" i="6"/>
  <c r="BC824" i="6"/>
  <c r="BD824" i="6"/>
  <c r="BE824" i="6"/>
  <c r="BF824" i="6"/>
  <c r="BG824" i="6"/>
  <c r="BH824" i="6"/>
  <c r="BI824" i="6"/>
  <c r="BJ824" i="6"/>
  <c r="BK824" i="6"/>
  <c r="AL825" i="6"/>
  <c r="AM825" i="6"/>
  <c r="AN825" i="6"/>
  <c r="AO825" i="6"/>
  <c r="AP825" i="6"/>
  <c r="AQ825" i="6"/>
  <c r="AR825" i="6"/>
  <c r="AS825" i="6"/>
  <c r="AT825" i="6"/>
  <c r="AU825" i="6"/>
  <c r="AV825" i="6"/>
  <c r="AW825" i="6"/>
  <c r="AX825" i="6"/>
  <c r="AY825" i="6"/>
  <c r="AZ825" i="6"/>
  <c r="BA825" i="6"/>
  <c r="BB825" i="6"/>
  <c r="BC825" i="6"/>
  <c r="BD825" i="6"/>
  <c r="BE825" i="6"/>
  <c r="BF825" i="6"/>
  <c r="BG825" i="6"/>
  <c r="BH825" i="6"/>
  <c r="BI825" i="6"/>
  <c r="BJ825" i="6"/>
  <c r="BK825" i="6"/>
  <c r="AL826" i="6"/>
  <c r="AM826" i="6"/>
  <c r="AN826" i="6"/>
  <c r="AO826" i="6"/>
  <c r="AP826" i="6"/>
  <c r="AQ826" i="6"/>
  <c r="AR826" i="6"/>
  <c r="AS826" i="6"/>
  <c r="AT826" i="6"/>
  <c r="AU826" i="6"/>
  <c r="AV826" i="6"/>
  <c r="AW826" i="6"/>
  <c r="AX826" i="6"/>
  <c r="AY826" i="6"/>
  <c r="AZ826" i="6"/>
  <c r="BA826" i="6"/>
  <c r="BB826" i="6"/>
  <c r="BC826" i="6"/>
  <c r="BD826" i="6"/>
  <c r="BE826" i="6"/>
  <c r="BF826" i="6"/>
  <c r="BG826" i="6"/>
  <c r="BH826" i="6"/>
  <c r="BI826" i="6"/>
  <c r="BJ826" i="6"/>
  <c r="BK826" i="6"/>
  <c r="AL827" i="6"/>
  <c r="AM827" i="6"/>
  <c r="AN827" i="6"/>
  <c r="AO827" i="6"/>
  <c r="AP827" i="6"/>
  <c r="AQ827" i="6"/>
  <c r="AR827" i="6"/>
  <c r="AS827" i="6"/>
  <c r="AT827" i="6"/>
  <c r="AU827" i="6"/>
  <c r="AV827" i="6"/>
  <c r="AW827" i="6"/>
  <c r="AX827" i="6"/>
  <c r="AY827" i="6"/>
  <c r="AZ827" i="6"/>
  <c r="BA827" i="6"/>
  <c r="BB827" i="6"/>
  <c r="BC827" i="6"/>
  <c r="BD827" i="6"/>
  <c r="BE827" i="6"/>
  <c r="BF827" i="6"/>
  <c r="BG827" i="6"/>
  <c r="BH827" i="6"/>
  <c r="BI827" i="6"/>
  <c r="BJ827" i="6"/>
  <c r="BK827" i="6"/>
  <c r="AL828" i="6"/>
  <c r="AM828" i="6"/>
  <c r="AN828" i="6"/>
  <c r="AO828" i="6"/>
  <c r="AP828" i="6"/>
  <c r="AQ828" i="6"/>
  <c r="AR828" i="6"/>
  <c r="AS828" i="6"/>
  <c r="AT828" i="6"/>
  <c r="AU828" i="6"/>
  <c r="AV828" i="6"/>
  <c r="AW828" i="6"/>
  <c r="AX828" i="6"/>
  <c r="AY828" i="6"/>
  <c r="AZ828" i="6"/>
  <c r="BA828" i="6"/>
  <c r="BB828" i="6"/>
  <c r="BC828" i="6"/>
  <c r="BD828" i="6"/>
  <c r="BE828" i="6"/>
  <c r="BF828" i="6"/>
  <c r="BG828" i="6"/>
  <c r="BH828" i="6"/>
  <c r="BI828" i="6"/>
  <c r="BJ828" i="6"/>
  <c r="BK828" i="6"/>
  <c r="AL829" i="6"/>
  <c r="AM829" i="6"/>
  <c r="AN829" i="6"/>
  <c r="AO829" i="6"/>
  <c r="AP829" i="6"/>
  <c r="AQ829" i="6"/>
  <c r="AR829" i="6"/>
  <c r="AS829" i="6"/>
  <c r="AT829" i="6"/>
  <c r="AU829" i="6"/>
  <c r="AV829" i="6"/>
  <c r="AW829" i="6"/>
  <c r="AX829" i="6"/>
  <c r="AY829" i="6"/>
  <c r="AZ829" i="6"/>
  <c r="BA829" i="6"/>
  <c r="BB829" i="6"/>
  <c r="BC829" i="6"/>
  <c r="BD829" i="6"/>
  <c r="BE829" i="6"/>
  <c r="BF829" i="6"/>
  <c r="BG829" i="6"/>
  <c r="BH829" i="6"/>
  <c r="BI829" i="6"/>
  <c r="BJ829" i="6"/>
  <c r="BK829" i="6"/>
  <c r="AL830" i="6"/>
  <c r="AM830" i="6"/>
  <c r="AN830" i="6"/>
  <c r="AO830" i="6"/>
  <c r="AP830" i="6"/>
  <c r="AQ830" i="6"/>
  <c r="AR830" i="6"/>
  <c r="AS830" i="6"/>
  <c r="AT830" i="6"/>
  <c r="AU830" i="6"/>
  <c r="AV830" i="6"/>
  <c r="AW830" i="6"/>
  <c r="AX830" i="6"/>
  <c r="AY830" i="6"/>
  <c r="AZ830" i="6"/>
  <c r="BA830" i="6"/>
  <c r="BB830" i="6"/>
  <c r="BC830" i="6"/>
  <c r="BD830" i="6"/>
  <c r="BE830" i="6"/>
  <c r="BF830" i="6"/>
  <c r="BG830" i="6"/>
  <c r="BH830" i="6"/>
  <c r="BI830" i="6"/>
  <c r="BJ830" i="6"/>
  <c r="BK830" i="6"/>
  <c r="AL831" i="6"/>
  <c r="AM831" i="6"/>
  <c r="AN831" i="6"/>
  <c r="AO831" i="6"/>
  <c r="AP831" i="6"/>
  <c r="AQ831" i="6"/>
  <c r="AR831" i="6"/>
  <c r="AS831" i="6"/>
  <c r="AT831" i="6"/>
  <c r="AU831" i="6"/>
  <c r="AV831" i="6"/>
  <c r="AW831" i="6"/>
  <c r="AX831" i="6"/>
  <c r="AY831" i="6"/>
  <c r="AZ831" i="6"/>
  <c r="BA831" i="6"/>
  <c r="BB831" i="6"/>
  <c r="BC831" i="6"/>
  <c r="BD831" i="6"/>
  <c r="BE831" i="6"/>
  <c r="BF831" i="6"/>
  <c r="BG831" i="6"/>
  <c r="BH831" i="6"/>
  <c r="BI831" i="6"/>
  <c r="BJ831" i="6"/>
  <c r="BK831" i="6"/>
  <c r="AL832" i="6"/>
  <c r="AM832" i="6"/>
  <c r="AN832" i="6"/>
  <c r="AO832" i="6"/>
  <c r="AP832" i="6"/>
  <c r="AQ832" i="6"/>
  <c r="AR832" i="6"/>
  <c r="AS832" i="6"/>
  <c r="AT832" i="6"/>
  <c r="AU832" i="6"/>
  <c r="AV832" i="6"/>
  <c r="AW832" i="6"/>
  <c r="AX832" i="6"/>
  <c r="AY832" i="6"/>
  <c r="AZ832" i="6"/>
  <c r="BA832" i="6"/>
  <c r="BB832" i="6"/>
  <c r="BC832" i="6"/>
  <c r="BD832" i="6"/>
  <c r="BE832" i="6"/>
  <c r="BF832" i="6"/>
  <c r="BG832" i="6"/>
  <c r="BH832" i="6"/>
  <c r="BI832" i="6"/>
  <c r="BJ832" i="6"/>
  <c r="BK832" i="6"/>
  <c r="AL833" i="6"/>
  <c r="AM833" i="6"/>
  <c r="AN833" i="6"/>
  <c r="AO833" i="6"/>
  <c r="AP833" i="6"/>
  <c r="AQ833" i="6"/>
  <c r="AR833" i="6"/>
  <c r="AS833" i="6"/>
  <c r="AT833" i="6"/>
  <c r="AU833" i="6"/>
  <c r="AV833" i="6"/>
  <c r="AW833" i="6"/>
  <c r="AX833" i="6"/>
  <c r="AY833" i="6"/>
  <c r="AZ833" i="6"/>
  <c r="BA833" i="6"/>
  <c r="BB833" i="6"/>
  <c r="BC833" i="6"/>
  <c r="BD833" i="6"/>
  <c r="BE833" i="6"/>
  <c r="BF833" i="6"/>
  <c r="BG833" i="6"/>
  <c r="BH833" i="6"/>
  <c r="BI833" i="6"/>
  <c r="BJ833" i="6"/>
  <c r="BK833" i="6"/>
  <c r="AL834" i="6"/>
  <c r="AM834" i="6"/>
  <c r="AN834" i="6"/>
  <c r="AO834" i="6"/>
  <c r="AP834" i="6"/>
  <c r="AQ834" i="6"/>
  <c r="AR834" i="6"/>
  <c r="AS834" i="6"/>
  <c r="AT834" i="6"/>
  <c r="AU834" i="6"/>
  <c r="AV834" i="6"/>
  <c r="AW834" i="6"/>
  <c r="AX834" i="6"/>
  <c r="AY834" i="6"/>
  <c r="AZ834" i="6"/>
  <c r="BA834" i="6"/>
  <c r="BB834" i="6"/>
  <c r="BC834" i="6"/>
  <c r="BD834" i="6"/>
  <c r="BE834" i="6"/>
  <c r="BF834" i="6"/>
  <c r="BG834" i="6"/>
  <c r="BH834" i="6"/>
  <c r="BI834" i="6"/>
  <c r="BJ834" i="6"/>
  <c r="BK834" i="6"/>
  <c r="AL835" i="6"/>
  <c r="AM835" i="6"/>
  <c r="AN835" i="6"/>
  <c r="AO835" i="6"/>
  <c r="AP835" i="6"/>
  <c r="AQ835" i="6"/>
  <c r="AR835" i="6"/>
  <c r="AS835" i="6"/>
  <c r="AT835" i="6"/>
  <c r="AU835" i="6"/>
  <c r="AV835" i="6"/>
  <c r="AW835" i="6"/>
  <c r="AX835" i="6"/>
  <c r="AY835" i="6"/>
  <c r="AZ835" i="6"/>
  <c r="BA835" i="6"/>
  <c r="BB835" i="6"/>
  <c r="BC835" i="6"/>
  <c r="BD835" i="6"/>
  <c r="BE835" i="6"/>
  <c r="BF835" i="6"/>
  <c r="BG835" i="6"/>
  <c r="BH835" i="6"/>
  <c r="BI835" i="6"/>
  <c r="BJ835" i="6"/>
  <c r="BK835" i="6"/>
  <c r="AL836" i="6"/>
  <c r="AM836" i="6"/>
  <c r="AN836" i="6"/>
  <c r="AO836" i="6"/>
  <c r="AP836" i="6"/>
  <c r="AQ836" i="6"/>
  <c r="AR836" i="6"/>
  <c r="AS836" i="6"/>
  <c r="AT836" i="6"/>
  <c r="AU836" i="6"/>
  <c r="AV836" i="6"/>
  <c r="AW836" i="6"/>
  <c r="AX836" i="6"/>
  <c r="AY836" i="6"/>
  <c r="AZ836" i="6"/>
  <c r="BA836" i="6"/>
  <c r="BB836" i="6"/>
  <c r="BC836" i="6"/>
  <c r="BD836" i="6"/>
  <c r="BE836" i="6"/>
  <c r="BF836" i="6"/>
  <c r="BG836" i="6"/>
  <c r="BH836" i="6"/>
  <c r="BI836" i="6"/>
  <c r="BJ836" i="6"/>
  <c r="BK836" i="6"/>
  <c r="AL837" i="6"/>
  <c r="AM837" i="6"/>
  <c r="AN837" i="6"/>
  <c r="AO837" i="6"/>
  <c r="AP837" i="6"/>
  <c r="AQ837" i="6"/>
  <c r="AR837" i="6"/>
  <c r="AS837" i="6"/>
  <c r="AT837" i="6"/>
  <c r="AU837" i="6"/>
  <c r="AV837" i="6"/>
  <c r="AW837" i="6"/>
  <c r="AX837" i="6"/>
  <c r="AY837" i="6"/>
  <c r="AZ837" i="6"/>
  <c r="BA837" i="6"/>
  <c r="BB837" i="6"/>
  <c r="BC837" i="6"/>
  <c r="BD837" i="6"/>
  <c r="BE837" i="6"/>
  <c r="BF837" i="6"/>
  <c r="BG837" i="6"/>
  <c r="BH837" i="6"/>
  <c r="BI837" i="6"/>
  <c r="BJ837" i="6"/>
  <c r="BK837" i="6"/>
  <c r="AL838" i="6"/>
  <c r="AM838" i="6"/>
  <c r="AN838" i="6"/>
  <c r="AO838" i="6"/>
  <c r="AP838" i="6"/>
  <c r="AQ838" i="6"/>
  <c r="AR838" i="6"/>
  <c r="AS838" i="6"/>
  <c r="AT838" i="6"/>
  <c r="AU838" i="6"/>
  <c r="AV838" i="6"/>
  <c r="AW838" i="6"/>
  <c r="AX838" i="6"/>
  <c r="AY838" i="6"/>
  <c r="AZ838" i="6"/>
  <c r="BA838" i="6"/>
  <c r="BB838" i="6"/>
  <c r="BC838" i="6"/>
  <c r="BD838" i="6"/>
  <c r="BE838" i="6"/>
  <c r="BF838" i="6"/>
  <c r="BG838" i="6"/>
  <c r="BH838" i="6"/>
  <c r="BI838" i="6"/>
  <c r="BJ838" i="6"/>
  <c r="BK838" i="6"/>
  <c r="AL839" i="6"/>
  <c r="AM839" i="6"/>
  <c r="AN839" i="6"/>
  <c r="AO839" i="6"/>
  <c r="AP839" i="6"/>
  <c r="AQ839" i="6"/>
  <c r="AR839" i="6"/>
  <c r="AS839" i="6"/>
  <c r="AT839" i="6"/>
  <c r="AU839" i="6"/>
  <c r="AV839" i="6"/>
  <c r="AW839" i="6"/>
  <c r="AX839" i="6"/>
  <c r="AY839" i="6"/>
  <c r="AZ839" i="6"/>
  <c r="BA839" i="6"/>
  <c r="BB839" i="6"/>
  <c r="BC839" i="6"/>
  <c r="BD839" i="6"/>
  <c r="BE839" i="6"/>
  <c r="BF839" i="6"/>
  <c r="BG839" i="6"/>
  <c r="BH839" i="6"/>
  <c r="BI839" i="6"/>
  <c r="BJ839" i="6"/>
  <c r="BK839" i="6"/>
  <c r="AL840" i="6"/>
  <c r="AM840" i="6"/>
  <c r="AN840" i="6"/>
  <c r="AO840" i="6"/>
  <c r="AP840" i="6"/>
  <c r="AQ840" i="6"/>
  <c r="AR840" i="6"/>
  <c r="AS840" i="6"/>
  <c r="AT840" i="6"/>
  <c r="AU840" i="6"/>
  <c r="AV840" i="6"/>
  <c r="AW840" i="6"/>
  <c r="AX840" i="6"/>
  <c r="AY840" i="6"/>
  <c r="AZ840" i="6"/>
  <c r="BA840" i="6"/>
  <c r="BB840" i="6"/>
  <c r="BC840" i="6"/>
  <c r="BD840" i="6"/>
  <c r="BE840" i="6"/>
  <c r="BF840" i="6"/>
  <c r="BG840" i="6"/>
  <c r="BH840" i="6"/>
  <c r="BI840" i="6"/>
  <c r="BJ840" i="6"/>
  <c r="BK840" i="6"/>
  <c r="AL841" i="6"/>
  <c r="AM841" i="6"/>
  <c r="AN841" i="6"/>
  <c r="AO841" i="6"/>
  <c r="AP841" i="6"/>
  <c r="AQ841" i="6"/>
  <c r="AR841" i="6"/>
  <c r="AS841" i="6"/>
  <c r="AT841" i="6"/>
  <c r="AU841" i="6"/>
  <c r="AV841" i="6"/>
  <c r="AW841" i="6"/>
  <c r="AX841" i="6"/>
  <c r="AY841" i="6"/>
  <c r="AZ841" i="6"/>
  <c r="BA841" i="6"/>
  <c r="BB841" i="6"/>
  <c r="BC841" i="6"/>
  <c r="BD841" i="6"/>
  <c r="BE841" i="6"/>
  <c r="BF841" i="6"/>
  <c r="BG841" i="6"/>
  <c r="BH841" i="6"/>
  <c r="BI841" i="6"/>
  <c r="BJ841" i="6"/>
  <c r="BK841" i="6"/>
  <c r="AL842" i="6"/>
  <c r="AM842" i="6"/>
  <c r="AN842" i="6"/>
  <c r="AO842" i="6"/>
  <c r="AP842" i="6"/>
  <c r="AQ842" i="6"/>
  <c r="AR842" i="6"/>
  <c r="AS842" i="6"/>
  <c r="AT842" i="6"/>
  <c r="AU842" i="6"/>
  <c r="AV842" i="6"/>
  <c r="AW842" i="6"/>
  <c r="AX842" i="6"/>
  <c r="AY842" i="6"/>
  <c r="AZ842" i="6"/>
  <c r="BA842" i="6"/>
  <c r="BB842" i="6"/>
  <c r="BC842" i="6"/>
  <c r="BD842" i="6"/>
  <c r="BE842" i="6"/>
  <c r="BF842" i="6"/>
  <c r="BG842" i="6"/>
  <c r="BH842" i="6"/>
  <c r="BI842" i="6"/>
  <c r="BJ842" i="6"/>
  <c r="BK842" i="6"/>
  <c r="AL843" i="6"/>
  <c r="AM843" i="6"/>
  <c r="AN843" i="6"/>
  <c r="AO843" i="6"/>
  <c r="AP843" i="6"/>
  <c r="AQ843" i="6"/>
  <c r="AR843" i="6"/>
  <c r="AS843" i="6"/>
  <c r="AT843" i="6"/>
  <c r="AU843" i="6"/>
  <c r="AV843" i="6"/>
  <c r="AW843" i="6"/>
  <c r="AX843" i="6"/>
  <c r="AY843" i="6"/>
  <c r="AZ843" i="6"/>
  <c r="BA843" i="6"/>
  <c r="BB843" i="6"/>
  <c r="BC843" i="6"/>
  <c r="BD843" i="6"/>
  <c r="BE843" i="6"/>
  <c r="BF843" i="6"/>
  <c r="BG843" i="6"/>
  <c r="BH843" i="6"/>
  <c r="BI843" i="6"/>
  <c r="BJ843" i="6"/>
  <c r="BK843" i="6"/>
  <c r="AL844" i="6"/>
  <c r="AM844" i="6"/>
  <c r="AN844" i="6"/>
  <c r="AO844" i="6"/>
  <c r="AP844" i="6"/>
  <c r="AQ844" i="6"/>
  <c r="AR844" i="6"/>
  <c r="AS844" i="6"/>
  <c r="AT844" i="6"/>
  <c r="AU844" i="6"/>
  <c r="AV844" i="6"/>
  <c r="AW844" i="6"/>
  <c r="AX844" i="6"/>
  <c r="AY844" i="6"/>
  <c r="AZ844" i="6"/>
  <c r="BA844" i="6"/>
  <c r="BB844" i="6"/>
  <c r="BC844" i="6"/>
  <c r="BD844" i="6"/>
  <c r="BE844" i="6"/>
  <c r="BF844" i="6"/>
  <c r="BG844" i="6"/>
  <c r="BH844" i="6"/>
  <c r="BI844" i="6"/>
  <c r="BJ844" i="6"/>
  <c r="BK844" i="6"/>
  <c r="AL845" i="6"/>
  <c r="AM845" i="6"/>
  <c r="AN845" i="6"/>
  <c r="AO845" i="6"/>
  <c r="AP845" i="6"/>
  <c r="AQ845" i="6"/>
  <c r="AR845" i="6"/>
  <c r="AS845" i="6"/>
  <c r="AT845" i="6"/>
  <c r="AU845" i="6"/>
  <c r="AV845" i="6"/>
  <c r="AW845" i="6"/>
  <c r="AX845" i="6"/>
  <c r="AY845" i="6"/>
  <c r="AZ845" i="6"/>
  <c r="BA845" i="6"/>
  <c r="BB845" i="6"/>
  <c r="BC845" i="6"/>
  <c r="BD845" i="6"/>
  <c r="BE845" i="6"/>
  <c r="BF845" i="6"/>
  <c r="BG845" i="6"/>
  <c r="BH845" i="6"/>
  <c r="BI845" i="6"/>
  <c r="BJ845" i="6"/>
  <c r="BK845" i="6"/>
  <c r="AL846" i="6"/>
  <c r="AM846" i="6"/>
  <c r="AN846" i="6"/>
  <c r="AO846" i="6"/>
  <c r="AP846" i="6"/>
  <c r="AQ846" i="6"/>
  <c r="AR846" i="6"/>
  <c r="AS846" i="6"/>
  <c r="AT846" i="6"/>
  <c r="AU846" i="6"/>
  <c r="AV846" i="6"/>
  <c r="AW846" i="6"/>
  <c r="AX846" i="6"/>
  <c r="AY846" i="6"/>
  <c r="AZ846" i="6"/>
  <c r="BA846" i="6"/>
  <c r="BB846" i="6"/>
  <c r="BC846" i="6"/>
  <c r="BD846" i="6"/>
  <c r="BE846" i="6"/>
  <c r="BF846" i="6"/>
  <c r="BG846" i="6"/>
  <c r="BH846" i="6"/>
  <c r="BI846" i="6"/>
  <c r="BJ846" i="6"/>
  <c r="BK846" i="6"/>
  <c r="AL847" i="6"/>
  <c r="AM847" i="6"/>
  <c r="AN847" i="6"/>
  <c r="AO847" i="6"/>
  <c r="AP847" i="6"/>
  <c r="AQ847" i="6"/>
  <c r="AR847" i="6"/>
  <c r="AS847" i="6"/>
  <c r="AT847" i="6"/>
  <c r="AU847" i="6"/>
  <c r="AV847" i="6"/>
  <c r="AW847" i="6"/>
  <c r="AX847" i="6"/>
  <c r="AY847" i="6"/>
  <c r="AZ847" i="6"/>
  <c r="BA847" i="6"/>
  <c r="BB847" i="6"/>
  <c r="BC847" i="6"/>
  <c r="BD847" i="6"/>
  <c r="BE847" i="6"/>
  <c r="BF847" i="6"/>
  <c r="BG847" i="6"/>
  <c r="BH847" i="6"/>
  <c r="BI847" i="6"/>
  <c r="BJ847" i="6"/>
  <c r="BK847" i="6"/>
  <c r="AL848" i="6"/>
  <c r="AM848" i="6"/>
  <c r="AN848" i="6"/>
  <c r="AO848" i="6"/>
  <c r="AP848" i="6"/>
  <c r="AQ848" i="6"/>
  <c r="AR848" i="6"/>
  <c r="AS848" i="6"/>
  <c r="AT848" i="6"/>
  <c r="AU848" i="6"/>
  <c r="AV848" i="6"/>
  <c r="AW848" i="6"/>
  <c r="AX848" i="6"/>
  <c r="AY848" i="6"/>
  <c r="AZ848" i="6"/>
  <c r="BA848" i="6"/>
  <c r="BB848" i="6"/>
  <c r="BC848" i="6"/>
  <c r="BD848" i="6"/>
  <c r="BE848" i="6"/>
  <c r="BF848" i="6"/>
  <c r="BG848" i="6"/>
  <c r="BH848" i="6"/>
  <c r="BI848" i="6"/>
  <c r="BJ848" i="6"/>
  <c r="BK848" i="6"/>
  <c r="AL849" i="6"/>
  <c r="AM849" i="6"/>
  <c r="AN849" i="6"/>
  <c r="AO849" i="6"/>
  <c r="AP849" i="6"/>
  <c r="AQ849" i="6"/>
  <c r="AR849" i="6"/>
  <c r="AS849" i="6"/>
  <c r="AT849" i="6"/>
  <c r="AU849" i="6"/>
  <c r="AV849" i="6"/>
  <c r="AW849" i="6"/>
  <c r="AX849" i="6"/>
  <c r="AY849" i="6"/>
  <c r="AZ849" i="6"/>
  <c r="BA849" i="6"/>
  <c r="BB849" i="6"/>
  <c r="BC849" i="6"/>
  <c r="BD849" i="6"/>
  <c r="BE849" i="6"/>
  <c r="BF849" i="6"/>
  <c r="BG849" i="6"/>
  <c r="BH849" i="6"/>
  <c r="BI849" i="6"/>
  <c r="BJ849" i="6"/>
  <c r="BK849" i="6"/>
  <c r="AL850" i="6"/>
  <c r="AM850" i="6"/>
  <c r="AN850" i="6"/>
  <c r="AO850" i="6"/>
  <c r="AP850" i="6"/>
  <c r="AQ850" i="6"/>
  <c r="AR850" i="6"/>
  <c r="AS850" i="6"/>
  <c r="AT850" i="6"/>
  <c r="AU850" i="6"/>
  <c r="AV850" i="6"/>
  <c r="AW850" i="6"/>
  <c r="AX850" i="6"/>
  <c r="AY850" i="6"/>
  <c r="AZ850" i="6"/>
  <c r="BA850" i="6"/>
  <c r="BB850" i="6"/>
  <c r="BC850" i="6"/>
  <c r="BD850" i="6"/>
  <c r="BE850" i="6"/>
  <c r="BF850" i="6"/>
  <c r="BG850" i="6"/>
  <c r="BH850" i="6"/>
  <c r="BI850" i="6"/>
  <c r="BJ850" i="6"/>
  <c r="BK850" i="6"/>
  <c r="AL851" i="6"/>
  <c r="AM851" i="6"/>
  <c r="AN851" i="6"/>
  <c r="AO851" i="6"/>
  <c r="AP851" i="6"/>
  <c r="AQ851" i="6"/>
  <c r="AR851" i="6"/>
  <c r="AS851" i="6"/>
  <c r="AT851" i="6"/>
  <c r="AU851" i="6"/>
  <c r="AV851" i="6"/>
  <c r="AW851" i="6"/>
  <c r="AX851" i="6"/>
  <c r="AY851" i="6"/>
  <c r="AZ851" i="6"/>
  <c r="BA851" i="6"/>
  <c r="BB851" i="6"/>
  <c r="BC851" i="6"/>
  <c r="BD851" i="6"/>
  <c r="BE851" i="6"/>
  <c r="BF851" i="6"/>
  <c r="BG851" i="6"/>
  <c r="BH851" i="6"/>
  <c r="BI851" i="6"/>
  <c r="BJ851" i="6"/>
  <c r="BK851" i="6"/>
  <c r="AL852" i="6"/>
  <c r="AM852" i="6"/>
  <c r="AN852" i="6"/>
  <c r="AO852" i="6"/>
  <c r="AP852" i="6"/>
  <c r="AQ852" i="6"/>
  <c r="AR852" i="6"/>
  <c r="AS852" i="6"/>
  <c r="AT852" i="6"/>
  <c r="AU852" i="6"/>
  <c r="AV852" i="6"/>
  <c r="AW852" i="6"/>
  <c r="AX852" i="6"/>
  <c r="AY852" i="6"/>
  <c r="AZ852" i="6"/>
  <c r="BA852" i="6"/>
  <c r="BB852" i="6"/>
  <c r="BC852" i="6"/>
  <c r="BD852" i="6"/>
  <c r="BE852" i="6"/>
  <c r="BF852" i="6"/>
  <c r="BG852" i="6"/>
  <c r="BH852" i="6"/>
  <c r="BI852" i="6"/>
  <c r="BJ852" i="6"/>
  <c r="BK852" i="6"/>
  <c r="AL853" i="6"/>
  <c r="AM853" i="6"/>
  <c r="AN853" i="6"/>
  <c r="AO853" i="6"/>
  <c r="AP853" i="6"/>
  <c r="AQ853" i="6"/>
  <c r="AR853" i="6"/>
  <c r="AS853" i="6"/>
  <c r="AT853" i="6"/>
  <c r="AU853" i="6"/>
  <c r="AV853" i="6"/>
  <c r="AW853" i="6"/>
  <c r="AX853" i="6"/>
  <c r="AY853" i="6"/>
  <c r="AZ853" i="6"/>
  <c r="BA853" i="6"/>
  <c r="BB853" i="6"/>
  <c r="BC853" i="6"/>
  <c r="BD853" i="6"/>
  <c r="BE853" i="6"/>
  <c r="BF853" i="6"/>
  <c r="BG853" i="6"/>
  <c r="BH853" i="6"/>
  <c r="BI853" i="6"/>
  <c r="BJ853" i="6"/>
  <c r="BK853" i="6"/>
  <c r="AL854" i="6"/>
  <c r="AM854" i="6"/>
  <c r="AN854" i="6"/>
  <c r="AO854" i="6"/>
  <c r="AP854" i="6"/>
  <c r="AQ854" i="6"/>
  <c r="AR854" i="6"/>
  <c r="AS854" i="6"/>
  <c r="AT854" i="6"/>
  <c r="AU854" i="6"/>
  <c r="AV854" i="6"/>
  <c r="AW854" i="6"/>
  <c r="AX854" i="6"/>
  <c r="AY854" i="6"/>
  <c r="AZ854" i="6"/>
  <c r="BA854" i="6"/>
  <c r="BB854" i="6"/>
  <c r="BC854" i="6"/>
  <c r="BD854" i="6"/>
  <c r="BE854" i="6"/>
  <c r="BF854" i="6"/>
  <c r="BG854" i="6"/>
  <c r="BH854" i="6"/>
  <c r="BI854" i="6"/>
  <c r="BJ854" i="6"/>
  <c r="BK854" i="6"/>
  <c r="AL855" i="6"/>
  <c r="AM855" i="6"/>
  <c r="AN855" i="6"/>
  <c r="AO855" i="6"/>
  <c r="AP855" i="6"/>
  <c r="AQ855" i="6"/>
  <c r="AR855" i="6"/>
  <c r="AS855" i="6"/>
  <c r="AT855" i="6"/>
  <c r="AU855" i="6"/>
  <c r="AV855" i="6"/>
  <c r="AW855" i="6"/>
  <c r="AX855" i="6"/>
  <c r="AY855" i="6"/>
  <c r="AZ855" i="6"/>
  <c r="BA855" i="6"/>
  <c r="BB855" i="6"/>
  <c r="BC855" i="6"/>
  <c r="BD855" i="6"/>
  <c r="BE855" i="6"/>
  <c r="BF855" i="6"/>
  <c r="BG855" i="6"/>
  <c r="BH855" i="6"/>
  <c r="BI855" i="6"/>
  <c r="BJ855" i="6"/>
  <c r="BK855" i="6"/>
  <c r="AL856" i="6"/>
  <c r="AM856" i="6"/>
  <c r="AN856" i="6"/>
  <c r="AO856" i="6"/>
  <c r="AP856" i="6"/>
  <c r="AQ856" i="6"/>
  <c r="AR856" i="6"/>
  <c r="AS856" i="6"/>
  <c r="AT856" i="6"/>
  <c r="AU856" i="6"/>
  <c r="AV856" i="6"/>
  <c r="AW856" i="6"/>
  <c r="AX856" i="6"/>
  <c r="AY856" i="6"/>
  <c r="AZ856" i="6"/>
  <c r="BA856" i="6"/>
  <c r="BB856" i="6"/>
  <c r="BC856" i="6"/>
  <c r="BD856" i="6"/>
  <c r="BE856" i="6"/>
  <c r="BF856" i="6"/>
  <c r="BG856" i="6"/>
  <c r="BH856" i="6"/>
  <c r="BI856" i="6"/>
  <c r="BJ856" i="6"/>
  <c r="BK856" i="6"/>
  <c r="AL857" i="6"/>
  <c r="AM857" i="6"/>
  <c r="AN857" i="6"/>
  <c r="AO857" i="6"/>
  <c r="AP857" i="6"/>
  <c r="AQ857" i="6"/>
  <c r="AR857" i="6"/>
  <c r="AS857" i="6"/>
  <c r="AT857" i="6"/>
  <c r="AU857" i="6"/>
  <c r="AV857" i="6"/>
  <c r="AW857" i="6"/>
  <c r="AX857" i="6"/>
  <c r="AY857" i="6"/>
  <c r="AZ857" i="6"/>
  <c r="BA857" i="6"/>
  <c r="BB857" i="6"/>
  <c r="BC857" i="6"/>
  <c r="BD857" i="6"/>
  <c r="BE857" i="6"/>
  <c r="BF857" i="6"/>
  <c r="BG857" i="6"/>
  <c r="BH857" i="6"/>
  <c r="BI857" i="6"/>
  <c r="BJ857" i="6"/>
  <c r="BK857" i="6"/>
  <c r="AL858" i="6"/>
  <c r="AM858" i="6"/>
  <c r="AN858" i="6"/>
  <c r="AO858" i="6"/>
  <c r="AP858" i="6"/>
  <c r="AQ858" i="6"/>
  <c r="AR858" i="6"/>
  <c r="AS858" i="6"/>
  <c r="AT858" i="6"/>
  <c r="AU858" i="6"/>
  <c r="AV858" i="6"/>
  <c r="AW858" i="6"/>
  <c r="AX858" i="6"/>
  <c r="AY858" i="6"/>
  <c r="AZ858" i="6"/>
  <c r="BA858" i="6"/>
  <c r="BB858" i="6"/>
  <c r="BC858" i="6"/>
  <c r="BD858" i="6"/>
  <c r="BE858" i="6"/>
  <c r="BF858" i="6"/>
  <c r="BG858" i="6"/>
  <c r="BH858" i="6"/>
  <c r="BI858" i="6"/>
  <c r="BJ858" i="6"/>
  <c r="BK858" i="6"/>
  <c r="AL859" i="6"/>
  <c r="AM859" i="6"/>
  <c r="AN859" i="6"/>
  <c r="AO859" i="6"/>
  <c r="AP859" i="6"/>
  <c r="AQ859" i="6"/>
  <c r="AR859" i="6"/>
  <c r="AS859" i="6"/>
  <c r="AT859" i="6"/>
  <c r="AU859" i="6"/>
  <c r="AV859" i="6"/>
  <c r="AW859" i="6"/>
  <c r="AX859" i="6"/>
  <c r="AY859" i="6"/>
  <c r="AZ859" i="6"/>
  <c r="BA859" i="6"/>
  <c r="BB859" i="6"/>
  <c r="BC859" i="6"/>
  <c r="BD859" i="6"/>
  <c r="BE859" i="6"/>
  <c r="BF859" i="6"/>
  <c r="BG859" i="6"/>
  <c r="BH859" i="6"/>
  <c r="BI859" i="6"/>
  <c r="BJ859" i="6"/>
  <c r="BK859" i="6"/>
  <c r="AL860" i="6"/>
  <c r="AM860" i="6"/>
  <c r="AN860" i="6"/>
  <c r="AO860" i="6"/>
  <c r="AP860" i="6"/>
  <c r="AQ860" i="6"/>
  <c r="AR860" i="6"/>
  <c r="AS860" i="6"/>
  <c r="AT860" i="6"/>
  <c r="AU860" i="6"/>
  <c r="AV860" i="6"/>
  <c r="AW860" i="6"/>
  <c r="AX860" i="6"/>
  <c r="AY860" i="6"/>
  <c r="AZ860" i="6"/>
  <c r="BA860" i="6"/>
  <c r="BB860" i="6"/>
  <c r="BC860" i="6"/>
  <c r="BD860" i="6"/>
  <c r="BE860" i="6"/>
  <c r="BF860" i="6"/>
  <c r="BG860" i="6"/>
  <c r="BH860" i="6"/>
  <c r="BI860" i="6"/>
  <c r="BJ860" i="6"/>
  <c r="BK860" i="6"/>
  <c r="AL861" i="6"/>
  <c r="AM861" i="6"/>
  <c r="AN861" i="6"/>
  <c r="AO861" i="6"/>
  <c r="AP861" i="6"/>
  <c r="AQ861" i="6"/>
  <c r="AR861" i="6"/>
  <c r="AS861" i="6"/>
  <c r="AT861" i="6"/>
  <c r="AU861" i="6"/>
  <c r="AV861" i="6"/>
  <c r="AW861" i="6"/>
  <c r="AX861" i="6"/>
  <c r="AY861" i="6"/>
  <c r="AZ861" i="6"/>
  <c r="BA861" i="6"/>
  <c r="BB861" i="6"/>
  <c r="BC861" i="6"/>
  <c r="BD861" i="6"/>
  <c r="BE861" i="6"/>
  <c r="BF861" i="6"/>
  <c r="BG861" i="6"/>
  <c r="BH861" i="6"/>
  <c r="BI861" i="6"/>
  <c r="BJ861" i="6"/>
  <c r="BK861" i="6"/>
  <c r="AL862" i="6"/>
  <c r="AM862" i="6"/>
  <c r="AN862" i="6"/>
  <c r="AO862" i="6"/>
  <c r="AP862" i="6"/>
  <c r="AQ862" i="6"/>
  <c r="AR862" i="6"/>
  <c r="AS862" i="6"/>
  <c r="AT862" i="6"/>
  <c r="AU862" i="6"/>
  <c r="AV862" i="6"/>
  <c r="AW862" i="6"/>
  <c r="AX862" i="6"/>
  <c r="AY862" i="6"/>
  <c r="AZ862" i="6"/>
  <c r="BA862" i="6"/>
  <c r="BB862" i="6"/>
  <c r="BC862" i="6"/>
  <c r="BD862" i="6"/>
  <c r="BE862" i="6"/>
  <c r="BF862" i="6"/>
  <c r="BG862" i="6"/>
  <c r="BH862" i="6"/>
  <c r="BI862" i="6"/>
  <c r="BJ862" i="6"/>
  <c r="BK862" i="6"/>
  <c r="AL863" i="6"/>
  <c r="AM863" i="6"/>
  <c r="AN863" i="6"/>
  <c r="AO863" i="6"/>
  <c r="AP863" i="6"/>
  <c r="AQ863" i="6"/>
  <c r="AR863" i="6"/>
  <c r="AS863" i="6"/>
  <c r="AT863" i="6"/>
  <c r="AU863" i="6"/>
  <c r="AV863" i="6"/>
  <c r="AW863" i="6"/>
  <c r="AX863" i="6"/>
  <c r="AY863" i="6"/>
  <c r="AZ863" i="6"/>
  <c r="BA863" i="6"/>
  <c r="BB863" i="6"/>
  <c r="BC863" i="6"/>
  <c r="BD863" i="6"/>
  <c r="BE863" i="6"/>
  <c r="BF863" i="6"/>
  <c r="BG863" i="6"/>
  <c r="BH863" i="6"/>
  <c r="BI863" i="6"/>
  <c r="BJ863" i="6"/>
  <c r="BK863" i="6"/>
  <c r="AL864" i="6"/>
  <c r="AM864" i="6"/>
  <c r="AN864" i="6"/>
  <c r="AO864" i="6"/>
  <c r="AP864" i="6"/>
  <c r="AQ864" i="6"/>
  <c r="AR864" i="6"/>
  <c r="AS864" i="6"/>
  <c r="AT864" i="6"/>
  <c r="AU864" i="6"/>
  <c r="AV864" i="6"/>
  <c r="AW864" i="6"/>
  <c r="AX864" i="6"/>
  <c r="AY864" i="6"/>
  <c r="AZ864" i="6"/>
  <c r="BA864" i="6"/>
  <c r="BB864" i="6"/>
  <c r="BC864" i="6"/>
  <c r="BD864" i="6"/>
  <c r="BE864" i="6"/>
  <c r="BF864" i="6"/>
  <c r="BG864" i="6"/>
  <c r="BH864" i="6"/>
  <c r="BI864" i="6"/>
  <c r="BJ864" i="6"/>
  <c r="BK864" i="6"/>
  <c r="AL865" i="6"/>
  <c r="AM865" i="6"/>
  <c r="AN865" i="6"/>
  <c r="AO865" i="6"/>
  <c r="AP865" i="6"/>
  <c r="AQ865" i="6"/>
  <c r="AR865" i="6"/>
  <c r="AS865" i="6"/>
  <c r="AT865" i="6"/>
  <c r="AU865" i="6"/>
  <c r="AV865" i="6"/>
  <c r="AW865" i="6"/>
  <c r="AX865" i="6"/>
  <c r="AY865" i="6"/>
  <c r="AZ865" i="6"/>
  <c r="BA865" i="6"/>
  <c r="BB865" i="6"/>
  <c r="BC865" i="6"/>
  <c r="BD865" i="6"/>
  <c r="BE865" i="6"/>
  <c r="BF865" i="6"/>
  <c r="BG865" i="6"/>
  <c r="BH865" i="6"/>
  <c r="BI865" i="6"/>
  <c r="BJ865" i="6"/>
  <c r="BK865" i="6"/>
  <c r="AL866" i="6"/>
  <c r="AM866" i="6"/>
  <c r="AN866" i="6"/>
  <c r="AO866" i="6"/>
  <c r="AP866" i="6"/>
  <c r="AQ866" i="6"/>
  <c r="AR866" i="6"/>
  <c r="AS866" i="6"/>
  <c r="AT866" i="6"/>
  <c r="AU866" i="6"/>
  <c r="AV866" i="6"/>
  <c r="AW866" i="6"/>
  <c r="AX866" i="6"/>
  <c r="AY866" i="6"/>
  <c r="AZ866" i="6"/>
  <c r="BA866" i="6"/>
  <c r="BB866" i="6"/>
  <c r="BC866" i="6"/>
  <c r="BD866" i="6"/>
  <c r="BE866" i="6"/>
  <c r="BF866" i="6"/>
  <c r="BG866" i="6"/>
  <c r="BH866" i="6"/>
  <c r="BI866" i="6"/>
  <c r="BJ866" i="6"/>
  <c r="BK866" i="6"/>
  <c r="AL867" i="6"/>
  <c r="AM867" i="6"/>
  <c r="AN867" i="6"/>
  <c r="AO867" i="6"/>
  <c r="AP867" i="6"/>
  <c r="AQ867" i="6"/>
  <c r="AR867" i="6"/>
  <c r="AS867" i="6"/>
  <c r="AT867" i="6"/>
  <c r="AU867" i="6"/>
  <c r="AV867" i="6"/>
  <c r="AW867" i="6"/>
  <c r="AX867" i="6"/>
  <c r="AY867" i="6"/>
  <c r="AZ867" i="6"/>
  <c r="BA867" i="6"/>
  <c r="BB867" i="6"/>
  <c r="BC867" i="6"/>
  <c r="BD867" i="6"/>
  <c r="BE867" i="6"/>
  <c r="BF867" i="6"/>
  <c r="BG867" i="6"/>
  <c r="BH867" i="6"/>
  <c r="BI867" i="6"/>
  <c r="BJ867" i="6"/>
  <c r="BK867" i="6"/>
  <c r="AL868" i="6"/>
  <c r="AM868" i="6"/>
  <c r="AN868" i="6"/>
  <c r="AO868" i="6"/>
  <c r="AP868" i="6"/>
  <c r="AQ868" i="6"/>
  <c r="AR868" i="6"/>
  <c r="AS868" i="6"/>
  <c r="AT868" i="6"/>
  <c r="AU868" i="6"/>
  <c r="AV868" i="6"/>
  <c r="AW868" i="6"/>
  <c r="AX868" i="6"/>
  <c r="AY868" i="6"/>
  <c r="AZ868" i="6"/>
  <c r="BA868" i="6"/>
  <c r="BB868" i="6"/>
  <c r="BC868" i="6"/>
  <c r="BD868" i="6"/>
  <c r="BE868" i="6"/>
  <c r="BF868" i="6"/>
  <c r="BG868" i="6"/>
  <c r="BH868" i="6"/>
  <c r="BI868" i="6"/>
  <c r="BJ868" i="6"/>
  <c r="BK868" i="6"/>
  <c r="AL869" i="6"/>
  <c r="AM869" i="6"/>
  <c r="AN869" i="6"/>
  <c r="AO869" i="6"/>
  <c r="AP869" i="6"/>
  <c r="AQ869" i="6"/>
  <c r="AR869" i="6"/>
  <c r="AS869" i="6"/>
  <c r="AT869" i="6"/>
  <c r="AU869" i="6"/>
  <c r="AV869" i="6"/>
  <c r="AW869" i="6"/>
  <c r="AX869" i="6"/>
  <c r="AY869" i="6"/>
  <c r="AZ869" i="6"/>
  <c r="BA869" i="6"/>
  <c r="BB869" i="6"/>
  <c r="BC869" i="6"/>
  <c r="BD869" i="6"/>
  <c r="BE869" i="6"/>
  <c r="BF869" i="6"/>
  <c r="BG869" i="6"/>
  <c r="BH869" i="6"/>
  <c r="BI869" i="6"/>
  <c r="BJ869" i="6"/>
  <c r="BK869" i="6"/>
  <c r="AL870" i="6"/>
  <c r="AM870" i="6"/>
  <c r="AN870" i="6"/>
  <c r="AO870" i="6"/>
  <c r="AP870" i="6"/>
  <c r="AQ870" i="6"/>
  <c r="AR870" i="6"/>
  <c r="AS870" i="6"/>
  <c r="AT870" i="6"/>
  <c r="AU870" i="6"/>
  <c r="AV870" i="6"/>
  <c r="AW870" i="6"/>
  <c r="AX870" i="6"/>
  <c r="AY870" i="6"/>
  <c r="AZ870" i="6"/>
  <c r="BA870" i="6"/>
  <c r="BB870" i="6"/>
  <c r="BC870" i="6"/>
  <c r="BD870" i="6"/>
  <c r="BE870" i="6"/>
  <c r="BF870" i="6"/>
  <c r="BG870" i="6"/>
  <c r="BH870" i="6"/>
  <c r="BI870" i="6"/>
  <c r="BJ870" i="6"/>
  <c r="BK870" i="6"/>
  <c r="AL871" i="6"/>
  <c r="AM871" i="6"/>
  <c r="AN871" i="6"/>
  <c r="AO871" i="6"/>
  <c r="AP871" i="6"/>
  <c r="AQ871" i="6"/>
  <c r="AR871" i="6"/>
  <c r="AS871" i="6"/>
  <c r="AT871" i="6"/>
  <c r="AU871" i="6"/>
  <c r="AV871" i="6"/>
  <c r="AW871" i="6"/>
  <c r="AX871" i="6"/>
  <c r="AY871" i="6"/>
  <c r="AZ871" i="6"/>
  <c r="BA871" i="6"/>
  <c r="BB871" i="6"/>
  <c r="BC871" i="6"/>
  <c r="BD871" i="6"/>
  <c r="BE871" i="6"/>
  <c r="BF871" i="6"/>
  <c r="BG871" i="6"/>
  <c r="BH871" i="6"/>
  <c r="BI871" i="6"/>
  <c r="BJ871" i="6"/>
  <c r="BK871" i="6"/>
  <c r="AL872" i="6"/>
  <c r="AM872" i="6"/>
  <c r="AN872" i="6"/>
  <c r="AO872" i="6"/>
  <c r="AP872" i="6"/>
  <c r="AQ872" i="6"/>
  <c r="AR872" i="6"/>
  <c r="AS872" i="6"/>
  <c r="AT872" i="6"/>
  <c r="AU872" i="6"/>
  <c r="AV872" i="6"/>
  <c r="AW872" i="6"/>
  <c r="AX872" i="6"/>
  <c r="AY872" i="6"/>
  <c r="AZ872" i="6"/>
  <c r="BA872" i="6"/>
  <c r="BB872" i="6"/>
  <c r="BC872" i="6"/>
  <c r="BD872" i="6"/>
  <c r="BE872" i="6"/>
  <c r="BF872" i="6"/>
  <c r="BG872" i="6"/>
  <c r="BH872" i="6"/>
  <c r="BI872" i="6"/>
  <c r="BJ872" i="6"/>
  <c r="BK872" i="6"/>
  <c r="AL873" i="6"/>
  <c r="AM873" i="6"/>
  <c r="AN873" i="6"/>
  <c r="AO873" i="6"/>
  <c r="AP873" i="6"/>
  <c r="AQ873" i="6"/>
  <c r="AR873" i="6"/>
  <c r="AS873" i="6"/>
  <c r="AT873" i="6"/>
  <c r="AU873" i="6"/>
  <c r="AV873" i="6"/>
  <c r="AW873" i="6"/>
  <c r="AX873" i="6"/>
  <c r="AY873" i="6"/>
  <c r="AZ873" i="6"/>
  <c r="BA873" i="6"/>
  <c r="BB873" i="6"/>
  <c r="BC873" i="6"/>
  <c r="BD873" i="6"/>
  <c r="BE873" i="6"/>
  <c r="BF873" i="6"/>
  <c r="BG873" i="6"/>
  <c r="BH873" i="6"/>
  <c r="BI873" i="6"/>
  <c r="BJ873" i="6"/>
  <c r="BK873" i="6"/>
  <c r="AL874" i="6"/>
  <c r="AM874" i="6"/>
  <c r="AN874" i="6"/>
  <c r="AO874" i="6"/>
  <c r="AP874" i="6"/>
  <c r="AQ874" i="6"/>
  <c r="AR874" i="6"/>
  <c r="AS874" i="6"/>
  <c r="AT874" i="6"/>
  <c r="AU874" i="6"/>
  <c r="AV874" i="6"/>
  <c r="AW874" i="6"/>
  <c r="AX874" i="6"/>
  <c r="AY874" i="6"/>
  <c r="AZ874" i="6"/>
  <c r="BA874" i="6"/>
  <c r="BB874" i="6"/>
  <c r="BC874" i="6"/>
  <c r="BD874" i="6"/>
  <c r="BE874" i="6"/>
  <c r="BF874" i="6"/>
  <c r="BG874" i="6"/>
  <c r="BH874" i="6"/>
  <c r="BI874" i="6"/>
  <c r="BJ874" i="6"/>
  <c r="BK874" i="6"/>
  <c r="AL875" i="6"/>
  <c r="AM875" i="6"/>
  <c r="AN875" i="6"/>
  <c r="AO875" i="6"/>
  <c r="AP875" i="6"/>
  <c r="AQ875" i="6"/>
  <c r="AR875" i="6"/>
  <c r="AS875" i="6"/>
  <c r="AT875" i="6"/>
  <c r="AU875" i="6"/>
  <c r="AV875" i="6"/>
  <c r="AW875" i="6"/>
  <c r="AX875" i="6"/>
  <c r="AY875" i="6"/>
  <c r="AZ875" i="6"/>
  <c r="BA875" i="6"/>
  <c r="BB875" i="6"/>
  <c r="BC875" i="6"/>
  <c r="BD875" i="6"/>
  <c r="BE875" i="6"/>
  <c r="BF875" i="6"/>
  <c r="BG875" i="6"/>
  <c r="BH875" i="6"/>
  <c r="BI875" i="6"/>
  <c r="BJ875" i="6"/>
  <c r="BK875" i="6"/>
  <c r="AL876" i="6"/>
  <c r="AM876" i="6"/>
  <c r="AN876" i="6"/>
  <c r="AO876" i="6"/>
  <c r="AP876" i="6"/>
  <c r="AQ876" i="6"/>
  <c r="AR876" i="6"/>
  <c r="AS876" i="6"/>
  <c r="AT876" i="6"/>
  <c r="AU876" i="6"/>
  <c r="AV876" i="6"/>
  <c r="AW876" i="6"/>
  <c r="AX876" i="6"/>
  <c r="AY876" i="6"/>
  <c r="AZ876" i="6"/>
  <c r="BA876" i="6"/>
  <c r="BB876" i="6"/>
  <c r="BC876" i="6"/>
  <c r="BD876" i="6"/>
  <c r="BE876" i="6"/>
  <c r="BF876" i="6"/>
  <c r="BG876" i="6"/>
  <c r="BH876" i="6"/>
  <c r="BI876" i="6"/>
  <c r="BJ876" i="6"/>
  <c r="BK876" i="6"/>
  <c r="AL877" i="6"/>
  <c r="AM877" i="6"/>
  <c r="AN877" i="6"/>
  <c r="AO877" i="6"/>
  <c r="AP877" i="6"/>
  <c r="AQ877" i="6"/>
  <c r="AR877" i="6"/>
  <c r="AS877" i="6"/>
  <c r="AT877" i="6"/>
  <c r="AU877" i="6"/>
  <c r="AV877" i="6"/>
  <c r="AW877" i="6"/>
  <c r="AX877" i="6"/>
  <c r="AY877" i="6"/>
  <c r="AZ877" i="6"/>
  <c r="BA877" i="6"/>
  <c r="BB877" i="6"/>
  <c r="BC877" i="6"/>
  <c r="BD877" i="6"/>
  <c r="BE877" i="6"/>
  <c r="BF877" i="6"/>
  <c r="BG877" i="6"/>
  <c r="BH877" i="6"/>
  <c r="BI877" i="6"/>
  <c r="BJ877" i="6"/>
  <c r="BK877" i="6"/>
  <c r="AL878" i="6"/>
  <c r="AM878" i="6"/>
  <c r="AN878" i="6"/>
  <c r="AO878" i="6"/>
  <c r="AP878" i="6"/>
  <c r="AQ878" i="6"/>
  <c r="AR878" i="6"/>
  <c r="AS878" i="6"/>
  <c r="AT878" i="6"/>
  <c r="AU878" i="6"/>
  <c r="AV878" i="6"/>
  <c r="AW878" i="6"/>
  <c r="AX878" i="6"/>
  <c r="AY878" i="6"/>
  <c r="AZ878" i="6"/>
  <c r="BA878" i="6"/>
  <c r="BB878" i="6"/>
  <c r="BC878" i="6"/>
  <c r="BD878" i="6"/>
  <c r="BE878" i="6"/>
  <c r="BF878" i="6"/>
  <c r="BG878" i="6"/>
  <c r="BH878" i="6"/>
  <c r="BI878" i="6"/>
  <c r="BJ878" i="6"/>
  <c r="BK878" i="6"/>
  <c r="AL879" i="6"/>
  <c r="AM879" i="6"/>
  <c r="AN879" i="6"/>
  <c r="AO879" i="6"/>
  <c r="AP879" i="6"/>
  <c r="AQ879" i="6"/>
  <c r="AR879" i="6"/>
  <c r="AS879" i="6"/>
  <c r="AT879" i="6"/>
  <c r="AU879" i="6"/>
  <c r="AV879" i="6"/>
  <c r="AW879" i="6"/>
  <c r="AX879" i="6"/>
  <c r="AY879" i="6"/>
  <c r="AZ879" i="6"/>
  <c r="BA879" i="6"/>
  <c r="BB879" i="6"/>
  <c r="BC879" i="6"/>
  <c r="BD879" i="6"/>
  <c r="BE879" i="6"/>
  <c r="BF879" i="6"/>
  <c r="BG879" i="6"/>
  <c r="BH879" i="6"/>
  <c r="BI879" i="6"/>
  <c r="BJ879" i="6"/>
  <c r="BK879" i="6"/>
  <c r="AL880" i="6"/>
  <c r="AM880" i="6"/>
  <c r="AN880" i="6"/>
  <c r="AO880" i="6"/>
  <c r="AP880" i="6"/>
  <c r="AQ880" i="6"/>
  <c r="AR880" i="6"/>
  <c r="AS880" i="6"/>
  <c r="AT880" i="6"/>
  <c r="AU880" i="6"/>
  <c r="AV880" i="6"/>
  <c r="AW880" i="6"/>
  <c r="AX880" i="6"/>
  <c r="AY880" i="6"/>
  <c r="AZ880" i="6"/>
  <c r="BA880" i="6"/>
  <c r="BB880" i="6"/>
  <c r="BC880" i="6"/>
  <c r="BD880" i="6"/>
  <c r="BE880" i="6"/>
  <c r="BF880" i="6"/>
  <c r="BG880" i="6"/>
  <c r="BH880" i="6"/>
  <c r="BI880" i="6"/>
  <c r="BJ880" i="6"/>
  <c r="BK880" i="6"/>
  <c r="AL881" i="6"/>
  <c r="AM881" i="6"/>
  <c r="AN881" i="6"/>
  <c r="AO881" i="6"/>
  <c r="AP881" i="6"/>
  <c r="AQ881" i="6"/>
  <c r="AR881" i="6"/>
  <c r="AS881" i="6"/>
  <c r="AT881" i="6"/>
  <c r="AU881" i="6"/>
  <c r="AV881" i="6"/>
  <c r="AW881" i="6"/>
  <c r="AX881" i="6"/>
  <c r="AY881" i="6"/>
  <c r="AZ881" i="6"/>
  <c r="BA881" i="6"/>
  <c r="BB881" i="6"/>
  <c r="BC881" i="6"/>
  <c r="BD881" i="6"/>
  <c r="BE881" i="6"/>
  <c r="BF881" i="6"/>
  <c r="BG881" i="6"/>
  <c r="BH881" i="6"/>
  <c r="BI881" i="6"/>
  <c r="BJ881" i="6"/>
  <c r="BK881" i="6"/>
  <c r="AL882" i="6"/>
  <c r="AM882" i="6"/>
  <c r="AN882" i="6"/>
  <c r="AO882" i="6"/>
  <c r="AP882" i="6"/>
  <c r="AQ882" i="6"/>
  <c r="AR882" i="6"/>
  <c r="AS882" i="6"/>
  <c r="AT882" i="6"/>
  <c r="AU882" i="6"/>
  <c r="AV882" i="6"/>
  <c r="AW882" i="6"/>
  <c r="AX882" i="6"/>
  <c r="AY882" i="6"/>
  <c r="AZ882" i="6"/>
  <c r="BA882" i="6"/>
  <c r="BB882" i="6"/>
  <c r="BC882" i="6"/>
  <c r="BD882" i="6"/>
  <c r="BE882" i="6"/>
  <c r="BF882" i="6"/>
  <c r="BG882" i="6"/>
  <c r="BH882" i="6"/>
  <c r="BI882" i="6"/>
  <c r="BJ882" i="6"/>
  <c r="BK882" i="6"/>
  <c r="AL883" i="6"/>
  <c r="AM883" i="6"/>
  <c r="AN883" i="6"/>
  <c r="AO883" i="6"/>
  <c r="AP883" i="6"/>
  <c r="AQ883" i="6"/>
  <c r="AR883" i="6"/>
  <c r="AS883" i="6"/>
  <c r="AT883" i="6"/>
  <c r="AU883" i="6"/>
  <c r="AV883" i="6"/>
  <c r="AW883" i="6"/>
  <c r="AX883" i="6"/>
  <c r="AY883" i="6"/>
  <c r="AZ883" i="6"/>
  <c r="BA883" i="6"/>
  <c r="BB883" i="6"/>
  <c r="BC883" i="6"/>
  <c r="BD883" i="6"/>
  <c r="BE883" i="6"/>
  <c r="BF883" i="6"/>
  <c r="BG883" i="6"/>
  <c r="BH883" i="6"/>
  <c r="BI883" i="6"/>
  <c r="BJ883" i="6"/>
  <c r="BK883" i="6"/>
  <c r="AL884" i="6"/>
  <c r="AM884" i="6"/>
  <c r="AN884" i="6"/>
  <c r="AO884" i="6"/>
  <c r="AP884" i="6"/>
  <c r="AQ884" i="6"/>
  <c r="AR884" i="6"/>
  <c r="AS884" i="6"/>
  <c r="AT884" i="6"/>
  <c r="AU884" i="6"/>
  <c r="AV884" i="6"/>
  <c r="AW884" i="6"/>
  <c r="AX884" i="6"/>
  <c r="AY884" i="6"/>
  <c r="AZ884" i="6"/>
  <c r="BA884" i="6"/>
  <c r="BB884" i="6"/>
  <c r="BC884" i="6"/>
  <c r="BD884" i="6"/>
  <c r="BE884" i="6"/>
  <c r="BF884" i="6"/>
  <c r="BG884" i="6"/>
  <c r="BH884" i="6"/>
  <c r="BI884" i="6"/>
  <c r="BJ884" i="6"/>
  <c r="BK884" i="6"/>
  <c r="AL885" i="6"/>
  <c r="AM885" i="6"/>
  <c r="AN885" i="6"/>
  <c r="AO885" i="6"/>
  <c r="AP885" i="6"/>
  <c r="AQ885" i="6"/>
  <c r="AR885" i="6"/>
  <c r="AS885" i="6"/>
  <c r="AT885" i="6"/>
  <c r="AU885" i="6"/>
  <c r="AV885" i="6"/>
  <c r="AW885" i="6"/>
  <c r="AX885" i="6"/>
  <c r="AY885" i="6"/>
  <c r="AZ885" i="6"/>
  <c r="BA885" i="6"/>
  <c r="BB885" i="6"/>
  <c r="BC885" i="6"/>
  <c r="BD885" i="6"/>
  <c r="BE885" i="6"/>
  <c r="BF885" i="6"/>
  <c r="BG885" i="6"/>
  <c r="BH885" i="6"/>
  <c r="BI885" i="6"/>
  <c r="BJ885" i="6"/>
  <c r="BK885" i="6"/>
  <c r="AL886" i="6"/>
  <c r="AM886" i="6"/>
  <c r="AN886" i="6"/>
  <c r="AO886" i="6"/>
  <c r="AP886" i="6"/>
  <c r="AQ886" i="6"/>
  <c r="AR886" i="6"/>
  <c r="AS886" i="6"/>
  <c r="AT886" i="6"/>
  <c r="AU886" i="6"/>
  <c r="AV886" i="6"/>
  <c r="AW886" i="6"/>
  <c r="AX886" i="6"/>
  <c r="AY886" i="6"/>
  <c r="AZ886" i="6"/>
  <c r="BA886" i="6"/>
  <c r="BB886" i="6"/>
  <c r="BC886" i="6"/>
  <c r="BD886" i="6"/>
  <c r="BE886" i="6"/>
  <c r="BF886" i="6"/>
  <c r="BG886" i="6"/>
  <c r="BH886" i="6"/>
  <c r="BI886" i="6"/>
  <c r="BJ886" i="6"/>
  <c r="BK886" i="6"/>
  <c r="AL887" i="6"/>
  <c r="AM887" i="6"/>
  <c r="AN887" i="6"/>
  <c r="AO887" i="6"/>
  <c r="AP887" i="6"/>
  <c r="AQ887" i="6"/>
  <c r="AR887" i="6"/>
  <c r="AS887" i="6"/>
  <c r="AT887" i="6"/>
  <c r="AU887" i="6"/>
  <c r="AV887" i="6"/>
  <c r="AW887" i="6"/>
  <c r="AX887" i="6"/>
  <c r="AY887" i="6"/>
  <c r="AZ887" i="6"/>
  <c r="BA887" i="6"/>
  <c r="BB887" i="6"/>
  <c r="BC887" i="6"/>
  <c r="BD887" i="6"/>
  <c r="BE887" i="6"/>
  <c r="BF887" i="6"/>
  <c r="BG887" i="6"/>
  <c r="BH887" i="6"/>
  <c r="BI887" i="6"/>
  <c r="BJ887" i="6"/>
  <c r="BK887" i="6"/>
  <c r="AL888" i="6"/>
  <c r="AM888" i="6"/>
  <c r="AN888" i="6"/>
  <c r="AO888" i="6"/>
  <c r="AP888" i="6"/>
  <c r="AQ888" i="6"/>
  <c r="AR888" i="6"/>
  <c r="AS888" i="6"/>
  <c r="AT888" i="6"/>
  <c r="AU888" i="6"/>
  <c r="AV888" i="6"/>
  <c r="AW888" i="6"/>
  <c r="AX888" i="6"/>
  <c r="AY888" i="6"/>
  <c r="AZ888" i="6"/>
  <c r="BA888" i="6"/>
  <c r="BB888" i="6"/>
  <c r="BC888" i="6"/>
  <c r="BD888" i="6"/>
  <c r="BE888" i="6"/>
  <c r="BF888" i="6"/>
  <c r="BG888" i="6"/>
  <c r="BH888" i="6"/>
  <c r="BI888" i="6"/>
  <c r="BJ888" i="6"/>
  <c r="BK888" i="6"/>
  <c r="AL889" i="6"/>
  <c r="AM889" i="6"/>
  <c r="AN889" i="6"/>
  <c r="AO889" i="6"/>
  <c r="AP889" i="6"/>
  <c r="AQ889" i="6"/>
  <c r="AR889" i="6"/>
  <c r="AS889" i="6"/>
  <c r="AT889" i="6"/>
  <c r="AU889" i="6"/>
  <c r="AV889" i="6"/>
  <c r="AW889" i="6"/>
  <c r="AX889" i="6"/>
  <c r="AY889" i="6"/>
  <c r="AZ889" i="6"/>
  <c r="BA889" i="6"/>
  <c r="BB889" i="6"/>
  <c r="BC889" i="6"/>
  <c r="BD889" i="6"/>
  <c r="BE889" i="6"/>
  <c r="BF889" i="6"/>
  <c r="BG889" i="6"/>
  <c r="BH889" i="6"/>
  <c r="BI889" i="6"/>
  <c r="BJ889" i="6"/>
  <c r="BK889" i="6"/>
  <c r="AL890" i="6"/>
  <c r="AM890" i="6"/>
  <c r="AN890" i="6"/>
  <c r="AO890" i="6"/>
  <c r="AP890" i="6"/>
  <c r="AQ890" i="6"/>
  <c r="AR890" i="6"/>
  <c r="AS890" i="6"/>
  <c r="AT890" i="6"/>
  <c r="AU890" i="6"/>
  <c r="AV890" i="6"/>
  <c r="AW890" i="6"/>
  <c r="AX890" i="6"/>
  <c r="AY890" i="6"/>
  <c r="AZ890" i="6"/>
  <c r="BA890" i="6"/>
  <c r="BB890" i="6"/>
  <c r="BC890" i="6"/>
  <c r="BD890" i="6"/>
  <c r="BE890" i="6"/>
  <c r="BF890" i="6"/>
  <c r="BG890" i="6"/>
  <c r="BH890" i="6"/>
  <c r="BI890" i="6"/>
  <c r="BJ890" i="6"/>
  <c r="BK890" i="6"/>
  <c r="AL891" i="6"/>
  <c r="AM891" i="6"/>
  <c r="AN891" i="6"/>
  <c r="AO891" i="6"/>
  <c r="AP891" i="6"/>
  <c r="AQ891" i="6"/>
  <c r="AR891" i="6"/>
  <c r="AS891" i="6"/>
  <c r="AT891" i="6"/>
  <c r="AU891" i="6"/>
  <c r="AV891" i="6"/>
  <c r="AW891" i="6"/>
  <c r="AX891" i="6"/>
  <c r="AY891" i="6"/>
  <c r="AZ891" i="6"/>
  <c r="BA891" i="6"/>
  <c r="BB891" i="6"/>
  <c r="BC891" i="6"/>
  <c r="BD891" i="6"/>
  <c r="BE891" i="6"/>
  <c r="BF891" i="6"/>
  <c r="BG891" i="6"/>
  <c r="BH891" i="6"/>
  <c r="BI891" i="6"/>
  <c r="BJ891" i="6"/>
  <c r="BK891" i="6"/>
  <c r="AL892" i="6"/>
  <c r="AM892" i="6"/>
  <c r="AN892" i="6"/>
  <c r="AO892" i="6"/>
  <c r="AP892" i="6"/>
  <c r="AQ892" i="6"/>
  <c r="AR892" i="6"/>
  <c r="AS892" i="6"/>
  <c r="AT892" i="6"/>
  <c r="AU892" i="6"/>
  <c r="AV892" i="6"/>
  <c r="AW892" i="6"/>
  <c r="AX892" i="6"/>
  <c r="AY892" i="6"/>
  <c r="AZ892" i="6"/>
  <c r="BA892" i="6"/>
  <c r="BB892" i="6"/>
  <c r="BC892" i="6"/>
  <c r="BD892" i="6"/>
  <c r="BE892" i="6"/>
  <c r="BF892" i="6"/>
  <c r="BG892" i="6"/>
  <c r="BH892" i="6"/>
  <c r="BI892" i="6"/>
  <c r="BJ892" i="6"/>
  <c r="BK892" i="6"/>
  <c r="AL893" i="6"/>
  <c r="AM893" i="6"/>
  <c r="AN893" i="6"/>
  <c r="AO893" i="6"/>
  <c r="AP893" i="6"/>
  <c r="AQ893" i="6"/>
  <c r="AR893" i="6"/>
  <c r="AS893" i="6"/>
  <c r="AT893" i="6"/>
  <c r="AU893" i="6"/>
  <c r="AV893" i="6"/>
  <c r="AW893" i="6"/>
  <c r="AX893" i="6"/>
  <c r="AY893" i="6"/>
  <c r="AZ893" i="6"/>
  <c r="BA893" i="6"/>
  <c r="BB893" i="6"/>
  <c r="BC893" i="6"/>
  <c r="BD893" i="6"/>
  <c r="BE893" i="6"/>
  <c r="BF893" i="6"/>
  <c r="BG893" i="6"/>
  <c r="BH893" i="6"/>
  <c r="BI893" i="6"/>
  <c r="BJ893" i="6"/>
  <c r="BK893" i="6"/>
  <c r="AL894" i="6"/>
  <c r="AM894" i="6"/>
  <c r="AN894" i="6"/>
  <c r="AO894" i="6"/>
  <c r="AP894" i="6"/>
  <c r="AQ894" i="6"/>
  <c r="AR894" i="6"/>
  <c r="AS894" i="6"/>
  <c r="AT894" i="6"/>
  <c r="AU894" i="6"/>
  <c r="AV894" i="6"/>
  <c r="AW894" i="6"/>
  <c r="AX894" i="6"/>
  <c r="AY894" i="6"/>
  <c r="AZ894" i="6"/>
  <c r="BA894" i="6"/>
  <c r="BB894" i="6"/>
  <c r="BC894" i="6"/>
  <c r="BD894" i="6"/>
  <c r="BE894" i="6"/>
  <c r="BF894" i="6"/>
  <c r="BG894" i="6"/>
  <c r="BH894" i="6"/>
  <c r="BI894" i="6"/>
  <c r="BJ894" i="6"/>
  <c r="BK894" i="6"/>
  <c r="AL895" i="6"/>
  <c r="AM895" i="6"/>
  <c r="AN895" i="6"/>
  <c r="AO895" i="6"/>
  <c r="AP895" i="6"/>
  <c r="AQ895" i="6"/>
  <c r="AR895" i="6"/>
  <c r="AS895" i="6"/>
  <c r="AT895" i="6"/>
  <c r="AU895" i="6"/>
  <c r="AV895" i="6"/>
  <c r="AW895" i="6"/>
  <c r="AX895" i="6"/>
  <c r="AY895" i="6"/>
  <c r="AZ895" i="6"/>
  <c r="BA895" i="6"/>
  <c r="BB895" i="6"/>
  <c r="BC895" i="6"/>
  <c r="BD895" i="6"/>
  <c r="BE895" i="6"/>
  <c r="BF895" i="6"/>
  <c r="BG895" i="6"/>
  <c r="BH895" i="6"/>
  <c r="BI895" i="6"/>
  <c r="BJ895" i="6"/>
  <c r="BK895" i="6"/>
  <c r="AL896" i="6"/>
  <c r="AM896" i="6"/>
  <c r="AN896" i="6"/>
  <c r="AO896" i="6"/>
  <c r="AP896" i="6"/>
  <c r="AQ896" i="6"/>
  <c r="AR896" i="6"/>
  <c r="AS896" i="6"/>
  <c r="AT896" i="6"/>
  <c r="AU896" i="6"/>
  <c r="AV896" i="6"/>
  <c r="AW896" i="6"/>
  <c r="AX896" i="6"/>
  <c r="AY896" i="6"/>
  <c r="AZ896" i="6"/>
  <c r="BA896" i="6"/>
  <c r="BB896" i="6"/>
  <c r="BC896" i="6"/>
  <c r="BD896" i="6"/>
  <c r="BE896" i="6"/>
  <c r="BF896" i="6"/>
  <c r="BG896" i="6"/>
  <c r="BH896" i="6"/>
  <c r="BI896" i="6"/>
  <c r="BJ896" i="6"/>
  <c r="BK896" i="6"/>
  <c r="AL897" i="6"/>
  <c r="AM897" i="6"/>
  <c r="AN897" i="6"/>
  <c r="AO897" i="6"/>
  <c r="AP897" i="6"/>
  <c r="AQ897" i="6"/>
  <c r="AR897" i="6"/>
  <c r="AS897" i="6"/>
  <c r="AT897" i="6"/>
  <c r="AU897" i="6"/>
  <c r="AV897" i="6"/>
  <c r="AW897" i="6"/>
  <c r="AX897" i="6"/>
  <c r="AY897" i="6"/>
  <c r="AZ897" i="6"/>
  <c r="BA897" i="6"/>
  <c r="BB897" i="6"/>
  <c r="BC897" i="6"/>
  <c r="BD897" i="6"/>
  <c r="BE897" i="6"/>
  <c r="BF897" i="6"/>
  <c r="BG897" i="6"/>
  <c r="BH897" i="6"/>
  <c r="BI897" i="6"/>
  <c r="BJ897" i="6"/>
  <c r="BK897" i="6"/>
  <c r="AL898" i="6"/>
  <c r="AM898" i="6"/>
  <c r="AN898" i="6"/>
  <c r="AO898" i="6"/>
  <c r="AP898" i="6"/>
  <c r="AQ898" i="6"/>
  <c r="AR898" i="6"/>
  <c r="AS898" i="6"/>
  <c r="AT898" i="6"/>
  <c r="AU898" i="6"/>
  <c r="AV898" i="6"/>
  <c r="AW898" i="6"/>
  <c r="AX898" i="6"/>
  <c r="AY898" i="6"/>
  <c r="AZ898" i="6"/>
  <c r="BA898" i="6"/>
  <c r="BB898" i="6"/>
  <c r="BC898" i="6"/>
  <c r="BD898" i="6"/>
  <c r="BE898" i="6"/>
  <c r="BF898" i="6"/>
  <c r="BG898" i="6"/>
  <c r="BH898" i="6"/>
  <c r="BI898" i="6"/>
  <c r="BJ898" i="6"/>
  <c r="BK898" i="6"/>
  <c r="AL899" i="6"/>
  <c r="AM899" i="6"/>
  <c r="AN899" i="6"/>
  <c r="AO899" i="6"/>
  <c r="AP899" i="6"/>
  <c r="AQ899" i="6"/>
  <c r="AR899" i="6"/>
  <c r="AS899" i="6"/>
  <c r="AT899" i="6"/>
  <c r="AU899" i="6"/>
  <c r="AV899" i="6"/>
  <c r="AW899" i="6"/>
  <c r="AX899" i="6"/>
  <c r="AY899" i="6"/>
  <c r="AZ899" i="6"/>
  <c r="BA899" i="6"/>
  <c r="BB899" i="6"/>
  <c r="BC899" i="6"/>
  <c r="BD899" i="6"/>
  <c r="BE899" i="6"/>
  <c r="BF899" i="6"/>
  <c r="BG899" i="6"/>
  <c r="BH899" i="6"/>
  <c r="BI899" i="6"/>
  <c r="BJ899" i="6"/>
  <c r="BK899" i="6"/>
  <c r="AL900" i="6"/>
  <c r="AM900" i="6"/>
  <c r="AN900" i="6"/>
  <c r="AO900" i="6"/>
  <c r="AP900" i="6"/>
  <c r="AQ900" i="6"/>
  <c r="AR900" i="6"/>
  <c r="AS900" i="6"/>
  <c r="AT900" i="6"/>
  <c r="AU900" i="6"/>
  <c r="AV900" i="6"/>
  <c r="AW900" i="6"/>
  <c r="AX900" i="6"/>
  <c r="AY900" i="6"/>
  <c r="AZ900" i="6"/>
  <c r="BA900" i="6"/>
  <c r="BB900" i="6"/>
  <c r="BC900" i="6"/>
  <c r="BD900" i="6"/>
  <c r="BE900" i="6"/>
  <c r="BF900" i="6"/>
  <c r="BG900" i="6"/>
  <c r="BH900" i="6"/>
  <c r="BI900" i="6"/>
  <c r="BJ900" i="6"/>
  <c r="BK900" i="6"/>
  <c r="AL901" i="6"/>
  <c r="AM901" i="6"/>
  <c r="AN901" i="6"/>
  <c r="AO901" i="6"/>
  <c r="AP901" i="6"/>
  <c r="AQ901" i="6"/>
  <c r="AR901" i="6"/>
  <c r="AS901" i="6"/>
  <c r="AT901" i="6"/>
  <c r="AU901" i="6"/>
  <c r="AV901" i="6"/>
  <c r="AW901" i="6"/>
  <c r="AX901" i="6"/>
  <c r="AY901" i="6"/>
  <c r="AZ901" i="6"/>
  <c r="BA901" i="6"/>
  <c r="BB901" i="6"/>
  <c r="BC901" i="6"/>
  <c r="BD901" i="6"/>
  <c r="BE901" i="6"/>
  <c r="BF901" i="6"/>
  <c r="BG901" i="6"/>
  <c r="BH901" i="6"/>
  <c r="BI901" i="6"/>
  <c r="BJ901" i="6"/>
  <c r="BK901" i="6"/>
  <c r="AL902" i="6"/>
  <c r="AM902" i="6"/>
  <c r="AN902" i="6"/>
  <c r="AO902" i="6"/>
  <c r="AP902" i="6"/>
  <c r="AQ902" i="6"/>
  <c r="AR902" i="6"/>
  <c r="AS902" i="6"/>
  <c r="AT902" i="6"/>
  <c r="AU902" i="6"/>
  <c r="AV902" i="6"/>
  <c r="AW902" i="6"/>
  <c r="AX902" i="6"/>
  <c r="AY902" i="6"/>
  <c r="AZ902" i="6"/>
  <c r="BA902" i="6"/>
  <c r="BB902" i="6"/>
  <c r="BC902" i="6"/>
  <c r="BD902" i="6"/>
  <c r="BE902" i="6"/>
  <c r="BF902" i="6"/>
  <c r="BG902" i="6"/>
  <c r="BH902" i="6"/>
  <c r="BI902" i="6"/>
  <c r="BJ902" i="6"/>
  <c r="BK902" i="6"/>
  <c r="AL903" i="6"/>
  <c r="AM903" i="6"/>
  <c r="AN903" i="6"/>
  <c r="AO903" i="6"/>
  <c r="AP903" i="6"/>
  <c r="AQ903" i="6"/>
  <c r="AR903" i="6"/>
  <c r="AS903" i="6"/>
  <c r="AT903" i="6"/>
  <c r="AU903" i="6"/>
  <c r="AV903" i="6"/>
  <c r="AW903" i="6"/>
  <c r="AX903" i="6"/>
  <c r="AY903" i="6"/>
  <c r="AZ903" i="6"/>
  <c r="BA903" i="6"/>
  <c r="BB903" i="6"/>
  <c r="BC903" i="6"/>
  <c r="BD903" i="6"/>
  <c r="BE903" i="6"/>
  <c r="BF903" i="6"/>
  <c r="BG903" i="6"/>
  <c r="BH903" i="6"/>
  <c r="BI903" i="6"/>
  <c r="BJ903" i="6"/>
  <c r="BK903" i="6"/>
  <c r="AL904" i="6"/>
  <c r="AM904" i="6"/>
  <c r="AN904" i="6"/>
  <c r="AO904" i="6"/>
  <c r="AP904" i="6"/>
  <c r="AQ904" i="6"/>
  <c r="AR904" i="6"/>
  <c r="AS904" i="6"/>
  <c r="AT904" i="6"/>
  <c r="AU904" i="6"/>
  <c r="AV904" i="6"/>
  <c r="AW904" i="6"/>
  <c r="AX904" i="6"/>
  <c r="AY904" i="6"/>
  <c r="AZ904" i="6"/>
  <c r="BA904" i="6"/>
  <c r="BB904" i="6"/>
  <c r="BC904" i="6"/>
  <c r="BD904" i="6"/>
  <c r="BE904" i="6"/>
  <c r="BF904" i="6"/>
  <c r="BG904" i="6"/>
  <c r="BH904" i="6"/>
  <c r="BI904" i="6"/>
  <c r="BJ904" i="6"/>
  <c r="BK904" i="6"/>
  <c r="AL905" i="6"/>
  <c r="AM905" i="6"/>
  <c r="AN905" i="6"/>
  <c r="AO905" i="6"/>
  <c r="AP905" i="6"/>
  <c r="AQ905" i="6"/>
  <c r="AR905" i="6"/>
  <c r="AS905" i="6"/>
  <c r="AT905" i="6"/>
  <c r="AU905" i="6"/>
  <c r="AV905" i="6"/>
  <c r="AW905" i="6"/>
  <c r="AX905" i="6"/>
  <c r="AY905" i="6"/>
  <c r="AZ905" i="6"/>
  <c r="BA905" i="6"/>
  <c r="BB905" i="6"/>
  <c r="BC905" i="6"/>
  <c r="BD905" i="6"/>
  <c r="BE905" i="6"/>
  <c r="BF905" i="6"/>
  <c r="BG905" i="6"/>
  <c r="BH905" i="6"/>
  <c r="BI905" i="6"/>
  <c r="BJ905" i="6"/>
  <c r="BK905" i="6"/>
  <c r="AL906" i="6"/>
  <c r="AM906" i="6"/>
  <c r="AN906" i="6"/>
  <c r="AO906" i="6"/>
  <c r="AP906" i="6"/>
  <c r="AQ906" i="6"/>
  <c r="AR906" i="6"/>
  <c r="AS906" i="6"/>
  <c r="AT906" i="6"/>
  <c r="AU906" i="6"/>
  <c r="AV906" i="6"/>
  <c r="AW906" i="6"/>
  <c r="AX906" i="6"/>
  <c r="AY906" i="6"/>
  <c r="AZ906" i="6"/>
  <c r="BA906" i="6"/>
  <c r="BB906" i="6"/>
  <c r="BC906" i="6"/>
  <c r="BD906" i="6"/>
  <c r="BE906" i="6"/>
  <c r="BF906" i="6"/>
  <c r="BG906" i="6"/>
  <c r="BH906" i="6"/>
  <c r="BI906" i="6"/>
  <c r="BJ906" i="6"/>
  <c r="BK906" i="6"/>
  <c r="AL907" i="6"/>
  <c r="AM907" i="6"/>
  <c r="AN907" i="6"/>
  <c r="AO907" i="6"/>
  <c r="AP907" i="6"/>
  <c r="AQ907" i="6"/>
  <c r="AR907" i="6"/>
  <c r="AS907" i="6"/>
  <c r="AT907" i="6"/>
  <c r="AU907" i="6"/>
  <c r="AV907" i="6"/>
  <c r="AW907" i="6"/>
  <c r="AX907" i="6"/>
  <c r="AY907" i="6"/>
  <c r="AZ907" i="6"/>
  <c r="BA907" i="6"/>
  <c r="BB907" i="6"/>
  <c r="BC907" i="6"/>
  <c r="BD907" i="6"/>
  <c r="BE907" i="6"/>
  <c r="BF907" i="6"/>
  <c r="BG907" i="6"/>
  <c r="BH907" i="6"/>
  <c r="BI907" i="6"/>
  <c r="BJ907" i="6"/>
  <c r="BK907" i="6"/>
  <c r="AL908" i="6"/>
  <c r="AM908" i="6"/>
  <c r="AN908" i="6"/>
  <c r="AO908" i="6"/>
  <c r="AP908" i="6"/>
  <c r="AQ908" i="6"/>
  <c r="AR908" i="6"/>
  <c r="AS908" i="6"/>
  <c r="AT908" i="6"/>
  <c r="AU908" i="6"/>
  <c r="AV908" i="6"/>
  <c r="AW908" i="6"/>
  <c r="AX908" i="6"/>
  <c r="AY908" i="6"/>
  <c r="AZ908" i="6"/>
  <c r="BA908" i="6"/>
  <c r="BB908" i="6"/>
  <c r="BC908" i="6"/>
  <c r="BD908" i="6"/>
  <c r="BE908" i="6"/>
  <c r="BF908" i="6"/>
  <c r="BG908" i="6"/>
  <c r="BH908" i="6"/>
  <c r="BI908" i="6"/>
  <c r="BJ908" i="6"/>
  <c r="BK908" i="6"/>
  <c r="AL909" i="6"/>
  <c r="AM909" i="6"/>
  <c r="AN909" i="6"/>
  <c r="AO909" i="6"/>
  <c r="AP909" i="6"/>
  <c r="AQ909" i="6"/>
  <c r="AR909" i="6"/>
  <c r="AS909" i="6"/>
  <c r="AT909" i="6"/>
  <c r="AU909" i="6"/>
  <c r="AV909" i="6"/>
  <c r="AW909" i="6"/>
  <c r="AX909" i="6"/>
  <c r="AY909" i="6"/>
  <c r="AZ909" i="6"/>
  <c r="BA909" i="6"/>
  <c r="BB909" i="6"/>
  <c r="BC909" i="6"/>
  <c r="BD909" i="6"/>
  <c r="BE909" i="6"/>
  <c r="BF909" i="6"/>
  <c r="BG909" i="6"/>
  <c r="BH909" i="6"/>
  <c r="BI909" i="6"/>
  <c r="BJ909" i="6"/>
  <c r="BK909" i="6"/>
  <c r="AL910" i="6"/>
  <c r="AM910" i="6"/>
  <c r="AN910" i="6"/>
  <c r="AO910" i="6"/>
  <c r="AP910" i="6"/>
  <c r="AQ910" i="6"/>
  <c r="AR910" i="6"/>
  <c r="AS910" i="6"/>
  <c r="AT910" i="6"/>
  <c r="AU910" i="6"/>
  <c r="AV910" i="6"/>
  <c r="AW910" i="6"/>
  <c r="AX910" i="6"/>
  <c r="AY910" i="6"/>
  <c r="AZ910" i="6"/>
  <c r="BA910" i="6"/>
  <c r="BB910" i="6"/>
  <c r="BC910" i="6"/>
  <c r="BD910" i="6"/>
  <c r="BE910" i="6"/>
  <c r="BF910" i="6"/>
  <c r="BG910" i="6"/>
  <c r="BH910" i="6"/>
  <c r="BI910" i="6"/>
  <c r="BJ910" i="6"/>
  <c r="BK910" i="6"/>
  <c r="AL911" i="6"/>
  <c r="AM911" i="6"/>
  <c r="AN911" i="6"/>
  <c r="AO911" i="6"/>
  <c r="AP911" i="6"/>
  <c r="AQ911" i="6"/>
  <c r="AR911" i="6"/>
  <c r="AS911" i="6"/>
  <c r="AT911" i="6"/>
  <c r="AU911" i="6"/>
  <c r="AV911" i="6"/>
  <c r="AW911" i="6"/>
  <c r="AX911" i="6"/>
  <c r="AY911" i="6"/>
  <c r="AZ911" i="6"/>
  <c r="BA911" i="6"/>
  <c r="BB911" i="6"/>
  <c r="BC911" i="6"/>
  <c r="BD911" i="6"/>
  <c r="BE911" i="6"/>
  <c r="BF911" i="6"/>
  <c r="BG911" i="6"/>
  <c r="BH911" i="6"/>
  <c r="BI911" i="6"/>
  <c r="BJ911" i="6"/>
  <c r="BK911" i="6"/>
  <c r="AL912" i="6"/>
  <c r="AM912" i="6"/>
  <c r="AN912" i="6"/>
  <c r="AO912" i="6"/>
  <c r="AP912" i="6"/>
  <c r="AQ912" i="6"/>
  <c r="AR912" i="6"/>
  <c r="AS912" i="6"/>
  <c r="AT912" i="6"/>
  <c r="AU912" i="6"/>
  <c r="AV912" i="6"/>
  <c r="AW912" i="6"/>
  <c r="AX912" i="6"/>
  <c r="AY912" i="6"/>
  <c r="AZ912" i="6"/>
  <c r="BA912" i="6"/>
  <c r="BB912" i="6"/>
  <c r="BC912" i="6"/>
  <c r="BD912" i="6"/>
  <c r="BE912" i="6"/>
  <c r="BF912" i="6"/>
  <c r="BG912" i="6"/>
  <c r="BH912" i="6"/>
  <c r="BI912" i="6"/>
  <c r="BJ912" i="6"/>
  <c r="BK912" i="6"/>
  <c r="AL913" i="6"/>
  <c r="AM913" i="6"/>
  <c r="AN913" i="6"/>
  <c r="AO913" i="6"/>
  <c r="AP913" i="6"/>
  <c r="AQ913" i="6"/>
  <c r="AR913" i="6"/>
  <c r="AS913" i="6"/>
  <c r="AT913" i="6"/>
  <c r="AU913" i="6"/>
  <c r="AV913" i="6"/>
  <c r="AW913" i="6"/>
  <c r="AX913" i="6"/>
  <c r="AY913" i="6"/>
  <c r="AZ913" i="6"/>
  <c r="BA913" i="6"/>
  <c r="BB913" i="6"/>
  <c r="BC913" i="6"/>
  <c r="BD913" i="6"/>
  <c r="BE913" i="6"/>
  <c r="BF913" i="6"/>
  <c r="BG913" i="6"/>
  <c r="BH913" i="6"/>
  <c r="BI913" i="6"/>
  <c r="BJ913" i="6"/>
  <c r="BK913" i="6"/>
  <c r="AL914" i="6"/>
  <c r="AM914" i="6"/>
  <c r="AN914" i="6"/>
  <c r="AO914" i="6"/>
  <c r="AP914" i="6"/>
  <c r="AQ914" i="6"/>
  <c r="AR914" i="6"/>
  <c r="AS914" i="6"/>
  <c r="AT914" i="6"/>
  <c r="AU914" i="6"/>
  <c r="AV914" i="6"/>
  <c r="AW914" i="6"/>
  <c r="AX914" i="6"/>
  <c r="AY914" i="6"/>
  <c r="AZ914" i="6"/>
  <c r="BA914" i="6"/>
  <c r="BB914" i="6"/>
  <c r="BC914" i="6"/>
  <c r="BD914" i="6"/>
  <c r="BE914" i="6"/>
  <c r="BF914" i="6"/>
  <c r="BG914" i="6"/>
  <c r="BH914" i="6"/>
  <c r="BI914" i="6"/>
  <c r="BJ914" i="6"/>
  <c r="BK914" i="6"/>
  <c r="AL915" i="6"/>
  <c r="AM915" i="6"/>
  <c r="AN915" i="6"/>
  <c r="AO915" i="6"/>
  <c r="AP915" i="6"/>
  <c r="AQ915" i="6"/>
  <c r="AR915" i="6"/>
  <c r="AS915" i="6"/>
  <c r="AT915" i="6"/>
  <c r="AU915" i="6"/>
  <c r="AV915" i="6"/>
  <c r="AW915" i="6"/>
  <c r="AX915" i="6"/>
  <c r="AY915" i="6"/>
  <c r="AZ915" i="6"/>
  <c r="BA915" i="6"/>
  <c r="BB915" i="6"/>
  <c r="BC915" i="6"/>
  <c r="BD915" i="6"/>
  <c r="BE915" i="6"/>
  <c r="BF915" i="6"/>
  <c r="BG915" i="6"/>
  <c r="BH915" i="6"/>
  <c r="BI915" i="6"/>
  <c r="BJ915" i="6"/>
  <c r="BK915" i="6"/>
  <c r="AL916" i="6"/>
  <c r="AM916" i="6"/>
  <c r="AN916" i="6"/>
  <c r="AO916" i="6"/>
  <c r="AP916" i="6"/>
  <c r="AQ916" i="6"/>
  <c r="AR916" i="6"/>
  <c r="AS916" i="6"/>
  <c r="AT916" i="6"/>
  <c r="AU916" i="6"/>
  <c r="AV916" i="6"/>
  <c r="AW916" i="6"/>
  <c r="AX916" i="6"/>
  <c r="AY916" i="6"/>
  <c r="AZ916" i="6"/>
  <c r="BA916" i="6"/>
  <c r="BB916" i="6"/>
  <c r="BC916" i="6"/>
  <c r="BD916" i="6"/>
  <c r="BE916" i="6"/>
  <c r="BF916" i="6"/>
  <c r="BG916" i="6"/>
  <c r="BH916" i="6"/>
  <c r="BI916" i="6"/>
  <c r="BJ916" i="6"/>
  <c r="BK916" i="6"/>
  <c r="AL917" i="6"/>
  <c r="AM917" i="6"/>
  <c r="AN917" i="6"/>
  <c r="AO917" i="6"/>
  <c r="AP917" i="6"/>
  <c r="AQ917" i="6"/>
  <c r="AR917" i="6"/>
  <c r="AS917" i="6"/>
  <c r="AT917" i="6"/>
  <c r="AU917" i="6"/>
  <c r="AV917" i="6"/>
  <c r="AW917" i="6"/>
  <c r="AX917" i="6"/>
  <c r="AY917" i="6"/>
  <c r="AZ917" i="6"/>
  <c r="BA917" i="6"/>
  <c r="BB917" i="6"/>
  <c r="BC917" i="6"/>
  <c r="BD917" i="6"/>
  <c r="BE917" i="6"/>
  <c r="BF917" i="6"/>
  <c r="BG917" i="6"/>
  <c r="BH917" i="6"/>
  <c r="BI917" i="6"/>
  <c r="BJ917" i="6"/>
  <c r="BK917" i="6"/>
  <c r="AL918" i="6"/>
  <c r="AM918" i="6"/>
  <c r="AN918" i="6"/>
  <c r="AO918" i="6"/>
  <c r="AP918" i="6"/>
  <c r="AQ918" i="6"/>
  <c r="AR918" i="6"/>
  <c r="AS918" i="6"/>
  <c r="AT918" i="6"/>
  <c r="AU918" i="6"/>
  <c r="AV918" i="6"/>
  <c r="AW918" i="6"/>
  <c r="AX918" i="6"/>
  <c r="AY918" i="6"/>
  <c r="AZ918" i="6"/>
  <c r="BA918" i="6"/>
  <c r="BB918" i="6"/>
  <c r="BC918" i="6"/>
  <c r="BD918" i="6"/>
  <c r="BE918" i="6"/>
  <c r="BF918" i="6"/>
  <c r="BG918" i="6"/>
  <c r="BH918" i="6"/>
  <c r="BI918" i="6"/>
  <c r="BJ918" i="6"/>
  <c r="BK918" i="6"/>
  <c r="AL919" i="6"/>
  <c r="AM919" i="6"/>
  <c r="AN919" i="6"/>
  <c r="AO919" i="6"/>
  <c r="AP919" i="6"/>
  <c r="AQ919" i="6"/>
  <c r="AR919" i="6"/>
  <c r="AS919" i="6"/>
  <c r="AT919" i="6"/>
  <c r="AU919" i="6"/>
  <c r="AV919" i="6"/>
  <c r="AW919" i="6"/>
  <c r="AX919" i="6"/>
  <c r="AY919" i="6"/>
  <c r="AZ919" i="6"/>
  <c r="BA919" i="6"/>
  <c r="BB919" i="6"/>
  <c r="BC919" i="6"/>
  <c r="BD919" i="6"/>
  <c r="BE919" i="6"/>
  <c r="BF919" i="6"/>
  <c r="BG919" i="6"/>
  <c r="BH919" i="6"/>
  <c r="BI919" i="6"/>
  <c r="BJ919" i="6"/>
  <c r="BK919" i="6"/>
  <c r="AL920" i="6"/>
  <c r="AM920" i="6"/>
  <c r="AN920" i="6"/>
  <c r="AO920" i="6"/>
  <c r="AP920" i="6"/>
  <c r="AQ920" i="6"/>
  <c r="AR920" i="6"/>
  <c r="AS920" i="6"/>
  <c r="AT920" i="6"/>
  <c r="AU920" i="6"/>
  <c r="AV920" i="6"/>
  <c r="AW920" i="6"/>
  <c r="AX920" i="6"/>
  <c r="AY920" i="6"/>
  <c r="AZ920" i="6"/>
  <c r="BA920" i="6"/>
  <c r="BB920" i="6"/>
  <c r="BC920" i="6"/>
  <c r="BD920" i="6"/>
  <c r="BE920" i="6"/>
  <c r="BF920" i="6"/>
  <c r="BG920" i="6"/>
  <c r="BH920" i="6"/>
  <c r="BI920" i="6"/>
  <c r="BJ920" i="6"/>
  <c r="BK920" i="6"/>
  <c r="AL921" i="6"/>
  <c r="AM921" i="6"/>
  <c r="AN921" i="6"/>
  <c r="AO921" i="6"/>
  <c r="AP921" i="6"/>
  <c r="AQ921" i="6"/>
  <c r="AR921" i="6"/>
  <c r="AS921" i="6"/>
  <c r="AT921" i="6"/>
  <c r="AU921" i="6"/>
  <c r="AV921" i="6"/>
  <c r="AW921" i="6"/>
  <c r="AX921" i="6"/>
  <c r="AY921" i="6"/>
  <c r="AZ921" i="6"/>
  <c r="BA921" i="6"/>
  <c r="BB921" i="6"/>
  <c r="BC921" i="6"/>
  <c r="BD921" i="6"/>
  <c r="BE921" i="6"/>
  <c r="BF921" i="6"/>
  <c r="BG921" i="6"/>
  <c r="BH921" i="6"/>
  <c r="BI921" i="6"/>
  <c r="BJ921" i="6"/>
  <c r="BK921" i="6"/>
  <c r="AL922" i="6"/>
  <c r="AM922" i="6"/>
  <c r="AN922" i="6"/>
  <c r="AO922" i="6"/>
  <c r="AP922" i="6"/>
  <c r="AQ922" i="6"/>
  <c r="AR922" i="6"/>
  <c r="AS922" i="6"/>
  <c r="AT922" i="6"/>
  <c r="AU922" i="6"/>
  <c r="AV922" i="6"/>
  <c r="AW922" i="6"/>
  <c r="AX922" i="6"/>
  <c r="AY922" i="6"/>
  <c r="AZ922" i="6"/>
  <c r="BA922" i="6"/>
  <c r="BB922" i="6"/>
  <c r="BC922" i="6"/>
  <c r="BD922" i="6"/>
  <c r="BE922" i="6"/>
  <c r="BF922" i="6"/>
  <c r="BG922" i="6"/>
  <c r="BH922" i="6"/>
  <c r="BI922" i="6"/>
  <c r="BJ922" i="6"/>
  <c r="BK922" i="6"/>
  <c r="AL923" i="6"/>
  <c r="AM923" i="6"/>
  <c r="AN923" i="6"/>
  <c r="AO923" i="6"/>
  <c r="AP923" i="6"/>
  <c r="AQ923" i="6"/>
  <c r="AR923" i="6"/>
  <c r="AS923" i="6"/>
  <c r="AT923" i="6"/>
  <c r="AU923" i="6"/>
  <c r="AV923" i="6"/>
  <c r="AW923" i="6"/>
  <c r="AX923" i="6"/>
  <c r="AY923" i="6"/>
  <c r="AZ923" i="6"/>
  <c r="BA923" i="6"/>
  <c r="BB923" i="6"/>
  <c r="BC923" i="6"/>
  <c r="BD923" i="6"/>
  <c r="BE923" i="6"/>
  <c r="BF923" i="6"/>
  <c r="BG923" i="6"/>
  <c r="BH923" i="6"/>
  <c r="BI923" i="6"/>
  <c r="BJ923" i="6"/>
  <c r="BK923" i="6"/>
  <c r="AL924" i="6"/>
  <c r="AM924" i="6"/>
  <c r="AN924" i="6"/>
  <c r="AO924" i="6"/>
  <c r="AP924" i="6"/>
  <c r="AQ924" i="6"/>
  <c r="AR924" i="6"/>
  <c r="AS924" i="6"/>
  <c r="AT924" i="6"/>
  <c r="AU924" i="6"/>
  <c r="AV924" i="6"/>
  <c r="AW924" i="6"/>
  <c r="AX924" i="6"/>
  <c r="AY924" i="6"/>
  <c r="AZ924" i="6"/>
  <c r="BA924" i="6"/>
  <c r="BB924" i="6"/>
  <c r="BC924" i="6"/>
  <c r="BD924" i="6"/>
  <c r="BE924" i="6"/>
  <c r="BF924" i="6"/>
  <c r="BG924" i="6"/>
  <c r="BH924" i="6"/>
  <c r="BI924" i="6"/>
  <c r="BJ924" i="6"/>
  <c r="BK924" i="6"/>
  <c r="AL925" i="6"/>
  <c r="AM925" i="6"/>
  <c r="AN925" i="6"/>
  <c r="AO925" i="6"/>
  <c r="AP925" i="6"/>
  <c r="AQ925" i="6"/>
  <c r="AR925" i="6"/>
  <c r="AS925" i="6"/>
  <c r="AT925" i="6"/>
  <c r="AU925" i="6"/>
  <c r="AV925" i="6"/>
  <c r="AW925" i="6"/>
  <c r="AX925" i="6"/>
  <c r="AY925" i="6"/>
  <c r="AZ925" i="6"/>
  <c r="BA925" i="6"/>
  <c r="BB925" i="6"/>
  <c r="BC925" i="6"/>
  <c r="BD925" i="6"/>
  <c r="BE925" i="6"/>
  <c r="BF925" i="6"/>
  <c r="BG925" i="6"/>
  <c r="BH925" i="6"/>
  <c r="BI925" i="6"/>
  <c r="BJ925" i="6"/>
  <c r="BK925" i="6"/>
  <c r="AL926" i="6"/>
  <c r="AM926" i="6"/>
  <c r="AN926" i="6"/>
  <c r="AO926" i="6"/>
  <c r="AP926" i="6"/>
  <c r="AQ926" i="6"/>
  <c r="AR926" i="6"/>
  <c r="AS926" i="6"/>
  <c r="AT926" i="6"/>
  <c r="AU926" i="6"/>
  <c r="AV926" i="6"/>
  <c r="AW926" i="6"/>
  <c r="AX926" i="6"/>
  <c r="AY926" i="6"/>
  <c r="AZ926" i="6"/>
  <c r="BA926" i="6"/>
  <c r="BB926" i="6"/>
  <c r="BC926" i="6"/>
  <c r="BD926" i="6"/>
  <c r="BE926" i="6"/>
  <c r="BF926" i="6"/>
  <c r="BG926" i="6"/>
  <c r="BH926" i="6"/>
  <c r="BI926" i="6"/>
  <c r="BJ926" i="6"/>
  <c r="BK926" i="6"/>
  <c r="AL927" i="6"/>
  <c r="AM927" i="6"/>
  <c r="AN927" i="6"/>
  <c r="AO927" i="6"/>
  <c r="AP927" i="6"/>
  <c r="AQ927" i="6"/>
  <c r="AR927" i="6"/>
  <c r="AS927" i="6"/>
  <c r="AT927" i="6"/>
  <c r="AU927" i="6"/>
  <c r="AV927" i="6"/>
  <c r="AW927" i="6"/>
  <c r="AX927" i="6"/>
  <c r="AY927" i="6"/>
  <c r="AZ927" i="6"/>
  <c r="BA927" i="6"/>
  <c r="BB927" i="6"/>
  <c r="BC927" i="6"/>
  <c r="BD927" i="6"/>
  <c r="BE927" i="6"/>
  <c r="BF927" i="6"/>
  <c r="BG927" i="6"/>
  <c r="BH927" i="6"/>
  <c r="BI927" i="6"/>
  <c r="BJ927" i="6"/>
  <c r="BK927" i="6"/>
  <c r="AL928" i="6"/>
  <c r="AM928" i="6"/>
  <c r="AN928" i="6"/>
  <c r="AO928" i="6"/>
  <c r="AP928" i="6"/>
  <c r="AQ928" i="6"/>
  <c r="AR928" i="6"/>
  <c r="AS928" i="6"/>
  <c r="AT928" i="6"/>
  <c r="AU928" i="6"/>
  <c r="AV928" i="6"/>
  <c r="AW928" i="6"/>
  <c r="AX928" i="6"/>
  <c r="AY928" i="6"/>
  <c r="AZ928" i="6"/>
  <c r="BA928" i="6"/>
  <c r="BB928" i="6"/>
  <c r="BC928" i="6"/>
  <c r="BD928" i="6"/>
  <c r="BE928" i="6"/>
  <c r="BF928" i="6"/>
  <c r="BG928" i="6"/>
  <c r="BH928" i="6"/>
  <c r="BI928" i="6"/>
  <c r="BJ928" i="6"/>
  <c r="BK928" i="6"/>
  <c r="AL929" i="6"/>
  <c r="AM929" i="6"/>
  <c r="AN929" i="6"/>
  <c r="AO929" i="6"/>
  <c r="AP929" i="6"/>
  <c r="AQ929" i="6"/>
  <c r="AR929" i="6"/>
  <c r="AS929" i="6"/>
  <c r="AT929" i="6"/>
  <c r="AU929" i="6"/>
  <c r="AV929" i="6"/>
  <c r="AW929" i="6"/>
  <c r="AX929" i="6"/>
  <c r="AY929" i="6"/>
  <c r="AZ929" i="6"/>
  <c r="BA929" i="6"/>
  <c r="BB929" i="6"/>
  <c r="BC929" i="6"/>
  <c r="BD929" i="6"/>
  <c r="BE929" i="6"/>
  <c r="BF929" i="6"/>
  <c r="BG929" i="6"/>
  <c r="BH929" i="6"/>
  <c r="BI929" i="6"/>
  <c r="BJ929" i="6"/>
  <c r="BK929" i="6"/>
  <c r="AL930" i="6"/>
  <c r="AM930" i="6"/>
  <c r="AN930" i="6"/>
  <c r="AO930" i="6"/>
  <c r="AP930" i="6"/>
  <c r="AQ930" i="6"/>
  <c r="AR930" i="6"/>
  <c r="AS930" i="6"/>
  <c r="AT930" i="6"/>
  <c r="AU930" i="6"/>
  <c r="AV930" i="6"/>
  <c r="AW930" i="6"/>
  <c r="AX930" i="6"/>
  <c r="AY930" i="6"/>
  <c r="AZ930" i="6"/>
  <c r="BA930" i="6"/>
  <c r="BB930" i="6"/>
  <c r="BC930" i="6"/>
  <c r="BD930" i="6"/>
  <c r="BE930" i="6"/>
  <c r="BF930" i="6"/>
  <c r="BG930" i="6"/>
  <c r="BH930" i="6"/>
  <c r="BI930" i="6"/>
  <c r="BJ930" i="6"/>
  <c r="BK930" i="6"/>
  <c r="AL931" i="6"/>
  <c r="AM931" i="6"/>
  <c r="AN931" i="6"/>
  <c r="AO931" i="6"/>
  <c r="AP931" i="6"/>
  <c r="AQ931" i="6"/>
  <c r="AR931" i="6"/>
  <c r="AS931" i="6"/>
  <c r="AT931" i="6"/>
  <c r="AU931" i="6"/>
  <c r="AV931" i="6"/>
  <c r="AW931" i="6"/>
  <c r="AX931" i="6"/>
  <c r="AY931" i="6"/>
  <c r="AZ931" i="6"/>
  <c r="BA931" i="6"/>
  <c r="BB931" i="6"/>
  <c r="BC931" i="6"/>
  <c r="BD931" i="6"/>
  <c r="BE931" i="6"/>
  <c r="BF931" i="6"/>
  <c r="BG931" i="6"/>
  <c r="BH931" i="6"/>
  <c r="BI931" i="6"/>
  <c r="BJ931" i="6"/>
  <c r="BK931" i="6"/>
  <c r="AL932" i="6"/>
  <c r="AM932" i="6"/>
  <c r="AN932" i="6"/>
  <c r="AO932" i="6"/>
  <c r="AP932" i="6"/>
  <c r="AQ932" i="6"/>
  <c r="AR932" i="6"/>
  <c r="AS932" i="6"/>
  <c r="AT932" i="6"/>
  <c r="AU932" i="6"/>
  <c r="AV932" i="6"/>
  <c r="AW932" i="6"/>
  <c r="AX932" i="6"/>
  <c r="AY932" i="6"/>
  <c r="AZ932" i="6"/>
  <c r="BA932" i="6"/>
  <c r="BB932" i="6"/>
  <c r="BC932" i="6"/>
  <c r="BD932" i="6"/>
  <c r="BE932" i="6"/>
  <c r="BF932" i="6"/>
  <c r="BG932" i="6"/>
  <c r="BH932" i="6"/>
  <c r="BI932" i="6"/>
  <c r="BJ932" i="6"/>
  <c r="BK932" i="6"/>
  <c r="AL933" i="6"/>
  <c r="AM933" i="6"/>
  <c r="AN933" i="6"/>
  <c r="AO933" i="6"/>
  <c r="AP933" i="6"/>
  <c r="AQ933" i="6"/>
  <c r="AR933" i="6"/>
  <c r="AS933" i="6"/>
  <c r="AT933" i="6"/>
  <c r="AU933" i="6"/>
  <c r="AV933" i="6"/>
  <c r="AW933" i="6"/>
  <c r="AX933" i="6"/>
  <c r="AY933" i="6"/>
  <c r="AZ933" i="6"/>
  <c r="BA933" i="6"/>
  <c r="BB933" i="6"/>
  <c r="BC933" i="6"/>
  <c r="BD933" i="6"/>
  <c r="BE933" i="6"/>
  <c r="BF933" i="6"/>
  <c r="BG933" i="6"/>
  <c r="BH933" i="6"/>
  <c r="BI933" i="6"/>
  <c r="BJ933" i="6"/>
  <c r="BK933" i="6"/>
  <c r="AL934" i="6"/>
  <c r="AM934" i="6"/>
  <c r="AN934" i="6"/>
  <c r="AO934" i="6"/>
  <c r="AP934" i="6"/>
  <c r="AQ934" i="6"/>
  <c r="AR934" i="6"/>
  <c r="AS934" i="6"/>
  <c r="AT934" i="6"/>
  <c r="AU934" i="6"/>
  <c r="AV934" i="6"/>
  <c r="AW934" i="6"/>
  <c r="AX934" i="6"/>
  <c r="AY934" i="6"/>
  <c r="AZ934" i="6"/>
  <c r="BA934" i="6"/>
  <c r="BB934" i="6"/>
  <c r="BC934" i="6"/>
  <c r="BD934" i="6"/>
  <c r="BE934" i="6"/>
  <c r="BF934" i="6"/>
  <c r="BG934" i="6"/>
  <c r="BH934" i="6"/>
  <c r="BI934" i="6"/>
  <c r="BJ934" i="6"/>
  <c r="BK934" i="6"/>
  <c r="AL935" i="6"/>
  <c r="AM935" i="6"/>
  <c r="AN935" i="6"/>
  <c r="AO935" i="6"/>
  <c r="AP935" i="6"/>
  <c r="AQ935" i="6"/>
  <c r="AR935" i="6"/>
  <c r="AS935" i="6"/>
  <c r="AT935" i="6"/>
  <c r="AU935" i="6"/>
  <c r="AV935" i="6"/>
  <c r="AW935" i="6"/>
  <c r="AX935" i="6"/>
  <c r="AY935" i="6"/>
  <c r="AZ935" i="6"/>
  <c r="BA935" i="6"/>
  <c r="BB935" i="6"/>
  <c r="BC935" i="6"/>
  <c r="BD935" i="6"/>
  <c r="BE935" i="6"/>
  <c r="BF935" i="6"/>
  <c r="BG935" i="6"/>
  <c r="BH935" i="6"/>
  <c r="BI935" i="6"/>
  <c r="BJ935" i="6"/>
  <c r="BK935" i="6"/>
  <c r="AL936" i="6"/>
  <c r="AM936" i="6"/>
  <c r="AN936" i="6"/>
  <c r="AO936" i="6"/>
  <c r="AP936" i="6"/>
  <c r="AQ936" i="6"/>
  <c r="AR936" i="6"/>
  <c r="AS936" i="6"/>
  <c r="AT936" i="6"/>
  <c r="AU936" i="6"/>
  <c r="AV936" i="6"/>
  <c r="AW936" i="6"/>
  <c r="AX936" i="6"/>
  <c r="AY936" i="6"/>
  <c r="AZ936" i="6"/>
  <c r="BA936" i="6"/>
  <c r="BB936" i="6"/>
  <c r="BC936" i="6"/>
  <c r="BD936" i="6"/>
  <c r="BE936" i="6"/>
  <c r="BF936" i="6"/>
  <c r="BG936" i="6"/>
  <c r="BH936" i="6"/>
  <c r="BI936" i="6"/>
  <c r="BJ936" i="6"/>
  <c r="BK936" i="6"/>
  <c r="AL937" i="6"/>
  <c r="AM937" i="6"/>
  <c r="AN937" i="6"/>
  <c r="AO937" i="6"/>
  <c r="AP937" i="6"/>
  <c r="AQ937" i="6"/>
  <c r="AR937" i="6"/>
  <c r="AS937" i="6"/>
  <c r="AT937" i="6"/>
  <c r="AU937" i="6"/>
  <c r="AV937" i="6"/>
  <c r="AW937" i="6"/>
  <c r="AX937" i="6"/>
  <c r="AY937" i="6"/>
  <c r="AZ937" i="6"/>
  <c r="BA937" i="6"/>
  <c r="BB937" i="6"/>
  <c r="BC937" i="6"/>
  <c r="BD937" i="6"/>
  <c r="BE937" i="6"/>
  <c r="BF937" i="6"/>
  <c r="BG937" i="6"/>
  <c r="BH937" i="6"/>
  <c r="BI937" i="6"/>
  <c r="BJ937" i="6"/>
  <c r="BK937" i="6"/>
  <c r="AL938" i="6"/>
  <c r="AM938" i="6"/>
  <c r="AN938" i="6"/>
  <c r="AO938" i="6"/>
  <c r="AP938" i="6"/>
  <c r="AQ938" i="6"/>
  <c r="AR938" i="6"/>
  <c r="AS938" i="6"/>
  <c r="AT938" i="6"/>
  <c r="AU938" i="6"/>
  <c r="AV938" i="6"/>
  <c r="AW938" i="6"/>
  <c r="AX938" i="6"/>
  <c r="AY938" i="6"/>
  <c r="AZ938" i="6"/>
  <c r="BA938" i="6"/>
  <c r="BB938" i="6"/>
  <c r="BC938" i="6"/>
  <c r="BD938" i="6"/>
  <c r="BE938" i="6"/>
  <c r="BF938" i="6"/>
  <c r="BG938" i="6"/>
  <c r="BH938" i="6"/>
  <c r="BI938" i="6"/>
  <c r="BJ938" i="6"/>
  <c r="BK938" i="6"/>
  <c r="AL939" i="6"/>
  <c r="AM939" i="6"/>
  <c r="AN939" i="6"/>
  <c r="AO939" i="6"/>
  <c r="AP939" i="6"/>
  <c r="AQ939" i="6"/>
  <c r="AR939" i="6"/>
  <c r="AS939" i="6"/>
  <c r="AT939" i="6"/>
  <c r="AU939" i="6"/>
  <c r="AV939" i="6"/>
  <c r="AW939" i="6"/>
  <c r="AX939" i="6"/>
  <c r="AY939" i="6"/>
  <c r="AZ939" i="6"/>
  <c r="BA939" i="6"/>
  <c r="BB939" i="6"/>
  <c r="BC939" i="6"/>
  <c r="BD939" i="6"/>
  <c r="BE939" i="6"/>
  <c r="BF939" i="6"/>
  <c r="BG939" i="6"/>
  <c r="BH939" i="6"/>
  <c r="BI939" i="6"/>
  <c r="BJ939" i="6"/>
  <c r="BK939" i="6"/>
  <c r="AL940" i="6"/>
  <c r="AM940" i="6"/>
  <c r="AN940" i="6"/>
  <c r="AO940" i="6"/>
  <c r="AP940" i="6"/>
  <c r="AQ940" i="6"/>
  <c r="AR940" i="6"/>
  <c r="AS940" i="6"/>
  <c r="AT940" i="6"/>
  <c r="AU940" i="6"/>
  <c r="AV940" i="6"/>
  <c r="AW940" i="6"/>
  <c r="AX940" i="6"/>
  <c r="AY940" i="6"/>
  <c r="AZ940" i="6"/>
  <c r="BA940" i="6"/>
  <c r="BB940" i="6"/>
  <c r="BC940" i="6"/>
  <c r="BD940" i="6"/>
  <c r="BE940" i="6"/>
  <c r="BF940" i="6"/>
  <c r="BG940" i="6"/>
  <c r="BH940" i="6"/>
  <c r="BI940" i="6"/>
  <c r="BJ940" i="6"/>
  <c r="BK940" i="6"/>
  <c r="AL941" i="6"/>
  <c r="AM941" i="6"/>
  <c r="AN941" i="6"/>
  <c r="AO941" i="6"/>
  <c r="AP941" i="6"/>
  <c r="AQ941" i="6"/>
  <c r="AR941" i="6"/>
  <c r="AS941" i="6"/>
  <c r="AT941" i="6"/>
  <c r="AU941" i="6"/>
  <c r="AV941" i="6"/>
  <c r="AW941" i="6"/>
  <c r="AX941" i="6"/>
  <c r="AY941" i="6"/>
  <c r="AZ941" i="6"/>
  <c r="BA941" i="6"/>
  <c r="BB941" i="6"/>
  <c r="BC941" i="6"/>
  <c r="BD941" i="6"/>
  <c r="BE941" i="6"/>
  <c r="BF941" i="6"/>
  <c r="BG941" i="6"/>
  <c r="BH941" i="6"/>
  <c r="BI941" i="6"/>
  <c r="BJ941" i="6"/>
  <c r="BK941" i="6"/>
  <c r="AL942" i="6"/>
  <c r="AM942" i="6"/>
  <c r="AN942" i="6"/>
  <c r="AO942" i="6"/>
  <c r="AP942" i="6"/>
  <c r="AQ942" i="6"/>
  <c r="AR942" i="6"/>
  <c r="AS942" i="6"/>
  <c r="AT942" i="6"/>
  <c r="AU942" i="6"/>
  <c r="AV942" i="6"/>
  <c r="AW942" i="6"/>
  <c r="AX942" i="6"/>
  <c r="AY942" i="6"/>
  <c r="AZ942" i="6"/>
  <c r="BA942" i="6"/>
  <c r="BB942" i="6"/>
  <c r="BC942" i="6"/>
  <c r="BD942" i="6"/>
  <c r="BE942" i="6"/>
  <c r="BF942" i="6"/>
  <c r="BG942" i="6"/>
  <c r="BH942" i="6"/>
  <c r="BI942" i="6"/>
  <c r="BJ942" i="6"/>
  <c r="BK942" i="6"/>
  <c r="AL943" i="6"/>
  <c r="AM943" i="6"/>
  <c r="AN943" i="6"/>
  <c r="AO943" i="6"/>
  <c r="AP943" i="6"/>
  <c r="AQ943" i="6"/>
  <c r="AR943" i="6"/>
  <c r="AS943" i="6"/>
  <c r="AT943" i="6"/>
  <c r="AU943" i="6"/>
  <c r="AV943" i="6"/>
  <c r="AW943" i="6"/>
  <c r="AX943" i="6"/>
  <c r="AY943" i="6"/>
  <c r="AZ943" i="6"/>
  <c r="BA943" i="6"/>
  <c r="BB943" i="6"/>
  <c r="BC943" i="6"/>
  <c r="BD943" i="6"/>
  <c r="BE943" i="6"/>
  <c r="BF943" i="6"/>
  <c r="BG943" i="6"/>
  <c r="BH943" i="6"/>
  <c r="BI943" i="6"/>
  <c r="BJ943" i="6"/>
  <c r="BK943" i="6"/>
  <c r="AL944" i="6"/>
  <c r="AM944" i="6"/>
  <c r="AN944" i="6"/>
  <c r="AO944" i="6"/>
  <c r="AP944" i="6"/>
  <c r="AQ944" i="6"/>
  <c r="AR944" i="6"/>
  <c r="AS944" i="6"/>
  <c r="AT944" i="6"/>
  <c r="AU944" i="6"/>
  <c r="AV944" i="6"/>
  <c r="AW944" i="6"/>
  <c r="AX944" i="6"/>
  <c r="AY944" i="6"/>
  <c r="AZ944" i="6"/>
  <c r="BA944" i="6"/>
  <c r="BB944" i="6"/>
  <c r="BC944" i="6"/>
  <c r="BD944" i="6"/>
  <c r="BE944" i="6"/>
  <c r="BF944" i="6"/>
  <c r="BG944" i="6"/>
  <c r="BH944" i="6"/>
  <c r="BI944" i="6"/>
  <c r="BJ944" i="6"/>
  <c r="BK944" i="6"/>
  <c r="AL945" i="6"/>
  <c r="AM945" i="6"/>
  <c r="AN945" i="6"/>
  <c r="AO945" i="6"/>
  <c r="AP945" i="6"/>
  <c r="AQ945" i="6"/>
  <c r="AR945" i="6"/>
  <c r="AS945" i="6"/>
  <c r="AT945" i="6"/>
  <c r="AU945" i="6"/>
  <c r="AV945" i="6"/>
  <c r="AW945" i="6"/>
  <c r="AX945" i="6"/>
  <c r="AY945" i="6"/>
  <c r="AZ945" i="6"/>
  <c r="BA945" i="6"/>
  <c r="BB945" i="6"/>
  <c r="BC945" i="6"/>
  <c r="BD945" i="6"/>
  <c r="BE945" i="6"/>
  <c r="BF945" i="6"/>
  <c r="BG945" i="6"/>
  <c r="BH945" i="6"/>
  <c r="BI945" i="6"/>
  <c r="BJ945" i="6"/>
  <c r="BK945" i="6"/>
  <c r="AL946" i="6"/>
  <c r="AM946" i="6"/>
  <c r="AN946" i="6"/>
  <c r="AO946" i="6"/>
  <c r="AP946" i="6"/>
  <c r="AQ946" i="6"/>
  <c r="AR946" i="6"/>
  <c r="AS946" i="6"/>
  <c r="AT946" i="6"/>
  <c r="AU946" i="6"/>
  <c r="AV946" i="6"/>
  <c r="AW946" i="6"/>
  <c r="AX946" i="6"/>
  <c r="AY946" i="6"/>
  <c r="AZ946" i="6"/>
  <c r="BA946" i="6"/>
  <c r="BB946" i="6"/>
  <c r="BC946" i="6"/>
  <c r="BD946" i="6"/>
  <c r="BE946" i="6"/>
  <c r="BF946" i="6"/>
  <c r="BG946" i="6"/>
  <c r="BH946" i="6"/>
  <c r="BI946" i="6"/>
  <c r="BJ946" i="6"/>
  <c r="BK946" i="6"/>
  <c r="AL947" i="6"/>
  <c r="AM947" i="6"/>
  <c r="AN947" i="6"/>
  <c r="AO947" i="6"/>
  <c r="AP947" i="6"/>
  <c r="AQ947" i="6"/>
  <c r="AR947" i="6"/>
  <c r="AS947" i="6"/>
  <c r="AT947" i="6"/>
  <c r="AU947" i="6"/>
  <c r="AV947" i="6"/>
  <c r="AW947" i="6"/>
  <c r="AX947" i="6"/>
  <c r="AY947" i="6"/>
  <c r="AZ947" i="6"/>
  <c r="BA947" i="6"/>
  <c r="BB947" i="6"/>
  <c r="BC947" i="6"/>
  <c r="BD947" i="6"/>
  <c r="BE947" i="6"/>
  <c r="BF947" i="6"/>
  <c r="BG947" i="6"/>
  <c r="BH947" i="6"/>
  <c r="BI947" i="6"/>
  <c r="BJ947" i="6"/>
  <c r="BK947" i="6"/>
  <c r="AL948" i="6"/>
  <c r="AM948" i="6"/>
  <c r="AN948" i="6"/>
  <c r="AO948" i="6"/>
  <c r="AP948" i="6"/>
  <c r="AQ948" i="6"/>
  <c r="AR948" i="6"/>
  <c r="AS948" i="6"/>
  <c r="AT948" i="6"/>
  <c r="AU948" i="6"/>
  <c r="AV948" i="6"/>
  <c r="AW948" i="6"/>
  <c r="AX948" i="6"/>
  <c r="AY948" i="6"/>
  <c r="AZ948" i="6"/>
  <c r="BA948" i="6"/>
  <c r="BB948" i="6"/>
  <c r="BC948" i="6"/>
  <c r="BD948" i="6"/>
  <c r="BE948" i="6"/>
  <c r="BF948" i="6"/>
  <c r="BG948" i="6"/>
  <c r="BH948" i="6"/>
  <c r="BI948" i="6"/>
  <c r="BJ948" i="6"/>
  <c r="BK948" i="6"/>
  <c r="AL949" i="6"/>
  <c r="AM949" i="6"/>
  <c r="AN949" i="6"/>
  <c r="AO949" i="6"/>
  <c r="AP949" i="6"/>
  <c r="AQ949" i="6"/>
  <c r="AR949" i="6"/>
  <c r="AS949" i="6"/>
  <c r="AT949" i="6"/>
  <c r="AU949" i="6"/>
  <c r="AV949" i="6"/>
  <c r="AW949" i="6"/>
  <c r="AX949" i="6"/>
  <c r="AY949" i="6"/>
  <c r="AZ949" i="6"/>
  <c r="BA949" i="6"/>
  <c r="BB949" i="6"/>
  <c r="BC949" i="6"/>
  <c r="BD949" i="6"/>
  <c r="BE949" i="6"/>
  <c r="BF949" i="6"/>
  <c r="BG949" i="6"/>
  <c r="BH949" i="6"/>
  <c r="BI949" i="6"/>
  <c r="BJ949" i="6"/>
  <c r="BK949" i="6"/>
  <c r="AL950" i="6"/>
  <c r="AM950" i="6"/>
  <c r="AN950" i="6"/>
  <c r="AO950" i="6"/>
  <c r="AP950" i="6"/>
  <c r="AQ950" i="6"/>
  <c r="AR950" i="6"/>
  <c r="AS950" i="6"/>
  <c r="AT950" i="6"/>
  <c r="AU950" i="6"/>
  <c r="AV950" i="6"/>
  <c r="AW950" i="6"/>
  <c r="AX950" i="6"/>
  <c r="AY950" i="6"/>
  <c r="AZ950" i="6"/>
  <c r="BA950" i="6"/>
  <c r="BB950" i="6"/>
  <c r="BC950" i="6"/>
  <c r="BD950" i="6"/>
  <c r="BE950" i="6"/>
  <c r="BF950" i="6"/>
  <c r="BG950" i="6"/>
  <c r="BH950" i="6"/>
  <c r="BI950" i="6"/>
  <c r="BJ950" i="6"/>
  <c r="BK950" i="6"/>
  <c r="AL951" i="6"/>
  <c r="AM951" i="6"/>
  <c r="AN951" i="6"/>
  <c r="AO951" i="6"/>
  <c r="AP951" i="6"/>
  <c r="AQ951" i="6"/>
  <c r="AR951" i="6"/>
  <c r="AS951" i="6"/>
  <c r="AT951" i="6"/>
  <c r="AU951" i="6"/>
  <c r="AV951" i="6"/>
  <c r="AW951" i="6"/>
  <c r="AX951" i="6"/>
  <c r="AY951" i="6"/>
  <c r="AZ951" i="6"/>
  <c r="BA951" i="6"/>
  <c r="BB951" i="6"/>
  <c r="BC951" i="6"/>
  <c r="BD951" i="6"/>
  <c r="BE951" i="6"/>
  <c r="BF951" i="6"/>
  <c r="BG951" i="6"/>
  <c r="BH951" i="6"/>
  <c r="BI951" i="6"/>
  <c r="BJ951" i="6"/>
  <c r="BK951" i="6"/>
  <c r="AL952" i="6"/>
  <c r="AM952" i="6"/>
  <c r="AN952" i="6"/>
  <c r="AO952" i="6"/>
  <c r="AP952" i="6"/>
  <c r="AQ952" i="6"/>
  <c r="AR952" i="6"/>
  <c r="AS952" i="6"/>
  <c r="AT952" i="6"/>
  <c r="AU952" i="6"/>
  <c r="AV952" i="6"/>
  <c r="AW952" i="6"/>
  <c r="AX952" i="6"/>
  <c r="AY952" i="6"/>
  <c r="AZ952" i="6"/>
  <c r="BA952" i="6"/>
  <c r="BB952" i="6"/>
  <c r="BC952" i="6"/>
  <c r="BD952" i="6"/>
  <c r="BE952" i="6"/>
  <c r="BF952" i="6"/>
  <c r="BG952" i="6"/>
  <c r="BH952" i="6"/>
  <c r="BI952" i="6"/>
  <c r="BJ952" i="6"/>
  <c r="BK952" i="6"/>
  <c r="AL953" i="6"/>
  <c r="AM953" i="6"/>
  <c r="AN953" i="6"/>
  <c r="AO953" i="6"/>
  <c r="AP953" i="6"/>
  <c r="AQ953" i="6"/>
  <c r="AR953" i="6"/>
  <c r="AS953" i="6"/>
  <c r="AT953" i="6"/>
  <c r="AU953" i="6"/>
  <c r="AV953" i="6"/>
  <c r="AW953" i="6"/>
  <c r="AX953" i="6"/>
  <c r="AY953" i="6"/>
  <c r="AZ953" i="6"/>
  <c r="BA953" i="6"/>
  <c r="BB953" i="6"/>
  <c r="BC953" i="6"/>
  <c r="BD953" i="6"/>
  <c r="BE953" i="6"/>
  <c r="BF953" i="6"/>
  <c r="BG953" i="6"/>
  <c r="BH953" i="6"/>
  <c r="BI953" i="6"/>
  <c r="BJ953" i="6"/>
  <c r="BK953" i="6"/>
  <c r="AL954" i="6"/>
  <c r="AM954" i="6"/>
  <c r="AN954" i="6"/>
  <c r="AO954" i="6"/>
  <c r="AP954" i="6"/>
  <c r="AQ954" i="6"/>
  <c r="AR954" i="6"/>
  <c r="AS954" i="6"/>
  <c r="AT954" i="6"/>
  <c r="AU954" i="6"/>
  <c r="AV954" i="6"/>
  <c r="AW954" i="6"/>
  <c r="AX954" i="6"/>
  <c r="AY954" i="6"/>
  <c r="AZ954" i="6"/>
  <c r="BA954" i="6"/>
  <c r="BB954" i="6"/>
  <c r="BC954" i="6"/>
  <c r="BD954" i="6"/>
  <c r="BE954" i="6"/>
  <c r="BF954" i="6"/>
  <c r="BG954" i="6"/>
  <c r="BH954" i="6"/>
  <c r="BI954" i="6"/>
  <c r="BJ954" i="6"/>
  <c r="BK954" i="6"/>
  <c r="AL955" i="6"/>
  <c r="AM955" i="6"/>
  <c r="AN955" i="6"/>
  <c r="AO955" i="6"/>
  <c r="AP955" i="6"/>
  <c r="AQ955" i="6"/>
  <c r="AR955" i="6"/>
  <c r="AS955" i="6"/>
  <c r="AT955" i="6"/>
  <c r="AU955" i="6"/>
  <c r="AV955" i="6"/>
  <c r="AW955" i="6"/>
  <c r="AX955" i="6"/>
  <c r="AY955" i="6"/>
  <c r="AZ955" i="6"/>
  <c r="BA955" i="6"/>
  <c r="BB955" i="6"/>
  <c r="BC955" i="6"/>
  <c r="BD955" i="6"/>
  <c r="BE955" i="6"/>
  <c r="BF955" i="6"/>
  <c r="BG955" i="6"/>
  <c r="BH955" i="6"/>
  <c r="BI955" i="6"/>
  <c r="BJ955" i="6"/>
  <c r="BK955" i="6"/>
  <c r="AL956" i="6"/>
  <c r="AM956" i="6"/>
  <c r="AN956" i="6"/>
  <c r="AO956" i="6"/>
  <c r="AP956" i="6"/>
  <c r="AQ956" i="6"/>
  <c r="AR956" i="6"/>
  <c r="AS956" i="6"/>
  <c r="AT956" i="6"/>
  <c r="AU956" i="6"/>
  <c r="AV956" i="6"/>
  <c r="AW956" i="6"/>
  <c r="AX956" i="6"/>
  <c r="AY956" i="6"/>
  <c r="AZ956" i="6"/>
  <c r="BA956" i="6"/>
  <c r="BB956" i="6"/>
  <c r="BC956" i="6"/>
  <c r="BD956" i="6"/>
  <c r="BE956" i="6"/>
  <c r="BF956" i="6"/>
  <c r="BG956" i="6"/>
  <c r="BH956" i="6"/>
  <c r="BI956" i="6"/>
  <c r="BJ956" i="6"/>
  <c r="BK956" i="6"/>
  <c r="AL957" i="6"/>
  <c r="AM957" i="6"/>
  <c r="AN957" i="6"/>
  <c r="AO957" i="6"/>
  <c r="AP957" i="6"/>
  <c r="AQ957" i="6"/>
  <c r="AR957" i="6"/>
  <c r="AS957" i="6"/>
  <c r="AT957" i="6"/>
  <c r="AU957" i="6"/>
  <c r="AV957" i="6"/>
  <c r="AW957" i="6"/>
  <c r="AX957" i="6"/>
  <c r="AY957" i="6"/>
  <c r="AZ957" i="6"/>
  <c r="BA957" i="6"/>
  <c r="BB957" i="6"/>
  <c r="BC957" i="6"/>
  <c r="BD957" i="6"/>
  <c r="BE957" i="6"/>
  <c r="BF957" i="6"/>
  <c r="BG957" i="6"/>
  <c r="BH957" i="6"/>
  <c r="BI957" i="6"/>
  <c r="BJ957" i="6"/>
  <c r="BK957" i="6"/>
  <c r="AL958" i="6"/>
  <c r="AM958" i="6"/>
  <c r="AN958" i="6"/>
  <c r="AO958" i="6"/>
  <c r="AP958" i="6"/>
  <c r="AQ958" i="6"/>
  <c r="AR958" i="6"/>
  <c r="AS958" i="6"/>
  <c r="AT958" i="6"/>
  <c r="AU958" i="6"/>
  <c r="AV958" i="6"/>
  <c r="AW958" i="6"/>
  <c r="AX958" i="6"/>
  <c r="AY958" i="6"/>
  <c r="AZ958" i="6"/>
  <c r="BA958" i="6"/>
  <c r="BB958" i="6"/>
  <c r="BC958" i="6"/>
  <c r="BD958" i="6"/>
  <c r="BE958" i="6"/>
  <c r="BF958" i="6"/>
  <c r="BG958" i="6"/>
  <c r="BH958" i="6"/>
  <c r="BI958" i="6"/>
  <c r="BJ958" i="6"/>
  <c r="BK958" i="6"/>
  <c r="AL959" i="6"/>
  <c r="AM959" i="6"/>
  <c r="AN959" i="6"/>
  <c r="AO959" i="6"/>
  <c r="AP959" i="6"/>
  <c r="AQ959" i="6"/>
  <c r="AR959" i="6"/>
  <c r="AS959" i="6"/>
  <c r="AT959" i="6"/>
  <c r="AU959" i="6"/>
  <c r="AV959" i="6"/>
  <c r="AW959" i="6"/>
  <c r="AX959" i="6"/>
  <c r="AY959" i="6"/>
  <c r="AZ959" i="6"/>
  <c r="BA959" i="6"/>
  <c r="BB959" i="6"/>
  <c r="BC959" i="6"/>
  <c r="BD959" i="6"/>
  <c r="BE959" i="6"/>
  <c r="BF959" i="6"/>
  <c r="BG959" i="6"/>
  <c r="BH959" i="6"/>
  <c r="BI959" i="6"/>
  <c r="BJ959" i="6"/>
  <c r="BK959" i="6"/>
  <c r="AL960" i="6"/>
  <c r="AM960" i="6"/>
  <c r="AN960" i="6"/>
  <c r="AO960" i="6"/>
  <c r="AP960" i="6"/>
  <c r="AQ960" i="6"/>
  <c r="AR960" i="6"/>
  <c r="AS960" i="6"/>
  <c r="AT960" i="6"/>
  <c r="AU960" i="6"/>
  <c r="AV960" i="6"/>
  <c r="AW960" i="6"/>
  <c r="AX960" i="6"/>
  <c r="AY960" i="6"/>
  <c r="AZ960" i="6"/>
  <c r="BA960" i="6"/>
  <c r="BB960" i="6"/>
  <c r="BC960" i="6"/>
  <c r="BD960" i="6"/>
  <c r="BE960" i="6"/>
  <c r="BF960" i="6"/>
  <c r="BG960" i="6"/>
  <c r="BH960" i="6"/>
  <c r="BI960" i="6"/>
  <c r="BJ960" i="6"/>
  <c r="BK960" i="6"/>
  <c r="AL961" i="6"/>
  <c r="AM961" i="6"/>
  <c r="AN961" i="6"/>
  <c r="AO961" i="6"/>
  <c r="AP961" i="6"/>
  <c r="AQ961" i="6"/>
  <c r="AR961" i="6"/>
  <c r="AS961" i="6"/>
  <c r="AT961" i="6"/>
  <c r="AU961" i="6"/>
  <c r="AV961" i="6"/>
  <c r="AW961" i="6"/>
  <c r="AX961" i="6"/>
  <c r="AY961" i="6"/>
  <c r="AZ961" i="6"/>
  <c r="BA961" i="6"/>
  <c r="BB961" i="6"/>
  <c r="BC961" i="6"/>
  <c r="BD961" i="6"/>
  <c r="BE961" i="6"/>
  <c r="BF961" i="6"/>
  <c r="BG961" i="6"/>
  <c r="BH961" i="6"/>
  <c r="BI961" i="6"/>
  <c r="BJ961" i="6"/>
  <c r="BK961" i="6"/>
  <c r="AL962" i="6"/>
  <c r="AM962" i="6"/>
  <c r="AN962" i="6"/>
  <c r="AO962" i="6"/>
  <c r="AP962" i="6"/>
  <c r="AQ962" i="6"/>
  <c r="AR962" i="6"/>
  <c r="AS962" i="6"/>
  <c r="AT962" i="6"/>
  <c r="AU962" i="6"/>
  <c r="AV962" i="6"/>
  <c r="AW962" i="6"/>
  <c r="AX962" i="6"/>
  <c r="AY962" i="6"/>
  <c r="AZ962" i="6"/>
  <c r="BA962" i="6"/>
  <c r="BB962" i="6"/>
  <c r="BC962" i="6"/>
  <c r="BD962" i="6"/>
  <c r="BE962" i="6"/>
  <c r="BF962" i="6"/>
  <c r="BG962" i="6"/>
  <c r="BH962" i="6"/>
  <c r="BI962" i="6"/>
  <c r="BJ962" i="6"/>
  <c r="BK962" i="6"/>
  <c r="AL963" i="6"/>
  <c r="AM963" i="6"/>
  <c r="AN963" i="6"/>
  <c r="AO963" i="6"/>
  <c r="AP963" i="6"/>
  <c r="AQ963" i="6"/>
  <c r="AR963" i="6"/>
  <c r="AS963" i="6"/>
  <c r="AT963" i="6"/>
  <c r="AU963" i="6"/>
  <c r="AV963" i="6"/>
  <c r="AW963" i="6"/>
  <c r="AX963" i="6"/>
  <c r="AY963" i="6"/>
  <c r="AZ963" i="6"/>
  <c r="BA963" i="6"/>
  <c r="BB963" i="6"/>
  <c r="BC963" i="6"/>
  <c r="BD963" i="6"/>
  <c r="BE963" i="6"/>
  <c r="BF963" i="6"/>
  <c r="BG963" i="6"/>
  <c r="BH963" i="6"/>
  <c r="BI963" i="6"/>
  <c r="BJ963" i="6"/>
  <c r="BK963" i="6"/>
  <c r="AL964" i="6"/>
  <c r="AM964" i="6"/>
  <c r="AN964" i="6"/>
  <c r="AO964" i="6"/>
  <c r="AP964" i="6"/>
  <c r="AQ964" i="6"/>
  <c r="AR964" i="6"/>
  <c r="AS964" i="6"/>
  <c r="AT964" i="6"/>
  <c r="AU964" i="6"/>
  <c r="AV964" i="6"/>
  <c r="AW964" i="6"/>
  <c r="AX964" i="6"/>
  <c r="AY964" i="6"/>
  <c r="AZ964" i="6"/>
  <c r="BA964" i="6"/>
  <c r="BB964" i="6"/>
  <c r="BC964" i="6"/>
  <c r="BD964" i="6"/>
  <c r="BE964" i="6"/>
  <c r="BF964" i="6"/>
  <c r="BG964" i="6"/>
  <c r="BH964" i="6"/>
  <c r="BI964" i="6"/>
  <c r="BJ964" i="6"/>
  <c r="BK964" i="6"/>
  <c r="AL965" i="6"/>
  <c r="AM965" i="6"/>
  <c r="AN965" i="6"/>
  <c r="AO965" i="6"/>
  <c r="AP965" i="6"/>
  <c r="AQ965" i="6"/>
  <c r="AR965" i="6"/>
  <c r="AS965" i="6"/>
  <c r="AT965" i="6"/>
  <c r="AU965" i="6"/>
  <c r="AV965" i="6"/>
  <c r="AW965" i="6"/>
  <c r="AX965" i="6"/>
  <c r="AY965" i="6"/>
  <c r="AZ965" i="6"/>
  <c r="BA965" i="6"/>
  <c r="BB965" i="6"/>
  <c r="BC965" i="6"/>
  <c r="BD965" i="6"/>
  <c r="BE965" i="6"/>
  <c r="BF965" i="6"/>
  <c r="BG965" i="6"/>
  <c r="BH965" i="6"/>
  <c r="BI965" i="6"/>
  <c r="BJ965" i="6"/>
  <c r="BK965" i="6"/>
  <c r="AL966" i="6"/>
  <c r="AM966" i="6"/>
  <c r="AN966" i="6"/>
  <c r="AO966" i="6"/>
  <c r="AP966" i="6"/>
  <c r="AQ966" i="6"/>
  <c r="AR966" i="6"/>
  <c r="AS966" i="6"/>
  <c r="AT966" i="6"/>
  <c r="AU966" i="6"/>
  <c r="AV966" i="6"/>
  <c r="AW966" i="6"/>
  <c r="AX966" i="6"/>
  <c r="AY966" i="6"/>
  <c r="AZ966" i="6"/>
  <c r="BA966" i="6"/>
  <c r="BB966" i="6"/>
  <c r="BC966" i="6"/>
  <c r="BD966" i="6"/>
  <c r="BE966" i="6"/>
  <c r="BF966" i="6"/>
  <c r="BG966" i="6"/>
  <c r="BH966" i="6"/>
  <c r="BI966" i="6"/>
  <c r="BJ966" i="6"/>
  <c r="BK966" i="6"/>
  <c r="AL967" i="6"/>
  <c r="AM967" i="6"/>
  <c r="AN967" i="6"/>
  <c r="AO967" i="6"/>
  <c r="AP967" i="6"/>
  <c r="AQ967" i="6"/>
  <c r="AR967" i="6"/>
  <c r="AS967" i="6"/>
  <c r="AT967" i="6"/>
  <c r="AU967" i="6"/>
  <c r="AV967" i="6"/>
  <c r="AW967" i="6"/>
  <c r="AX967" i="6"/>
  <c r="AY967" i="6"/>
  <c r="AZ967" i="6"/>
  <c r="BA967" i="6"/>
  <c r="BB967" i="6"/>
  <c r="BC967" i="6"/>
  <c r="BD967" i="6"/>
  <c r="BE967" i="6"/>
  <c r="BF967" i="6"/>
  <c r="BG967" i="6"/>
  <c r="BH967" i="6"/>
  <c r="BI967" i="6"/>
  <c r="BJ967" i="6"/>
  <c r="BK967" i="6"/>
  <c r="AL968" i="6"/>
  <c r="AM968" i="6"/>
  <c r="AN968" i="6"/>
  <c r="AO968" i="6"/>
  <c r="AP968" i="6"/>
  <c r="AQ968" i="6"/>
  <c r="AR968" i="6"/>
  <c r="AS968" i="6"/>
  <c r="AT968" i="6"/>
  <c r="AU968" i="6"/>
  <c r="AV968" i="6"/>
  <c r="AW968" i="6"/>
  <c r="AX968" i="6"/>
  <c r="AY968" i="6"/>
  <c r="AZ968" i="6"/>
  <c r="BA968" i="6"/>
  <c r="BB968" i="6"/>
  <c r="BC968" i="6"/>
  <c r="BD968" i="6"/>
  <c r="BE968" i="6"/>
  <c r="BF968" i="6"/>
  <c r="BG968" i="6"/>
  <c r="BH968" i="6"/>
  <c r="BI968" i="6"/>
  <c r="BJ968" i="6"/>
  <c r="BK968" i="6"/>
  <c r="AL969" i="6"/>
  <c r="AM969" i="6"/>
  <c r="AN969" i="6"/>
  <c r="AO969" i="6"/>
  <c r="AP969" i="6"/>
  <c r="AQ969" i="6"/>
  <c r="AR969" i="6"/>
  <c r="AS969" i="6"/>
  <c r="AT969" i="6"/>
  <c r="AU969" i="6"/>
  <c r="AV969" i="6"/>
  <c r="AW969" i="6"/>
  <c r="AX969" i="6"/>
  <c r="AY969" i="6"/>
  <c r="AZ969" i="6"/>
  <c r="BA969" i="6"/>
  <c r="BB969" i="6"/>
  <c r="BC969" i="6"/>
  <c r="BD969" i="6"/>
  <c r="BE969" i="6"/>
  <c r="BF969" i="6"/>
  <c r="BG969" i="6"/>
  <c r="BH969" i="6"/>
  <c r="BI969" i="6"/>
  <c r="BJ969" i="6"/>
  <c r="BK969" i="6"/>
  <c r="AL970" i="6"/>
  <c r="AM970" i="6"/>
  <c r="AN970" i="6"/>
  <c r="AO970" i="6"/>
  <c r="AP970" i="6"/>
  <c r="AQ970" i="6"/>
  <c r="AR970" i="6"/>
  <c r="AS970" i="6"/>
  <c r="AT970" i="6"/>
  <c r="AU970" i="6"/>
  <c r="AV970" i="6"/>
  <c r="AW970" i="6"/>
  <c r="AX970" i="6"/>
  <c r="AY970" i="6"/>
  <c r="AZ970" i="6"/>
  <c r="BA970" i="6"/>
  <c r="BB970" i="6"/>
  <c r="BC970" i="6"/>
  <c r="BD970" i="6"/>
  <c r="BE970" i="6"/>
  <c r="BF970" i="6"/>
  <c r="BG970" i="6"/>
  <c r="BH970" i="6"/>
  <c r="BI970" i="6"/>
  <c r="BJ970" i="6"/>
  <c r="BK970" i="6"/>
  <c r="AL971" i="6"/>
  <c r="AM971" i="6"/>
  <c r="AN971" i="6"/>
  <c r="AO971" i="6"/>
  <c r="AP971" i="6"/>
  <c r="AQ971" i="6"/>
  <c r="AR971" i="6"/>
  <c r="AS971" i="6"/>
  <c r="AT971" i="6"/>
  <c r="AU971" i="6"/>
  <c r="AV971" i="6"/>
  <c r="AW971" i="6"/>
  <c r="AX971" i="6"/>
  <c r="AY971" i="6"/>
  <c r="AZ971" i="6"/>
  <c r="BA971" i="6"/>
  <c r="BB971" i="6"/>
  <c r="BC971" i="6"/>
  <c r="BD971" i="6"/>
  <c r="BE971" i="6"/>
  <c r="BF971" i="6"/>
  <c r="BG971" i="6"/>
  <c r="BH971" i="6"/>
  <c r="BI971" i="6"/>
  <c r="BJ971" i="6"/>
  <c r="BK971" i="6"/>
  <c r="AL972" i="6"/>
  <c r="AM972" i="6"/>
  <c r="AN972" i="6"/>
  <c r="AO972" i="6"/>
  <c r="AP972" i="6"/>
  <c r="AQ972" i="6"/>
  <c r="AR972" i="6"/>
  <c r="AS972" i="6"/>
  <c r="AT972" i="6"/>
  <c r="AU972" i="6"/>
  <c r="AV972" i="6"/>
  <c r="AW972" i="6"/>
  <c r="AX972" i="6"/>
  <c r="AY972" i="6"/>
  <c r="AZ972" i="6"/>
  <c r="BA972" i="6"/>
  <c r="BB972" i="6"/>
  <c r="BC972" i="6"/>
  <c r="BD972" i="6"/>
  <c r="BE972" i="6"/>
  <c r="BF972" i="6"/>
  <c r="BG972" i="6"/>
  <c r="BH972" i="6"/>
  <c r="BI972" i="6"/>
  <c r="BJ972" i="6"/>
  <c r="BK972" i="6"/>
  <c r="AL973" i="6"/>
  <c r="AM973" i="6"/>
  <c r="AN973" i="6"/>
  <c r="AO973" i="6"/>
  <c r="AP973" i="6"/>
  <c r="AQ973" i="6"/>
  <c r="AR973" i="6"/>
  <c r="AS973" i="6"/>
  <c r="AT973" i="6"/>
  <c r="AU973" i="6"/>
  <c r="AV973" i="6"/>
  <c r="AW973" i="6"/>
  <c r="AX973" i="6"/>
  <c r="AY973" i="6"/>
  <c r="AZ973" i="6"/>
  <c r="BA973" i="6"/>
  <c r="BB973" i="6"/>
  <c r="BC973" i="6"/>
  <c r="BD973" i="6"/>
  <c r="BE973" i="6"/>
  <c r="BF973" i="6"/>
  <c r="BG973" i="6"/>
  <c r="BH973" i="6"/>
  <c r="BI973" i="6"/>
  <c r="BJ973" i="6"/>
  <c r="BK973" i="6"/>
  <c r="AL974" i="6"/>
  <c r="AM974" i="6"/>
  <c r="AN974" i="6"/>
  <c r="AO974" i="6"/>
  <c r="AP974" i="6"/>
  <c r="AQ974" i="6"/>
  <c r="AR974" i="6"/>
  <c r="AS974" i="6"/>
  <c r="AT974" i="6"/>
  <c r="AU974" i="6"/>
  <c r="AV974" i="6"/>
  <c r="AW974" i="6"/>
  <c r="AX974" i="6"/>
  <c r="AY974" i="6"/>
  <c r="AZ974" i="6"/>
  <c r="BA974" i="6"/>
  <c r="BB974" i="6"/>
  <c r="BC974" i="6"/>
  <c r="BD974" i="6"/>
  <c r="BE974" i="6"/>
  <c r="BF974" i="6"/>
  <c r="BG974" i="6"/>
  <c r="BH974" i="6"/>
  <c r="BI974" i="6"/>
  <c r="BJ974" i="6"/>
  <c r="BK974" i="6"/>
  <c r="AL975" i="6"/>
  <c r="AM975" i="6"/>
  <c r="AN975" i="6"/>
  <c r="AO975" i="6"/>
  <c r="AP975" i="6"/>
  <c r="AQ975" i="6"/>
  <c r="AR975" i="6"/>
  <c r="AS975" i="6"/>
  <c r="AT975" i="6"/>
  <c r="AU975" i="6"/>
  <c r="AV975" i="6"/>
  <c r="AW975" i="6"/>
  <c r="AX975" i="6"/>
  <c r="AY975" i="6"/>
  <c r="AZ975" i="6"/>
  <c r="BA975" i="6"/>
  <c r="BB975" i="6"/>
  <c r="BC975" i="6"/>
  <c r="BD975" i="6"/>
  <c r="BE975" i="6"/>
  <c r="BF975" i="6"/>
  <c r="BG975" i="6"/>
  <c r="BH975" i="6"/>
  <c r="BI975" i="6"/>
  <c r="BJ975" i="6"/>
  <c r="BK975" i="6"/>
  <c r="AL976" i="6"/>
  <c r="AM976" i="6"/>
  <c r="AN976" i="6"/>
  <c r="AO976" i="6"/>
  <c r="AP976" i="6"/>
  <c r="AQ976" i="6"/>
  <c r="AR976" i="6"/>
  <c r="AS976" i="6"/>
  <c r="AT976" i="6"/>
  <c r="AU976" i="6"/>
  <c r="AV976" i="6"/>
  <c r="AW976" i="6"/>
  <c r="AX976" i="6"/>
  <c r="AY976" i="6"/>
  <c r="AZ976" i="6"/>
  <c r="BA976" i="6"/>
  <c r="BB976" i="6"/>
  <c r="BC976" i="6"/>
  <c r="BD976" i="6"/>
  <c r="BE976" i="6"/>
  <c r="BF976" i="6"/>
  <c r="BG976" i="6"/>
  <c r="BH976" i="6"/>
  <c r="BI976" i="6"/>
  <c r="BJ976" i="6"/>
  <c r="BK976" i="6"/>
  <c r="AL977" i="6"/>
  <c r="AM977" i="6"/>
  <c r="AN977" i="6"/>
  <c r="AO977" i="6"/>
  <c r="AP977" i="6"/>
  <c r="AQ977" i="6"/>
  <c r="AR977" i="6"/>
  <c r="AS977" i="6"/>
  <c r="AT977" i="6"/>
  <c r="AU977" i="6"/>
  <c r="AV977" i="6"/>
  <c r="AW977" i="6"/>
  <c r="AX977" i="6"/>
  <c r="AY977" i="6"/>
  <c r="AZ977" i="6"/>
  <c r="BA977" i="6"/>
  <c r="BB977" i="6"/>
  <c r="BC977" i="6"/>
  <c r="BD977" i="6"/>
  <c r="BE977" i="6"/>
  <c r="BF977" i="6"/>
  <c r="BG977" i="6"/>
  <c r="BH977" i="6"/>
  <c r="BI977" i="6"/>
  <c r="BJ977" i="6"/>
  <c r="BK977" i="6"/>
  <c r="AL978" i="6"/>
  <c r="AM978" i="6"/>
  <c r="AN978" i="6"/>
  <c r="AO978" i="6"/>
  <c r="AP978" i="6"/>
  <c r="AQ978" i="6"/>
  <c r="AR978" i="6"/>
  <c r="AS978" i="6"/>
  <c r="AT978" i="6"/>
  <c r="AU978" i="6"/>
  <c r="AV978" i="6"/>
  <c r="AW978" i="6"/>
  <c r="AX978" i="6"/>
  <c r="AY978" i="6"/>
  <c r="AZ978" i="6"/>
  <c r="BA978" i="6"/>
  <c r="BB978" i="6"/>
  <c r="BC978" i="6"/>
  <c r="BD978" i="6"/>
  <c r="BE978" i="6"/>
  <c r="BF978" i="6"/>
  <c r="BG978" i="6"/>
  <c r="BH978" i="6"/>
  <c r="BI978" i="6"/>
  <c r="BJ978" i="6"/>
  <c r="BK978" i="6"/>
  <c r="AL979" i="6"/>
  <c r="AM979" i="6"/>
  <c r="AN979" i="6"/>
  <c r="AO979" i="6"/>
  <c r="AP979" i="6"/>
  <c r="AQ979" i="6"/>
  <c r="AR979" i="6"/>
  <c r="AS979" i="6"/>
  <c r="AT979" i="6"/>
  <c r="AU979" i="6"/>
  <c r="AV979" i="6"/>
  <c r="AW979" i="6"/>
  <c r="AX979" i="6"/>
  <c r="AY979" i="6"/>
  <c r="AZ979" i="6"/>
  <c r="BA979" i="6"/>
  <c r="BB979" i="6"/>
  <c r="BC979" i="6"/>
  <c r="BD979" i="6"/>
  <c r="BE979" i="6"/>
  <c r="BF979" i="6"/>
  <c r="BG979" i="6"/>
  <c r="BH979" i="6"/>
  <c r="BI979" i="6"/>
  <c r="BJ979" i="6"/>
  <c r="BK979" i="6"/>
  <c r="AL980" i="6"/>
  <c r="AM980" i="6"/>
  <c r="AN980" i="6"/>
  <c r="AO980" i="6"/>
  <c r="AP980" i="6"/>
  <c r="AQ980" i="6"/>
  <c r="AR980" i="6"/>
  <c r="AS980" i="6"/>
  <c r="AT980" i="6"/>
  <c r="AU980" i="6"/>
  <c r="AV980" i="6"/>
  <c r="AW980" i="6"/>
  <c r="AX980" i="6"/>
  <c r="AY980" i="6"/>
  <c r="AZ980" i="6"/>
  <c r="BA980" i="6"/>
  <c r="BB980" i="6"/>
  <c r="BC980" i="6"/>
  <c r="BD980" i="6"/>
  <c r="BE980" i="6"/>
  <c r="BF980" i="6"/>
  <c r="BG980" i="6"/>
  <c r="BH980" i="6"/>
  <c r="BI980" i="6"/>
  <c r="BJ980" i="6"/>
  <c r="BK980" i="6"/>
  <c r="AL981" i="6"/>
  <c r="AM981" i="6"/>
  <c r="AN981" i="6"/>
  <c r="AO981" i="6"/>
  <c r="AP981" i="6"/>
  <c r="AQ981" i="6"/>
  <c r="AR981" i="6"/>
  <c r="AS981" i="6"/>
  <c r="AT981" i="6"/>
  <c r="AU981" i="6"/>
  <c r="AV981" i="6"/>
  <c r="AW981" i="6"/>
  <c r="AX981" i="6"/>
  <c r="AY981" i="6"/>
  <c r="AZ981" i="6"/>
  <c r="BA981" i="6"/>
  <c r="BB981" i="6"/>
  <c r="BC981" i="6"/>
  <c r="BD981" i="6"/>
  <c r="BE981" i="6"/>
  <c r="BF981" i="6"/>
  <c r="BG981" i="6"/>
  <c r="BH981" i="6"/>
  <c r="BI981" i="6"/>
  <c r="BJ981" i="6"/>
  <c r="BK981" i="6"/>
  <c r="AL982" i="6"/>
  <c r="AM982" i="6"/>
  <c r="AN982" i="6"/>
  <c r="AO982" i="6"/>
  <c r="AP982" i="6"/>
  <c r="AQ982" i="6"/>
  <c r="AR982" i="6"/>
  <c r="AS982" i="6"/>
  <c r="AT982" i="6"/>
  <c r="AU982" i="6"/>
  <c r="AV982" i="6"/>
  <c r="AW982" i="6"/>
  <c r="AX982" i="6"/>
  <c r="AY982" i="6"/>
  <c r="AZ982" i="6"/>
  <c r="BA982" i="6"/>
  <c r="BB982" i="6"/>
  <c r="BC982" i="6"/>
  <c r="BD982" i="6"/>
  <c r="BE982" i="6"/>
  <c r="BF982" i="6"/>
  <c r="BG982" i="6"/>
  <c r="BH982" i="6"/>
  <c r="BI982" i="6"/>
  <c r="BJ982" i="6"/>
  <c r="BK982" i="6"/>
  <c r="AL983" i="6"/>
  <c r="AM983" i="6"/>
  <c r="AN983" i="6"/>
  <c r="AO983" i="6"/>
  <c r="AP983" i="6"/>
  <c r="AQ983" i="6"/>
  <c r="AR983" i="6"/>
  <c r="AS983" i="6"/>
  <c r="AT983" i="6"/>
  <c r="AU983" i="6"/>
  <c r="AV983" i="6"/>
  <c r="AW983" i="6"/>
  <c r="AX983" i="6"/>
  <c r="AY983" i="6"/>
  <c r="AZ983" i="6"/>
  <c r="BA983" i="6"/>
  <c r="BB983" i="6"/>
  <c r="BC983" i="6"/>
  <c r="BD983" i="6"/>
  <c r="BE983" i="6"/>
  <c r="BF983" i="6"/>
  <c r="BG983" i="6"/>
  <c r="BH983" i="6"/>
  <c r="BI983" i="6"/>
  <c r="BJ983" i="6"/>
  <c r="BK983" i="6"/>
  <c r="AL984" i="6"/>
  <c r="AM984" i="6"/>
  <c r="AN984" i="6"/>
  <c r="AO984" i="6"/>
  <c r="AP984" i="6"/>
  <c r="AQ984" i="6"/>
  <c r="AR984" i="6"/>
  <c r="AS984" i="6"/>
  <c r="AT984" i="6"/>
  <c r="AU984" i="6"/>
  <c r="AV984" i="6"/>
  <c r="AW984" i="6"/>
  <c r="AX984" i="6"/>
  <c r="AY984" i="6"/>
  <c r="AZ984" i="6"/>
  <c r="BA984" i="6"/>
  <c r="BB984" i="6"/>
  <c r="BC984" i="6"/>
  <c r="BD984" i="6"/>
  <c r="BE984" i="6"/>
  <c r="BF984" i="6"/>
  <c r="BG984" i="6"/>
  <c r="BH984" i="6"/>
  <c r="BI984" i="6"/>
  <c r="BJ984" i="6"/>
  <c r="BK984" i="6"/>
  <c r="AL985" i="6"/>
  <c r="AM985" i="6"/>
  <c r="AN985" i="6"/>
  <c r="AO985" i="6"/>
  <c r="AP985" i="6"/>
  <c r="AQ985" i="6"/>
  <c r="AR985" i="6"/>
  <c r="AS985" i="6"/>
  <c r="AT985" i="6"/>
  <c r="AU985" i="6"/>
  <c r="AV985" i="6"/>
  <c r="AW985" i="6"/>
  <c r="AX985" i="6"/>
  <c r="AY985" i="6"/>
  <c r="AZ985" i="6"/>
  <c r="BA985" i="6"/>
  <c r="BB985" i="6"/>
  <c r="BC985" i="6"/>
  <c r="BD985" i="6"/>
  <c r="BE985" i="6"/>
  <c r="BF985" i="6"/>
  <c r="BG985" i="6"/>
  <c r="BH985" i="6"/>
  <c r="BI985" i="6"/>
  <c r="BJ985" i="6"/>
  <c r="BK985" i="6"/>
  <c r="AL986" i="6"/>
  <c r="AM986" i="6"/>
  <c r="AN986" i="6"/>
  <c r="AO986" i="6"/>
  <c r="AP986" i="6"/>
  <c r="AQ986" i="6"/>
  <c r="AR986" i="6"/>
  <c r="AS986" i="6"/>
  <c r="AT986" i="6"/>
  <c r="AU986" i="6"/>
  <c r="AV986" i="6"/>
  <c r="AW986" i="6"/>
  <c r="AX986" i="6"/>
  <c r="AY986" i="6"/>
  <c r="AZ986" i="6"/>
  <c r="BA986" i="6"/>
  <c r="BB986" i="6"/>
  <c r="BC986" i="6"/>
  <c r="BD986" i="6"/>
  <c r="BE986" i="6"/>
  <c r="BF986" i="6"/>
  <c r="BG986" i="6"/>
  <c r="BH986" i="6"/>
  <c r="BI986" i="6"/>
  <c r="BJ986" i="6"/>
  <c r="BK986" i="6"/>
  <c r="AL987" i="6"/>
  <c r="AM987" i="6"/>
  <c r="AN987" i="6"/>
  <c r="AO987" i="6"/>
  <c r="AP987" i="6"/>
  <c r="AQ987" i="6"/>
  <c r="AR987" i="6"/>
  <c r="AS987" i="6"/>
  <c r="AT987" i="6"/>
  <c r="AU987" i="6"/>
  <c r="AV987" i="6"/>
  <c r="AW987" i="6"/>
  <c r="AX987" i="6"/>
  <c r="AY987" i="6"/>
  <c r="AZ987" i="6"/>
  <c r="BA987" i="6"/>
  <c r="BB987" i="6"/>
  <c r="BC987" i="6"/>
  <c r="BD987" i="6"/>
  <c r="BE987" i="6"/>
  <c r="BF987" i="6"/>
  <c r="BG987" i="6"/>
  <c r="BH987" i="6"/>
  <c r="BI987" i="6"/>
  <c r="BJ987" i="6"/>
  <c r="BK987" i="6"/>
  <c r="AL988" i="6"/>
  <c r="AM988" i="6"/>
  <c r="AN988" i="6"/>
  <c r="AO988" i="6"/>
  <c r="AP988" i="6"/>
  <c r="AQ988" i="6"/>
  <c r="AR988" i="6"/>
  <c r="AS988" i="6"/>
  <c r="AT988" i="6"/>
  <c r="AU988" i="6"/>
  <c r="AV988" i="6"/>
  <c r="AW988" i="6"/>
  <c r="AX988" i="6"/>
  <c r="AY988" i="6"/>
  <c r="AZ988" i="6"/>
  <c r="BA988" i="6"/>
  <c r="BB988" i="6"/>
  <c r="BC988" i="6"/>
  <c r="BD988" i="6"/>
  <c r="BE988" i="6"/>
  <c r="BF988" i="6"/>
  <c r="BG988" i="6"/>
  <c r="BH988" i="6"/>
  <c r="BI988" i="6"/>
  <c r="BJ988" i="6"/>
  <c r="BK988" i="6"/>
  <c r="AL989" i="6"/>
  <c r="AM989" i="6"/>
  <c r="AN989" i="6"/>
  <c r="AO989" i="6"/>
  <c r="AP989" i="6"/>
  <c r="AQ989" i="6"/>
  <c r="AR989" i="6"/>
  <c r="AS989" i="6"/>
  <c r="AT989" i="6"/>
  <c r="AU989" i="6"/>
  <c r="AV989" i="6"/>
  <c r="AW989" i="6"/>
  <c r="AX989" i="6"/>
  <c r="AY989" i="6"/>
  <c r="AZ989" i="6"/>
  <c r="BA989" i="6"/>
  <c r="BB989" i="6"/>
  <c r="BC989" i="6"/>
  <c r="BD989" i="6"/>
  <c r="BE989" i="6"/>
  <c r="BF989" i="6"/>
  <c r="BG989" i="6"/>
  <c r="BH989" i="6"/>
  <c r="BI989" i="6"/>
  <c r="BJ989" i="6"/>
  <c r="BK989" i="6"/>
  <c r="AL990" i="6"/>
  <c r="AM990" i="6"/>
  <c r="AN990" i="6"/>
  <c r="AO990" i="6"/>
  <c r="AP990" i="6"/>
  <c r="AQ990" i="6"/>
  <c r="AR990" i="6"/>
  <c r="AS990" i="6"/>
  <c r="AT990" i="6"/>
  <c r="AU990" i="6"/>
  <c r="AV990" i="6"/>
  <c r="AW990" i="6"/>
  <c r="AX990" i="6"/>
  <c r="AY990" i="6"/>
  <c r="AZ990" i="6"/>
  <c r="BA990" i="6"/>
  <c r="BB990" i="6"/>
  <c r="BC990" i="6"/>
  <c r="BD990" i="6"/>
  <c r="BE990" i="6"/>
  <c r="BF990" i="6"/>
  <c r="BG990" i="6"/>
  <c r="BH990" i="6"/>
  <c r="BI990" i="6"/>
  <c r="BJ990" i="6"/>
  <c r="BK990" i="6"/>
  <c r="AL991" i="6"/>
  <c r="AM991" i="6"/>
  <c r="AN991" i="6"/>
  <c r="AO991" i="6"/>
  <c r="AP991" i="6"/>
  <c r="AQ991" i="6"/>
  <c r="AR991" i="6"/>
  <c r="AS991" i="6"/>
  <c r="AT991" i="6"/>
  <c r="AU991" i="6"/>
  <c r="AV991" i="6"/>
  <c r="AW991" i="6"/>
  <c r="AX991" i="6"/>
  <c r="AY991" i="6"/>
  <c r="AZ991" i="6"/>
  <c r="BA991" i="6"/>
  <c r="BB991" i="6"/>
  <c r="BC991" i="6"/>
  <c r="BD991" i="6"/>
  <c r="BE991" i="6"/>
  <c r="BF991" i="6"/>
  <c r="BG991" i="6"/>
  <c r="BH991" i="6"/>
  <c r="BI991" i="6"/>
  <c r="BJ991" i="6"/>
  <c r="BK991" i="6"/>
  <c r="AL992" i="6"/>
  <c r="AM992" i="6"/>
  <c r="AN992" i="6"/>
  <c r="AO992" i="6"/>
  <c r="AP992" i="6"/>
  <c r="AQ992" i="6"/>
  <c r="AR992" i="6"/>
  <c r="AS992" i="6"/>
  <c r="AT992" i="6"/>
  <c r="AU992" i="6"/>
  <c r="AV992" i="6"/>
  <c r="AW992" i="6"/>
  <c r="AX992" i="6"/>
  <c r="AY992" i="6"/>
  <c r="AZ992" i="6"/>
  <c r="BA992" i="6"/>
  <c r="BB992" i="6"/>
  <c r="BC992" i="6"/>
  <c r="BD992" i="6"/>
  <c r="BE992" i="6"/>
  <c r="BF992" i="6"/>
  <c r="BG992" i="6"/>
  <c r="BH992" i="6"/>
  <c r="BI992" i="6"/>
  <c r="BJ992" i="6"/>
  <c r="BK992" i="6"/>
  <c r="AL993" i="6"/>
  <c r="AM993" i="6"/>
  <c r="AN993" i="6"/>
  <c r="AO993" i="6"/>
  <c r="AP993" i="6"/>
  <c r="AQ993" i="6"/>
  <c r="AR993" i="6"/>
  <c r="AS993" i="6"/>
  <c r="AT993" i="6"/>
  <c r="AU993" i="6"/>
  <c r="AV993" i="6"/>
  <c r="AW993" i="6"/>
  <c r="AX993" i="6"/>
  <c r="AY993" i="6"/>
  <c r="AZ993" i="6"/>
  <c r="BA993" i="6"/>
  <c r="BB993" i="6"/>
  <c r="BC993" i="6"/>
  <c r="BD993" i="6"/>
  <c r="BE993" i="6"/>
  <c r="BF993" i="6"/>
  <c r="BG993" i="6"/>
  <c r="BH993" i="6"/>
  <c r="BI993" i="6"/>
  <c r="BJ993" i="6"/>
  <c r="BK993" i="6"/>
  <c r="AL994" i="6"/>
  <c r="AM994" i="6"/>
  <c r="AN994" i="6"/>
  <c r="AO994" i="6"/>
  <c r="AP994" i="6"/>
  <c r="AQ994" i="6"/>
  <c r="AR994" i="6"/>
  <c r="AS994" i="6"/>
  <c r="AT994" i="6"/>
  <c r="AU994" i="6"/>
  <c r="AV994" i="6"/>
  <c r="AW994" i="6"/>
  <c r="AX994" i="6"/>
  <c r="AY994" i="6"/>
  <c r="AZ994" i="6"/>
  <c r="BA994" i="6"/>
  <c r="BB994" i="6"/>
  <c r="BC994" i="6"/>
  <c r="BD994" i="6"/>
  <c r="BE994" i="6"/>
  <c r="BF994" i="6"/>
  <c r="BG994" i="6"/>
  <c r="BH994" i="6"/>
  <c r="BI994" i="6"/>
  <c r="BJ994" i="6"/>
  <c r="BK994" i="6"/>
  <c r="AL995" i="6"/>
  <c r="AM995" i="6"/>
  <c r="AN995" i="6"/>
  <c r="AO995" i="6"/>
  <c r="AP995" i="6"/>
  <c r="AQ995" i="6"/>
  <c r="AR995" i="6"/>
  <c r="AS995" i="6"/>
  <c r="AT995" i="6"/>
  <c r="AU995" i="6"/>
  <c r="AV995" i="6"/>
  <c r="AW995" i="6"/>
  <c r="AX995" i="6"/>
  <c r="AY995" i="6"/>
  <c r="AZ995" i="6"/>
  <c r="BA995" i="6"/>
  <c r="BB995" i="6"/>
  <c r="BC995" i="6"/>
  <c r="BD995" i="6"/>
  <c r="BE995" i="6"/>
  <c r="BF995" i="6"/>
  <c r="BG995" i="6"/>
  <c r="BH995" i="6"/>
  <c r="BI995" i="6"/>
  <c r="BJ995" i="6"/>
  <c r="BK995" i="6"/>
  <c r="AL996" i="6"/>
  <c r="AM996" i="6"/>
  <c r="AN996" i="6"/>
  <c r="AO996" i="6"/>
  <c r="AP996" i="6"/>
  <c r="AQ996" i="6"/>
  <c r="AR996" i="6"/>
  <c r="AS996" i="6"/>
  <c r="AT996" i="6"/>
  <c r="AU996" i="6"/>
  <c r="AV996" i="6"/>
  <c r="AW996" i="6"/>
  <c r="AX996" i="6"/>
  <c r="AY996" i="6"/>
  <c r="AZ996" i="6"/>
  <c r="BA996" i="6"/>
  <c r="BB996" i="6"/>
  <c r="BC996" i="6"/>
  <c r="BD996" i="6"/>
  <c r="BE996" i="6"/>
  <c r="BF996" i="6"/>
  <c r="BG996" i="6"/>
  <c r="BH996" i="6"/>
  <c r="BI996" i="6"/>
  <c r="BJ996" i="6"/>
  <c r="BK996" i="6"/>
  <c r="AL997" i="6"/>
  <c r="AM997" i="6"/>
  <c r="AN997" i="6"/>
  <c r="AO997" i="6"/>
  <c r="AP997" i="6"/>
  <c r="AQ997" i="6"/>
  <c r="AR997" i="6"/>
  <c r="AS997" i="6"/>
  <c r="AT997" i="6"/>
  <c r="AU997" i="6"/>
  <c r="AV997" i="6"/>
  <c r="AW997" i="6"/>
  <c r="AX997" i="6"/>
  <c r="AY997" i="6"/>
  <c r="AZ997" i="6"/>
  <c r="BA997" i="6"/>
  <c r="BB997" i="6"/>
  <c r="BC997" i="6"/>
  <c r="BD997" i="6"/>
  <c r="BE997" i="6"/>
  <c r="BF997" i="6"/>
  <c r="BG997" i="6"/>
  <c r="BH997" i="6"/>
  <c r="BI997" i="6"/>
  <c r="BJ997" i="6"/>
  <c r="BK997" i="6"/>
  <c r="AL998" i="6"/>
  <c r="AM998" i="6"/>
  <c r="AN998" i="6"/>
  <c r="AO998" i="6"/>
  <c r="AP998" i="6"/>
  <c r="AQ998" i="6"/>
  <c r="AR998" i="6"/>
  <c r="AS998" i="6"/>
  <c r="AT998" i="6"/>
  <c r="AU998" i="6"/>
  <c r="AV998" i="6"/>
  <c r="AW998" i="6"/>
  <c r="AX998" i="6"/>
  <c r="AY998" i="6"/>
  <c r="AZ998" i="6"/>
  <c r="BA998" i="6"/>
  <c r="BB998" i="6"/>
  <c r="BC998" i="6"/>
  <c r="BD998" i="6"/>
  <c r="BE998" i="6"/>
  <c r="BF998" i="6"/>
  <c r="BG998" i="6"/>
  <c r="BH998" i="6"/>
  <c r="BI998" i="6"/>
  <c r="BJ998" i="6"/>
  <c r="BK998" i="6"/>
  <c r="AL999" i="6"/>
  <c r="AM999" i="6"/>
  <c r="AN999" i="6"/>
  <c r="AO999" i="6"/>
  <c r="AP999" i="6"/>
  <c r="AQ999" i="6"/>
  <c r="AR999" i="6"/>
  <c r="AS999" i="6"/>
  <c r="AT999" i="6"/>
  <c r="AU999" i="6"/>
  <c r="AV999" i="6"/>
  <c r="AW999" i="6"/>
  <c r="AX999" i="6"/>
  <c r="AY999" i="6"/>
  <c r="AZ999" i="6"/>
  <c r="BA999" i="6"/>
  <c r="BB999" i="6"/>
  <c r="BC999" i="6"/>
  <c r="BD999" i="6"/>
  <c r="BE999" i="6"/>
  <c r="BF999" i="6"/>
  <c r="BG999" i="6"/>
  <c r="BH999" i="6"/>
  <c r="BI999" i="6"/>
  <c r="BJ999" i="6"/>
  <c r="BK999" i="6"/>
  <c r="AL1000" i="6"/>
  <c r="AM1000" i="6"/>
  <c r="AN1000" i="6"/>
  <c r="AO1000" i="6"/>
  <c r="AP1000" i="6"/>
  <c r="AQ1000" i="6"/>
  <c r="AR1000" i="6"/>
  <c r="AS1000" i="6"/>
  <c r="AT1000" i="6"/>
  <c r="AU1000" i="6"/>
  <c r="AV1000" i="6"/>
  <c r="AW1000" i="6"/>
  <c r="AX1000" i="6"/>
  <c r="AY1000" i="6"/>
  <c r="AZ1000" i="6"/>
  <c r="BA1000" i="6"/>
  <c r="BB1000" i="6"/>
  <c r="BC1000" i="6"/>
  <c r="BD1000" i="6"/>
  <c r="BE1000" i="6"/>
  <c r="BF1000" i="6"/>
  <c r="BG1000" i="6"/>
  <c r="BH1000" i="6"/>
  <c r="BI1000" i="6"/>
  <c r="BJ1000" i="6"/>
  <c r="BK1000" i="6"/>
  <c r="AL1001" i="6"/>
  <c r="AM1001" i="6"/>
  <c r="AN1001" i="6"/>
  <c r="AO1001" i="6"/>
  <c r="AP1001" i="6"/>
  <c r="AQ1001" i="6"/>
  <c r="AR1001" i="6"/>
  <c r="AS1001" i="6"/>
  <c r="AT1001" i="6"/>
  <c r="AU1001" i="6"/>
  <c r="AV1001" i="6"/>
  <c r="AW1001" i="6"/>
  <c r="AX1001" i="6"/>
  <c r="AY1001" i="6"/>
  <c r="AZ1001" i="6"/>
  <c r="BA1001" i="6"/>
  <c r="BB1001" i="6"/>
  <c r="BC1001" i="6"/>
  <c r="BD1001" i="6"/>
  <c r="BE1001" i="6"/>
  <c r="BF1001" i="6"/>
  <c r="BG1001" i="6"/>
  <c r="BH1001" i="6"/>
  <c r="BI1001" i="6"/>
  <c r="BJ1001" i="6"/>
  <c r="BK1001" i="6"/>
  <c r="AL1002" i="6"/>
  <c r="AM1002" i="6"/>
  <c r="AN1002" i="6"/>
  <c r="AO1002" i="6"/>
  <c r="AP1002" i="6"/>
  <c r="AQ1002" i="6"/>
  <c r="AR1002" i="6"/>
  <c r="AS1002" i="6"/>
  <c r="AT1002" i="6"/>
  <c r="AU1002" i="6"/>
  <c r="AV1002" i="6"/>
  <c r="AW1002" i="6"/>
  <c r="AX1002" i="6"/>
  <c r="AY1002" i="6"/>
  <c r="AZ1002" i="6"/>
  <c r="BA1002" i="6"/>
  <c r="BB1002" i="6"/>
  <c r="BC1002" i="6"/>
  <c r="BD1002" i="6"/>
  <c r="BE1002" i="6"/>
  <c r="BF1002" i="6"/>
  <c r="BG1002" i="6"/>
  <c r="BH1002" i="6"/>
  <c r="BI1002" i="6"/>
  <c r="BJ1002" i="6"/>
  <c r="BK1002" i="6"/>
  <c r="AL1003" i="6"/>
  <c r="AM1003" i="6"/>
  <c r="AN1003" i="6"/>
  <c r="AO1003" i="6"/>
  <c r="AP1003" i="6"/>
  <c r="AQ1003" i="6"/>
  <c r="AR1003" i="6"/>
  <c r="AS1003" i="6"/>
  <c r="AT1003" i="6"/>
  <c r="AU1003" i="6"/>
  <c r="AV1003" i="6"/>
  <c r="AW1003" i="6"/>
  <c r="AX1003" i="6"/>
  <c r="AY1003" i="6"/>
  <c r="AZ1003" i="6"/>
  <c r="BA1003" i="6"/>
  <c r="BB1003" i="6"/>
  <c r="BC1003" i="6"/>
  <c r="BD1003" i="6"/>
  <c r="BE1003" i="6"/>
  <c r="BF1003" i="6"/>
  <c r="BG1003" i="6"/>
  <c r="BH1003" i="6"/>
  <c r="BI1003" i="6"/>
  <c r="BJ1003" i="6"/>
  <c r="BK1003" i="6"/>
  <c r="AL1004" i="6"/>
  <c r="AM1004" i="6"/>
  <c r="AN1004" i="6"/>
  <c r="AO1004" i="6"/>
  <c r="AP1004" i="6"/>
  <c r="AQ1004" i="6"/>
  <c r="AR1004" i="6"/>
  <c r="AS1004" i="6"/>
  <c r="AT1004" i="6"/>
  <c r="AU1004" i="6"/>
  <c r="AV1004" i="6"/>
  <c r="AW1004" i="6"/>
  <c r="AX1004" i="6"/>
  <c r="AY1004" i="6"/>
  <c r="AZ1004" i="6"/>
  <c r="BA1004" i="6"/>
  <c r="BB1004" i="6"/>
  <c r="BC1004" i="6"/>
  <c r="BD1004" i="6"/>
  <c r="BE1004" i="6"/>
  <c r="BF1004" i="6"/>
  <c r="BG1004" i="6"/>
  <c r="BH1004" i="6"/>
  <c r="BI1004" i="6"/>
  <c r="BJ1004" i="6"/>
  <c r="BK1004" i="6"/>
  <c r="AL1005" i="6"/>
  <c r="AM1005" i="6"/>
  <c r="AN1005" i="6"/>
  <c r="AO1005" i="6"/>
  <c r="AP1005" i="6"/>
  <c r="AQ1005" i="6"/>
  <c r="AR1005" i="6"/>
  <c r="AS1005" i="6"/>
  <c r="AT1005" i="6"/>
  <c r="AU1005" i="6"/>
  <c r="AV1005" i="6"/>
  <c r="AW1005" i="6"/>
  <c r="AX1005" i="6"/>
  <c r="AY1005" i="6"/>
  <c r="AZ1005" i="6"/>
  <c r="BA1005" i="6"/>
  <c r="BB1005" i="6"/>
  <c r="BC1005" i="6"/>
  <c r="BD1005" i="6"/>
  <c r="BE1005" i="6"/>
  <c r="BF1005" i="6"/>
  <c r="BG1005" i="6"/>
  <c r="BH1005" i="6"/>
  <c r="BI1005" i="6"/>
  <c r="BJ1005" i="6"/>
  <c r="BK1005" i="6"/>
  <c r="AL1006" i="6"/>
  <c r="AM1006" i="6"/>
  <c r="AN1006" i="6"/>
  <c r="AO1006" i="6"/>
  <c r="AP1006" i="6"/>
  <c r="AQ1006" i="6"/>
  <c r="AR1006" i="6"/>
  <c r="AS1006" i="6"/>
  <c r="AT1006" i="6"/>
  <c r="AU1006" i="6"/>
  <c r="AV1006" i="6"/>
  <c r="AW1006" i="6"/>
  <c r="AX1006" i="6"/>
  <c r="AY1006" i="6"/>
  <c r="AZ1006" i="6"/>
  <c r="BA1006" i="6"/>
  <c r="BB1006" i="6"/>
  <c r="BC1006" i="6"/>
  <c r="BD1006" i="6"/>
  <c r="BE1006" i="6"/>
  <c r="BF1006" i="6"/>
  <c r="BG1006" i="6"/>
  <c r="BH1006" i="6"/>
  <c r="BI1006" i="6"/>
  <c r="BJ1006" i="6"/>
  <c r="BK1006" i="6"/>
  <c r="AL1007" i="6"/>
  <c r="AM1007" i="6"/>
  <c r="AN1007" i="6"/>
  <c r="AO1007" i="6"/>
  <c r="AP1007" i="6"/>
  <c r="AQ1007" i="6"/>
  <c r="AR1007" i="6"/>
  <c r="AS1007" i="6"/>
  <c r="AT1007" i="6"/>
  <c r="AU1007" i="6"/>
  <c r="AV1007" i="6"/>
  <c r="AW1007" i="6"/>
  <c r="AX1007" i="6"/>
  <c r="AY1007" i="6"/>
  <c r="AZ1007" i="6"/>
  <c r="BA1007" i="6"/>
  <c r="BB1007" i="6"/>
  <c r="BC1007" i="6"/>
  <c r="BD1007" i="6"/>
  <c r="BE1007" i="6"/>
  <c r="BF1007" i="6"/>
  <c r="BG1007" i="6"/>
  <c r="BH1007" i="6"/>
  <c r="BI1007" i="6"/>
  <c r="BJ1007" i="6"/>
  <c r="BK1007" i="6"/>
  <c r="AL1008" i="6"/>
  <c r="AM1008" i="6"/>
  <c r="AN1008" i="6"/>
  <c r="AO1008" i="6"/>
  <c r="AP1008" i="6"/>
  <c r="AQ1008" i="6"/>
  <c r="AR1008" i="6"/>
  <c r="AS1008" i="6"/>
  <c r="AT1008" i="6"/>
  <c r="AU1008" i="6"/>
  <c r="AV1008" i="6"/>
  <c r="AW1008" i="6"/>
  <c r="AX1008" i="6"/>
  <c r="AY1008" i="6"/>
  <c r="AZ1008" i="6"/>
  <c r="BA1008" i="6"/>
  <c r="BB1008" i="6"/>
  <c r="BC1008" i="6"/>
  <c r="BD1008" i="6"/>
  <c r="BE1008" i="6"/>
  <c r="BF1008" i="6"/>
  <c r="BG1008" i="6"/>
  <c r="BH1008" i="6"/>
  <c r="BI1008" i="6"/>
  <c r="BJ1008" i="6"/>
  <c r="BK1008" i="6"/>
  <c r="AL1009" i="6"/>
  <c r="AM1009" i="6"/>
  <c r="AN1009" i="6"/>
  <c r="AO1009" i="6"/>
  <c r="AP1009" i="6"/>
  <c r="AQ1009" i="6"/>
  <c r="AR1009" i="6"/>
  <c r="AS1009" i="6"/>
  <c r="AT1009" i="6"/>
  <c r="AU1009" i="6"/>
  <c r="AV1009" i="6"/>
  <c r="AW1009" i="6"/>
  <c r="AX1009" i="6"/>
  <c r="AY1009" i="6"/>
  <c r="AZ1009" i="6"/>
  <c r="BA1009" i="6"/>
  <c r="BB1009" i="6"/>
  <c r="BC1009" i="6"/>
  <c r="BD1009" i="6"/>
  <c r="BE1009" i="6"/>
  <c r="BF1009" i="6"/>
  <c r="BG1009" i="6"/>
  <c r="BH1009" i="6"/>
  <c r="BI1009" i="6"/>
  <c r="BJ1009" i="6"/>
  <c r="BK1009" i="6"/>
  <c r="AL1010" i="6"/>
  <c r="AM1010" i="6"/>
  <c r="AN1010" i="6"/>
  <c r="AO1010" i="6"/>
  <c r="AP1010" i="6"/>
  <c r="AQ1010" i="6"/>
  <c r="AR1010" i="6"/>
  <c r="AS1010" i="6"/>
  <c r="AT1010" i="6"/>
  <c r="AU1010" i="6"/>
  <c r="AV1010" i="6"/>
  <c r="AW1010" i="6"/>
  <c r="AX1010" i="6"/>
  <c r="AY1010" i="6"/>
  <c r="AZ1010" i="6"/>
  <c r="BA1010" i="6"/>
  <c r="BB1010" i="6"/>
  <c r="BC1010" i="6"/>
  <c r="BD1010" i="6"/>
  <c r="BE1010" i="6"/>
  <c r="BF1010" i="6"/>
  <c r="BG1010" i="6"/>
  <c r="BH1010" i="6"/>
  <c r="BI1010" i="6"/>
  <c r="BJ1010" i="6"/>
  <c r="BK1010" i="6"/>
  <c r="AL1011" i="6"/>
  <c r="AM1011" i="6"/>
  <c r="AN1011" i="6"/>
  <c r="AO1011" i="6"/>
  <c r="AP1011" i="6"/>
  <c r="AQ1011" i="6"/>
  <c r="AR1011" i="6"/>
  <c r="AS1011" i="6"/>
  <c r="AT1011" i="6"/>
  <c r="AU1011" i="6"/>
  <c r="AV1011" i="6"/>
  <c r="AW1011" i="6"/>
  <c r="AX1011" i="6"/>
  <c r="AY1011" i="6"/>
  <c r="AZ1011" i="6"/>
  <c r="BA1011" i="6"/>
  <c r="BB1011" i="6"/>
  <c r="BC1011" i="6"/>
  <c r="BD1011" i="6"/>
  <c r="BE1011" i="6"/>
  <c r="BF1011" i="6"/>
  <c r="BG1011" i="6"/>
  <c r="BH1011" i="6"/>
  <c r="BI1011" i="6"/>
  <c r="BJ1011" i="6"/>
  <c r="BK1011" i="6"/>
  <c r="AL1012" i="6"/>
  <c r="AM1012" i="6"/>
  <c r="AN1012" i="6"/>
  <c r="AO1012" i="6"/>
  <c r="AP1012" i="6"/>
  <c r="AQ1012" i="6"/>
  <c r="AR1012" i="6"/>
  <c r="AS1012" i="6"/>
  <c r="AT1012" i="6"/>
  <c r="AU1012" i="6"/>
  <c r="AV1012" i="6"/>
  <c r="AW1012" i="6"/>
  <c r="AX1012" i="6"/>
  <c r="AY1012" i="6"/>
  <c r="AZ1012" i="6"/>
  <c r="BA1012" i="6"/>
  <c r="BB1012" i="6"/>
  <c r="BC1012" i="6"/>
  <c r="BD1012" i="6"/>
  <c r="BE1012" i="6"/>
  <c r="BF1012" i="6"/>
  <c r="BG1012" i="6"/>
  <c r="BH1012" i="6"/>
  <c r="BI1012" i="6"/>
  <c r="BJ1012" i="6"/>
  <c r="BK1012" i="6"/>
  <c r="AL1013" i="6"/>
  <c r="AM1013" i="6"/>
  <c r="AN1013" i="6"/>
  <c r="AO1013" i="6"/>
  <c r="AP1013" i="6"/>
  <c r="AQ1013" i="6"/>
  <c r="AR1013" i="6"/>
  <c r="AS1013" i="6"/>
  <c r="AT1013" i="6"/>
  <c r="AU1013" i="6"/>
  <c r="AV1013" i="6"/>
  <c r="AW1013" i="6"/>
  <c r="AX1013" i="6"/>
  <c r="AY1013" i="6"/>
  <c r="AZ1013" i="6"/>
  <c r="BA1013" i="6"/>
  <c r="BB1013" i="6"/>
  <c r="BC1013" i="6"/>
  <c r="BD1013" i="6"/>
  <c r="BE1013" i="6"/>
  <c r="BF1013" i="6"/>
  <c r="BG1013" i="6"/>
  <c r="BH1013" i="6"/>
  <c r="BI1013" i="6"/>
  <c r="BJ1013" i="6"/>
  <c r="BK1013" i="6"/>
  <c r="AL1014" i="6"/>
  <c r="AM1014" i="6"/>
  <c r="AN1014" i="6"/>
  <c r="AO1014" i="6"/>
  <c r="AP1014" i="6"/>
  <c r="AQ1014" i="6"/>
  <c r="AR1014" i="6"/>
  <c r="AS1014" i="6"/>
  <c r="AT1014" i="6"/>
  <c r="AU1014" i="6"/>
  <c r="AV1014" i="6"/>
  <c r="AW1014" i="6"/>
  <c r="AX1014" i="6"/>
  <c r="AY1014" i="6"/>
  <c r="AZ1014" i="6"/>
  <c r="BA1014" i="6"/>
  <c r="BB1014" i="6"/>
  <c r="BC1014" i="6"/>
  <c r="BD1014" i="6"/>
  <c r="BE1014" i="6"/>
  <c r="BF1014" i="6"/>
  <c r="BG1014" i="6"/>
  <c r="BH1014" i="6"/>
  <c r="BI1014" i="6"/>
  <c r="BJ1014" i="6"/>
  <c r="BK1014" i="6"/>
  <c r="AL1015" i="6"/>
  <c r="AM1015" i="6"/>
  <c r="AN1015" i="6"/>
  <c r="AO1015" i="6"/>
  <c r="AP1015" i="6"/>
  <c r="AQ1015" i="6"/>
  <c r="AR1015" i="6"/>
  <c r="AS1015" i="6"/>
  <c r="AT1015" i="6"/>
  <c r="AU1015" i="6"/>
  <c r="AV1015" i="6"/>
  <c r="AW1015" i="6"/>
  <c r="AX1015" i="6"/>
  <c r="AY1015" i="6"/>
  <c r="AZ1015" i="6"/>
  <c r="BA1015" i="6"/>
  <c r="BB1015" i="6"/>
  <c r="BC1015" i="6"/>
  <c r="BD1015" i="6"/>
  <c r="BE1015" i="6"/>
  <c r="BF1015" i="6"/>
  <c r="BG1015" i="6"/>
  <c r="BH1015" i="6"/>
  <c r="BI1015" i="6"/>
  <c r="BJ1015" i="6"/>
  <c r="BK1015" i="6"/>
  <c r="AL1016" i="6"/>
  <c r="AM1016" i="6"/>
  <c r="AN1016" i="6"/>
  <c r="AO1016" i="6"/>
  <c r="AP1016" i="6"/>
  <c r="AQ1016" i="6"/>
  <c r="AR1016" i="6"/>
  <c r="AS1016" i="6"/>
  <c r="AT1016" i="6"/>
  <c r="AU1016" i="6"/>
  <c r="AV1016" i="6"/>
  <c r="AW1016" i="6"/>
  <c r="AX1016" i="6"/>
  <c r="AY1016" i="6"/>
  <c r="AZ1016" i="6"/>
  <c r="BA1016" i="6"/>
  <c r="BB1016" i="6"/>
  <c r="BC1016" i="6"/>
  <c r="BD1016" i="6"/>
  <c r="BE1016" i="6"/>
  <c r="BF1016" i="6"/>
  <c r="BG1016" i="6"/>
  <c r="BH1016" i="6"/>
  <c r="BI1016" i="6"/>
  <c r="BJ1016" i="6"/>
  <c r="BK1016" i="6"/>
  <c r="AL1017" i="6"/>
  <c r="AM1017" i="6"/>
  <c r="AN1017" i="6"/>
  <c r="AO1017" i="6"/>
  <c r="AP1017" i="6"/>
  <c r="AQ1017" i="6"/>
  <c r="AR1017" i="6"/>
  <c r="AS1017" i="6"/>
  <c r="AT1017" i="6"/>
  <c r="AU1017" i="6"/>
  <c r="AV1017" i="6"/>
  <c r="AW1017" i="6"/>
  <c r="AX1017" i="6"/>
  <c r="AY1017" i="6"/>
  <c r="AZ1017" i="6"/>
  <c r="BA1017" i="6"/>
  <c r="BB1017" i="6"/>
  <c r="BC1017" i="6"/>
  <c r="BD1017" i="6"/>
  <c r="BE1017" i="6"/>
  <c r="BF1017" i="6"/>
  <c r="BG1017" i="6"/>
  <c r="BH1017" i="6"/>
  <c r="BI1017" i="6"/>
  <c r="BJ1017" i="6"/>
  <c r="BK1017" i="6"/>
  <c r="AL1018" i="6"/>
  <c r="AM1018" i="6"/>
  <c r="AN1018" i="6"/>
  <c r="AO1018" i="6"/>
  <c r="AP1018" i="6"/>
  <c r="AQ1018" i="6"/>
  <c r="AR1018" i="6"/>
  <c r="AS1018" i="6"/>
  <c r="AT1018" i="6"/>
  <c r="AU1018" i="6"/>
  <c r="AV1018" i="6"/>
  <c r="AW1018" i="6"/>
  <c r="AX1018" i="6"/>
  <c r="AY1018" i="6"/>
  <c r="AZ1018" i="6"/>
  <c r="BA1018" i="6"/>
  <c r="BB1018" i="6"/>
  <c r="BC1018" i="6"/>
  <c r="BD1018" i="6"/>
  <c r="BE1018" i="6"/>
  <c r="BF1018" i="6"/>
  <c r="BG1018" i="6"/>
  <c r="BH1018" i="6"/>
  <c r="BI1018" i="6"/>
  <c r="BJ1018" i="6"/>
  <c r="BK1018" i="6"/>
  <c r="AL1019" i="6"/>
  <c r="AM1019" i="6"/>
  <c r="AN1019" i="6"/>
  <c r="AO1019" i="6"/>
  <c r="AP1019" i="6"/>
  <c r="AQ1019" i="6"/>
  <c r="AR1019" i="6"/>
  <c r="AS1019" i="6"/>
  <c r="AT1019" i="6"/>
  <c r="AU1019" i="6"/>
  <c r="AV1019" i="6"/>
  <c r="AW1019" i="6"/>
  <c r="AX1019" i="6"/>
  <c r="AY1019" i="6"/>
  <c r="AZ1019" i="6"/>
  <c r="BA1019" i="6"/>
  <c r="BB1019" i="6"/>
  <c r="BC1019" i="6"/>
  <c r="BD1019" i="6"/>
  <c r="BE1019" i="6"/>
  <c r="BF1019" i="6"/>
  <c r="BG1019" i="6"/>
  <c r="BH1019" i="6"/>
  <c r="BI1019" i="6"/>
  <c r="BJ1019" i="6"/>
  <c r="BK1019" i="6"/>
  <c r="AL1020" i="6"/>
  <c r="AM1020" i="6"/>
  <c r="AN1020" i="6"/>
  <c r="AO1020" i="6"/>
  <c r="AP1020" i="6"/>
  <c r="AQ1020" i="6"/>
  <c r="AR1020" i="6"/>
  <c r="AS1020" i="6"/>
  <c r="AT1020" i="6"/>
  <c r="AU1020" i="6"/>
  <c r="AV1020" i="6"/>
  <c r="AW1020" i="6"/>
  <c r="AX1020" i="6"/>
  <c r="AY1020" i="6"/>
  <c r="AZ1020" i="6"/>
  <c r="BA1020" i="6"/>
  <c r="BB1020" i="6"/>
  <c r="BC1020" i="6"/>
  <c r="BD1020" i="6"/>
  <c r="BE1020" i="6"/>
  <c r="BF1020" i="6"/>
  <c r="BG1020" i="6"/>
  <c r="BH1020" i="6"/>
  <c r="BI1020" i="6"/>
  <c r="BJ1020" i="6"/>
  <c r="BK1020" i="6"/>
  <c r="AL1021" i="6"/>
  <c r="AM1021" i="6"/>
  <c r="AN1021" i="6"/>
  <c r="AO1021" i="6"/>
  <c r="AP1021" i="6"/>
  <c r="AQ1021" i="6"/>
  <c r="AR1021" i="6"/>
  <c r="AS1021" i="6"/>
  <c r="AT1021" i="6"/>
  <c r="AU1021" i="6"/>
  <c r="AV1021" i="6"/>
  <c r="AW1021" i="6"/>
  <c r="AX1021" i="6"/>
  <c r="AY1021" i="6"/>
  <c r="AZ1021" i="6"/>
  <c r="BA1021" i="6"/>
  <c r="BB1021" i="6"/>
  <c r="BC1021" i="6"/>
  <c r="BD1021" i="6"/>
  <c r="BE1021" i="6"/>
  <c r="BF1021" i="6"/>
  <c r="BG1021" i="6"/>
  <c r="BH1021" i="6"/>
  <c r="BI1021" i="6"/>
  <c r="BJ1021" i="6"/>
  <c r="BK1021" i="6"/>
  <c r="AL1022" i="6"/>
  <c r="AM1022" i="6"/>
  <c r="AN1022" i="6"/>
  <c r="AO1022" i="6"/>
  <c r="AP1022" i="6"/>
  <c r="AQ1022" i="6"/>
  <c r="AR1022" i="6"/>
  <c r="AS1022" i="6"/>
  <c r="AT1022" i="6"/>
  <c r="AU1022" i="6"/>
  <c r="AV1022" i="6"/>
  <c r="AW1022" i="6"/>
  <c r="AX1022" i="6"/>
  <c r="AY1022" i="6"/>
  <c r="AZ1022" i="6"/>
  <c r="BA1022" i="6"/>
  <c r="BB1022" i="6"/>
  <c r="BC1022" i="6"/>
  <c r="BD1022" i="6"/>
  <c r="BE1022" i="6"/>
  <c r="BF1022" i="6"/>
  <c r="BG1022" i="6"/>
  <c r="BH1022" i="6"/>
  <c r="BI1022" i="6"/>
  <c r="BJ1022" i="6"/>
  <c r="BK1022" i="6"/>
  <c r="AL1023" i="6"/>
  <c r="AM1023" i="6"/>
  <c r="AN1023" i="6"/>
  <c r="AO1023" i="6"/>
  <c r="AP1023" i="6"/>
  <c r="AQ1023" i="6"/>
  <c r="AR1023" i="6"/>
  <c r="AS1023" i="6"/>
  <c r="AT1023" i="6"/>
  <c r="AU1023" i="6"/>
  <c r="AV1023" i="6"/>
  <c r="AW1023" i="6"/>
  <c r="AX1023" i="6"/>
  <c r="AY1023" i="6"/>
  <c r="AZ1023" i="6"/>
  <c r="BA1023" i="6"/>
  <c r="BB1023" i="6"/>
  <c r="BC1023" i="6"/>
  <c r="BD1023" i="6"/>
  <c r="BE1023" i="6"/>
  <c r="BF1023" i="6"/>
  <c r="BG1023" i="6"/>
  <c r="BH1023" i="6"/>
  <c r="BI1023" i="6"/>
  <c r="BJ1023" i="6"/>
  <c r="BK1023" i="6"/>
  <c r="AL1024" i="6"/>
  <c r="AM1024" i="6"/>
  <c r="AN1024" i="6"/>
  <c r="AO1024" i="6"/>
  <c r="AP1024" i="6"/>
  <c r="AQ1024" i="6"/>
  <c r="AR1024" i="6"/>
  <c r="AS1024" i="6"/>
  <c r="AT1024" i="6"/>
  <c r="AU1024" i="6"/>
  <c r="AV1024" i="6"/>
  <c r="AW1024" i="6"/>
  <c r="AX1024" i="6"/>
  <c r="AY1024" i="6"/>
  <c r="AZ1024" i="6"/>
  <c r="BA1024" i="6"/>
  <c r="BB1024" i="6"/>
  <c r="BC1024" i="6"/>
  <c r="BD1024" i="6"/>
  <c r="BE1024" i="6"/>
  <c r="BF1024" i="6"/>
  <c r="BG1024" i="6"/>
  <c r="BH1024" i="6"/>
  <c r="BI1024" i="6"/>
  <c r="BJ1024" i="6"/>
  <c r="BK1024" i="6"/>
  <c r="AL1025" i="6"/>
  <c r="AM1025" i="6"/>
  <c r="AN1025" i="6"/>
  <c r="AO1025" i="6"/>
  <c r="AP1025" i="6"/>
  <c r="AQ1025" i="6"/>
  <c r="AR1025" i="6"/>
  <c r="AS1025" i="6"/>
  <c r="AT1025" i="6"/>
  <c r="AU1025" i="6"/>
  <c r="AV1025" i="6"/>
  <c r="AW1025" i="6"/>
  <c r="AX1025" i="6"/>
  <c r="AY1025" i="6"/>
  <c r="AZ1025" i="6"/>
  <c r="BA1025" i="6"/>
  <c r="BB1025" i="6"/>
  <c r="BC1025" i="6"/>
  <c r="BD1025" i="6"/>
  <c r="BE1025" i="6"/>
  <c r="BF1025" i="6"/>
  <c r="BG1025" i="6"/>
  <c r="BH1025" i="6"/>
  <c r="BI1025" i="6"/>
  <c r="BJ1025" i="6"/>
  <c r="BK1025" i="6"/>
  <c r="AL1026" i="6"/>
  <c r="AM1026" i="6"/>
  <c r="AN1026" i="6"/>
  <c r="AO1026" i="6"/>
  <c r="AP1026" i="6"/>
  <c r="AQ1026" i="6"/>
  <c r="AR1026" i="6"/>
  <c r="AS1026" i="6"/>
  <c r="AT1026" i="6"/>
  <c r="AU1026" i="6"/>
  <c r="AV1026" i="6"/>
  <c r="AW1026" i="6"/>
  <c r="AX1026" i="6"/>
  <c r="AY1026" i="6"/>
  <c r="AZ1026" i="6"/>
  <c r="BA1026" i="6"/>
  <c r="BB1026" i="6"/>
  <c r="BC1026" i="6"/>
  <c r="BD1026" i="6"/>
  <c r="BE1026" i="6"/>
  <c r="BF1026" i="6"/>
  <c r="BG1026" i="6"/>
  <c r="BH1026" i="6"/>
  <c r="BI1026" i="6"/>
  <c r="BJ1026" i="6"/>
  <c r="BK1026" i="6"/>
  <c r="AL1027" i="6"/>
  <c r="AM1027" i="6"/>
  <c r="AN1027" i="6"/>
  <c r="AO1027" i="6"/>
  <c r="AP1027" i="6"/>
  <c r="AQ1027" i="6"/>
  <c r="AR1027" i="6"/>
  <c r="AS1027" i="6"/>
  <c r="AT1027" i="6"/>
  <c r="AU1027" i="6"/>
  <c r="AV1027" i="6"/>
  <c r="AW1027" i="6"/>
  <c r="AX1027" i="6"/>
  <c r="AY1027" i="6"/>
  <c r="AZ1027" i="6"/>
  <c r="BA1027" i="6"/>
  <c r="BB1027" i="6"/>
  <c r="BC1027" i="6"/>
  <c r="BD1027" i="6"/>
  <c r="BE1027" i="6"/>
  <c r="BF1027" i="6"/>
  <c r="BG1027" i="6"/>
  <c r="BH1027" i="6"/>
  <c r="BI1027" i="6"/>
  <c r="BJ1027" i="6"/>
  <c r="BK1027" i="6"/>
  <c r="AL1028" i="6"/>
  <c r="AM1028" i="6"/>
  <c r="AN1028" i="6"/>
  <c r="AO1028" i="6"/>
  <c r="AP1028" i="6"/>
  <c r="AQ1028" i="6"/>
  <c r="AR1028" i="6"/>
  <c r="AS1028" i="6"/>
  <c r="AT1028" i="6"/>
  <c r="AU1028" i="6"/>
  <c r="AV1028" i="6"/>
  <c r="AW1028" i="6"/>
  <c r="AX1028" i="6"/>
  <c r="AY1028" i="6"/>
  <c r="AZ1028" i="6"/>
  <c r="BA1028" i="6"/>
  <c r="BB1028" i="6"/>
  <c r="BC1028" i="6"/>
  <c r="BD1028" i="6"/>
  <c r="BE1028" i="6"/>
  <c r="BF1028" i="6"/>
  <c r="BG1028" i="6"/>
  <c r="BH1028" i="6"/>
  <c r="BI1028" i="6"/>
  <c r="BJ1028" i="6"/>
  <c r="BK1028" i="6"/>
  <c r="AL1029" i="6"/>
  <c r="AM1029" i="6"/>
  <c r="AN1029" i="6"/>
  <c r="AO1029" i="6"/>
  <c r="AP1029" i="6"/>
  <c r="AQ1029" i="6"/>
  <c r="AR1029" i="6"/>
  <c r="AS1029" i="6"/>
  <c r="AT1029" i="6"/>
  <c r="AU1029" i="6"/>
  <c r="AV1029" i="6"/>
  <c r="AW1029" i="6"/>
  <c r="AX1029" i="6"/>
  <c r="AY1029" i="6"/>
  <c r="AZ1029" i="6"/>
  <c r="BA1029" i="6"/>
  <c r="BB1029" i="6"/>
  <c r="BC1029" i="6"/>
  <c r="BD1029" i="6"/>
  <c r="BE1029" i="6"/>
  <c r="BF1029" i="6"/>
  <c r="BG1029" i="6"/>
  <c r="BH1029" i="6"/>
  <c r="BI1029" i="6"/>
  <c r="BJ1029" i="6"/>
  <c r="BK1029" i="6"/>
  <c r="AL1030" i="6"/>
  <c r="AM1030" i="6"/>
  <c r="AN1030" i="6"/>
  <c r="AO1030" i="6"/>
  <c r="AP1030" i="6"/>
  <c r="AQ1030" i="6"/>
  <c r="AR1030" i="6"/>
  <c r="AS1030" i="6"/>
  <c r="AT1030" i="6"/>
  <c r="AU1030" i="6"/>
  <c r="AV1030" i="6"/>
  <c r="AW1030" i="6"/>
  <c r="AX1030" i="6"/>
  <c r="AY1030" i="6"/>
  <c r="AZ1030" i="6"/>
  <c r="BA1030" i="6"/>
  <c r="BB1030" i="6"/>
  <c r="BC1030" i="6"/>
  <c r="BD1030" i="6"/>
  <c r="BE1030" i="6"/>
  <c r="BF1030" i="6"/>
  <c r="BG1030" i="6"/>
  <c r="BH1030" i="6"/>
  <c r="BI1030" i="6"/>
  <c r="BJ1030" i="6"/>
  <c r="BK1030" i="6"/>
  <c r="AL1031" i="6"/>
  <c r="AM1031" i="6"/>
  <c r="AN1031" i="6"/>
  <c r="AO1031" i="6"/>
  <c r="AP1031" i="6"/>
  <c r="AQ1031" i="6"/>
  <c r="AR1031" i="6"/>
  <c r="AS1031" i="6"/>
  <c r="AT1031" i="6"/>
  <c r="AU1031" i="6"/>
  <c r="AV1031" i="6"/>
  <c r="AW1031" i="6"/>
  <c r="AX1031" i="6"/>
  <c r="AY1031" i="6"/>
  <c r="AZ1031" i="6"/>
  <c r="BA1031" i="6"/>
  <c r="BB1031" i="6"/>
  <c r="BC1031" i="6"/>
  <c r="BD1031" i="6"/>
  <c r="BE1031" i="6"/>
  <c r="BF1031" i="6"/>
  <c r="BG1031" i="6"/>
  <c r="BH1031" i="6"/>
  <c r="BI1031" i="6"/>
  <c r="BJ1031" i="6"/>
  <c r="BK1031" i="6"/>
  <c r="AL1032" i="6"/>
  <c r="AM1032" i="6"/>
  <c r="AN1032" i="6"/>
  <c r="AO1032" i="6"/>
  <c r="AP1032" i="6"/>
  <c r="AQ1032" i="6"/>
  <c r="AR1032" i="6"/>
  <c r="AS1032" i="6"/>
  <c r="AT1032" i="6"/>
  <c r="AU1032" i="6"/>
  <c r="AV1032" i="6"/>
  <c r="AW1032" i="6"/>
  <c r="AX1032" i="6"/>
  <c r="AY1032" i="6"/>
  <c r="AZ1032" i="6"/>
  <c r="BA1032" i="6"/>
  <c r="BB1032" i="6"/>
  <c r="BC1032" i="6"/>
  <c r="BD1032" i="6"/>
  <c r="BE1032" i="6"/>
  <c r="BF1032" i="6"/>
  <c r="BG1032" i="6"/>
  <c r="BH1032" i="6"/>
  <c r="BI1032" i="6"/>
  <c r="BJ1032" i="6"/>
  <c r="BK1032" i="6"/>
  <c r="AL1033" i="6"/>
  <c r="AM1033" i="6"/>
  <c r="AN1033" i="6"/>
  <c r="AO1033" i="6"/>
  <c r="AP1033" i="6"/>
  <c r="AQ1033" i="6"/>
  <c r="AR1033" i="6"/>
  <c r="AS1033" i="6"/>
  <c r="AT1033" i="6"/>
  <c r="AU1033" i="6"/>
  <c r="AV1033" i="6"/>
  <c r="AW1033" i="6"/>
  <c r="AX1033" i="6"/>
  <c r="AY1033" i="6"/>
  <c r="AZ1033" i="6"/>
  <c r="BA1033" i="6"/>
  <c r="BB1033" i="6"/>
  <c r="BC1033" i="6"/>
  <c r="BD1033" i="6"/>
  <c r="BE1033" i="6"/>
  <c r="BF1033" i="6"/>
  <c r="BG1033" i="6"/>
  <c r="BH1033" i="6"/>
  <c r="BI1033" i="6"/>
  <c r="BJ1033" i="6"/>
  <c r="BK1033" i="6"/>
  <c r="AL1034" i="6"/>
  <c r="AM1034" i="6"/>
  <c r="AN1034" i="6"/>
  <c r="AO1034" i="6"/>
  <c r="AP1034" i="6"/>
  <c r="AQ1034" i="6"/>
  <c r="AR1034" i="6"/>
  <c r="AS1034" i="6"/>
  <c r="AT1034" i="6"/>
  <c r="AU1034" i="6"/>
  <c r="AV1034" i="6"/>
  <c r="AW1034" i="6"/>
  <c r="AX1034" i="6"/>
  <c r="AY1034" i="6"/>
  <c r="AZ1034" i="6"/>
  <c r="BA1034" i="6"/>
  <c r="BB1034" i="6"/>
  <c r="BC1034" i="6"/>
  <c r="BD1034" i="6"/>
  <c r="BE1034" i="6"/>
  <c r="BF1034" i="6"/>
  <c r="BG1034" i="6"/>
  <c r="BH1034" i="6"/>
  <c r="BI1034" i="6"/>
  <c r="BJ1034" i="6"/>
  <c r="BK1034" i="6"/>
  <c r="AL1035" i="6"/>
  <c r="AM1035" i="6"/>
  <c r="AN1035" i="6"/>
  <c r="AO1035" i="6"/>
  <c r="AP1035" i="6"/>
  <c r="AQ1035" i="6"/>
  <c r="AR1035" i="6"/>
  <c r="AS1035" i="6"/>
  <c r="AT1035" i="6"/>
  <c r="AU1035" i="6"/>
  <c r="AV1035" i="6"/>
  <c r="AW1035" i="6"/>
  <c r="AX1035" i="6"/>
  <c r="AY1035" i="6"/>
  <c r="AZ1035" i="6"/>
  <c r="BA1035" i="6"/>
  <c r="BB1035" i="6"/>
  <c r="BC1035" i="6"/>
  <c r="BD1035" i="6"/>
  <c r="BE1035" i="6"/>
  <c r="BF1035" i="6"/>
  <c r="BG1035" i="6"/>
  <c r="BH1035" i="6"/>
  <c r="BI1035" i="6"/>
  <c r="BJ1035" i="6"/>
  <c r="BK1035" i="6"/>
  <c r="AL1036" i="6"/>
  <c r="AM1036" i="6"/>
  <c r="AN1036" i="6"/>
  <c r="AO1036" i="6"/>
  <c r="AP1036" i="6"/>
  <c r="AQ1036" i="6"/>
  <c r="AR1036" i="6"/>
  <c r="AS1036" i="6"/>
  <c r="AT1036" i="6"/>
  <c r="AU1036" i="6"/>
  <c r="AV1036" i="6"/>
  <c r="AW1036" i="6"/>
  <c r="AX1036" i="6"/>
  <c r="AY1036" i="6"/>
  <c r="AZ1036" i="6"/>
  <c r="BA1036" i="6"/>
  <c r="BB1036" i="6"/>
  <c r="BC1036" i="6"/>
  <c r="BD1036" i="6"/>
  <c r="BE1036" i="6"/>
  <c r="BF1036" i="6"/>
  <c r="BG1036" i="6"/>
  <c r="BH1036" i="6"/>
  <c r="BI1036" i="6"/>
  <c r="BJ1036" i="6"/>
  <c r="BK1036" i="6"/>
  <c r="AL1037" i="6"/>
  <c r="AM1037" i="6"/>
  <c r="AN1037" i="6"/>
  <c r="AO1037" i="6"/>
  <c r="AP1037" i="6"/>
  <c r="AQ1037" i="6"/>
  <c r="AR1037" i="6"/>
  <c r="AS1037" i="6"/>
  <c r="AT1037" i="6"/>
  <c r="AU1037" i="6"/>
  <c r="AV1037" i="6"/>
  <c r="AW1037" i="6"/>
  <c r="AX1037" i="6"/>
  <c r="AY1037" i="6"/>
  <c r="AZ1037" i="6"/>
  <c r="BA1037" i="6"/>
  <c r="BB1037" i="6"/>
  <c r="BC1037" i="6"/>
  <c r="BD1037" i="6"/>
  <c r="BE1037" i="6"/>
  <c r="BF1037" i="6"/>
  <c r="BG1037" i="6"/>
  <c r="BH1037" i="6"/>
  <c r="BI1037" i="6"/>
  <c r="BJ1037" i="6"/>
  <c r="BK1037" i="6"/>
  <c r="AL1038" i="6"/>
  <c r="AM1038" i="6"/>
  <c r="AN1038" i="6"/>
  <c r="AO1038" i="6"/>
  <c r="AP1038" i="6"/>
  <c r="AQ1038" i="6"/>
  <c r="AR1038" i="6"/>
  <c r="AS1038" i="6"/>
  <c r="AT1038" i="6"/>
  <c r="AU1038" i="6"/>
  <c r="AV1038" i="6"/>
  <c r="AW1038" i="6"/>
  <c r="AX1038" i="6"/>
  <c r="AY1038" i="6"/>
  <c r="AZ1038" i="6"/>
  <c r="BA1038" i="6"/>
  <c r="BB1038" i="6"/>
  <c r="BC1038" i="6"/>
  <c r="BD1038" i="6"/>
  <c r="BE1038" i="6"/>
  <c r="BF1038" i="6"/>
  <c r="BG1038" i="6"/>
  <c r="BH1038" i="6"/>
  <c r="BI1038" i="6"/>
  <c r="BJ1038" i="6"/>
  <c r="BK1038" i="6"/>
  <c r="AL1039" i="6"/>
  <c r="AM1039" i="6"/>
  <c r="AN1039" i="6"/>
  <c r="AO1039" i="6"/>
  <c r="AP1039" i="6"/>
  <c r="AQ1039" i="6"/>
  <c r="AR1039" i="6"/>
  <c r="AS1039" i="6"/>
  <c r="AT1039" i="6"/>
  <c r="AU1039" i="6"/>
  <c r="AV1039" i="6"/>
  <c r="AW1039" i="6"/>
  <c r="AX1039" i="6"/>
  <c r="AY1039" i="6"/>
  <c r="AZ1039" i="6"/>
  <c r="BA1039" i="6"/>
  <c r="BB1039" i="6"/>
  <c r="BC1039" i="6"/>
  <c r="BD1039" i="6"/>
  <c r="BE1039" i="6"/>
  <c r="BF1039" i="6"/>
  <c r="BG1039" i="6"/>
  <c r="BH1039" i="6"/>
  <c r="BI1039" i="6"/>
  <c r="BJ1039" i="6"/>
  <c r="BK1039" i="6"/>
  <c r="AL1040" i="6"/>
  <c r="AM1040" i="6"/>
  <c r="AN1040" i="6"/>
  <c r="AO1040" i="6"/>
  <c r="AP1040" i="6"/>
  <c r="AQ1040" i="6"/>
  <c r="AR1040" i="6"/>
  <c r="AS1040" i="6"/>
  <c r="AT1040" i="6"/>
  <c r="AU1040" i="6"/>
  <c r="AV1040" i="6"/>
  <c r="AW1040" i="6"/>
  <c r="AX1040" i="6"/>
  <c r="AY1040" i="6"/>
  <c r="AZ1040" i="6"/>
  <c r="BA1040" i="6"/>
  <c r="BB1040" i="6"/>
  <c r="BC1040" i="6"/>
  <c r="BD1040" i="6"/>
  <c r="BE1040" i="6"/>
  <c r="BF1040" i="6"/>
  <c r="BG1040" i="6"/>
  <c r="BH1040" i="6"/>
  <c r="BI1040" i="6"/>
  <c r="BJ1040" i="6"/>
  <c r="BK1040" i="6"/>
  <c r="AL1041" i="6"/>
  <c r="AM1041" i="6"/>
  <c r="AN1041" i="6"/>
  <c r="AO1041" i="6"/>
  <c r="AP1041" i="6"/>
  <c r="AQ1041" i="6"/>
  <c r="AR1041" i="6"/>
  <c r="AS1041" i="6"/>
  <c r="AT1041" i="6"/>
  <c r="AU1041" i="6"/>
  <c r="AV1041" i="6"/>
  <c r="AW1041" i="6"/>
  <c r="AX1041" i="6"/>
  <c r="AY1041" i="6"/>
  <c r="AZ1041" i="6"/>
  <c r="BA1041" i="6"/>
  <c r="BB1041" i="6"/>
  <c r="BC1041" i="6"/>
  <c r="BD1041" i="6"/>
  <c r="BE1041" i="6"/>
  <c r="BF1041" i="6"/>
  <c r="BG1041" i="6"/>
  <c r="BH1041" i="6"/>
  <c r="BI1041" i="6"/>
  <c r="BJ1041" i="6"/>
  <c r="BK1041" i="6"/>
  <c r="AL1042" i="6"/>
  <c r="AM1042" i="6"/>
  <c r="AN1042" i="6"/>
  <c r="AO1042" i="6"/>
  <c r="AP1042" i="6"/>
  <c r="AQ1042" i="6"/>
  <c r="AR1042" i="6"/>
  <c r="AS1042" i="6"/>
  <c r="AT1042" i="6"/>
  <c r="AU1042" i="6"/>
  <c r="AV1042" i="6"/>
  <c r="AW1042" i="6"/>
  <c r="AX1042" i="6"/>
  <c r="AY1042" i="6"/>
  <c r="AZ1042" i="6"/>
  <c r="BA1042" i="6"/>
  <c r="BB1042" i="6"/>
  <c r="BC1042" i="6"/>
  <c r="BD1042" i="6"/>
  <c r="BE1042" i="6"/>
  <c r="BF1042" i="6"/>
  <c r="BG1042" i="6"/>
  <c r="BH1042" i="6"/>
  <c r="BI1042" i="6"/>
  <c r="BJ1042" i="6"/>
  <c r="BK1042" i="6"/>
  <c r="AL1043" i="6"/>
  <c r="AM1043" i="6"/>
  <c r="AN1043" i="6"/>
  <c r="AO1043" i="6"/>
  <c r="AP1043" i="6"/>
  <c r="AQ1043" i="6"/>
  <c r="AR1043" i="6"/>
  <c r="AS1043" i="6"/>
  <c r="AT1043" i="6"/>
  <c r="AU1043" i="6"/>
  <c r="AV1043" i="6"/>
  <c r="AW1043" i="6"/>
  <c r="AX1043" i="6"/>
  <c r="AY1043" i="6"/>
  <c r="AZ1043" i="6"/>
  <c r="BA1043" i="6"/>
  <c r="BB1043" i="6"/>
  <c r="BC1043" i="6"/>
  <c r="BD1043" i="6"/>
  <c r="BE1043" i="6"/>
  <c r="BF1043" i="6"/>
  <c r="BG1043" i="6"/>
  <c r="BH1043" i="6"/>
  <c r="BI1043" i="6"/>
  <c r="BJ1043" i="6"/>
  <c r="BK1043" i="6"/>
  <c r="AL1044" i="6"/>
  <c r="AM1044" i="6"/>
  <c r="AN1044" i="6"/>
  <c r="AO1044" i="6"/>
  <c r="AP1044" i="6"/>
  <c r="AQ1044" i="6"/>
  <c r="AR1044" i="6"/>
  <c r="AS1044" i="6"/>
  <c r="AT1044" i="6"/>
  <c r="AU1044" i="6"/>
  <c r="AV1044" i="6"/>
  <c r="AW1044" i="6"/>
  <c r="AX1044" i="6"/>
  <c r="AY1044" i="6"/>
  <c r="AZ1044" i="6"/>
  <c r="BA1044" i="6"/>
  <c r="BB1044" i="6"/>
  <c r="BC1044" i="6"/>
  <c r="BD1044" i="6"/>
  <c r="BE1044" i="6"/>
  <c r="BF1044" i="6"/>
  <c r="BG1044" i="6"/>
  <c r="BH1044" i="6"/>
  <c r="BI1044" i="6"/>
  <c r="BJ1044" i="6"/>
  <c r="BK1044" i="6"/>
  <c r="AL1045" i="6"/>
  <c r="AM1045" i="6"/>
  <c r="AN1045" i="6"/>
  <c r="AO1045" i="6"/>
  <c r="AP1045" i="6"/>
  <c r="AQ1045" i="6"/>
  <c r="AR1045" i="6"/>
  <c r="AS1045" i="6"/>
  <c r="AT1045" i="6"/>
  <c r="AU1045" i="6"/>
  <c r="AV1045" i="6"/>
  <c r="AW1045" i="6"/>
  <c r="AX1045" i="6"/>
  <c r="AY1045" i="6"/>
  <c r="AZ1045" i="6"/>
  <c r="BA1045" i="6"/>
  <c r="BB1045" i="6"/>
  <c r="BC1045" i="6"/>
  <c r="BD1045" i="6"/>
  <c r="BE1045" i="6"/>
  <c r="BF1045" i="6"/>
  <c r="BG1045" i="6"/>
  <c r="BH1045" i="6"/>
  <c r="BI1045" i="6"/>
  <c r="BJ1045" i="6"/>
  <c r="BK1045" i="6"/>
  <c r="AL1046" i="6"/>
  <c r="AM1046" i="6"/>
  <c r="AN1046" i="6"/>
  <c r="AO1046" i="6"/>
  <c r="AP1046" i="6"/>
  <c r="AQ1046" i="6"/>
  <c r="AR1046" i="6"/>
  <c r="AS1046" i="6"/>
  <c r="AT1046" i="6"/>
  <c r="AU1046" i="6"/>
  <c r="AV1046" i="6"/>
  <c r="AW1046" i="6"/>
  <c r="AX1046" i="6"/>
  <c r="AY1046" i="6"/>
  <c r="AZ1046" i="6"/>
  <c r="BA1046" i="6"/>
  <c r="BB1046" i="6"/>
  <c r="BC1046" i="6"/>
  <c r="BD1046" i="6"/>
  <c r="BE1046" i="6"/>
  <c r="BF1046" i="6"/>
  <c r="BG1046" i="6"/>
  <c r="BH1046" i="6"/>
  <c r="BI1046" i="6"/>
  <c r="BJ1046" i="6"/>
  <c r="BK1046" i="6"/>
  <c r="AL1047" i="6"/>
  <c r="AM1047" i="6"/>
  <c r="AN1047" i="6"/>
  <c r="AO1047" i="6"/>
  <c r="AP1047" i="6"/>
  <c r="AQ1047" i="6"/>
  <c r="AR1047" i="6"/>
  <c r="AS1047" i="6"/>
  <c r="AT1047" i="6"/>
  <c r="AU1047" i="6"/>
  <c r="AV1047" i="6"/>
  <c r="AW1047" i="6"/>
  <c r="AX1047" i="6"/>
  <c r="AY1047" i="6"/>
  <c r="AZ1047" i="6"/>
  <c r="BA1047" i="6"/>
  <c r="BB1047" i="6"/>
  <c r="BC1047" i="6"/>
  <c r="BD1047" i="6"/>
  <c r="BE1047" i="6"/>
  <c r="BF1047" i="6"/>
  <c r="BG1047" i="6"/>
  <c r="BH1047" i="6"/>
  <c r="BI1047" i="6"/>
  <c r="BJ1047" i="6"/>
  <c r="BK1047" i="6"/>
  <c r="AL1048" i="6"/>
  <c r="AM1048" i="6"/>
  <c r="AN1048" i="6"/>
  <c r="AO1048" i="6"/>
  <c r="AP1048" i="6"/>
  <c r="AQ1048" i="6"/>
  <c r="AR1048" i="6"/>
  <c r="AS1048" i="6"/>
  <c r="AT1048" i="6"/>
  <c r="AU1048" i="6"/>
  <c r="AV1048" i="6"/>
  <c r="AW1048" i="6"/>
  <c r="AX1048" i="6"/>
  <c r="AY1048" i="6"/>
  <c r="AZ1048" i="6"/>
  <c r="BA1048" i="6"/>
  <c r="BB1048" i="6"/>
  <c r="BC1048" i="6"/>
  <c r="BD1048" i="6"/>
  <c r="BE1048" i="6"/>
  <c r="BF1048" i="6"/>
  <c r="BG1048" i="6"/>
  <c r="BH1048" i="6"/>
  <c r="BI1048" i="6"/>
  <c r="BJ1048" i="6"/>
  <c r="BK1048" i="6"/>
  <c r="AL1049" i="6"/>
  <c r="AM1049" i="6"/>
  <c r="AN1049" i="6"/>
  <c r="AO1049" i="6"/>
  <c r="AP1049" i="6"/>
  <c r="AQ1049" i="6"/>
  <c r="AR1049" i="6"/>
  <c r="AS1049" i="6"/>
  <c r="AT1049" i="6"/>
  <c r="AU1049" i="6"/>
  <c r="AV1049" i="6"/>
  <c r="AW1049" i="6"/>
  <c r="AX1049" i="6"/>
  <c r="AY1049" i="6"/>
  <c r="AZ1049" i="6"/>
  <c r="BA1049" i="6"/>
  <c r="BB1049" i="6"/>
  <c r="BC1049" i="6"/>
  <c r="BD1049" i="6"/>
  <c r="BE1049" i="6"/>
  <c r="BF1049" i="6"/>
  <c r="BG1049" i="6"/>
  <c r="BH1049" i="6"/>
  <c r="BI1049" i="6"/>
  <c r="BJ1049" i="6"/>
  <c r="BK1049" i="6"/>
  <c r="AL1050" i="6"/>
  <c r="AM1050" i="6"/>
  <c r="AN1050" i="6"/>
  <c r="AO1050" i="6"/>
  <c r="AP1050" i="6"/>
  <c r="AQ1050" i="6"/>
  <c r="AR1050" i="6"/>
  <c r="AS1050" i="6"/>
  <c r="AT1050" i="6"/>
  <c r="AU1050" i="6"/>
  <c r="AV1050" i="6"/>
  <c r="AW1050" i="6"/>
  <c r="AX1050" i="6"/>
  <c r="AY1050" i="6"/>
  <c r="AZ1050" i="6"/>
  <c r="BA1050" i="6"/>
  <c r="BB1050" i="6"/>
  <c r="BC1050" i="6"/>
  <c r="BD1050" i="6"/>
  <c r="BE1050" i="6"/>
  <c r="BF1050" i="6"/>
  <c r="BG1050" i="6"/>
  <c r="BH1050" i="6"/>
  <c r="BI1050" i="6"/>
  <c r="BJ1050" i="6"/>
  <c r="BK1050" i="6"/>
  <c r="AL1051" i="6"/>
  <c r="AM1051" i="6"/>
  <c r="AN1051" i="6"/>
  <c r="AO1051" i="6"/>
  <c r="AP1051" i="6"/>
  <c r="AQ1051" i="6"/>
  <c r="AR1051" i="6"/>
  <c r="AS1051" i="6"/>
  <c r="AT1051" i="6"/>
  <c r="AU1051" i="6"/>
  <c r="AV1051" i="6"/>
  <c r="AW1051" i="6"/>
  <c r="AX1051" i="6"/>
  <c r="AY1051" i="6"/>
  <c r="AZ1051" i="6"/>
  <c r="BA1051" i="6"/>
  <c r="BB1051" i="6"/>
  <c r="BC1051" i="6"/>
  <c r="BD1051" i="6"/>
  <c r="BE1051" i="6"/>
  <c r="BF1051" i="6"/>
  <c r="BG1051" i="6"/>
  <c r="BH1051" i="6"/>
  <c r="BI1051" i="6"/>
  <c r="BJ1051" i="6"/>
  <c r="BK1051" i="6"/>
  <c r="AL1052" i="6"/>
  <c r="AM1052" i="6"/>
  <c r="AN1052" i="6"/>
  <c r="AO1052" i="6"/>
  <c r="AP1052" i="6"/>
  <c r="AQ1052" i="6"/>
  <c r="AR1052" i="6"/>
  <c r="AS1052" i="6"/>
  <c r="AT1052" i="6"/>
  <c r="AU1052" i="6"/>
  <c r="AV1052" i="6"/>
  <c r="AW1052" i="6"/>
  <c r="AX1052" i="6"/>
  <c r="AY1052" i="6"/>
  <c r="AZ1052" i="6"/>
  <c r="BA1052" i="6"/>
  <c r="BB1052" i="6"/>
  <c r="BC1052" i="6"/>
  <c r="BD1052" i="6"/>
  <c r="BE1052" i="6"/>
  <c r="BF1052" i="6"/>
  <c r="BG1052" i="6"/>
  <c r="BH1052" i="6"/>
  <c r="BI1052" i="6"/>
  <c r="BJ1052" i="6"/>
  <c r="BK1052" i="6"/>
  <c r="AL1053" i="6"/>
  <c r="AM1053" i="6"/>
  <c r="AN1053" i="6"/>
  <c r="AO1053" i="6"/>
  <c r="AP1053" i="6"/>
  <c r="AQ1053" i="6"/>
  <c r="AR1053" i="6"/>
  <c r="AS1053" i="6"/>
  <c r="AT1053" i="6"/>
  <c r="AU1053" i="6"/>
  <c r="AV1053" i="6"/>
  <c r="AW1053" i="6"/>
  <c r="AX1053" i="6"/>
  <c r="AY1053" i="6"/>
  <c r="AZ1053" i="6"/>
  <c r="BA1053" i="6"/>
  <c r="BB1053" i="6"/>
  <c r="BC1053" i="6"/>
  <c r="BD1053" i="6"/>
  <c r="BE1053" i="6"/>
  <c r="BF1053" i="6"/>
  <c r="BG1053" i="6"/>
  <c r="BH1053" i="6"/>
  <c r="BI1053" i="6"/>
  <c r="BJ1053" i="6"/>
  <c r="BK1053" i="6"/>
  <c r="AL1054" i="6"/>
  <c r="AM1054" i="6"/>
  <c r="AN1054" i="6"/>
  <c r="AO1054" i="6"/>
  <c r="AP1054" i="6"/>
  <c r="AQ1054" i="6"/>
  <c r="AR1054" i="6"/>
  <c r="AS1054" i="6"/>
  <c r="AT1054" i="6"/>
  <c r="AU1054" i="6"/>
  <c r="AV1054" i="6"/>
  <c r="AW1054" i="6"/>
  <c r="AX1054" i="6"/>
  <c r="AY1054" i="6"/>
  <c r="AZ1054" i="6"/>
  <c r="BA1054" i="6"/>
  <c r="BB1054" i="6"/>
  <c r="BC1054" i="6"/>
  <c r="BD1054" i="6"/>
  <c r="BE1054" i="6"/>
  <c r="BF1054" i="6"/>
  <c r="BG1054" i="6"/>
  <c r="BH1054" i="6"/>
  <c r="BI1054" i="6"/>
  <c r="BJ1054" i="6"/>
  <c r="BK1054" i="6"/>
  <c r="AL1055" i="6"/>
  <c r="AM1055" i="6"/>
  <c r="AN1055" i="6"/>
  <c r="AO1055" i="6"/>
  <c r="AP1055" i="6"/>
  <c r="AQ1055" i="6"/>
  <c r="AR1055" i="6"/>
  <c r="AS1055" i="6"/>
  <c r="AT1055" i="6"/>
  <c r="AU1055" i="6"/>
  <c r="AV1055" i="6"/>
  <c r="AW1055" i="6"/>
  <c r="AX1055" i="6"/>
  <c r="AY1055" i="6"/>
  <c r="AZ1055" i="6"/>
  <c r="BA1055" i="6"/>
  <c r="BB1055" i="6"/>
  <c r="BC1055" i="6"/>
  <c r="BD1055" i="6"/>
  <c r="BE1055" i="6"/>
  <c r="BF1055" i="6"/>
  <c r="BG1055" i="6"/>
  <c r="BH1055" i="6"/>
  <c r="BI1055" i="6"/>
  <c r="BJ1055" i="6"/>
  <c r="BK1055" i="6"/>
  <c r="AL1056" i="6"/>
  <c r="AM1056" i="6"/>
  <c r="AN1056" i="6"/>
  <c r="AO1056" i="6"/>
  <c r="AP1056" i="6"/>
  <c r="AQ1056" i="6"/>
  <c r="AR1056" i="6"/>
  <c r="AS1056" i="6"/>
  <c r="AT1056" i="6"/>
  <c r="AU1056" i="6"/>
  <c r="AV1056" i="6"/>
  <c r="AW1056" i="6"/>
  <c r="AX1056" i="6"/>
  <c r="AY1056" i="6"/>
  <c r="AZ1056" i="6"/>
  <c r="BA1056" i="6"/>
  <c r="BB1056" i="6"/>
  <c r="BC1056" i="6"/>
  <c r="BD1056" i="6"/>
  <c r="BE1056" i="6"/>
  <c r="BF1056" i="6"/>
  <c r="BG1056" i="6"/>
  <c r="BH1056" i="6"/>
  <c r="BI1056" i="6"/>
  <c r="BJ1056" i="6"/>
  <c r="BK1056" i="6"/>
  <c r="AL1057" i="6"/>
  <c r="AM1057" i="6"/>
  <c r="AN1057" i="6"/>
  <c r="AO1057" i="6"/>
  <c r="AP1057" i="6"/>
  <c r="AQ1057" i="6"/>
  <c r="AR1057" i="6"/>
  <c r="AS1057" i="6"/>
  <c r="AT1057" i="6"/>
  <c r="AU1057" i="6"/>
  <c r="AV1057" i="6"/>
  <c r="AW1057" i="6"/>
  <c r="AX1057" i="6"/>
  <c r="AY1057" i="6"/>
  <c r="AZ1057" i="6"/>
  <c r="BA1057" i="6"/>
  <c r="BB1057" i="6"/>
  <c r="BC1057" i="6"/>
  <c r="BD1057" i="6"/>
  <c r="BE1057" i="6"/>
  <c r="BF1057" i="6"/>
  <c r="BG1057" i="6"/>
  <c r="BH1057" i="6"/>
  <c r="BI1057" i="6"/>
  <c r="BJ1057" i="6"/>
  <c r="BK1057" i="6"/>
  <c r="AL1058" i="6"/>
  <c r="AM1058" i="6"/>
  <c r="AN1058" i="6"/>
  <c r="AO1058" i="6"/>
  <c r="AP1058" i="6"/>
  <c r="AQ1058" i="6"/>
  <c r="AR1058" i="6"/>
  <c r="AS1058" i="6"/>
  <c r="AT1058" i="6"/>
  <c r="AU1058" i="6"/>
  <c r="AV1058" i="6"/>
  <c r="AW1058" i="6"/>
  <c r="AX1058" i="6"/>
  <c r="AY1058" i="6"/>
  <c r="AZ1058" i="6"/>
  <c r="BA1058" i="6"/>
  <c r="BB1058" i="6"/>
  <c r="BC1058" i="6"/>
  <c r="BD1058" i="6"/>
  <c r="BE1058" i="6"/>
  <c r="BF1058" i="6"/>
  <c r="BG1058" i="6"/>
  <c r="BH1058" i="6"/>
  <c r="BI1058" i="6"/>
  <c r="BJ1058" i="6"/>
  <c r="BK1058" i="6"/>
  <c r="AL1059" i="6"/>
  <c r="AM1059" i="6"/>
  <c r="AN1059" i="6"/>
  <c r="AO1059" i="6"/>
  <c r="AP1059" i="6"/>
  <c r="AQ1059" i="6"/>
  <c r="AR1059" i="6"/>
  <c r="AS1059" i="6"/>
  <c r="AT1059" i="6"/>
  <c r="AU1059" i="6"/>
  <c r="AV1059" i="6"/>
  <c r="AW1059" i="6"/>
  <c r="AX1059" i="6"/>
  <c r="AY1059" i="6"/>
  <c r="AZ1059" i="6"/>
  <c r="BA1059" i="6"/>
  <c r="BB1059" i="6"/>
  <c r="BC1059" i="6"/>
  <c r="BD1059" i="6"/>
  <c r="BE1059" i="6"/>
  <c r="BF1059" i="6"/>
  <c r="BG1059" i="6"/>
  <c r="BH1059" i="6"/>
  <c r="BI1059" i="6"/>
  <c r="BJ1059" i="6"/>
  <c r="BK1059" i="6"/>
  <c r="AL1060" i="6"/>
  <c r="AM1060" i="6"/>
  <c r="AN1060" i="6"/>
  <c r="AO1060" i="6"/>
  <c r="AP1060" i="6"/>
  <c r="AQ1060" i="6"/>
  <c r="AR1060" i="6"/>
  <c r="AS1060" i="6"/>
  <c r="AT1060" i="6"/>
  <c r="AU1060" i="6"/>
  <c r="AV1060" i="6"/>
  <c r="AW1060" i="6"/>
  <c r="AX1060" i="6"/>
  <c r="AY1060" i="6"/>
  <c r="AZ1060" i="6"/>
  <c r="BA1060" i="6"/>
  <c r="BB1060" i="6"/>
  <c r="BC1060" i="6"/>
  <c r="BD1060" i="6"/>
  <c r="BE1060" i="6"/>
  <c r="BF1060" i="6"/>
  <c r="BG1060" i="6"/>
  <c r="BH1060" i="6"/>
  <c r="BI1060" i="6"/>
  <c r="BJ1060" i="6"/>
  <c r="BK1060" i="6"/>
  <c r="AL1061" i="6"/>
  <c r="AM1061" i="6"/>
  <c r="AN1061" i="6"/>
  <c r="AO1061" i="6"/>
  <c r="AP1061" i="6"/>
  <c r="AQ1061" i="6"/>
  <c r="AR1061" i="6"/>
  <c r="AS1061" i="6"/>
  <c r="AT1061" i="6"/>
  <c r="AU1061" i="6"/>
  <c r="AV1061" i="6"/>
  <c r="AW1061" i="6"/>
  <c r="AX1061" i="6"/>
  <c r="AY1061" i="6"/>
  <c r="AZ1061" i="6"/>
  <c r="BA1061" i="6"/>
  <c r="BB1061" i="6"/>
  <c r="BC1061" i="6"/>
  <c r="BD1061" i="6"/>
  <c r="BE1061" i="6"/>
  <c r="BF1061" i="6"/>
  <c r="BG1061" i="6"/>
  <c r="BH1061" i="6"/>
  <c r="BI1061" i="6"/>
  <c r="BJ1061" i="6"/>
  <c r="BK1061" i="6"/>
  <c r="AL1062" i="6"/>
  <c r="AM1062" i="6"/>
  <c r="AN1062" i="6"/>
  <c r="AO1062" i="6"/>
  <c r="AP1062" i="6"/>
  <c r="AQ1062" i="6"/>
  <c r="AR1062" i="6"/>
  <c r="AS1062" i="6"/>
  <c r="AT1062" i="6"/>
  <c r="AU1062" i="6"/>
  <c r="AV1062" i="6"/>
  <c r="AW1062" i="6"/>
  <c r="AX1062" i="6"/>
  <c r="AY1062" i="6"/>
  <c r="AZ1062" i="6"/>
  <c r="BA1062" i="6"/>
  <c r="BB1062" i="6"/>
  <c r="BC1062" i="6"/>
  <c r="BD1062" i="6"/>
  <c r="BE1062" i="6"/>
  <c r="BF1062" i="6"/>
  <c r="BG1062" i="6"/>
  <c r="BH1062" i="6"/>
  <c r="BI1062" i="6"/>
  <c r="BJ1062" i="6"/>
  <c r="BK1062" i="6"/>
  <c r="AL1063" i="6"/>
  <c r="AM1063" i="6"/>
  <c r="AN1063" i="6"/>
  <c r="AO1063" i="6"/>
  <c r="AP1063" i="6"/>
  <c r="AQ1063" i="6"/>
  <c r="AR1063" i="6"/>
  <c r="AS1063" i="6"/>
  <c r="AT1063" i="6"/>
  <c r="AU1063" i="6"/>
  <c r="AV1063" i="6"/>
  <c r="AW1063" i="6"/>
  <c r="AX1063" i="6"/>
  <c r="AY1063" i="6"/>
  <c r="AZ1063" i="6"/>
  <c r="BA1063" i="6"/>
  <c r="BB1063" i="6"/>
  <c r="BC1063" i="6"/>
  <c r="BD1063" i="6"/>
  <c r="BE1063" i="6"/>
  <c r="BF1063" i="6"/>
  <c r="BG1063" i="6"/>
  <c r="BH1063" i="6"/>
  <c r="BI1063" i="6"/>
  <c r="BJ1063" i="6"/>
  <c r="BK1063" i="6"/>
  <c r="AL1064" i="6"/>
  <c r="AM1064" i="6"/>
  <c r="AN1064" i="6"/>
  <c r="AO1064" i="6"/>
  <c r="AP1064" i="6"/>
  <c r="AQ1064" i="6"/>
  <c r="AR1064" i="6"/>
  <c r="AS1064" i="6"/>
  <c r="AT1064" i="6"/>
  <c r="AU1064" i="6"/>
  <c r="AV1064" i="6"/>
  <c r="AW1064" i="6"/>
  <c r="AX1064" i="6"/>
  <c r="AY1064" i="6"/>
  <c r="AZ1064" i="6"/>
  <c r="BA1064" i="6"/>
  <c r="BB1064" i="6"/>
  <c r="BC1064" i="6"/>
  <c r="BD1064" i="6"/>
  <c r="BE1064" i="6"/>
  <c r="BF1064" i="6"/>
  <c r="BG1064" i="6"/>
  <c r="BH1064" i="6"/>
  <c r="BI1064" i="6"/>
  <c r="BJ1064" i="6"/>
  <c r="BK1064" i="6"/>
  <c r="AL1065" i="6"/>
  <c r="AM1065" i="6"/>
  <c r="AN1065" i="6"/>
  <c r="AO1065" i="6"/>
  <c r="AP1065" i="6"/>
  <c r="AQ1065" i="6"/>
  <c r="AR1065" i="6"/>
  <c r="AS1065" i="6"/>
  <c r="AT1065" i="6"/>
  <c r="AU1065" i="6"/>
  <c r="AV1065" i="6"/>
  <c r="AW1065" i="6"/>
  <c r="AX1065" i="6"/>
  <c r="AY1065" i="6"/>
  <c r="AZ1065" i="6"/>
  <c r="BA1065" i="6"/>
  <c r="BB1065" i="6"/>
  <c r="BC1065" i="6"/>
  <c r="BD1065" i="6"/>
  <c r="BE1065" i="6"/>
  <c r="BF1065" i="6"/>
  <c r="BG1065" i="6"/>
  <c r="BH1065" i="6"/>
  <c r="BI1065" i="6"/>
  <c r="BJ1065" i="6"/>
  <c r="BK1065" i="6"/>
  <c r="AL1066" i="6"/>
  <c r="AM1066" i="6"/>
  <c r="AN1066" i="6"/>
  <c r="AO1066" i="6"/>
  <c r="AP1066" i="6"/>
  <c r="AQ1066" i="6"/>
  <c r="AR1066" i="6"/>
  <c r="AS1066" i="6"/>
  <c r="AT1066" i="6"/>
  <c r="AU1066" i="6"/>
  <c r="AV1066" i="6"/>
  <c r="AW1066" i="6"/>
  <c r="AX1066" i="6"/>
  <c r="AY1066" i="6"/>
  <c r="AZ1066" i="6"/>
  <c r="BA1066" i="6"/>
  <c r="BB1066" i="6"/>
  <c r="BC1066" i="6"/>
  <c r="BD1066" i="6"/>
  <c r="BE1066" i="6"/>
  <c r="BF1066" i="6"/>
  <c r="BG1066" i="6"/>
  <c r="BH1066" i="6"/>
  <c r="BI1066" i="6"/>
  <c r="BJ1066" i="6"/>
  <c r="BK1066" i="6"/>
  <c r="AL1067" i="6"/>
  <c r="AM1067" i="6"/>
  <c r="AN1067" i="6"/>
  <c r="AO1067" i="6"/>
  <c r="AP1067" i="6"/>
  <c r="AQ1067" i="6"/>
  <c r="AR1067" i="6"/>
  <c r="AS1067" i="6"/>
  <c r="AT1067" i="6"/>
  <c r="AU1067" i="6"/>
  <c r="AV1067" i="6"/>
  <c r="AW1067" i="6"/>
  <c r="AX1067" i="6"/>
  <c r="AY1067" i="6"/>
  <c r="AZ1067" i="6"/>
  <c r="BA1067" i="6"/>
  <c r="BB1067" i="6"/>
  <c r="BC1067" i="6"/>
  <c r="BD1067" i="6"/>
  <c r="BE1067" i="6"/>
  <c r="BF1067" i="6"/>
  <c r="BG1067" i="6"/>
  <c r="BH1067" i="6"/>
  <c r="BI1067" i="6"/>
  <c r="BJ1067" i="6"/>
  <c r="BK1067" i="6"/>
  <c r="AL1068" i="6"/>
  <c r="AM1068" i="6"/>
  <c r="AN1068" i="6"/>
  <c r="AO1068" i="6"/>
  <c r="AP1068" i="6"/>
  <c r="AQ1068" i="6"/>
  <c r="AR1068" i="6"/>
  <c r="AS1068" i="6"/>
  <c r="AT1068" i="6"/>
  <c r="AU1068" i="6"/>
  <c r="AV1068" i="6"/>
  <c r="AW1068" i="6"/>
  <c r="AX1068" i="6"/>
  <c r="AY1068" i="6"/>
  <c r="AZ1068" i="6"/>
  <c r="BA1068" i="6"/>
  <c r="BB1068" i="6"/>
  <c r="BC1068" i="6"/>
  <c r="BD1068" i="6"/>
  <c r="BE1068" i="6"/>
  <c r="BF1068" i="6"/>
  <c r="BG1068" i="6"/>
  <c r="BH1068" i="6"/>
  <c r="BI1068" i="6"/>
  <c r="BJ1068" i="6"/>
  <c r="BK1068" i="6"/>
  <c r="AL1069" i="6"/>
  <c r="AM1069" i="6"/>
  <c r="AN1069" i="6"/>
  <c r="AO1069" i="6"/>
  <c r="AP1069" i="6"/>
  <c r="AQ1069" i="6"/>
  <c r="AR1069" i="6"/>
  <c r="AS1069" i="6"/>
  <c r="AT1069" i="6"/>
  <c r="AU1069" i="6"/>
  <c r="AV1069" i="6"/>
  <c r="AW1069" i="6"/>
  <c r="AX1069" i="6"/>
  <c r="AY1069" i="6"/>
  <c r="AZ1069" i="6"/>
  <c r="BA1069" i="6"/>
  <c r="BB1069" i="6"/>
  <c r="BC1069" i="6"/>
  <c r="BD1069" i="6"/>
  <c r="BE1069" i="6"/>
  <c r="BF1069" i="6"/>
  <c r="BG1069" i="6"/>
  <c r="BH1069" i="6"/>
  <c r="BI1069" i="6"/>
  <c r="BJ1069" i="6"/>
  <c r="BK1069" i="6"/>
  <c r="AL1070" i="6"/>
  <c r="AM1070" i="6"/>
  <c r="AN1070" i="6"/>
  <c r="AO1070" i="6"/>
  <c r="AP1070" i="6"/>
  <c r="AQ1070" i="6"/>
  <c r="AR1070" i="6"/>
  <c r="AS1070" i="6"/>
  <c r="AT1070" i="6"/>
  <c r="AU1070" i="6"/>
  <c r="AV1070" i="6"/>
  <c r="AW1070" i="6"/>
  <c r="AX1070" i="6"/>
  <c r="AY1070" i="6"/>
  <c r="AZ1070" i="6"/>
  <c r="BA1070" i="6"/>
  <c r="BB1070" i="6"/>
  <c r="BC1070" i="6"/>
  <c r="BD1070" i="6"/>
  <c r="BE1070" i="6"/>
  <c r="BF1070" i="6"/>
  <c r="BG1070" i="6"/>
  <c r="BH1070" i="6"/>
  <c r="BI1070" i="6"/>
  <c r="BJ1070" i="6"/>
  <c r="BK1070" i="6"/>
  <c r="AL1071" i="6"/>
  <c r="AM1071" i="6"/>
  <c r="AN1071" i="6"/>
  <c r="AO1071" i="6"/>
  <c r="AP1071" i="6"/>
  <c r="AQ1071" i="6"/>
  <c r="AR1071" i="6"/>
  <c r="AS1071" i="6"/>
  <c r="AT1071" i="6"/>
  <c r="AU1071" i="6"/>
  <c r="AV1071" i="6"/>
  <c r="AW1071" i="6"/>
  <c r="AX1071" i="6"/>
  <c r="AY1071" i="6"/>
  <c r="AZ1071" i="6"/>
  <c r="BA1071" i="6"/>
  <c r="BB1071" i="6"/>
  <c r="BC1071" i="6"/>
  <c r="BD1071" i="6"/>
  <c r="BE1071" i="6"/>
  <c r="BF1071" i="6"/>
  <c r="BG1071" i="6"/>
  <c r="BH1071" i="6"/>
  <c r="BI1071" i="6"/>
  <c r="BJ1071" i="6"/>
  <c r="BK1071" i="6"/>
  <c r="AL1072" i="6"/>
  <c r="AM1072" i="6"/>
  <c r="AN1072" i="6"/>
  <c r="AO1072" i="6"/>
  <c r="AP1072" i="6"/>
  <c r="AQ1072" i="6"/>
  <c r="AR1072" i="6"/>
  <c r="AS1072" i="6"/>
  <c r="AT1072" i="6"/>
  <c r="AU1072" i="6"/>
  <c r="AV1072" i="6"/>
  <c r="AW1072" i="6"/>
  <c r="AX1072" i="6"/>
  <c r="AY1072" i="6"/>
  <c r="AZ1072" i="6"/>
  <c r="BA1072" i="6"/>
  <c r="BB1072" i="6"/>
  <c r="BC1072" i="6"/>
  <c r="BD1072" i="6"/>
  <c r="BE1072" i="6"/>
  <c r="BF1072" i="6"/>
  <c r="BG1072" i="6"/>
  <c r="BH1072" i="6"/>
  <c r="BI1072" i="6"/>
  <c r="BJ1072" i="6"/>
  <c r="BK1072" i="6"/>
  <c r="AL1073" i="6"/>
  <c r="AM1073" i="6"/>
  <c r="AN1073" i="6"/>
  <c r="AO1073" i="6"/>
  <c r="AP1073" i="6"/>
  <c r="AQ1073" i="6"/>
  <c r="AR1073" i="6"/>
  <c r="AS1073" i="6"/>
  <c r="AT1073" i="6"/>
  <c r="AU1073" i="6"/>
  <c r="AV1073" i="6"/>
  <c r="AW1073" i="6"/>
  <c r="AX1073" i="6"/>
  <c r="AY1073" i="6"/>
  <c r="AZ1073" i="6"/>
  <c r="BA1073" i="6"/>
  <c r="BB1073" i="6"/>
  <c r="BC1073" i="6"/>
  <c r="BD1073" i="6"/>
  <c r="BE1073" i="6"/>
  <c r="BF1073" i="6"/>
  <c r="BG1073" i="6"/>
  <c r="BH1073" i="6"/>
  <c r="BI1073" i="6"/>
  <c r="BJ1073" i="6"/>
  <c r="BK1073" i="6"/>
  <c r="AL1074" i="6"/>
  <c r="AM1074" i="6"/>
  <c r="AN1074" i="6"/>
  <c r="AO1074" i="6"/>
  <c r="AP1074" i="6"/>
  <c r="AQ1074" i="6"/>
  <c r="AR1074" i="6"/>
  <c r="AS1074" i="6"/>
  <c r="AT1074" i="6"/>
  <c r="AU1074" i="6"/>
  <c r="AV1074" i="6"/>
  <c r="AW1074" i="6"/>
  <c r="AX1074" i="6"/>
  <c r="AY1074" i="6"/>
  <c r="AZ1074" i="6"/>
  <c r="BA1074" i="6"/>
  <c r="BB1074" i="6"/>
  <c r="BC1074" i="6"/>
  <c r="BD1074" i="6"/>
  <c r="BE1074" i="6"/>
  <c r="BF1074" i="6"/>
  <c r="BG1074" i="6"/>
  <c r="BH1074" i="6"/>
  <c r="BI1074" i="6"/>
  <c r="BJ1074" i="6"/>
  <c r="BK1074" i="6"/>
  <c r="AL1075" i="6"/>
  <c r="AM1075" i="6"/>
  <c r="AN1075" i="6"/>
  <c r="AO1075" i="6"/>
  <c r="AP1075" i="6"/>
  <c r="AQ1075" i="6"/>
  <c r="AR1075" i="6"/>
  <c r="AS1075" i="6"/>
  <c r="AT1075" i="6"/>
  <c r="AU1075" i="6"/>
  <c r="AV1075" i="6"/>
  <c r="AW1075" i="6"/>
  <c r="AX1075" i="6"/>
  <c r="AY1075" i="6"/>
  <c r="AZ1075" i="6"/>
  <c r="BA1075" i="6"/>
  <c r="BB1075" i="6"/>
  <c r="BC1075" i="6"/>
  <c r="BD1075" i="6"/>
  <c r="BE1075" i="6"/>
  <c r="BF1075" i="6"/>
  <c r="BG1075" i="6"/>
  <c r="BH1075" i="6"/>
  <c r="BI1075" i="6"/>
  <c r="BJ1075" i="6"/>
  <c r="BK1075" i="6"/>
  <c r="AL1076" i="6"/>
  <c r="AM1076" i="6"/>
  <c r="AN1076" i="6"/>
  <c r="AO1076" i="6"/>
  <c r="AP1076" i="6"/>
  <c r="AQ1076" i="6"/>
  <c r="AR1076" i="6"/>
  <c r="AS1076" i="6"/>
  <c r="AT1076" i="6"/>
  <c r="AU1076" i="6"/>
  <c r="AV1076" i="6"/>
  <c r="AW1076" i="6"/>
  <c r="AX1076" i="6"/>
  <c r="AY1076" i="6"/>
  <c r="AZ1076" i="6"/>
  <c r="BA1076" i="6"/>
  <c r="BB1076" i="6"/>
  <c r="BC1076" i="6"/>
  <c r="BD1076" i="6"/>
  <c r="BE1076" i="6"/>
  <c r="BF1076" i="6"/>
  <c r="BG1076" i="6"/>
  <c r="BH1076" i="6"/>
  <c r="BI1076" i="6"/>
  <c r="BJ1076" i="6"/>
  <c r="BK1076" i="6"/>
  <c r="AL1077" i="6"/>
  <c r="AM1077" i="6"/>
  <c r="AN1077" i="6"/>
  <c r="AO1077" i="6"/>
  <c r="AP1077" i="6"/>
  <c r="AQ1077" i="6"/>
  <c r="AR1077" i="6"/>
  <c r="AS1077" i="6"/>
  <c r="AT1077" i="6"/>
  <c r="AU1077" i="6"/>
  <c r="AV1077" i="6"/>
  <c r="AW1077" i="6"/>
  <c r="AX1077" i="6"/>
  <c r="AY1077" i="6"/>
  <c r="AZ1077" i="6"/>
  <c r="BA1077" i="6"/>
  <c r="BB1077" i="6"/>
  <c r="BC1077" i="6"/>
  <c r="BD1077" i="6"/>
  <c r="BE1077" i="6"/>
  <c r="BF1077" i="6"/>
  <c r="BG1077" i="6"/>
  <c r="BH1077" i="6"/>
  <c r="BI1077" i="6"/>
  <c r="BJ1077" i="6"/>
  <c r="BK1077" i="6"/>
  <c r="AL1078" i="6"/>
  <c r="AM1078" i="6"/>
  <c r="AN1078" i="6"/>
  <c r="AO1078" i="6"/>
  <c r="AP1078" i="6"/>
  <c r="AQ1078" i="6"/>
  <c r="AR1078" i="6"/>
  <c r="AS1078" i="6"/>
  <c r="AT1078" i="6"/>
  <c r="AU1078" i="6"/>
  <c r="AV1078" i="6"/>
  <c r="AW1078" i="6"/>
  <c r="AX1078" i="6"/>
  <c r="AY1078" i="6"/>
  <c r="AZ1078" i="6"/>
  <c r="BA1078" i="6"/>
  <c r="BB1078" i="6"/>
  <c r="BC1078" i="6"/>
  <c r="BD1078" i="6"/>
  <c r="BE1078" i="6"/>
  <c r="BF1078" i="6"/>
  <c r="BG1078" i="6"/>
  <c r="BH1078" i="6"/>
  <c r="BI1078" i="6"/>
  <c r="BJ1078" i="6"/>
  <c r="BK1078" i="6"/>
  <c r="AL1079" i="6"/>
  <c r="AM1079" i="6"/>
  <c r="AN1079" i="6"/>
  <c r="AO1079" i="6"/>
  <c r="AP1079" i="6"/>
  <c r="AQ1079" i="6"/>
  <c r="AR1079" i="6"/>
  <c r="AS1079" i="6"/>
  <c r="AT1079" i="6"/>
  <c r="AU1079" i="6"/>
  <c r="AV1079" i="6"/>
  <c r="AW1079" i="6"/>
  <c r="AX1079" i="6"/>
  <c r="AY1079" i="6"/>
  <c r="AZ1079" i="6"/>
  <c r="BA1079" i="6"/>
  <c r="BB1079" i="6"/>
  <c r="BC1079" i="6"/>
  <c r="BD1079" i="6"/>
  <c r="BE1079" i="6"/>
  <c r="BF1079" i="6"/>
  <c r="BG1079" i="6"/>
  <c r="BH1079" i="6"/>
  <c r="BI1079" i="6"/>
  <c r="BJ1079" i="6"/>
  <c r="BK1079" i="6"/>
  <c r="AL1080" i="6"/>
  <c r="AM1080" i="6"/>
  <c r="AN1080" i="6"/>
  <c r="AO1080" i="6"/>
  <c r="AP1080" i="6"/>
  <c r="AQ1080" i="6"/>
  <c r="AR1080" i="6"/>
  <c r="AS1080" i="6"/>
  <c r="AT1080" i="6"/>
  <c r="AU1080" i="6"/>
  <c r="AV1080" i="6"/>
  <c r="AW1080" i="6"/>
  <c r="AX1080" i="6"/>
  <c r="AY1080" i="6"/>
  <c r="AZ1080" i="6"/>
  <c r="BA1080" i="6"/>
  <c r="BB1080" i="6"/>
  <c r="BC1080" i="6"/>
  <c r="BD1080" i="6"/>
  <c r="BE1080" i="6"/>
  <c r="BF1080" i="6"/>
  <c r="BG1080" i="6"/>
  <c r="BH1080" i="6"/>
  <c r="BI1080" i="6"/>
  <c r="BJ1080" i="6"/>
  <c r="BK1080" i="6"/>
  <c r="AL1081" i="6"/>
  <c r="AM1081" i="6"/>
  <c r="AN1081" i="6"/>
  <c r="AO1081" i="6"/>
  <c r="AP1081" i="6"/>
  <c r="AQ1081" i="6"/>
  <c r="AR1081" i="6"/>
  <c r="AS1081" i="6"/>
  <c r="AT1081" i="6"/>
  <c r="AU1081" i="6"/>
  <c r="AV1081" i="6"/>
  <c r="AW1081" i="6"/>
  <c r="AX1081" i="6"/>
  <c r="AY1081" i="6"/>
  <c r="AZ1081" i="6"/>
  <c r="BA1081" i="6"/>
  <c r="BB1081" i="6"/>
  <c r="BC1081" i="6"/>
  <c r="BD1081" i="6"/>
  <c r="BE1081" i="6"/>
  <c r="BF1081" i="6"/>
  <c r="BG1081" i="6"/>
  <c r="BH1081" i="6"/>
  <c r="BI1081" i="6"/>
  <c r="BJ1081" i="6"/>
  <c r="BK1081" i="6"/>
  <c r="AL1082" i="6"/>
  <c r="AM1082" i="6"/>
  <c r="AN1082" i="6"/>
  <c r="AO1082" i="6"/>
  <c r="AP1082" i="6"/>
  <c r="AQ1082" i="6"/>
  <c r="AR1082" i="6"/>
  <c r="AS1082" i="6"/>
  <c r="AT1082" i="6"/>
  <c r="AU1082" i="6"/>
  <c r="AV1082" i="6"/>
  <c r="AW1082" i="6"/>
  <c r="AX1082" i="6"/>
  <c r="AY1082" i="6"/>
  <c r="AZ1082" i="6"/>
  <c r="BA1082" i="6"/>
  <c r="BB1082" i="6"/>
  <c r="BC1082" i="6"/>
  <c r="BD1082" i="6"/>
  <c r="BE1082" i="6"/>
  <c r="BF1082" i="6"/>
  <c r="BG1082" i="6"/>
  <c r="BH1082" i="6"/>
  <c r="BI1082" i="6"/>
  <c r="BJ1082" i="6"/>
  <c r="BK1082" i="6"/>
  <c r="AL1083" i="6"/>
  <c r="AM1083" i="6"/>
  <c r="AN1083" i="6"/>
  <c r="AO1083" i="6"/>
  <c r="AP1083" i="6"/>
  <c r="AQ1083" i="6"/>
  <c r="AR1083" i="6"/>
  <c r="AS1083" i="6"/>
  <c r="AT1083" i="6"/>
  <c r="AU1083" i="6"/>
  <c r="AV1083" i="6"/>
  <c r="AW1083" i="6"/>
  <c r="AX1083" i="6"/>
  <c r="AY1083" i="6"/>
  <c r="AZ1083" i="6"/>
  <c r="BA1083" i="6"/>
  <c r="BB1083" i="6"/>
  <c r="BC1083" i="6"/>
  <c r="BD1083" i="6"/>
  <c r="BE1083" i="6"/>
  <c r="BF1083" i="6"/>
  <c r="BG1083" i="6"/>
  <c r="BH1083" i="6"/>
  <c r="BI1083" i="6"/>
  <c r="BJ1083" i="6"/>
  <c r="BK1083" i="6"/>
  <c r="AL1084" i="6"/>
  <c r="AM1084" i="6"/>
  <c r="AN1084" i="6"/>
  <c r="AO1084" i="6"/>
  <c r="AP1084" i="6"/>
  <c r="AQ1084" i="6"/>
  <c r="AR1084" i="6"/>
  <c r="AS1084" i="6"/>
  <c r="AT1084" i="6"/>
  <c r="AU1084" i="6"/>
  <c r="AV1084" i="6"/>
  <c r="AW1084" i="6"/>
  <c r="AX1084" i="6"/>
  <c r="AY1084" i="6"/>
  <c r="AZ1084" i="6"/>
  <c r="BA1084" i="6"/>
  <c r="BB1084" i="6"/>
  <c r="BC1084" i="6"/>
  <c r="BD1084" i="6"/>
  <c r="BE1084" i="6"/>
  <c r="BF1084" i="6"/>
  <c r="BG1084" i="6"/>
  <c r="BH1084" i="6"/>
  <c r="BI1084" i="6"/>
  <c r="BJ1084" i="6"/>
  <c r="BK1084" i="6"/>
  <c r="AL1085" i="6"/>
  <c r="AM1085" i="6"/>
  <c r="AN1085" i="6"/>
  <c r="AO1085" i="6"/>
  <c r="AP1085" i="6"/>
  <c r="AQ1085" i="6"/>
  <c r="AR1085" i="6"/>
  <c r="AS1085" i="6"/>
  <c r="AT1085" i="6"/>
  <c r="AU1085" i="6"/>
  <c r="AV1085" i="6"/>
  <c r="AW1085" i="6"/>
  <c r="AX1085" i="6"/>
  <c r="AY1085" i="6"/>
  <c r="AZ1085" i="6"/>
  <c r="BA1085" i="6"/>
  <c r="BB1085" i="6"/>
  <c r="BC1085" i="6"/>
  <c r="BD1085" i="6"/>
  <c r="BE1085" i="6"/>
  <c r="BF1085" i="6"/>
  <c r="BG1085" i="6"/>
  <c r="BH1085" i="6"/>
  <c r="BI1085" i="6"/>
  <c r="BJ1085" i="6"/>
  <c r="BK1085" i="6"/>
  <c r="AL1086" i="6"/>
  <c r="AM1086" i="6"/>
  <c r="AN1086" i="6"/>
  <c r="AO1086" i="6"/>
  <c r="AP1086" i="6"/>
  <c r="AQ1086" i="6"/>
  <c r="AR1086" i="6"/>
  <c r="AS1086" i="6"/>
  <c r="AT1086" i="6"/>
  <c r="AU1086" i="6"/>
  <c r="AV1086" i="6"/>
  <c r="AW1086" i="6"/>
  <c r="AX1086" i="6"/>
  <c r="AY1086" i="6"/>
  <c r="AZ1086" i="6"/>
  <c r="BA1086" i="6"/>
  <c r="BB1086" i="6"/>
  <c r="BC1086" i="6"/>
  <c r="BD1086" i="6"/>
  <c r="BE1086" i="6"/>
  <c r="BF1086" i="6"/>
  <c r="BG1086" i="6"/>
  <c r="BH1086" i="6"/>
  <c r="BI1086" i="6"/>
  <c r="BJ1086" i="6"/>
  <c r="BK1086" i="6"/>
  <c r="AL1087" i="6"/>
  <c r="AM1087" i="6"/>
  <c r="AN1087" i="6"/>
  <c r="AO1087" i="6"/>
  <c r="AP1087" i="6"/>
  <c r="AQ1087" i="6"/>
  <c r="AR1087" i="6"/>
  <c r="AS1087" i="6"/>
  <c r="AT1087" i="6"/>
  <c r="AU1087" i="6"/>
  <c r="AV1087" i="6"/>
  <c r="AW1087" i="6"/>
  <c r="AX1087" i="6"/>
  <c r="AY1087" i="6"/>
  <c r="AZ1087" i="6"/>
  <c r="BA1087" i="6"/>
  <c r="BB1087" i="6"/>
  <c r="BC1087" i="6"/>
  <c r="BD1087" i="6"/>
  <c r="BE1087" i="6"/>
  <c r="BF1087" i="6"/>
  <c r="BG1087" i="6"/>
  <c r="BH1087" i="6"/>
  <c r="BI1087" i="6"/>
  <c r="BJ1087" i="6"/>
  <c r="BK1087" i="6"/>
  <c r="AL1088" i="6"/>
  <c r="AM1088" i="6"/>
  <c r="AN1088" i="6"/>
  <c r="AO1088" i="6"/>
  <c r="AP1088" i="6"/>
  <c r="AQ1088" i="6"/>
  <c r="AR1088" i="6"/>
  <c r="AS1088" i="6"/>
  <c r="AT1088" i="6"/>
  <c r="AU1088" i="6"/>
  <c r="AV1088" i="6"/>
  <c r="AW1088" i="6"/>
  <c r="AX1088" i="6"/>
  <c r="AY1088" i="6"/>
  <c r="AZ1088" i="6"/>
  <c r="BA1088" i="6"/>
  <c r="BB1088" i="6"/>
  <c r="BC1088" i="6"/>
  <c r="BD1088" i="6"/>
  <c r="BE1088" i="6"/>
  <c r="BF1088" i="6"/>
  <c r="BG1088" i="6"/>
  <c r="BH1088" i="6"/>
  <c r="BI1088" i="6"/>
  <c r="BJ1088" i="6"/>
  <c r="BK1088" i="6"/>
  <c r="AL1089" i="6"/>
  <c r="AM1089" i="6"/>
  <c r="AN1089" i="6"/>
  <c r="AO1089" i="6"/>
  <c r="AP1089" i="6"/>
  <c r="AQ1089" i="6"/>
  <c r="AR1089" i="6"/>
  <c r="AS1089" i="6"/>
  <c r="AT1089" i="6"/>
  <c r="AU1089" i="6"/>
  <c r="AV1089" i="6"/>
  <c r="AW1089" i="6"/>
  <c r="AX1089" i="6"/>
  <c r="AY1089" i="6"/>
  <c r="AZ1089" i="6"/>
  <c r="BA1089" i="6"/>
  <c r="BB1089" i="6"/>
  <c r="BC1089" i="6"/>
  <c r="BD1089" i="6"/>
  <c r="BE1089" i="6"/>
  <c r="BF1089" i="6"/>
  <c r="BG1089" i="6"/>
  <c r="BH1089" i="6"/>
  <c r="BI1089" i="6"/>
  <c r="BJ1089" i="6"/>
  <c r="BK1089" i="6"/>
  <c r="AL1090" i="6"/>
  <c r="AM1090" i="6"/>
  <c r="AN1090" i="6"/>
  <c r="AO1090" i="6"/>
  <c r="AP1090" i="6"/>
  <c r="AQ1090" i="6"/>
  <c r="AR1090" i="6"/>
  <c r="AS1090" i="6"/>
  <c r="AT1090" i="6"/>
  <c r="AU1090" i="6"/>
  <c r="AV1090" i="6"/>
  <c r="AW1090" i="6"/>
  <c r="AX1090" i="6"/>
  <c r="AY1090" i="6"/>
  <c r="AZ1090" i="6"/>
  <c r="BA1090" i="6"/>
  <c r="BB1090" i="6"/>
  <c r="BC1090" i="6"/>
  <c r="BD1090" i="6"/>
  <c r="BE1090" i="6"/>
  <c r="BF1090" i="6"/>
  <c r="BG1090" i="6"/>
  <c r="BH1090" i="6"/>
  <c r="BI1090" i="6"/>
  <c r="BJ1090" i="6"/>
  <c r="BK1090" i="6"/>
  <c r="AL1091" i="6"/>
  <c r="AM1091" i="6"/>
  <c r="AN1091" i="6"/>
  <c r="AO1091" i="6"/>
  <c r="AP1091" i="6"/>
  <c r="AQ1091" i="6"/>
  <c r="AR1091" i="6"/>
  <c r="AS1091" i="6"/>
  <c r="AT1091" i="6"/>
  <c r="AU1091" i="6"/>
  <c r="AV1091" i="6"/>
  <c r="AW1091" i="6"/>
  <c r="AX1091" i="6"/>
  <c r="AY1091" i="6"/>
  <c r="AZ1091" i="6"/>
  <c r="BA1091" i="6"/>
  <c r="BB1091" i="6"/>
  <c r="BC1091" i="6"/>
  <c r="BD1091" i="6"/>
  <c r="BE1091" i="6"/>
  <c r="BF1091" i="6"/>
  <c r="BG1091" i="6"/>
  <c r="BH1091" i="6"/>
  <c r="BI1091" i="6"/>
  <c r="BJ1091" i="6"/>
  <c r="BK1091" i="6"/>
  <c r="AL1092" i="6"/>
  <c r="AM1092" i="6"/>
  <c r="AN1092" i="6"/>
  <c r="AO1092" i="6"/>
  <c r="AP1092" i="6"/>
  <c r="AQ1092" i="6"/>
  <c r="AR1092" i="6"/>
  <c r="AS1092" i="6"/>
  <c r="AT1092" i="6"/>
  <c r="AU1092" i="6"/>
  <c r="AV1092" i="6"/>
  <c r="AW1092" i="6"/>
  <c r="AX1092" i="6"/>
  <c r="AY1092" i="6"/>
  <c r="AZ1092" i="6"/>
  <c r="BA1092" i="6"/>
  <c r="BB1092" i="6"/>
  <c r="BC1092" i="6"/>
  <c r="BD1092" i="6"/>
  <c r="BE1092" i="6"/>
  <c r="BF1092" i="6"/>
  <c r="BG1092" i="6"/>
  <c r="BH1092" i="6"/>
  <c r="BI1092" i="6"/>
  <c r="BJ1092" i="6"/>
  <c r="BK1092" i="6"/>
  <c r="AL1093" i="6"/>
  <c r="AM1093" i="6"/>
  <c r="AN1093" i="6"/>
  <c r="AO1093" i="6"/>
  <c r="AP1093" i="6"/>
  <c r="AQ1093" i="6"/>
  <c r="AR1093" i="6"/>
  <c r="AS1093" i="6"/>
  <c r="AT1093" i="6"/>
  <c r="AU1093" i="6"/>
  <c r="AV1093" i="6"/>
  <c r="AW1093" i="6"/>
  <c r="AX1093" i="6"/>
  <c r="AY1093" i="6"/>
  <c r="AZ1093" i="6"/>
  <c r="BA1093" i="6"/>
  <c r="BB1093" i="6"/>
  <c r="BC1093" i="6"/>
  <c r="BD1093" i="6"/>
  <c r="BE1093" i="6"/>
  <c r="BF1093" i="6"/>
  <c r="BG1093" i="6"/>
  <c r="BH1093" i="6"/>
  <c r="BI1093" i="6"/>
  <c r="BJ1093" i="6"/>
  <c r="BK1093" i="6"/>
  <c r="AL1094" i="6"/>
  <c r="AM1094" i="6"/>
  <c r="AN1094" i="6"/>
  <c r="AO1094" i="6"/>
  <c r="AP1094" i="6"/>
  <c r="AQ1094" i="6"/>
  <c r="AR1094" i="6"/>
  <c r="AS1094" i="6"/>
  <c r="AT1094" i="6"/>
  <c r="AU1094" i="6"/>
  <c r="AV1094" i="6"/>
  <c r="AW1094" i="6"/>
  <c r="AX1094" i="6"/>
  <c r="AY1094" i="6"/>
  <c r="AZ1094" i="6"/>
  <c r="BA1094" i="6"/>
  <c r="BB1094" i="6"/>
  <c r="BC1094" i="6"/>
  <c r="BD1094" i="6"/>
  <c r="BE1094" i="6"/>
  <c r="BF1094" i="6"/>
  <c r="BG1094" i="6"/>
  <c r="BH1094" i="6"/>
  <c r="BI1094" i="6"/>
  <c r="BJ1094" i="6"/>
  <c r="BK1094" i="6"/>
  <c r="AL1095" i="6"/>
  <c r="AM1095" i="6"/>
  <c r="AN1095" i="6"/>
  <c r="AO1095" i="6"/>
  <c r="AP1095" i="6"/>
  <c r="AQ1095" i="6"/>
  <c r="AR1095" i="6"/>
  <c r="AS1095" i="6"/>
  <c r="AT1095" i="6"/>
  <c r="AU1095" i="6"/>
  <c r="AV1095" i="6"/>
  <c r="AW1095" i="6"/>
  <c r="AX1095" i="6"/>
  <c r="AY1095" i="6"/>
  <c r="AZ1095" i="6"/>
  <c r="BA1095" i="6"/>
  <c r="BB1095" i="6"/>
  <c r="BC1095" i="6"/>
  <c r="BD1095" i="6"/>
  <c r="BE1095" i="6"/>
  <c r="BF1095" i="6"/>
  <c r="BG1095" i="6"/>
  <c r="BH1095" i="6"/>
  <c r="BI1095" i="6"/>
  <c r="BJ1095" i="6"/>
  <c r="BK1095" i="6"/>
  <c r="AL1096" i="6"/>
  <c r="AM1096" i="6"/>
  <c r="AN1096" i="6"/>
  <c r="AO1096" i="6"/>
  <c r="AP1096" i="6"/>
  <c r="AQ1096" i="6"/>
  <c r="AR1096" i="6"/>
  <c r="AS1096" i="6"/>
  <c r="AT1096" i="6"/>
  <c r="AU1096" i="6"/>
  <c r="AV1096" i="6"/>
  <c r="AW1096" i="6"/>
  <c r="AX1096" i="6"/>
  <c r="AY1096" i="6"/>
  <c r="AZ1096" i="6"/>
  <c r="BA1096" i="6"/>
  <c r="BB1096" i="6"/>
  <c r="BC1096" i="6"/>
  <c r="BD1096" i="6"/>
  <c r="BE1096" i="6"/>
  <c r="BF1096" i="6"/>
  <c r="BG1096" i="6"/>
  <c r="BH1096" i="6"/>
  <c r="BI1096" i="6"/>
  <c r="BJ1096" i="6"/>
  <c r="BK1096" i="6"/>
  <c r="AL1097" i="6"/>
  <c r="AM1097" i="6"/>
  <c r="AN1097" i="6"/>
  <c r="AO1097" i="6"/>
  <c r="AP1097" i="6"/>
  <c r="AQ1097" i="6"/>
  <c r="AR1097" i="6"/>
  <c r="AS1097" i="6"/>
  <c r="AT1097" i="6"/>
  <c r="AU1097" i="6"/>
  <c r="AV1097" i="6"/>
  <c r="AW1097" i="6"/>
  <c r="AX1097" i="6"/>
  <c r="AY1097" i="6"/>
  <c r="AZ1097" i="6"/>
  <c r="BA1097" i="6"/>
  <c r="BB1097" i="6"/>
  <c r="BC1097" i="6"/>
  <c r="BD1097" i="6"/>
  <c r="BE1097" i="6"/>
  <c r="BF1097" i="6"/>
  <c r="BG1097" i="6"/>
  <c r="BH1097" i="6"/>
  <c r="BI1097" i="6"/>
  <c r="BJ1097" i="6"/>
  <c r="BK1097" i="6"/>
  <c r="AL1098" i="6"/>
  <c r="AM1098" i="6"/>
  <c r="AN1098" i="6"/>
  <c r="AO1098" i="6"/>
  <c r="AP1098" i="6"/>
  <c r="AQ1098" i="6"/>
  <c r="AR1098" i="6"/>
  <c r="AS1098" i="6"/>
  <c r="AT1098" i="6"/>
  <c r="AU1098" i="6"/>
  <c r="AV1098" i="6"/>
  <c r="AW1098" i="6"/>
  <c r="AX1098" i="6"/>
  <c r="AY1098" i="6"/>
  <c r="AZ1098" i="6"/>
  <c r="BA1098" i="6"/>
  <c r="BB1098" i="6"/>
  <c r="BC1098" i="6"/>
  <c r="BD1098" i="6"/>
  <c r="BE1098" i="6"/>
  <c r="BF1098" i="6"/>
  <c r="BG1098" i="6"/>
  <c r="BH1098" i="6"/>
  <c r="BI1098" i="6"/>
  <c r="BJ1098" i="6"/>
  <c r="BK1098" i="6"/>
  <c r="AL1099" i="6"/>
  <c r="AM1099" i="6"/>
  <c r="AN1099" i="6"/>
  <c r="AO1099" i="6"/>
  <c r="AP1099" i="6"/>
  <c r="AQ1099" i="6"/>
  <c r="AR1099" i="6"/>
  <c r="AS1099" i="6"/>
  <c r="AT1099" i="6"/>
  <c r="AU1099" i="6"/>
  <c r="AV1099" i="6"/>
  <c r="AW1099" i="6"/>
  <c r="AX1099" i="6"/>
  <c r="AY1099" i="6"/>
  <c r="AZ1099" i="6"/>
  <c r="BA1099" i="6"/>
  <c r="BB1099" i="6"/>
  <c r="BC1099" i="6"/>
  <c r="BD1099" i="6"/>
  <c r="BE1099" i="6"/>
  <c r="BF1099" i="6"/>
  <c r="BG1099" i="6"/>
  <c r="BH1099" i="6"/>
  <c r="BI1099" i="6"/>
  <c r="BJ1099" i="6"/>
  <c r="BK1099" i="6"/>
  <c r="AL1100" i="6"/>
  <c r="AM1100" i="6"/>
  <c r="AN1100" i="6"/>
  <c r="AO1100" i="6"/>
  <c r="AP1100" i="6"/>
  <c r="AQ1100" i="6"/>
  <c r="AR1100" i="6"/>
  <c r="AS1100" i="6"/>
  <c r="AT1100" i="6"/>
  <c r="AU1100" i="6"/>
  <c r="AV1100" i="6"/>
  <c r="AW1100" i="6"/>
  <c r="AX1100" i="6"/>
  <c r="AY1100" i="6"/>
  <c r="AZ1100" i="6"/>
  <c r="BA1100" i="6"/>
  <c r="BB1100" i="6"/>
  <c r="BC1100" i="6"/>
  <c r="BD1100" i="6"/>
  <c r="BE1100" i="6"/>
  <c r="BF1100" i="6"/>
  <c r="BG1100" i="6"/>
  <c r="BH1100" i="6"/>
  <c r="BI1100" i="6"/>
  <c r="BJ1100" i="6"/>
  <c r="BK1100" i="6"/>
  <c r="AL1101" i="6"/>
  <c r="AM1101" i="6"/>
  <c r="AN1101" i="6"/>
  <c r="AO1101" i="6"/>
  <c r="AP1101" i="6"/>
  <c r="AQ1101" i="6"/>
  <c r="AR1101" i="6"/>
  <c r="AS1101" i="6"/>
  <c r="AT1101" i="6"/>
  <c r="AU1101" i="6"/>
  <c r="AV1101" i="6"/>
  <c r="AW1101" i="6"/>
  <c r="AX1101" i="6"/>
  <c r="AY1101" i="6"/>
  <c r="AZ1101" i="6"/>
  <c r="BA1101" i="6"/>
  <c r="BB1101" i="6"/>
  <c r="BC1101" i="6"/>
  <c r="BD1101" i="6"/>
  <c r="BE1101" i="6"/>
  <c r="BF1101" i="6"/>
  <c r="BG1101" i="6"/>
  <c r="BH1101" i="6"/>
  <c r="BI1101" i="6"/>
  <c r="BJ1101" i="6"/>
  <c r="BK1101" i="6"/>
  <c r="AL1102" i="6"/>
  <c r="AM1102" i="6"/>
  <c r="AN1102" i="6"/>
  <c r="AO1102" i="6"/>
  <c r="AP1102" i="6"/>
  <c r="AQ1102" i="6"/>
  <c r="AR1102" i="6"/>
  <c r="AS1102" i="6"/>
  <c r="AT1102" i="6"/>
  <c r="AU1102" i="6"/>
  <c r="AV1102" i="6"/>
  <c r="AW1102" i="6"/>
  <c r="AX1102" i="6"/>
  <c r="AY1102" i="6"/>
  <c r="AZ1102" i="6"/>
  <c r="BA1102" i="6"/>
  <c r="BB1102" i="6"/>
  <c r="BC1102" i="6"/>
  <c r="BD1102" i="6"/>
  <c r="BE1102" i="6"/>
  <c r="BF1102" i="6"/>
  <c r="BG1102" i="6"/>
  <c r="BH1102" i="6"/>
  <c r="BI1102" i="6"/>
  <c r="BJ1102" i="6"/>
  <c r="BK1102" i="6"/>
  <c r="AL1103" i="6"/>
  <c r="AM1103" i="6"/>
  <c r="AN1103" i="6"/>
  <c r="AO1103" i="6"/>
  <c r="AP1103" i="6"/>
  <c r="AQ1103" i="6"/>
  <c r="AR1103" i="6"/>
  <c r="AS1103" i="6"/>
  <c r="AT1103" i="6"/>
  <c r="AU1103" i="6"/>
  <c r="AV1103" i="6"/>
  <c r="AW1103" i="6"/>
  <c r="AX1103" i="6"/>
  <c r="AY1103" i="6"/>
  <c r="AZ1103" i="6"/>
  <c r="BA1103" i="6"/>
  <c r="BB1103" i="6"/>
  <c r="BC1103" i="6"/>
  <c r="BD1103" i="6"/>
  <c r="BE1103" i="6"/>
  <c r="BF1103" i="6"/>
  <c r="BG1103" i="6"/>
  <c r="BH1103" i="6"/>
  <c r="BI1103" i="6"/>
  <c r="BJ1103" i="6"/>
  <c r="BK1103" i="6"/>
  <c r="AL1104" i="6"/>
  <c r="AM1104" i="6"/>
  <c r="AN1104" i="6"/>
  <c r="AO1104" i="6"/>
  <c r="AP1104" i="6"/>
  <c r="AQ1104" i="6"/>
  <c r="AR1104" i="6"/>
  <c r="AS1104" i="6"/>
  <c r="AT1104" i="6"/>
  <c r="AU1104" i="6"/>
  <c r="AV1104" i="6"/>
  <c r="AW1104" i="6"/>
  <c r="AX1104" i="6"/>
  <c r="AY1104" i="6"/>
  <c r="AZ1104" i="6"/>
  <c r="BA1104" i="6"/>
  <c r="BB1104" i="6"/>
  <c r="BC1104" i="6"/>
  <c r="BD1104" i="6"/>
  <c r="BE1104" i="6"/>
  <c r="BF1104" i="6"/>
  <c r="BG1104" i="6"/>
  <c r="BH1104" i="6"/>
  <c r="BI1104" i="6"/>
  <c r="BJ1104" i="6"/>
  <c r="BK1104" i="6"/>
  <c r="AL1105" i="6"/>
  <c r="AM1105" i="6"/>
  <c r="AN1105" i="6"/>
  <c r="AO1105" i="6"/>
  <c r="AP1105" i="6"/>
  <c r="AQ1105" i="6"/>
  <c r="AR1105" i="6"/>
  <c r="AS1105" i="6"/>
  <c r="AT1105" i="6"/>
  <c r="AU1105" i="6"/>
  <c r="AV1105" i="6"/>
  <c r="AW1105" i="6"/>
  <c r="AX1105" i="6"/>
  <c r="AY1105" i="6"/>
  <c r="AZ1105" i="6"/>
  <c r="BA1105" i="6"/>
  <c r="BB1105" i="6"/>
  <c r="BC1105" i="6"/>
  <c r="BD1105" i="6"/>
  <c r="BE1105" i="6"/>
  <c r="BF1105" i="6"/>
  <c r="BG1105" i="6"/>
  <c r="BH1105" i="6"/>
  <c r="BI1105" i="6"/>
  <c r="BJ1105" i="6"/>
  <c r="BK1105" i="6"/>
  <c r="AL1106" i="6"/>
  <c r="AM1106" i="6"/>
  <c r="AN1106" i="6"/>
  <c r="AO1106" i="6"/>
  <c r="AP1106" i="6"/>
  <c r="AQ1106" i="6"/>
  <c r="AR1106" i="6"/>
  <c r="AS1106" i="6"/>
  <c r="AT1106" i="6"/>
  <c r="AU1106" i="6"/>
  <c r="AV1106" i="6"/>
  <c r="AW1106" i="6"/>
  <c r="AX1106" i="6"/>
  <c r="AY1106" i="6"/>
  <c r="AZ1106" i="6"/>
  <c r="BA1106" i="6"/>
  <c r="BB1106" i="6"/>
  <c r="BC1106" i="6"/>
  <c r="BD1106" i="6"/>
  <c r="BE1106" i="6"/>
  <c r="BF1106" i="6"/>
  <c r="BG1106" i="6"/>
  <c r="BH1106" i="6"/>
  <c r="BI1106" i="6"/>
  <c r="BJ1106" i="6"/>
  <c r="BK1106" i="6"/>
  <c r="AL1107" i="6"/>
  <c r="AM1107" i="6"/>
  <c r="AN1107" i="6"/>
  <c r="AO1107" i="6"/>
  <c r="AP1107" i="6"/>
  <c r="AQ1107" i="6"/>
  <c r="AR1107" i="6"/>
  <c r="AS1107" i="6"/>
  <c r="AT1107" i="6"/>
  <c r="AU1107" i="6"/>
  <c r="AV1107" i="6"/>
  <c r="AW1107" i="6"/>
  <c r="AX1107" i="6"/>
  <c r="AY1107" i="6"/>
  <c r="AZ1107" i="6"/>
  <c r="BA1107" i="6"/>
  <c r="BB1107" i="6"/>
  <c r="BC1107" i="6"/>
  <c r="BD1107" i="6"/>
  <c r="BE1107" i="6"/>
  <c r="BF1107" i="6"/>
  <c r="BG1107" i="6"/>
  <c r="BH1107" i="6"/>
  <c r="BI1107" i="6"/>
  <c r="BJ1107" i="6"/>
  <c r="BK1107" i="6"/>
  <c r="AL1108" i="6"/>
  <c r="AM1108" i="6"/>
  <c r="AN1108" i="6"/>
  <c r="AO1108" i="6"/>
  <c r="AP1108" i="6"/>
  <c r="AQ1108" i="6"/>
  <c r="AR1108" i="6"/>
  <c r="AS1108" i="6"/>
  <c r="AT1108" i="6"/>
  <c r="AU1108" i="6"/>
  <c r="AV1108" i="6"/>
  <c r="AW1108" i="6"/>
  <c r="AX1108" i="6"/>
  <c r="AY1108" i="6"/>
  <c r="AZ1108" i="6"/>
  <c r="BA1108" i="6"/>
  <c r="BB1108" i="6"/>
  <c r="BC1108" i="6"/>
  <c r="BD1108" i="6"/>
  <c r="BE1108" i="6"/>
  <c r="BF1108" i="6"/>
  <c r="BG1108" i="6"/>
  <c r="BH1108" i="6"/>
  <c r="BI1108" i="6"/>
  <c r="BJ1108" i="6"/>
  <c r="BK1108" i="6"/>
  <c r="AL1109" i="6"/>
  <c r="AM1109" i="6"/>
  <c r="AN1109" i="6"/>
  <c r="AO1109" i="6"/>
  <c r="AP1109" i="6"/>
  <c r="AQ1109" i="6"/>
  <c r="AR1109" i="6"/>
  <c r="AS1109" i="6"/>
  <c r="AT1109" i="6"/>
  <c r="AU1109" i="6"/>
  <c r="AV1109" i="6"/>
  <c r="AW1109" i="6"/>
  <c r="AX1109" i="6"/>
  <c r="AY1109" i="6"/>
  <c r="AZ1109" i="6"/>
  <c r="BA1109" i="6"/>
  <c r="BB1109" i="6"/>
  <c r="BC1109" i="6"/>
  <c r="BD1109" i="6"/>
  <c r="BE1109" i="6"/>
  <c r="BF1109" i="6"/>
  <c r="BG1109" i="6"/>
  <c r="BH1109" i="6"/>
  <c r="BI1109" i="6"/>
  <c r="BJ1109" i="6"/>
  <c r="BK1109" i="6"/>
  <c r="AL1110" i="6"/>
  <c r="AM1110" i="6"/>
  <c r="AN1110" i="6"/>
  <c r="AO1110" i="6"/>
  <c r="AP1110" i="6"/>
  <c r="AQ1110" i="6"/>
  <c r="AR1110" i="6"/>
  <c r="AS1110" i="6"/>
  <c r="AT1110" i="6"/>
  <c r="AU1110" i="6"/>
  <c r="AV1110" i="6"/>
  <c r="AW1110" i="6"/>
  <c r="AX1110" i="6"/>
  <c r="AY1110" i="6"/>
  <c r="AZ1110" i="6"/>
  <c r="BA1110" i="6"/>
  <c r="BB1110" i="6"/>
  <c r="BC1110" i="6"/>
  <c r="BD1110" i="6"/>
  <c r="BE1110" i="6"/>
  <c r="BF1110" i="6"/>
  <c r="BG1110" i="6"/>
  <c r="BH1110" i="6"/>
  <c r="BI1110" i="6"/>
  <c r="BJ1110" i="6"/>
  <c r="BK1110" i="6"/>
  <c r="AL1111" i="6"/>
  <c r="AM1111" i="6"/>
  <c r="AN1111" i="6"/>
  <c r="AO1111" i="6"/>
  <c r="AP1111" i="6"/>
  <c r="AQ1111" i="6"/>
  <c r="AR1111" i="6"/>
  <c r="AS1111" i="6"/>
  <c r="AT1111" i="6"/>
  <c r="AU1111" i="6"/>
  <c r="AV1111" i="6"/>
  <c r="AW1111" i="6"/>
  <c r="AX1111" i="6"/>
  <c r="AY1111" i="6"/>
  <c r="AZ1111" i="6"/>
  <c r="BA1111" i="6"/>
  <c r="BB1111" i="6"/>
  <c r="BC1111" i="6"/>
  <c r="BD1111" i="6"/>
  <c r="BE1111" i="6"/>
  <c r="BF1111" i="6"/>
  <c r="BG1111" i="6"/>
  <c r="BH1111" i="6"/>
  <c r="BI1111" i="6"/>
  <c r="BJ1111" i="6"/>
  <c r="BK1111" i="6"/>
  <c r="AL1112" i="6"/>
  <c r="AM1112" i="6"/>
  <c r="AN1112" i="6"/>
  <c r="AO1112" i="6"/>
  <c r="AP1112" i="6"/>
  <c r="AQ1112" i="6"/>
  <c r="AR1112" i="6"/>
  <c r="AS1112" i="6"/>
  <c r="AT1112" i="6"/>
  <c r="AU1112" i="6"/>
  <c r="AV1112" i="6"/>
  <c r="AW1112" i="6"/>
  <c r="AX1112" i="6"/>
  <c r="AY1112" i="6"/>
  <c r="AZ1112" i="6"/>
  <c r="BA1112" i="6"/>
  <c r="BB1112" i="6"/>
  <c r="BC1112" i="6"/>
  <c r="BD1112" i="6"/>
  <c r="BE1112" i="6"/>
  <c r="BF1112" i="6"/>
  <c r="BG1112" i="6"/>
  <c r="BH1112" i="6"/>
  <c r="BI1112" i="6"/>
  <c r="BJ1112" i="6"/>
  <c r="BK1112" i="6"/>
  <c r="AL1113" i="6"/>
  <c r="AM1113" i="6"/>
  <c r="AN1113" i="6"/>
  <c r="AO1113" i="6"/>
  <c r="AP1113" i="6"/>
  <c r="AQ1113" i="6"/>
  <c r="AR1113" i="6"/>
  <c r="AS1113" i="6"/>
  <c r="AT1113" i="6"/>
  <c r="AU1113" i="6"/>
  <c r="AV1113" i="6"/>
  <c r="AW1113" i="6"/>
  <c r="AX1113" i="6"/>
  <c r="AY1113" i="6"/>
  <c r="AZ1113" i="6"/>
  <c r="BA1113" i="6"/>
  <c r="BB1113" i="6"/>
  <c r="BC1113" i="6"/>
  <c r="BD1113" i="6"/>
  <c r="BE1113" i="6"/>
  <c r="BF1113" i="6"/>
  <c r="BG1113" i="6"/>
  <c r="BH1113" i="6"/>
  <c r="BI1113" i="6"/>
  <c r="BJ1113" i="6"/>
  <c r="BK1113" i="6"/>
  <c r="AL1114" i="6"/>
  <c r="AM1114" i="6"/>
  <c r="AN1114" i="6"/>
  <c r="AO1114" i="6"/>
  <c r="AP1114" i="6"/>
  <c r="AQ1114" i="6"/>
  <c r="AR1114" i="6"/>
  <c r="AS1114" i="6"/>
  <c r="AT1114" i="6"/>
  <c r="AU1114" i="6"/>
  <c r="AV1114" i="6"/>
  <c r="AW1114" i="6"/>
  <c r="AX1114" i="6"/>
  <c r="AY1114" i="6"/>
  <c r="AZ1114" i="6"/>
  <c r="BA1114" i="6"/>
  <c r="BB1114" i="6"/>
  <c r="BC1114" i="6"/>
  <c r="BD1114" i="6"/>
  <c r="BE1114" i="6"/>
  <c r="BF1114" i="6"/>
  <c r="BG1114" i="6"/>
  <c r="BH1114" i="6"/>
  <c r="BI1114" i="6"/>
  <c r="BJ1114" i="6"/>
  <c r="BK1114" i="6"/>
  <c r="AL1115" i="6"/>
  <c r="AM1115" i="6"/>
  <c r="AN1115" i="6"/>
  <c r="AO1115" i="6"/>
  <c r="AP1115" i="6"/>
  <c r="AQ1115" i="6"/>
  <c r="AR1115" i="6"/>
  <c r="AS1115" i="6"/>
  <c r="AT1115" i="6"/>
  <c r="AU1115" i="6"/>
  <c r="AV1115" i="6"/>
  <c r="AW1115" i="6"/>
  <c r="AX1115" i="6"/>
  <c r="AY1115" i="6"/>
  <c r="AZ1115" i="6"/>
  <c r="BA1115" i="6"/>
  <c r="BB1115" i="6"/>
  <c r="BC1115" i="6"/>
  <c r="BD1115" i="6"/>
  <c r="BE1115" i="6"/>
  <c r="BF1115" i="6"/>
  <c r="BG1115" i="6"/>
  <c r="BH1115" i="6"/>
  <c r="BI1115" i="6"/>
  <c r="BJ1115" i="6"/>
  <c r="BK1115" i="6"/>
  <c r="AL1116" i="6"/>
  <c r="AM1116" i="6"/>
  <c r="AN1116" i="6"/>
  <c r="AO1116" i="6"/>
  <c r="AP1116" i="6"/>
  <c r="AQ1116" i="6"/>
  <c r="AR1116" i="6"/>
  <c r="AS1116" i="6"/>
  <c r="AT1116" i="6"/>
  <c r="AU1116" i="6"/>
  <c r="AV1116" i="6"/>
  <c r="AW1116" i="6"/>
  <c r="AX1116" i="6"/>
  <c r="AY1116" i="6"/>
  <c r="AZ1116" i="6"/>
  <c r="BA1116" i="6"/>
  <c r="BB1116" i="6"/>
  <c r="BC1116" i="6"/>
  <c r="BD1116" i="6"/>
  <c r="BE1116" i="6"/>
  <c r="BF1116" i="6"/>
  <c r="BG1116" i="6"/>
  <c r="BH1116" i="6"/>
  <c r="BI1116" i="6"/>
  <c r="BJ1116" i="6"/>
  <c r="BK1116" i="6"/>
  <c r="AL564" i="6"/>
  <c r="AM564" i="6"/>
  <c r="AN564" i="6"/>
  <c r="AO564" i="6"/>
  <c r="AP564" i="6"/>
  <c r="AQ564" i="6"/>
  <c r="AR564" i="6"/>
  <c r="AS564" i="6"/>
  <c r="AT564" i="6"/>
  <c r="AU564" i="6"/>
  <c r="AV564" i="6"/>
  <c r="AW564" i="6"/>
  <c r="AX564" i="6"/>
  <c r="AY564" i="6"/>
  <c r="AZ564" i="6"/>
  <c r="BA564" i="6"/>
  <c r="BB564" i="6"/>
  <c r="BC564" i="6"/>
  <c r="BD564" i="6"/>
  <c r="BE564" i="6"/>
  <c r="BF564" i="6"/>
  <c r="BG564" i="6"/>
  <c r="BH564" i="6"/>
  <c r="BI564" i="6"/>
  <c r="BJ564" i="6"/>
  <c r="BK564" i="6"/>
  <c r="AL565" i="6"/>
  <c r="AM565" i="6"/>
  <c r="AN565" i="6"/>
  <c r="AO565" i="6"/>
  <c r="AP565" i="6"/>
  <c r="AQ565" i="6"/>
  <c r="AR565" i="6"/>
  <c r="AS565" i="6"/>
  <c r="AT565" i="6"/>
  <c r="AU565" i="6"/>
  <c r="AV565" i="6"/>
  <c r="AW565" i="6"/>
  <c r="AX565" i="6"/>
  <c r="AY565" i="6"/>
  <c r="AZ565" i="6"/>
  <c r="BA565" i="6"/>
  <c r="BB565" i="6"/>
  <c r="BC565" i="6"/>
  <c r="BD565" i="6"/>
  <c r="BE565" i="6"/>
  <c r="BF565" i="6"/>
  <c r="BG565" i="6"/>
  <c r="BH565" i="6"/>
  <c r="BI565" i="6"/>
  <c r="BJ565" i="6"/>
  <c r="BK565" i="6"/>
  <c r="AL566" i="6"/>
  <c r="AM566" i="6"/>
  <c r="AN566" i="6"/>
  <c r="AO566" i="6"/>
  <c r="AP566" i="6"/>
  <c r="AQ566" i="6"/>
  <c r="AR566" i="6"/>
  <c r="AS566" i="6"/>
  <c r="AT566" i="6"/>
  <c r="AU566" i="6"/>
  <c r="AV566" i="6"/>
  <c r="AW566" i="6"/>
  <c r="AX566" i="6"/>
  <c r="AY566" i="6"/>
  <c r="AZ566" i="6"/>
  <c r="BA566" i="6"/>
  <c r="BB566" i="6"/>
  <c r="BC566" i="6"/>
  <c r="BD566" i="6"/>
  <c r="BE566" i="6"/>
  <c r="BF566" i="6"/>
  <c r="BG566" i="6"/>
  <c r="BH566" i="6"/>
  <c r="BI566" i="6"/>
  <c r="BJ566" i="6"/>
  <c r="BK566" i="6"/>
  <c r="AL207" i="6"/>
  <c r="AM207" i="6"/>
  <c r="AN207" i="6"/>
  <c r="AO207" i="6"/>
  <c r="AP207" i="6"/>
  <c r="AQ207" i="6"/>
  <c r="AR207" i="6"/>
  <c r="AS207" i="6"/>
  <c r="AT207" i="6"/>
  <c r="AU207" i="6"/>
  <c r="AV207" i="6"/>
  <c r="AW207" i="6"/>
  <c r="AX207" i="6"/>
  <c r="AY207" i="6"/>
  <c r="AZ207" i="6"/>
  <c r="BA207" i="6"/>
  <c r="BB207" i="6"/>
  <c r="BC207" i="6"/>
  <c r="BD207" i="6"/>
  <c r="BE207" i="6"/>
  <c r="BF207" i="6"/>
  <c r="BG207" i="6"/>
  <c r="BH207" i="6"/>
  <c r="BI207" i="6"/>
  <c r="BJ207" i="6"/>
  <c r="BK207" i="6"/>
  <c r="AL208" i="6"/>
  <c r="AM208" i="6"/>
  <c r="AN208" i="6"/>
  <c r="AO208" i="6"/>
  <c r="AP208" i="6"/>
  <c r="AQ208" i="6"/>
  <c r="AR208" i="6"/>
  <c r="AS208" i="6"/>
  <c r="AT208" i="6"/>
  <c r="AU208" i="6"/>
  <c r="AV208" i="6"/>
  <c r="AW208" i="6"/>
  <c r="AX208" i="6"/>
  <c r="AY208" i="6"/>
  <c r="AZ208" i="6"/>
  <c r="BA208" i="6"/>
  <c r="BB208" i="6"/>
  <c r="BC208" i="6"/>
  <c r="BD208" i="6"/>
  <c r="BE208" i="6"/>
  <c r="BF208" i="6"/>
  <c r="BG208" i="6"/>
  <c r="BH208" i="6"/>
  <c r="BI208" i="6"/>
  <c r="BJ208" i="6"/>
  <c r="BK208" i="6"/>
  <c r="AL209" i="6"/>
  <c r="AM209" i="6"/>
  <c r="AN209" i="6"/>
  <c r="AO209" i="6"/>
  <c r="AP209" i="6"/>
  <c r="AQ209" i="6"/>
  <c r="AR209" i="6"/>
  <c r="AS209" i="6"/>
  <c r="AT209" i="6"/>
  <c r="AU209" i="6"/>
  <c r="AV209" i="6"/>
  <c r="AW209" i="6"/>
  <c r="AX209" i="6"/>
  <c r="AY209" i="6"/>
  <c r="AZ209" i="6"/>
  <c r="BA209" i="6"/>
  <c r="BB209" i="6"/>
  <c r="BC209" i="6"/>
  <c r="BD209" i="6"/>
  <c r="BE209" i="6"/>
  <c r="BF209" i="6"/>
  <c r="BG209" i="6"/>
  <c r="BH209" i="6"/>
  <c r="BI209" i="6"/>
  <c r="BJ209" i="6"/>
  <c r="BK209" i="6"/>
  <c r="AL210" i="6"/>
  <c r="AM210" i="6"/>
  <c r="AN210" i="6"/>
  <c r="AO210" i="6"/>
  <c r="AP210" i="6"/>
  <c r="AQ210" i="6"/>
  <c r="AR210" i="6"/>
  <c r="AS210" i="6"/>
  <c r="AT210" i="6"/>
  <c r="AU210" i="6"/>
  <c r="AV210" i="6"/>
  <c r="AW210" i="6"/>
  <c r="AX210" i="6"/>
  <c r="AY210" i="6"/>
  <c r="AZ210" i="6"/>
  <c r="BA210" i="6"/>
  <c r="BB210" i="6"/>
  <c r="BC210" i="6"/>
  <c r="BD210" i="6"/>
  <c r="BE210" i="6"/>
  <c r="BF210" i="6"/>
  <c r="BG210" i="6"/>
  <c r="BH210" i="6"/>
  <c r="BI210" i="6"/>
  <c r="BJ210" i="6"/>
  <c r="BK210" i="6"/>
  <c r="AL211" i="6"/>
  <c r="AM211" i="6"/>
  <c r="AN211" i="6"/>
  <c r="AO211" i="6"/>
  <c r="AP211" i="6"/>
  <c r="AQ211" i="6"/>
  <c r="AR211" i="6"/>
  <c r="AS211" i="6"/>
  <c r="AT211" i="6"/>
  <c r="AU211" i="6"/>
  <c r="AV211" i="6"/>
  <c r="AW211" i="6"/>
  <c r="AX211" i="6"/>
  <c r="AY211" i="6"/>
  <c r="AZ211" i="6"/>
  <c r="BA211" i="6"/>
  <c r="BB211" i="6"/>
  <c r="BC211" i="6"/>
  <c r="BD211" i="6"/>
  <c r="BE211" i="6"/>
  <c r="BF211" i="6"/>
  <c r="BG211" i="6"/>
  <c r="BH211" i="6"/>
  <c r="BI211" i="6"/>
  <c r="BJ211" i="6"/>
  <c r="BK211" i="6"/>
  <c r="AL212" i="6"/>
  <c r="AM212" i="6"/>
  <c r="AN212" i="6"/>
  <c r="AO212" i="6"/>
  <c r="AP212" i="6"/>
  <c r="AQ212" i="6"/>
  <c r="AR212" i="6"/>
  <c r="AS212" i="6"/>
  <c r="AT212" i="6"/>
  <c r="AU212" i="6"/>
  <c r="AV212" i="6"/>
  <c r="AW212" i="6"/>
  <c r="AX212" i="6"/>
  <c r="AY212" i="6"/>
  <c r="AZ212" i="6"/>
  <c r="BA212" i="6"/>
  <c r="BB212" i="6"/>
  <c r="BC212" i="6"/>
  <c r="BD212" i="6"/>
  <c r="BE212" i="6"/>
  <c r="BF212" i="6"/>
  <c r="BG212" i="6"/>
  <c r="BH212" i="6"/>
  <c r="BI212" i="6"/>
  <c r="BJ212" i="6"/>
  <c r="BK212" i="6"/>
  <c r="AL213" i="6"/>
  <c r="AM213" i="6"/>
  <c r="AN213" i="6"/>
  <c r="AO213" i="6"/>
  <c r="AP213" i="6"/>
  <c r="AQ213" i="6"/>
  <c r="AR213" i="6"/>
  <c r="AS213" i="6"/>
  <c r="AT213" i="6"/>
  <c r="AU213" i="6"/>
  <c r="AV213" i="6"/>
  <c r="AW213" i="6"/>
  <c r="AX213" i="6"/>
  <c r="AY213" i="6"/>
  <c r="AZ213" i="6"/>
  <c r="BA213" i="6"/>
  <c r="BB213" i="6"/>
  <c r="BC213" i="6"/>
  <c r="BD213" i="6"/>
  <c r="BE213" i="6"/>
  <c r="BF213" i="6"/>
  <c r="BG213" i="6"/>
  <c r="BH213" i="6"/>
  <c r="BI213" i="6"/>
  <c r="BJ213" i="6"/>
  <c r="BK213" i="6"/>
  <c r="AL214" i="6"/>
  <c r="AM214" i="6"/>
  <c r="AN214" i="6"/>
  <c r="AO214" i="6"/>
  <c r="AP214" i="6"/>
  <c r="AQ214" i="6"/>
  <c r="AR214" i="6"/>
  <c r="AS214" i="6"/>
  <c r="AT214" i="6"/>
  <c r="AU214" i="6"/>
  <c r="AV214" i="6"/>
  <c r="AW214" i="6"/>
  <c r="AX214" i="6"/>
  <c r="AY214" i="6"/>
  <c r="AZ214" i="6"/>
  <c r="BA214" i="6"/>
  <c r="BB214" i="6"/>
  <c r="BC214" i="6"/>
  <c r="BD214" i="6"/>
  <c r="BE214" i="6"/>
  <c r="BF214" i="6"/>
  <c r="BG214" i="6"/>
  <c r="BH214" i="6"/>
  <c r="BI214" i="6"/>
  <c r="BJ214" i="6"/>
  <c r="BK214" i="6"/>
  <c r="AL215" i="6"/>
  <c r="AM215" i="6"/>
  <c r="AN215" i="6"/>
  <c r="AO215" i="6"/>
  <c r="AP215" i="6"/>
  <c r="AQ215" i="6"/>
  <c r="AR215" i="6"/>
  <c r="AS215" i="6"/>
  <c r="AT215" i="6"/>
  <c r="AU215" i="6"/>
  <c r="AV215" i="6"/>
  <c r="AW215" i="6"/>
  <c r="AX215" i="6"/>
  <c r="AY215" i="6"/>
  <c r="AZ215" i="6"/>
  <c r="BA215" i="6"/>
  <c r="BB215" i="6"/>
  <c r="BC215" i="6"/>
  <c r="BD215" i="6"/>
  <c r="BE215" i="6"/>
  <c r="BF215" i="6"/>
  <c r="BG215" i="6"/>
  <c r="BH215" i="6"/>
  <c r="BI215" i="6"/>
  <c r="BJ215" i="6"/>
  <c r="BK215" i="6"/>
  <c r="AL216" i="6"/>
  <c r="AM216" i="6"/>
  <c r="AN216" i="6"/>
  <c r="AO216" i="6"/>
  <c r="AP216" i="6"/>
  <c r="AQ216" i="6"/>
  <c r="AR216" i="6"/>
  <c r="AS216" i="6"/>
  <c r="AT216" i="6"/>
  <c r="AU216" i="6"/>
  <c r="AV216" i="6"/>
  <c r="AW216" i="6"/>
  <c r="AX216" i="6"/>
  <c r="AY216" i="6"/>
  <c r="AZ216" i="6"/>
  <c r="BA216" i="6"/>
  <c r="BB216" i="6"/>
  <c r="BC216" i="6"/>
  <c r="BD216" i="6"/>
  <c r="BE216" i="6"/>
  <c r="BF216" i="6"/>
  <c r="BG216" i="6"/>
  <c r="BH216" i="6"/>
  <c r="BI216" i="6"/>
  <c r="BJ216" i="6"/>
  <c r="BK216" i="6"/>
  <c r="AL217" i="6"/>
  <c r="AM217" i="6"/>
  <c r="AN217" i="6"/>
  <c r="AO217" i="6"/>
  <c r="AP217" i="6"/>
  <c r="AQ217" i="6"/>
  <c r="AR217" i="6"/>
  <c r="AS217" i="6"/>
  <c r="AT217" i="6"/>
  <c r="AU217" i="6"/>
  <c r="AV217" i="6"/>
  <c r="AW217" i="6"/>
  <c r="AX217" i="6"/>
  <c r="AY217" i="6"/>
  <c r="AZ217" i="6"/>
  <c r="BA217" i="6"/>
  <c r="BB217" i="6"/>
  <c r="BC217" i="6"/>
  <c r="BD217" i="6"/>
  <c r="BE217" i="6"/>
  <c r="BF217" i="6"/>
  <c r="BG217" i="6"/>
  <c r="BH217" i="6"/>
  <c r="BI217" i="6"/>
  <c r="BJ217" i="6"/>
  <c r="BK217" i="6"/>
  <c r="AL218" i="6"/>
  <c r="AM218" i="6"/>
  <c r="AN218" i="6"/>
  <c r="AO218" i="6"/>
  <c r="AP218" i="6"/>
  <c r="AQ218" i="6"/>
  <c r="AR218" i="6"/>
  <c r="AS218" i="6"/>
  <c r="AT218" i="6"/>
  <c r="AU218" i="6"/>
  <c r="AV218" i="6"/>
  <c r="AW218" i="6"/>
  <c r="AX218" i="6"/>
  <c r="AY218" i="6"/>
  <c r="AZ218" i="6"/>
  <c r="BA218" i="6"/>
  <c r="BB218" i="6"/>
  <c r="BC218" i="6"/>
  <c r="BD218" i="6"/>
  <c r="BE218" i="6"/>
  <c r="BF218" i="6"/>
  <c r="BG218" i="6"/>
  <c r="BH218" i="6"/>
  <c r="BI218" i="6"/>
  <c r="BJ218" i="6"/>
  <c r="BK218" i="6"/>
  <c r="AL219" i="6"/>
  <c r="AM219" i="6"/>
  <c r="AN219" i="6"/>
  <c r="AO219" i="6"/>
  <c r="AP219" i="6"/>
  <c r="AQ219" i="6"/>
  <c r="AR219" i="6"/>
  <c r="AS219" i="6"/>
  <c r="AT219" i="6"/>
  <c r="AU219" i="6"/>
  <c r="AV219" i="6"/>
  <c r="AW219" i="6"/>
  <c r="AX219" i="6"/>
  <c r="AY219" i="6"/>
  <c r="AZ219" i="6"/>
  <c r="BA219" i="6"/>
  <c r="BB219" i="6"/>
  <c r="BC219" i="6"/>
  <c r="BD219" i="6"/>
  <c r="BE219" i="6"/>
  <c r="BF219" i="6"/>
  <c r="BG219" i="6"/>
  <c r="BH219" i="6"/>
  <c r="BI219" i="6"/>
  <c r="BJ219" i="6"/>
  <c r="BK219" i="6"/>
  <c r="AL220" i="6"/>
  <c r="AM220" i="6"/>
  <c r="AN220" i="6"/>
  <c r="AO220" i="6"/>
  <c r="AP220" i="6"/>
  <c r="AQ220" i="6"/>
  <c r="AR220" i="6"/>
  <c r="AS220" i="6"/>
  <c r="AT220" i="6"/>
  <c r="AU220" i="6"/>
  <c r="AV220" i="6"/>
  <c r="AW220" i="6"/>
  <c r="AX220" i="6"/>
  <c r="AY220" i="6"/>
  <c r="AZ220" i="6"/>
  <c r="BA220" i="6"/>
  <c r="BB220" i="6"/>
  <c r="BC220" i="6"/>
  <c r="BD220" i="6"/>
  <c r="BE220" i="6"/>
  <c r="BF220" i="6"/>
  <c r="BG220" i="6"/>
  <c r="BH220" i="6"/>
  <c r="BI220" i="6"/>
  <c r="BJ220" i="6"/>
  <c r="BK220" i="6"/>
  <c r="AL221" i="6"/>
  <c r="AM221" i="6"/>
  <c r="AN221" i="6"/>
  <c r="AO221" i="6"/>
  <c r="AP221" i="6"/>
  <c r="AQ221" i="6"/>
  <c r="AR221" i="6"/>
  <c r="AS221" i="6"/>
  <c r="AT221" i="6"/>
  <c r="AU221" i="6"/>
  <c r="AV221" i="6"/>
  <c r="AW221" i="6"/>
  <c r="AX221" i="6"/>
  <c r="AY221" i="6"/>
  <c r="AZ221" i="6"/>
  <c r="BA221" i="6"/>
  <c r="BB221" i="6"/>
  <c r="BC221" i="6"/>
  <c r="BD221" i="6"/>
  <c r="BE221" i="6"/>
  <c r="BF221" i="6"/>
  <c r="BG221" i="6"/>
  <c r="BH221" i="6"/>
  <c r="BI221" i="6"/>
  <c r="BJ221" i="6"/>
  <c r="BK221" i="6"/>
  <c r="AL222" i="6"/>
  <c r="AM222" i="6"/>
  <c r="AN222" i="6"/>
  <c r="AO222" i="6"/>
  <c r="AP222" i="6"/>
  <c r="AQ222" i="6"/>
  <c r="AR222" i="6"/>
  <c r="AS222" i="6"/>
  <c r="AT222" i="6"/>
  <c r="AU222" i="6"/>
  <c r="AV222" i="6"/>
  <c r="AW222" i="6"/>
  <c r="AX222" i="6"/>
  <c r="AY222" i="6"/>
  <c r="AZ222" i="6"/>
  <c r="BA222" i="6"/>
  <c r="BB222" i="6"/>
  <c r="BC222" i="6"/>
  <c r="BD222" i="6"/>
  <c r="BE222" i="6"/>
  <c r="BF222" i="6"/>
  <c r="BG222" i="6"/>
  <c r="BH222" i="6"/>
  <c r="BI222" i="6"/>
  <c r="BJ222" i="6"/>
  <c r="BK222" i="6"/>
  <c r="AL223" i="6"/>
  <c r="AM223" i="6"/>
  <c r="AN223" i="6"/>
  <c r="AO223" i="6"/>
  <c r="AP223" i="6"/>
  <c r="AQ223" i="6"/>
  <c r="AR223" i="6"/>
  <c r="AS223" i="6"/>
  <c r="AT223" i="6"/>
  <c r="AU223" i="6"/>
  <c r="AV223" i="6"/>
  <c r="AW223" i="6"/>
  <c r="AX223" i="6"/>
  <c r="AY223" i="6"/>
  <c r="AZ223" i="6"/>
  <c r="BA223" i="6"/>
  <c r="BB223" i="6"/>
  <c r="BC223" i="6"/>
  <c r="BD223" i="6"/>
  <c r="BE223" i="6"/>
  <c r="BF223" i="6"/>
  <c r="BG223" i="6"/>
  <c r="BH223" i="6"/>
  <c r="BI223" i="6"/>
  <c r="BJ223" i="6"/>
  <c r="BK223" i="6"/>
  <c r="AL224" i="6"/>
  <c r="AM224" i="6"/>
  <c r="AN224" i="6"/>
  <c r="AO224" i="6"/>
  <c r="AP224" i="6"/>
  <c r="AQ224" i="6"/>
  <c r="AR224" i="6"/>
  <c r="AS224" i="6"/>
  <c r="AT224" i="6"/>
  <c r="AU224" i="6"/>
  <c r="AV224" i="6"/>
  <c r="AW224" i="6"/>
  <c r="AX224" i="6"/>
  <c r="AY224" i="6"/>
  <c r="AZ224" i="6"/>
  <c r="BA224" i="6"/>
  <c r="BB224" i="6"/>
  <c r="BC224" i="6"/>
  <c r="BD224" i="6"/>
  <c r="BE224" i="6"/>
  <c r="BF224" i="6"/>
  <c r="BG224" i="6"/>
  <c r="BH224" i="6"/>
  <c r="BI224" i="6"/>
  <c r="BJ224" i="6"/>
  <c r="BK224" i="6"/>
  <c r="AL225" i="6"/>
  <c r="AM225" i="6"/>
  <c r="AN225" i="6"/>
  <c r="AO225" i="6"/>
  <c r="AP225" i="6"/>
  <c r="AQ225" i="6"/>
  <c r="AR225" i="6"/>
  <c r="AS225" i="6"/>
  <c r="AT225" i="6"/>
  <c r="AU225" i="6"/>
  <c r="AV225" i="6"/>
  <c r="AW225" i="6"/>
  <c r="AX225" i="6"/>
  <c r="AY225" i="6"/>
  <c r="AZ225" i="6"/>
  <c r="BA225" i="6"/>
  <c r="BB225" i="6"/>
  <c r="BC225" i="6"/>
  <c r="BD225" i="6"/>
  <c r="BE225" i="6"/>
  <c r="BF225" i="6"/>
  <c r="BG225" i="6"/>
  <c r="BH225" i="6"/>
  <c r="BI225" i="6"/>
  <c r="BJ225" i="6"/>
  <c r="BK225" i="6"/>
  <c r="AL226" i="6"/>
  <c r="AM226" i="6"/>
  <c r="AN226" i="6"/>
  <c r="AO226" i="6"/>
  <c r="AP226" i="6"/>
  <c r="AQ226" i="6"/>
  <c r="AR226" i="6"/>
  <c r="AS226" i="6"/>
  <c r="AT226" i="6"/>
  <c r="AU226" i="6"/>
  <c r="AV226" i="6"/>
  <c r="AW226" i="6"/>
  <c r="AX226" i="6"/>
  <c r="AY226" i="6"/>
  <c r="AZ226" i="6"/>
  <c r="BA226" i="6"/>
  <c r="BB226" i="6"/>
  <c r="BC226" i="6"/>
  <c r="BD226" i="6"/>
  <c r="BE226" i="6"/>
  <c r="BF226" i="6"/>
  <c r="BG226" i="6"/>
  <c r="BH226" i="6"/>
  <c r="BI226" i="6"/>
  <c r="BJ226" i="6"/>
  <c r="BK226" i="6"/>
  <c r="AL227" i="6"/>
  <c r="AM227" i="6"/>
  <c r="AN227" i="6"/>
  <c r="AO227" i="6"/>
  <c r="AP227" i="6"/>
  <c r="AQ227" i="6"/>
  <c r="AR227" i="6"/>
  <c r="AS227" i="6"/>
  <c r="AT227" i="6"/>
  <c r="AU227" i="6"/>
  <c r="AV227" i="6"/>
  <c r="AW227" i="6"/>
  <c r="AX227" i="6"/>
  <c r="AY227" i="6"/>
  <c r="AZ227" i="6"/>
  <c r="BA227" i="6"/>
  <c r="BB227" i="6"/>
  <c r="BC227" i="6"/>
  <c r="BD227" i="6"/>
  <c r="BE227" i="6"/>
  <c r="BF227" i="6"/>
  <c r="BG227" i="6"/>
  <c r="BH227" i="6"/>
  <c r="BI227" i="6"/>
  <c r="BJ227" i="6"/>
  <c r="BK227" i="6"/>
  <c r="AL228" i="6"/>
  <c r="AM228" i="6"/>
  <c r="AN228" i="6"/>
  <c r="AO228" i="6"/>
  <c r="AP228" i="6"/>
  <c r="AQ228" i="6"/>
  <c r="AR228" i="6"/>
  <c r="AS228" i="6"/>
  <c r="AT228" i="6"/>
  <c r="AU228" i="6"/>
  <c r="AV228" i="6"/>
  <c r="AW228" i="6"/>
  <c r="AX228" i="6"/>
  <c r="AY228" i="6"/>
  <c r="AZ228" i="6"/>
  <c r="BA228" i="6"/>
  <c r="BB228" i="6"/>
  <c r="BC228" i="6"/>
  <c r="BD228" i="6"/>
  <c r="BE228" i="6"/>
  <c r="BF228" i="6"/>
  <c r="BG228" i="6"/>
  <c r="BH228" i="6"/>
  <c r="BI228" i="6"/>
  <c r="BJ228" i="6"/>
  <c r="BK228" i="6"/>
  <c r="AL229" i="6"/>
  <c r="AM229" i="6"/>
  <c r="AN229" i="6"/>
  <c r="AO229" i="6"/>
  <c r="AP229" i="6"/>
  <c r="AQ229" i="6"/>
  <c r="AR229" i="6"/>
  <c r="AS229" i="6"/>
  <c r="AT229" i="6"/>
  <c r="AU229" i="6"/>
  <c r="AV229" i="6"/>
  <c r="AW229" i="6"/>
  <c r="AX229" i="6"/>
  <c r="AY229" i="6"/>
  <c r="AZ229" i="6"/>
  <c r="BA229" i="6"/>
  <c r="BB229" i="6"/>
  <c r="BC229" i="6"/>
  <c r="BD229" i="6"/>
  <c r="BE229" i="6"/>
  <c r="BF229" i="6"/>
  <c r="BG229" i="6"/>
  <c r="BH229" i="6"/>
  <c r="BI229" i="6"/>
  <c r="BJ229" i="6"/>
  <c r="BK229" i="6"/>
  <c r="AL230" i="6"/>
  <c r="AM230" i="6"/>
  <c r="AN230" i="6"/>
  <c r="AO230" i="6"/>
  <c r="AP230" i="6"/>
  <c r="AQ230" i="6"/>
  <c r="AR230" i="6"/>
  <c r="AS230" i="6"/>
  <c r="AT230" i="6"/>
  <c r="AU230" i="6"/>
  <c r="AV230" i="6"/>
  <c r="AW230" i="6"/>
  <c r="AX230" i="6"/>
  <c r="AY230" i="6"/>
  <c r="AZ230" i="6"/>
  <c r="BA230" i="6"/>
  <c r="BB230" i="6"/>
  <c r="BC230" i="6"/>
  <c r="BD230" i="6"/>
  <c r="BE230" i="6"/>
  <c r="BF230" i="6"/>
  <c r="BG230" i="6"/>
  <c r="BH230" i="6"/>
  <c r="BI230" i="6"/>
  <c r="BJ230" i="6"/>
  <c r="BK230" i="6"/>
  <c r="AL231" i="6"/>
  <c r="AM231" i="6"/>
  <c r="AN231" i="6"/>
  <c r="AO231" i="6"/>
  <c r="AP231" i="6"/>
  <c r="AQ231" i="6"/>
  <c r="AR231" i="6"/>
  <c r="AS231" i="6"/>
  <c r="AT231" i="6"/>
  <c r="AU231" i="6"/>
  <c r="AV231" i="6"/>
  <c r="AW231" i="6"/>
  <c r="AX231" i="6"/>
  <c r="AY231" i="6"/>
  <c r="AZ231" i="6"/>
  <c r="BA231" i="6"/>
  <c r="BB231" i="6"/>
  <c r="BC231" i="6"/>
  <c r="BD231" i="6"/>
  <c r="BE231" i="6"/>
  <c r="BF231" i="6"/>
  <c r="BG231" i="6"/>
  <c r="BH231" i="6"/>
  <c r="BI231" i="6"/>
  <c r="BJ231" i="6"/>
  <c r="BK231" i="6"/>
  <c r="AL232" i="6"/>
  <c r="AM232" i="6"/>
  <c r="AN232" i="6"/>
  <c r="AO232" i="6"/>
  <c r="AP232" i="6"/>
  <c r="AQ232" i="6"/>
  <c r="AR232" i="6"/>
  <c r="AS232" i="6"/>
  <c r="AT232" i="6"/>
  <c r="AU232" i="6"/>
  <c r="AV232" i="6"/>
  <c r="AW232" i="6"/>
  <c r="AX232" i="6"/>
  <c r="AY232" i="6"/>
  <c r="AZ232" i="6"/>
  <c r="BA232" i="6"/>
  <c r="BB232" i="6"/>
  <c r="BC232" i="6"/>
  <c r="BD232" i="6"/>
  <c r="BE232" i="6"/>
  <c r="BF232" i="6"/>
  <c r="BG232" i="6"/>
  <c r="BH232" i="6"/>
  <c r="BI232" i="6"/>
  <c r="BJ232" i="6"/>
  <c r="BK232" i="6"/>
  <c r="AL233" i="6"/>
  <c r="AM233" i="6"/>
  <c r="AN233" i="6"/>
  <c r="AO233" i="6"/>
  <c r="AP233" i="6"/>
  <c r="AQ233" i="6"/>
  <c r="AR233" i="6"/>
  <c r="AS233" i="6"/>
  <c r="AT233" i="6"/>
  <c r="AU233" i="6"/>
  <c r="AV233" i="6"/>
  <c r="AW233" i="6"/>
  <c r="AX233" i="6"/>
  <c r="AY233" i="6"/>
  <c r="AZ233" i="6"/>
  <c r="BA233" i="6"/>
  <c r="BB233" i="6"/>
  <c r="BC233" i="6"/>
  <c r="BD233" i="6"/>
  <c r="BE233" i="6"/>
  <c r="BF233" i="6"/>
  <c r="BG233" i="6"/>
  <c r="BH233" i="6"/>
  <c r="BI233" i="6"/>
  <c r="BJ233" i="6"/>
  <c r="BK233" i="6"/>
  <c r="AL234" i="6"/>
  <c r="AM234" i="6"/>
  <c r="AN234" i="6"/>
  <c r="AO234" i="6"/>
  <c r="AP234" i="6"/>
  <c r="AQ234" i="6"/>
  <c r="AR234" i="6"/>
  <c r="AS234" i="6"/>
  <c r="AT234" i="6"/>
  <c r="AU234" i="6"/>
  <c r="AV234" i="6"/>
  <c r="AW234" i="6"/>
  <c r="AX234" i="6"/>
  <c r="AY234" i="6"/>
  <c r="AZ234" i="6"/>
  <c r="BA234" i="6"/>
  <c r="BB234" i="6"/>
  <c r="BC234" i="6"/>
  <c r="BD234" i="6"/>
  <c r="BE234" i="6"/>
  <c r="BF234" i="6"/>
  <c r="BG234" i="6"/>
  <c r="BH234" i="6"/>
  <c r="BI234" i="6"/>
  <c r="BJ234" i="6"/>
  <c r="BK234" i="6"/>
  <c r="AL235" i="6"/>
  <c r="AM235" i="6"/>
  <c r="AN235" i="6"/>
  <c r="AO235" i="6"/>
  <c r="AP235" i="6"/>
  <c r="AQ235" i="6"/>
  <c r="AR235" i="6"/>
  <c r="AS235" i="6"/>
  <c r="AT235" i="6"/>
  <c r="AU235" i="6"/>
  <c r="AV235" i="6"/>
  <c r="AW235" i="6"/>
  <c r="AX235" i="6"/>
  <c r="AY235" i="6"/>
  <c r="AZ235" i="6"/>
  <c r="BA235" i="6"/>
  <c r="BB235" i="6"/>
  <c r="BC235" i="6"/>
  <c r="BD235" i="6"/>
  <c r="BE235" i="6"/>
  <c r="BF235" i="6"/>
  <c r="BG235" i="6"/>
  <c r="BH235" i="6"/>
  <c r="BI235" i="6"/>
  <c r="BJ235" i="6"/>
  <c r="BK235" i="6"/>
  <c r="AL236" i="6"/>
  <c r="AM236" i="6"/>
  <c r="AN236" i="6"/>
  <c r="AO236" i="6"/>
  <c r="AP236" i="6"/>
  <c r="AQ236" i="6"/>
  <c r="AR236" i="6"/>
  <c r="AS236" i="6"/>
  <c r="AT236" i="6"/>
  <c r="AU236" i="6"/>
  <c r="AV236" i="6"/>
  <c r="AW236" i="6"/>
  <c r="AX236" i="6"/>
  <c r="AY236" i="6"/>
  <c r="AZ236" i="6"/>
  <c r="BA236" i="6"/>
  <c r="BB236" i="6"/>
  <c r="BC236" i="6"/>
  <c r="BD236" i="6"/>
  <c r="BE236" i="6"/>
  <c r="BF236" i="6"/>
  <c r="BG236" i="6"/>
  <c r="BH236" i="6"/>
  <c r="BI236" i="6"/>
  <c r="BJ236" i="6"/>
  <c r="BK236" i="6"/>
  <c r="AL237" i="6"/>
  <c r="AM237" i="6"/>
  <c r="AN237" i="6"/>
  <c r="AO237" i="6"/>
  <c r="AP237" i="6"/>
  <c r="AQ237" i="6"/>
  <c r="AR237" i="6"/>
  <c r="AS237" i="6"/>
  <c r="AT237" i="6"/>
  <c r="AU237" i="6"/>
  <c r="AV237" i="6"/>
  <c r="AW237" i="6"/>
  <c r="AX237" i="6"/>
  <c r="AY237" i="6"/>
  <c r="AZ237" i="6"/>
  <c r="BA237" i="6"/>
  <c r="BB237" i="6"/>
  <c r="BC237" i="6"/>
  <c r="BD237" i="6"/>
  <c r="BE237" i="6"/>
  <c r="BF237" i="6"/>
  <c r="BG237" i="6"/>
  <c r="BH237" i="6"/>
  <c r="BI237" i="6"/>
  <c r="BJ237" i="6"/>
  <c r="BK237" i="6"/>
  <c r="AL238" i="6"/>
  <c r="AM238" i="6"/>
  <c r="AN238" i="6"/>
  <c r="AO238" i="6"/>
  <c r="AP238" i="6"/>
  <c r="AQ238" i="6"/>
  <c r="AR238" i="6"/>
  <c r="AS238" i="6"/>
  <c r="AT238" i="6"/>
  <c r="AU238" i="6"/>
  <c r="AV238" i="6"/>
  <c r="AW238" i="6"/>
  <c r="AX238" i="6"/>
  <c r="AY238" i="6"/>
  <c r="AZ238" i="6"/>
  <c r="BA238" i="6"/>
  <c r="BB238" i="6"/>
  <c r="BC238" i="6"/>
  <c r="BD238" i="6"/>
  <c r="BE238" i="6"/>
  <c r="BF238" i="6"/>
  <c r="BG238" i="6"/>
  <c r="BH238" i="6"/>
  <c r="BI238" i="6"/>
  <c r="BJ238" i="6"/>
  <c r="BK238" i="6"/>
  <c r="AL239" i="6"/>
  <c r="AM239" i="6"/>
  <c r="AN239" i="6"/>
  <c r="AO239" i="6"/>
  <c r="AP239" i="6"/>
  <c r="AQ239" i="6"/>
  <c r="AR239" i="6"/>
  <c r="AS239" i="6"/>
  <c r="AT239" i="6"/>
  <c r="AU239" i="6"/>
  <c r="AV239" i="6"/>
  <c r="AW239" i="6"/>
  <c r="AX239" i="6"/>
  <c r="AY239" i="6"/>
  <c r="AZ239" i="6"/>
  <c r="BA239" i="6"/>
  <c r="BB239" i="6"/>
  <c r="BC239" i="6"/>
  <c r="BD239" i="6"/>
  <c r="BE239" i="6"/>
  <c r="BF239" i="6"/>
  <c r="BG239" i="6"/>
  <c r="BH239" i="6"/>
  <c r="BI239" i="6"/>
  <c r="BJ239" i="6"/>
  <c r="BK239" i="6"/>
  <c r="AL240" i="6"/>
  <c r="AM240" i="6"/>
  <c r="AN240" i="6"/>
  <c r="AO240" i="6"/>
  <c r="AP240" i="6"/>
  <c r="AQ240" i="6"/>
  <c r="AR240" i="6"/>
  <c r="AS240" i="6"/>
  <c r="AT240" i="6"/>
  <c r="AU240" i="6"/>
  <c r="AV240" i="6"/>
  <c r="AW240" i="6"/>
  <c r="AX240" i="6"/>
  <c r="AY240" i="6"/>
  <c r="AZ240" i="6"/>
  <c r="BA240" i="6"/>
  <c r="BB240" i="6"/>
  <c r="BC240" i="6"/>
  <c r="BD240" i="6"/>
  <c r="BE240" i="6"/>
  <c r="BF240" i="6"/>
  <c r="BG240" i="6"/>
  <c r="BH240" i="6"/>
  <c r="BI240" i="6"/>
  <c r="BJ240" i="6"/>
  <c r="BK240" i="6"/>
  <c r="AL241" i="6"/>
  <c r="AM241" i="6"/>
  <c r="AN241" i="6"/>
  <c r="AO241" i="6"/>
  <c r="AP241" i="6"/>
  <c r="AQ241" i="6"/>
  <c r="AR241" i="6"/>
  <c r="AS241" i="6"/>
  <c r="AT241" i="6"/>
  <c r="AU241" i="6"/>
  <c r="AV241" i="6"/>
  <c r="AW241" i="6"/>
  <c r="AX241" i="6"/>
  <c r="AY241" i="6"/>
  <c r="AZ241" i="6"/>
  <c r="BA241" i="6"/>
  <c r="BB241" i="6"/>
  <c r="BC241" i="6"/>
  <c r="BD241" i="6"/>
  <c r="BE241" i="6"/>
  <c r="BF241" i="6"/>
  <c r="BG241" i="6"/>
  <c r="BH241" i="6"/>
  <c r="BI241" i="6"/>
  <c r="BJ241" i="6"/>
  <c r="BK241" i="6"/>
  <c r="AL242" i="6"/>
  <c r="AM242" i="6"/>
  <c r="AN242" i="6"/>
  <c r="AO242" i="6"/>
  <c r="AP242" i="6"/>
  <c r="AQ242" i="6"/>
  <c r="AR242" i="6"/>
  <c r="AS242" i="6"/>
  <c r="AT242" i="6"/>
  <c r="AU242" i="6"/>
  <c r="AV242" i="6"/>
  <c r="AW242" i="6"/>
  <c r="AX242" i="6"/>
  <c r="AY242" i="6"/>
  <c r="AZ242" i="6"/>
  <c r="BA242" i="6"/>
  <c r="BB242" i="6"/>
  <c r="BC242" i="6"/>
  <c r="BD242" i="6"/>
  <c r="BE242" i="6"/>
  <c r="BF242" i="6"/>
  <c r="BG242" i="6"/>
  <c r="BH242" i="6"/>
  <c r="BI242" i="6"/>
  <c r="BJ242" i="6"/>
  <c r="BK242" i="6"/>
  <c r="AL243" i="6"/>
  <c r="AM243" i="6"/>
  <c r="AN243" i="6"/>
  <c r="AO243" i="6"/>
  <c r="AP243" i="6"/>
  <c r="AQ243" i="6"/>
  <c r="AR243" i="6"/>
  <c r="AS243" i="6"/>
  <c r="AT243" i="6"/>
  <c r="AU243" i="6"/>
  <c r="AV243" i="6"/>
  <c r="AW243" i="6"/>
  <c r="AX243" i="6"/>
  <c r="AY243" i="6"/>
  <c r="AZ243" i="6"/>
  <c r="BA243" i="6"/>
  <c r="BB243" i="6"/>
  <c r="BC243" i="6"/>
  <c r="BD243" i="6"/>
  <c r="BE243" i="6"/>
  <c r="BF243" i="6"/>
  <c r="BG243" i="6"/>
  <c r="BH243" i="6"/>
  <c r="BI243" i="6"/>
  <c r="BJ243" i="6"/>
  <c r="BK243" i="6"/>
  <c r="AL244" i="6"/>
  <c r="AM244" i="6"/>
  <c r="AN244" i="6"/>
  <c r="AO244" i="6"/>
  <c r="AP244" i="6"/>
  <c r="AQ244" i="6"/>
  <c r="AR244" i="6"/>
  <c r="AS244" i="6"/>
  <c r="AT244" i="6"/>
  <c r="AU244" i="6"/>
  <c r="AV244" i="6"/>
  <c r="AW244" i="6"/>
  <c r="AX244" i="6"/>
  <c r="AY244" i="6"/>
  <c r="AZ244" i="6"/>
  <c r="BA244" i="6"/>
  <c r="BB244" i="6"/>
  <c r="BC244" i="6"/>
  <c r="BD244" i="6"/>
  <c r="BE244" i="6"/>
  <c r="BF244" i="6"/>
  <c r="BG244" i="6"/>
  <c r="BH244" i="6"/>
  <c r="BI244" i="6"/>
  <c r="BJ244" i="6"/>
  <c r="BK244" i="6"/>
  <c r="AL245" i="6"/>
  <c r="AM245" i="6"/>
  <c r="AN245" i="6"/>
  <c r="AO245" i="6"/>
  <c r="AP245" i="6"/>
  <c r="AQ245" i="6"/>
  <c r="AR245" i="6"/>
  <c r="AS245" i="6"/>
  <c r="AT245" i="6"/>
  <c r="AU245" i="6"/>
  <c r="AV245" i="6"/>
  <c r="AW245" i="6"/>
  <c r="AX245" i="6"/>
  <c r="AY245" i="6"/>
  <c r="AZ245" i="6"/>
  <c r="BA245" i="6"/>
  <c r="BB245" i="6"/>
  <c r="BC245" i="6"/>
  <c r="BD245" i="6"/>
  <c r="BE245" i="6"/>
  <c r="BF245" i="6"/>
  <c r="BG245" i="6"/>
  <c r="BH245" i="6"/>
  <c r="BI245" i="6"/>
  <c r="BJ245" i="6"/>
  <c r="BK245" i="6"/>
  <c r="AL246" i="6"/>
  <c r="AM246" i="6"/>
  <c r="AN246" i="6"/>
  <c r="AO246" i="6"/>
  <c r="AP246" i="6"/>
  <c r="AQ246" i="6"/>
  <c r="AR246" i="6"/>
  <c r="AS246" i="6"/>
  <c r="AT246" i="6"/>
  <c r="AU246" i="6"/>
  <c r="AV246" i="6"/>
  <c r="AW246" i="6"/>
  <c r="AX246" i="6"/>
  <c r="AY246" i="6"/>
  <c r="AZ246" i="6"/>
  <c r="BA246" i="6"/>
  <c r="BB246" i="6"/>
  <c r="BC246" i="6"/>
  <c r="BD246" i="6"/>
  <c r="BE246" i="6"/>
  <c r="BF246" i="6"/>
  <c r="BG246" i="6"/>
  <c r="BH246" i="6"/>
  <c r="BI246" i="6"/>
  <c r="BJ246" i="6"/>
  <c r="BK246" i="6"/>
  <c r="AL247" i="6"/>
  <c r="AM247" i="6"/>
  <c r="AN247" i="6"/>
  <c r="AO247" i="6"/>
  <c r="AP247" i="6"/>
  <c r="AQ247" i="6"/>
  <c r="AR247" i="6"/>
  <c r="AS247" i="6"/>
  <c r="AT247" i="6"/>
  <c r="AU247" i="6"/>
  <c r="AV247" i="6"/>
  <c r="AW247" i="6"/>
  <c r="AX247" i="6"/>
  <c r="AY247" i="6"/>
  <c r="AZ247" i="6"/>
  <c r="BA247" i="6"/>
  <c r="BB247" i="6"/>
  <c r="BC247" i="6"/>
  <c r="BD247" i="6"/>
  <c r="BE247" i="6"/>
  <c r="BF247" i="6"/>
  <c r="BG247" i="6"/>
  <c r="BH247" i="6"/>
  <c r="BI247" i="6"/>
  <c r="BJ247" i="6"/>
  <c r="BK247" i="6"/>
  <c r="AL248" i="6"/>
  <c r="AM248" i="6"/>
  <c r="AN248" i="6"/>
  <c r="AO248" i="6"/>
  <c r="AP248" i="6"/>
  <c r="AQ248" i="6"/>
  <c r="AR248" i="6"/>
  <c r="AS248" i="6"/>
  <c r="AT248" i="6"/>
  <c r="AU248" i="6"/>
  <c r="AV248" i="6"/>
  <c r="AW248" i="6"/>
  <c r="AX248" i="6"/>
  <c r="AY248" i="6"/>
  <c r="AZ248" i="6"/>
  <c r="BA248" i="6"/>
  <c r="BB248" i="6"/>
  <c r="BC248" i="6"/>
  <c r="BD248" i="6"/>
  <c r="BE248" i="6"/>
  <c r="BF248" i="6"/>
  <c r="BG248" i="6"/>
  <c r="BH248" i="6"/>
  <c r="BI248" i="6"/>
  <c r="BJ248" i="6"/>
  <c r="BK248" i="6"/>
  <c r="AL249" i="6"/>
  <c r="AM249" i="6"/>
  <c r="AN249" i="6"/>
  <c r="AO249" i="6"/>
  <c r="AP249" i="6"/>
  <c r="AQ249" i="6"/>
  <c r="AR249" i="6"/>
  <c r="AS249" i="6"/>
  <c r="AT249" i="6"/>
  <c r="AU249" i="6"/>
  <c r="AV249" i="6"/>
  <c r="AW249" i="6"/>
  <c r="AX249" i="6"/>
  <c r="AY249" i="6"/>
  <c r="AZ249" i="6"/>
  <c r="BA249" i="6"/>
  <c r="BB249" i="6"/>
  <c r="BC249" i="6"/>
  <c r="BD249" i="6"/>
  <c r="BE249" i="6"/>
  <c r="BF249" i="6"/>
  <c r="BG249" i="6"/>
  <c r="BH249" i="6"/>
  <c r="BI249" i="6"/>
  <c r="BJ249" i="6"/>
  <c r="BK249" i="6"/>
  <c r="AL250" i="6"/>
  <c r="AM250" i="6"/>
  <c r="AN250" i="6"/>
  <c r="AO250" i="6"/>
  <c r="AP250" i="6"/>
  <c r="AQ250" i="6"/>
  <c r="AR250" i="6"/>
  <c r="AS250" i="6"/>
  <c r="AT250" i="6"/>
  <c r="AU250" i="6"/>
  <c r="AV250" i="6"/>
  <c r="AW250" i="6"/>
  <c r="AX250" i="6"/>
  <c r="AY250" i="6"/>
  <c r="AZ250" i="6"/>
  <c r="BA250" i="6"/>
  <c r="BB250" i="6"/>
  <c r="BC250" i="6"/>
  <c r="BD250" i="6"/>
  <c r="BE250" i="6"/>
  <c r="BF250" i="6"/>
  <c r="BG250" i="6"/>
  <c r="BH250" i="6"/>
  <c r="BI250" i="6"/>
  <c r="BJ250" i="6"/>
  <c r="BK250" i="6"/>
  <c r="AL251" i="6"/>
  <c r="AM251" i="6"/>
  <c r="AN251" i="6"/>
  <c r="AO251" i="6"/>
  <c r="AP251" i="6"/>
  <c r="AQ251" i="6"/>
  <c r="AR251" i="6"/>
  <c r="AS251" i="6"/>
  <c r="AT251" i="6"/>
  <c r="AU251" i="6"/>
  <c r="AV251" i="6"/>
  <c r="AW251" i="6"/>
  <c r="AX251" i="6"/>
  <c r="AY251" i="6"/>
  <c r="AZ251" i="6"/>
  <c r="BA251" i="6"/>
  <c r="BB251" i="6"/>
  <c r="BC251" i="6"/>
  <c r="BD251" i="6"/>
  <c r="BE251" i="6"/>
  <c r="BF251" i="6"/>
  <c r="BG251" i="6"/>
  <c r="BH251" i="6"/>
  <c r="BI251" i="6"/>
  <c r="BJ251" i="6"/>
  <c r="BK251" i="6"/>
  <c r="AL252" i="6"/>
  <c r="AM252" i="6"/>
  <c r="AN252" i="6"/>
  <c r="AO252" i="6"/>
  <c r="AP252" i="6"/>
  <c r="AQ252" i="6"/>
  <c r="AR252" i="6"/>
  <c r="AS252" i="6"/>
  <c r="AT252" i="6"/>
  <c r="AU252" i="6"/>
  <c r="AV252" i="6"/>
  <c r="AW252" i="6"/>
  <c r="AX252" i="6"/>
  <c r="AY252" i="6"/>
  <c r="AZ252" i="6"/>
  <c r="BA252" i="6"/>
  <c r="BB252" i="6"/>
  <c r="BC252" i="6"/>
  <c r="BD252" i="6"/>
  <c r="BE252" i="6"/>
  <c r="BF252" i="6"/>
  <c r="BG252" i="6"/>
  <c r="BH252" i="6"/>
  <c r="BI252" i="6"/>
  <c r="BJ252" i="6"/>
  <c r="BK252" i="6"/>
  <c r="AL253" i="6"/>
  <c r="AM253" i="6"/>
  <c r="AN253" i="6"/>
  <c r="AO253" i="6"/>
  <c r="AP253" i="6"/>
  <c r="AQ253" i="6"/>
  <c r="AR253" i="6"/>
  <c r="AS253" i="6"/>
  <c r="AT253" i="6"/>
  <c r="AU253" i="6"/>
  <c r="AV253" i="6"/>
  <c r="AW253" i="6"/>
  <c r="AX253" i="6"/>
  <c r="AY253" i="6"/>
  <c r="AZ253" i="6"/>
  <c r="BA253" i="6"/>
  <c r="BB253" i="6"/>
  <c r="BC253" i="6"/>
  <c r="BD253" i="6"/>
  <c r="BE253" i="6"/>
  <c r="BF253" i="6"/>
  <c r="BG253" i="6"/>
  <c r="BH253" i="6"/>
  <c r="BI253" i="6"/>
  <c r="BJ253" i="6"/>
  <c r="BK253" i="6"/>
  <c r="AL254" i="6"/>
  <c r="AM254" i="6"/>
  <c r="AN254" i="6"/>
  <c r="AO254" i="6"/>
  <c r="AP254" i="6"/>
  <c r="AQ254" i="6"/>
  <c r="AR254" i="6"/>
  <c r="AS254" i="6"/>
  <c r="AT254" i="6"/>
  <c r="AU254" i="6"/>
  <c r="AV254" i="6"/>
  <c r="AW254" i="6"/>
  <c r="AX254" i="6"/>
  <c r="AY254" i="6"/>
  <c r="AZ254" i="6"/>
  <c r="BA254" i="6"/>
  <c r="BB254" i="6"/>
  <c r="BC254" i="6"/>
  <c r="BD254" i="6"/>
  <c r="BE254" i="6"/>
  <c r="BF254" i="6"/>
  <c r="BG254" i="6"/>
  <c r="BH254" i="6"/>
  <c r="BI254" i="6"/>
  <c r="BJ254" i="6"/>
  <c r="BK254" i="6"/>
  <c r="AL255" i="6"/>
  <c r="AM255" i="6"/>
  <c r="AN255" i="6"/>
  <c r="AO255" i="6"/>
  <c r="AP255" i="6"/>
  <c r="AQ255" i="6"/>
  <c r="AR255" i="6"/>
  <c r="AS255" i="6"/>
  <c r="AT255" i="6"/>
  <c r="AU255" i="6"/>
  <c r="AV255" i="6"/>
  <c r="AW255" i="6"/>
  <c r="AX255" i="6"/>
  <c r="AY255" i="6"/>
  <c r="AZ255" i="6"/>
  <c r="BA255" i="6"/>
  <c r="BB255" i="6"/>
  <c r="BC255" i="6"/>
  <c r="BD255" i="6"/>
  <c r="BE255" i="6"/>
  <c r="BF255" i="6"/>
  <c r="BG255" i="6"/>
  <c r="BH255" i="6"/>
  <c r="BI255" i="6"/>
  <c r="BJ255" i="6"/>
  <c r="BK255" i="6"/>
  <c r="AL256" i="6"/>
  <c r="AM256" i="6"/>
  <c r="AN256" i="6"/>
  <c r="AO256" i="6"/>
  <c r="AP256" i="6"/>
  <c r="AQ256" i="6"/>
  <c r="AR256" i="6"/>
  <c r="AS256" i="6"/>
  <c r="AT256" i="6"/>
  <c r="AU256" i="6"/>
  <c r="AV256" i="6"/>
  <c r="AW256" i="6"/>
  <c r="AX256" i="6"/>
  <c r="AY256" i="6"/>
  <c r="AZ256" i="6"/>
  <c r="BA256" i="6"/>
  <c r="BB256" i="6"/>
  <c r="BC256" i="6"/>
  <c r="BD256" i="6"/>
  <c r="BE256" i="6"/>
  <c r="BF256" i="6"/>
  <c r="BG256" i="6"/>
  <c r="BH256" i="6"/>
  <c r="BI256" i="6"/>
  <c r="BJ256" i="6"/>
  <c r="BK256" i="6"/>
  <c r="AL257" i="6"/>
  <c r="AM257" i="6"/>
  <c r="AN257" i="6"/>
  <c r="AO257" i="6"/>
  <c r="AP257" i="6"/>
  <c r="AQ257" i="6"/>
  <c r="AR257" i="6"/>
  <c r="AS257" i="6"/>
  <c r="AT257" i="6"/>
  <c r="AU257" i="6"/>
  <c r="AV257" i="6"/>
  <c r="AW257" i="6"/>
  <c r="AX257" i="6"/>
  <c r="AY257" i="6"/>
  <c r="AZ257" i="6"/>
  <c r="BA257" i="6"/>
  <c r="BB257" i="6"/>
  <c r="BC257" i="6"/>
  <c r="BD257" i="6"/>
  <c r="BE257" i="6"/>
  <c r="BF257" i="6"/>
  <c r="BG257" i="6"/>
  <c r="BH257" i="6"/>
  <c r="BI257" i="6"/>
  <c r="BJ257" i="6"/>
  <c r="BK257" i="6"/>
  <c r="AL258" i="6"/>
  <c r="AM258" i="6"/>
  <c r="AN258" i="6"/>
  <c r="AO258" i="6"/>
  <c r="AP258" i="6"/>
  <c r="AQ258" i="6"/>
  <c r="AR258" i="6"/>
  <c r="AS258" i="6"/>
  <c r="AT258" i="6"/>
  <c r="AU258" i="6"/>
  <c r="AV258" i="6"/>
  <c r="AW258" i="6"/>
  <c r="AX258" i="6"/>
  <c r="AY258" i="6"/>
  <c r="AZ258" i="6"/>
  <c r="BA258" i="6"/>
  <c r="BB258" i="6"/>
  <c r="BC258" i="6"/>
  <c r="BD258" i="6"/>
  <c r="BE258" i="6"/>
  <c r="BF258" i="6"/>
  <c r="BG258" i="6"/>
  <c r="BH258" i="6"/>
  <c r="BI258" i="6"/>
  <c r="BJ258" i="6"/>
  <c r="BK258" i="6"/>
  <c r="AL259" i="6"/>
  <c r="AM259" i="6"/>
  <c r="AN259" i="6"/>
  <c r="AO259" i="6"/>
  <c r="AP259" i="6"/>
  <c r="AQ259" i="6"/>
  <c r="AR259" i="6"/>
  <c r="AS259" i="6"/>
  <c r="AT259" i="6"/>
  <c r="AU259" i="6"/>
  <c r="AV259" i="6"/>
  <c r="AW259" i="6"/>
  <c r="AX259" i="6"/>
  <c r="AY259" i="6"/>
  <c r="AZ259" i="6"/>
  <c r="BA259" i="6"/>
  <c r="BB259" i="6"/>
  <c r="BC259" i="6"/>
  <c r="BD259" i="6"/>
  <c r="BE259" i="6"/>
  <c r="BF259" i="6"/>
  <c r="BG259" i="6"/>
  <c r="BH259" i="6"/>
  <c r="BI259" i="6"/>
  <c r="BJ259" i="6"/>
  <c r="BK259" i="6"/>
  <c r="AL260" i="6"/>
  <c r="AM260" i="6"/>
  <c r="AN260" i="6"/>
  <c r="AO260" i="6"/>
  <c r="AP260" i="6"/>
  <c r="AQ260" i="6"/>
  <c r="AR260" i="6"/>
  <c r="AS260" i="6"/>
  <c r="AT260" i="6"/>
  <c r="AU260" i="6"/>
  <c r="AV260" i="6"/>
  <c r="AW260" i="6"/>
  <c r="AX260" i="6"/>
  <c r="AY260" i="6"/>
  <c r="AZ260" i="6"/>
  <c r="BA260" i="6"/>
  <c r="BB260" i="6"/>
  <c r="BC260" i="6"/>
  <c r="BD260" i="6"/>
  <c r="BE260" i="6"/>
  <c r="BF260" i="6"/>
  <c r="BG260" i="6"/>
  <c r="BH260" i="6"/>
  <c r="BI260" i="6"/>
  <c r="BJ260" i="6"/>
  <c r="BK260" i="6"/>
  <c r="AL261" i="6"/>
  <c r="AM261" i="6"/>
  <c r="AN261" i="6"/>
  <c r="AO261" i="6"/>
  <c r="AP261" i="6"/>
  <c r="AQ261" i="6"/>
  <c r="AR261" i="6"/>
  <c r="AS261" i="6"/>
  <c r="AT261" i="6"/>
  <c r="AU261" i="6"/>
  <c r="AV261" i="6"/>
  <c r="AW261" i="6"/>
  <c r="AX261" i="6"/>
  <c r="AY261" i="6"/>
  <c r="AZ261" i="6"/>
  <c r="BA261" i="6"/>
  <c r="BB261" i="6"/>
  <c r="BC261" i="6"/>
  <c r="BD261" i="6"/>
  <c r="BE261" i="6"/>
  <c r="BF261" i="6"/>
  <c r="BG261" i="6"/>
  <c r="BH261" i="6"/>
  <c r="BI261" i="6"/>
  <c r="BJ261" i="6"/>
  <c r="BK261" i="6"/>
  <c r="AL262" i="6"/>
  <c r="AM262" i="6"/>
  <c r="AN262" i="6"/>
  <c r="AO262" i="6"/>
  <c r="AP262" i="6"/>
  <c r="AQ262" i="6"/>
  <c r="AR262" i="6"/>
  <c r="AS262" i="6"/>
  <c r="AT262" i="6"/>
  <c r="AU262" i="6"/>
  <c r="AV262" i="6"/>
  <c r="AW262" i="6"/>
  <c r="AX262" i="6"/>
  <c r="AY262" i="6"/>
  <c r="AZ262" i="6"/>
  <c r="BA262" i="6"/>
  <c r="BB262" i="6"/>
  <c r="BC262" i="6"/>
  <c r="BD262" i="6"/>
  <c r="BE262" i="6"/>
  <c r="BF262" i="6"/>
  <c r="BG262" i="6"/>
  <c r="BH262" i="6"/>
  <c r="BI262" i="6"/>
  <c r="BJ262" i="6"/>
  <c r="BK262" i="6"/>
  <c r="AL263" i="6"/>
  <c r="AM263" i="6"/>
  <c r="AN263" i="6"/>
  <c r="AO263" i="6"/>
  <c r="AP263" i="6"/>
  <c r="AQ263" i="6"/>
  <c r="AR263" i="6"/>
  <c r="AS263" i="6"/>
  <c r="AT263" i="6"/>
  <c r="AU263" i="6"/>
  <c r="AV263" i="6"/>
  <c r="AW263" i="6"/>
  <c r="AX263" i="6"/>
  <c r="AY263" i="6"/>
  <c r="AZ263" i="6"/>
  <c r="BA263" i="6"/>
  <c r="BB263" i="6"/>
  <c r="BC263" i="6"/>
  <c r="BD263" i="6"/>
  <c r="BE263" i="6"/>
  <c r="BF263" i="6"/>
  <c r="BG263" i="6"/>
  <c r="BH263" i="6"/>
  <c r="BI263" i="6"/>
  <c r="BJ263" i="6"/>
  <c r="BK263" i="6"/>
  <c r="AL264" i="6"/>
  <c r="AM264" i="6"/>
  <c r="AN264" i="6"/>
  <c r="AO264" i="6"/>
  <c r="AP264" i="6"/>
  <c r="AQ264" i="6"/>
  <c r="AR264" i="6"/>
  <c r="AS264" i="6"/>
  <c r="AT264" i="6"/>
  <c r="AU264" i="6"/>
  <c r="AV264" i="6"/>
  <c r="AW264" i="6"/>
  <c r="AX264" i="6"/>
  <c r="AY264" i="6"/>
  <c r="AZ264" i="6"/>
  <c r="BA264" i="6"/>
  <c r="BB264" i="6"/>
  <c r="BC264" i="6"/>
  <c r="BD264" i="6"/>
  <c r="BE264" i="6"/>
  <c r="BF264" i="6"/>
  <c r="BG264" i="6"/>
  <c r="BH264" i="6"/>
  <c r="BI264" i="6"/>
  <c r="BJ264" i="6"/>
  <c r="BK264" i="6"/>
  <c r="AL265" i="6"/>
  <c r="AM265" i="6"/>
  <c r="AN265" i="6"/>
  <c r="AO265" i="6"/>
  <c r="AP265" i="6"/>
  <c r="AQ265" i="6"/>
  <c r="AR265" i="6"/>
  <c r="AS265" i="6"/>
  <c r="AT265" i="6"/>
  <c r="AU265" i="6"/>
  <c r="AV265" i="6"/>
  <c r="AW265" i="6"/>
  <c r="AX265" i="6"/>
  <c r="AY265" i="6"/>
  <c r="AZ265" i="6"/>
  <c r="BA265" i="6"/>
  <c r="BB265" i="6"/>
  <c r="BC265" i="6"/>
  <c r="BD265" i="6"/>
  <c r="BE265" i="6"/>
  <c r="BF265" i="6"/>
  <c r="BG265" i="6"/>
  <c r="BH265" i="6"/>
  <c r="BI265" i="6"/>
  <c r="BJ265" i="6"/>
  <c r="BK265" i="6"/>
  <c r="AL266" i="6"/>
  <c r="AM266" i="6"/>
  <c r="AN266" i="6"/>
  <c r="AO266" i="6"/>
  <c r="AP266" i="6"/>
  <c r="AQ266" i="6"/>
  <c r="AR266" i="6"/>
  <c r="AS266" i="6"/>
  <c r="AT266" i="6"/>
  <c r="AU266" i="6"/>
  <c r="AV266" i="6"/>
  <c r="AW266" i="6"/>
  <c r="AX266" i="6"/>
  <c r="AY266" i="6"/>
  <c r="AZ266" i="6"/>
  <c r="BA266" i="6"/>
  <c r="BB266" i="6"/>
  <c r="BC266" i="6"/>
  <c r="BD266" i="6"/>
  <c r="BE266" i="6"/>
  <c r="BF266" i="6"/>
  <c r="BG266" i="6"/>
  <c r="BH266" i="6"/>
  <c r="BI266" i="6"/>
  <c r="BJ266" i="6"/>
  <c r="BK266" i="6"/>
  <c r="AL267" i="6"/>
  <c r="AM267" i="6"/>
  <c r="AN267" i="6"/>
  <c r="AO267" i="6"/>
  <c r="AP267" i="6"/>
  <c r="AQ267" i="6"/>
  <c r="AR267" i="6"/>
  <c r="AS267" i="6"/>
  <c r="AT267" i="6"/>
  <c r="AU267" i="6"/>
  <c r="AV267" i="6"/>
  <c r="AW267" i="6"/>
  <c r="AX267" i="6"/>
  <c r="AY267" i="6"/>
  <c r="AZ267" i="6"/>
  <c r="BA267" i="6"/>
  <c r="BB267" i="6"/>
  <c r="BC267" i="6"/>
  <c r="BD267" i="6"/>
  <c r="BE267" i="6"/>
  <c r="BF267" i="6"/>
  <c r="BG267" i="6"/>
  <c r="BH267" i="6"/>
  <c r="BI267" i="6"/>
  <c r="BJ267" i="6"/>
  <c r="BK267" i="6"/>
  <c r="AL268" i="6"/>
  <c r="AM268" i="6"/>
  <c r="AN268" i="6"/>
  <c r="AO268" i="6"/>
  <c r="AP268" i="6"/>
  <c r="AQ268" i="6"/>
  <c r="AR268" i="6"/>
  <c r="AS268" i="6"/>
  <c r="AT268" i="6"/>
  <c r="AU268" i="6"/>
  <c r="AV268" i="6"/>
  <c r="AW268" i="6"/>
  <c r="AX268" i="6"/>
  <c r="AY268" i="6"/>
  <c r="AZ268" i="6"/>
  <c r="BA268" i="6"/>
  <c r="BB268" i="6"/>
  <c r="BC268" i="6"/>
  <c r="BD268" i="6"/>
  <c r="BE268" i="6"/>
  <c r="BF268" i="6"/>
  <c r="BG268" i="6"/>
  <c r="BH268" i="6"/>
  <c r="BI268" i="6"/>
  <c r="BJ268" i="6"/>
  <c r="BK268" i="6"/>
  <c r="AL269" i="6"/>
  <c r="AM269" i="6"/>
  <c r="AN269" i="6"/>
  <c r="AO269" i="6"/>
  <c r="AP269" i="6"/>
  <c r="AQ269" i="6"/>
  <c r="AR269" i="6"/>
  <c r="AS269" i="6"/>
  <c r="AT269" i="6"/>
  <c r="AU269" i="6"/>
  <c r="AV269" i="6"/>
  <c r="AW269" i="6"/>
  <c r="AX269" i="6"/>
  <c r="AY269" i="6"/>
  <c r="AZ269" i="6"/>
  <c r="BA269" i="6"/>
  <c r="BB269" i="6"/>
  <c r="BC269" i="6"/>
  <c r="BD269" i="6"/>
  <c r="BE269" i="6"/>
  <c r="BF269" i="6"/>
  <c r="BG269" i="6"/>
  <c r="BH269" i="6"/>
  <c r="BI269" i="6"/>
  <c r="BJ269" i="6"/>
  <c r="BK269" i="6"/>
  <c r="AL270" i="6"/>
  <c r="AM270" i="6"/>
  <c r="AN270" i="6"/>
  <c r="AO270" i="6"/>
  <c r="AP270" i="6"/>
  <c r="AQ270" i="6"/>
  <c r="AR270" i="6"/>
  <c r="AS270" i="6"/>
  <c r="AT270" i="6"/>
  <c r="AU270" i="6"/>
  <c r="AV270" i="6"/>
  <c r="AW270" i="6"/>
  <c r="AX270" i="6"/>
  <c r="AY270" i="6"/>
  <c r="AZ270" i="6"/>
  <c r="BA270" i="6"/>
  <c r="BB270" i="6"/>
  <c r="BC270" i="6"/>
  <c r="BD270" i="6"/>
  <c r="BE270" i="6"/>
  <c r="BF270" i="6"/>
  <c r="BG270" i="6"/>
  <c r="BH270" i="6"/>
  <c r="BI270" i="6"/>
  <c r="BJ270" i="6"/>
  <c r="BK270" i="6"/>
  <c r="AL271" i="6"/>
  <c r="AM271" i="6"/>
  <c r="AN271" i="6"/>
  <c r="AO271" i="6"/>
  <c r="AP271" i="6"/>
  <c r="AQ271" i="6"/>
  <c r="AR271" i="6"/>
  <c r="AS271" i="6"/>
  <c r="AT271" i="6"/>
  <c r="AU271" i="6"/>
  <c r="AV271" i="6"/>
  <c r="AW271" i="6"/>
  <c r="AX271" i="6"/>
  <c r="AY271" i="6"/>
  <c r="AZ271" i="6"/>
  <c r="BA271" i="6"/>
  <c r="BB271" i="6"/>
  <c r="BC271" i="6"/>
  <c r="BD271" i="6"/>
  <c r="BE271" i="6"/>
  <c r="BF271" i="6"/>
  <c r="BG271" i="6"/>
  <c r="BH271" i="6"/>
  <c r="BI271" i="6"/>
  <c r="BJ271" i="6"/>
  <c r="BK271" i="6"/>
  <c r="AL272" i="6"/>
  <c r="AM272" i="6"/>
  <c r="AN272" i="6"/>
  <c r="AO272" i="6"/>
  <c r="AP272" i="6"/>
  <c r="AQ272" i="6"/>
  <c r="AR272" i="6"/>
  <c r="AS272" i="6"/>
  <c r="AT272" i="6"/>
  <c r="AU272" i="6"/>
  <c r="AV272" i="6"/>
  <c r="AW272" i="6"/>
  <c r="AX272" i="6"/>
  <c r="AY272" i="6"/>
  <c r="AZ272" i="6"/>
  <c r="BA272" i="6"/>
  <c r="BB272" i="6"/>
  <c r="BC272" i="6"/>
  <c r="BD272" i="6"/>
  <c r="BE272" i="6"/>
  <c r="BF272" i="6"/>
  <c r="BG272" i="6"/>
  <c r="BH272" i="6"/>
  <c r="BI272" i="6"/>
  <c r="BJ272" i="6"/>
  <c r="BK272" i="6"/>
  <c r="AL273" i="6"/>
  <c r="AM273" i="6"/>
  <c r="AN273" i="6"/>
  <c r="AO273" i="6"/>
  <c r="AP273" i="6"/>
  <c r="AQ273" i="6"/>
  <c r="AR273" i="6"/>
  <c r="AS273" i="6"/>
  <c r="AT273" i="6"/>
  <c r="AU273" i="6"/>
  <c r="AV273" i="6"/>
  <c r="AW273" i="6"/>
  <c r="AX273" i="6"/>
  <c r="AY273" i="6"/>
  <c r="AZ273" i="6"/>
  <c r="BA273" i="6"/>
  <c r="BB273" i="6"/>
  <c r="BC273" i="6"/>
  <c r="BD273" i="6"/>
  <c r="BE273" i="6"/>
  <c r="BF273" i="6"/>
  <c r="BG273" i="6"/>
  <c r="BH273" i="6"/>
  <c r="BI273" i="6"/>
  <c r="BJ273" i="6"/>
  <c r="BK273" i="6"/>
  <c r="AL274" i="6"/>
  <c r="AM274" i="6"/>
  <c r="AN274" i="6"/>
  <c r="AO274" i="6"/>
  <c r="AP274" i="6"/>
  <c r="AQ274" i="6"/>
  <c r="AR274" i="6"/>
  <c r="AS274" i="6"/>
  <c r="AT274" i="6"/>
  <c r="AU274" i="6"/>
  <c r="AV274" i="6"/>
  <c r="AW274" i="6"/>
  <c r="AX274" i="6"/>
  <c r="AY274" i="6"/>
  <c r="AZ274" i="6"/>
  <c r="BA274" i="6"/>
  <c r="BB274" i="6"/>
  <c r="BC274" i="6"/>
  <c r="BD274" i="6"/>
  <c r="BE274" i="6"/>
  <c r="BF274" i="6"/>
  <c r="BG274" i="6"/>
  <c r="BH274" i="6"/>
  <c r="BI274" i="6"/>
  <c r="BJ274" i="6"/>
  <c r="BK274" i="6"/>
  <c r="AL275" i="6"/>
  <c r="AM275" i="6"/>
  <c r="AN275" i="6"/>
  <c r="AO275" i="6"/>
  <c r="AP275" i="6"/>
  <c r="AQ275" i="6"/>
  <c r="AR275" i="6"/>
  <c r="AS275" i="6"/>
  <c r="AT275" i="6"/>
  <c r="AU275" i="6"/>
  <c r="AV275" i="6"/>
  <c r="AW275" i="6"/>
  <c r="AX275" i="6"/>
  <c r="AY275" i="6"/>
  <c r="AZ275" i="6"/>
  <c r="BA275" i="6"/>
  <c r="BB275" i="6"/>
  <c r="BC275" i="6"/>
  <c r="BD275" i="6"/>
  <c r="BE275" i="6"/>
  <c r="BF275" i="6"/>
  <c r="BG275" i="6"/>
  <c r="BH275" i="6"/>
  <c r="BI275" i="6"/>
  <c r="BJ275" i="6"/>
  <c r="BK275" i="6"/>
  <c r="AL276" i="6"/>
  <c r="AM276" i="6"/>
  <c r="AN276" i="6"/>
  <c r="AO276" i="6"/>
  <c r="AP276" i="6"/>
  <c r="AQ276" i="6"/>
  <c r="AR276" i="6"/>
  <c r="AS276" i="6"/>
  <c r="AT276" i="6"/>
  <c r="AU276" i="6"/>
  <c r="AV276" i="6"/>
  <c r="AW276" i="6"/>
  <c r="AX276" i="6"/>
  <c r="AY276" i="6"/>
  <c r="AZ276" i="6"/>
  <c r="BA276" i="6"/>
  <c r="BB276" i="6"/>
  <c r="BC276" i="6"/>
  <c r="BD276" i="6"/>
  <c r="BE276" i="6"/>
  <c r="BF276" i="6"/>
  <c r="BG276" i="6"/>
  <c r="BH276" i="6"/>
  <c r="BI276" i="6"/>
  <c r="BJ276" i="6"/>
  <c r="BK276" i="6"/>
  <c r="AL277" i="6"/>
  <c r="AM277" i="6"/>
  <c r="AN277" i="6"/>
  <c r="AO277" i="6"/>
  <c r="AP277" i="6"/>
  <c r="AQ277" i="6"/>
  <c r="AR277" i="6"/>
  <c r="AS277" i="6"/>
  <c r="AT277" i="6"/>
  <c r="AU277" i="6"/>
  <c r="AV277" i="6"/>
  <c r="AW277" i="6"/>
  <c r="AX277" i="6"/>
  <c r="AY277" i="6"/>
  <c r="AZ277" i="6"/>
  <c r="BA277" i="6"/>
  <c r="BB277" i="6"/>
  <c r="BC277" i="6"/>
  <c r="BD277" i="6"/>
  <c r="BE277" i="6"/>
  <c r="BF277" i="6"/>
  <c r="BG277" i="6"/>
  <c r="BH277" i="6"/>
  <c r="BI277" i="6"/>
  <c r="BJ277" i="6"/>
  <c r="BK277" i="6"/>
  <c r="AL278" i="6"/>
  <c r="AM278" i="6"/>
  <c r="AN278" i="6"/>
  <c r="AO278" i="6"/>
  <c r="AP278" i="6"/>
  <c r="AQ278" i="6"/>
  <c r="AR278" i="6"/>
  <c r="AS278" i="6"/>
  <c r="AT278" i="6"/>
  <c r="AU278" i="6"/>
  <c r="AV278" i="6"/>
  <c r="AW278" i="6"/>
  <c r="AX278" i="6"/>
  <c r="AY278" i="6"/>
  <c r="AZ278" i="6"/>
  <c r="BA278" i="6"/>
  <c r="BB278" i="6"/>
  <c r="BC278" i="6"/>
  <c r="BD278" i="6"/>
  <c r="BE278" i="6"/>
  <c r="BF278" i="6"/>
  <c r="BG278" i="6"/>
  <c r="BH278" i="6"/>
  <c r="BI278" i="6"/>
  <c r="BJ278" i="6"/>
  <c r="BK278" i="6"/>
  <c r="AL279" i="6"/>
  <c r="AM279" i="6"/>
  <c r="AN279" i="6"/>
  <c r="AO279" i="6"/>
  <c r="AP279" i="6"/>
  <c r="AQ279" i="6"/>
  <c r="AR279" i="6"/>
  <c r="AS279" i="6"/>
  <c r="AT279" i="6"/>
  <c r="AU279" i="6"/>
  <c r="AV279" i="6"/>
  <c r="AW279" i="6"/>
  <c r="AX279" i="6"/>
  <c r="AY279" i="6"/>
  <c r="AZ279" i="6"/>
  <c r="BA279" i="6"/>
  <c r="BB279" i="6"/>
  <c r="BC279" i="6"/>
  <c r="BD279" i="6"/>
  <c r="BE279" i="6"/>
  <c r="BF279" i="6"/>
  <c r="BG279" i="6"/>
  <c r="BH279" i="6"/>
  <c r="BI279" i="6"/>
  <c r="BJ279" i="6"/>
  <c r="BK279" i="6"/>
  <c r="AL280" i="6"/>
  <c r="AM280" i="6"/>
  <c r="AN280" i="6"/>
  <c r="AO280" i="6"/>
  <c r="AP280" i="6"/>
  <c r="AQ280" i="6"/>
  <c r="AR280" i="6"/>
  <c r="AS280" i="6"/>
  <c r="AT280" i="6"/>
  <c r="AU280" i="6"/>
  <c r="AV280" i="6"/>
  <c r="AW280" i="6"/>
  <c r="AX280" i="6"/>
  <c r="AY280" i="6"/>
  <c r="AZ280" i="6"/>
  <c r="BA280" i="6"/>
  <c r="BB280" i="6"/>
  <c r="BC280" i="6"/>
  <c r="BD280" i="6"/>
  <c r="BE280" i="6"/>
  <c r="BF280" i="6"/>
  <c r="BG280" i="6"/>
  <c r="BH280" i="6"/>
  <c r="BI280" i="6"/>
  <c r="BJ280" i="6"/>
  <c r="BK280" i="6"/>
  <c r="AL281" i="6"/>
  <c r="AM281" i="6"/>
  <c r="AN281" i="6"/>
  <c r="AO281" i="6"/>
  <c r="AP281" i="6"/>
  <c r="AQ281" i="6"/>
  <c r="AR281" i="6"/>
  <c r="AS281" i="6"/>
  <c r="AT281" i="6"/>
  <c r="AU281" i="6"/>
  <c r="AV281" i="6"/>
  <c r="AW281" i="6"/>
  <c r="AX281" i="6"/>
  <c r="AY281" i="6"/>
  <c r="AZ281" i="6"/>
  <c r="BA281" i="6"/>
  <c r="BB281" i="6"/>
  <c r="BC281" i="6"/>
  <c r="BD281" i="6"/>
  <c r="BE281" i="6"/>
  <c r="BF281" i="6"/>
  <c r="BG281" i="6"/>
  <c r="BH281" i="6"/>
  <c r="BI281" i="6"/>
  <c r="BJ281" i="6"/>
  <c r="BK281" i="6"/>
  <c r="AL282" i="6"/>
  <c r="AM282" i="6"/>
  <c r="AN282" i="6"/>
  <c r="AO282" i="6"/>
  <c r="AP282" i="6"/>
  <c r="AQ282" i="6"/>
  <c r="AR282" i="6"/>
  <c r="AS282" i="6"/>
  <c r="AT282" i="6"/>
  <c r="AU282" i="6"/>
  <c r="AV282" i="6"/>
  <c r="AW282" i="6"/>
  <c r="AX282" i="6"/>
  <c r="AY282" i="6"/>
  <c r="AZ282" i="6"/>
  <c r="BA282" i="6"/>
  <c r="BB282" i="6"/>
  <c r="BC282" i="6"/>
  <c r="BD282" i="6"/>
  <c r="BE282" i="6"/>
  <c r="BF282" i="6"/>
  <c r="BG282" i="6"/>
  <c r="BH282" i="6"/>
  <c r="BI282" i="6"/>
  <c r="BJ282" i="6"/>
  <c r="BK282" i="6"/>
  <c r="AL283" i="6"/>
  <c r="AM283" i="6"/>
  <c r="AN283" i="6"/>
  <c r="AO283" i="6"/>
  <c r="AP283" i="6"/>
  <c r="AQ283" i="6"/>
  <c r="AR283" i="6"/>
  <c r="AS283" i="6"/>
  <c r="AT283" i="6"/>
  <c r="AU283" i="6"/>
  <c r="AV283" i="6"/>
  <c r="AW283" i="6"/>
  <c r="AX283" i="6"/>
  <c r="AY283" i="6"/>
  <c r="AZ283" i="6"/>
  <c r="BA283" i="6"/>
  <c r="BB283" i="6"/>
  <c r="BC283" i="6"/>
  <c r="BD283" i="6"/>
  <c r="BE283" i="6"/>
  <c r="BF283" i="6"/>
  <c r="BG283" i="6"/>
  <c r="BH283" i="6"/>
  <c r="BI283" i="6"/>
  <c r="BJ283" i="6"/>
  <c r="BK283" i="6"/>
  <c r="AL284" i="6"/>
  <c r="AM284" i="6"/>
  <c r="AN284" i="6"/>
  <c r="AO284" i="6"/>
  <c r="AP284" i="6"/>
  <c r="AQ284" i="6"/>
  <c r="AR284" i="6"/>
  <c r="AS284" i="6"/>
  <c r="AT284" i="6"/>
  <c r="AU284" i="6"/>
  <c r="AV284" i="6"/>
  <c r="AW284" i="6"/>
  <c r="AX284" i="6"/>
  <c r="AY284" i="6"/>
  <c r="AZ284" i="6"/>
  <c r="BA284" i="6"/>
  <c r="BB284" i="6"/>
  <c r="BC284" i="6"/>
  <c r="BD284" i="6"/>
  <c r="BE284" i="6"/>
  <c r="BF284" i="6"/>
  <c r="BG284" i="6"/>
  <c r="BH284" i="6"/>
  <c r="BI284" i="6"/>
  <c r="BJ284" i="6"/>
  <c r="BK284" i="6"/>
  <c r="AL285" i="6"/>
  <c r="AM285" i="6"/>
  <c r="AN285" i="6"/>
  <c r="AO285" i="6"/>
  <c r="AP285" i="6"/>
  <c r="AQ285" i="6"/>
  <c r="AR285" i="6"/>
  <c r="AS285" i="6"/>
  <c r="AT285" i="6"/>
  <c r="AU285" i="6"/>
  <c r="AV285" i="6"/>
  <c r="AW285" i="6"/>
  <c r="AX285" i="6"/>
  <c r="AY285" i="6"/>
  <c r="AZ285" i="6"/>
  <c r="BA285" i="6"/>
  <c r="BB285" i="6"/>
  <c r="BC285" i="6"/>
  <c r="BD285" i="6"/>
  <c r="BE285" i="6"/>
  <c r="BF285" i="6"/>
  <c r="BG285" i="6"/>
  <c r="BH285" i="6"/>
  <c r="BI285" i="6"/>
  <c r="BJ285" i="6"/>
  <c r="BK285" i="6"/>
  <c r="AL286" i="6"/>
  <c r="AM286" i="6"/>
  <c r="AN286" i="6"/>
  <c r="AO286" i="6"/>
  <c r="AP286" i="6"/>
  <c r="AQ286" i="6"/>
  <c r="AR286" i="6"/>
  <c r="AS286" i="6"/>
  <c r="AT286" i="6"/>
  <c r="AU286" i="6"/>
  <c r="AV286" i="6"/>
  <c r="AW286" i="6"/>
  <c r="AX286" i="6"/>
  <c r="AY286" i="6"/>
  <c r="AZ286" i="6"/>
  <c r="BA286" i="6"/>
  <c r="BB286" i="6"/>
  <c r="BC286" i="6"/>
  <c r="BD286" i="6"/>
  <c r="BE286" i="6"/>
  <c r="BF286" i="6"/>
  <c r="BG286" i="6"/>
  <c r="BH286" i="6"/>
  <c r="BI286" i="6"/>
  <c r="BJ286" i="6"/>
  <c r="BK286" i="6"/>
  <c r="AL287" i="6"/>
  <c r="AM287" i="6"/>
  <c r="AN287" i="6"/>
  <c r="AO287" i="6"/>
  <c r="AP287" i="6"/>
  <c r="AQ287" i="6"/>
  <c r="AR287" i="6"/>
  <c r="AS287" i="6"/>
  <c r="AT287" i="6"/>
  <c r="AU287" i="6"/>
  <c r="AV287" i="6"/>
  <c r="AW287" i="6"/>
  <c r="AX287" i="6"/>
  <c r="AY287" i="6"/>
  <c r="AZ287" i="6"/>
  <c r="BA287" i="6"/>
  <c r="BB287" i="6"/>
  <c r="BC287" i="6"/>
  <c r="BD287" i="6"/>
  <c r="BE287" i="6"/>
  <c r="BF287" i="6"/>
  <c r="BG287" i="6"/>
  <c r="BH287" i="6"/>
  <c r="BI287" i="6"/>
  <c r="BJ287" i="6"/>
  <c r="BK287" i="6"/>
  <c r="AL288" i="6"/>
  <c r="AM288" i="6"/>
  <c r="AN288" i="6"/>
  <c r="AO288" i="6"/>
  <c r="AP288" i="6"/>
  <c r="AQ288" i="6"/>
  <c r="AR288" i="6"/>
  <c r="AS288" i="6"/>
  <c r="AT288" i="6"/>
  <c r="AU288" i="6"/>
  <c r="AV288" i="6"/>
  <c r="AW288" i="6"/>
  <c r="AX288" i="6"/>
  <c r="AY288" i="6"/>
  <c r="AZ288" i="6"/>
  <c r="BA288" i="6"/>
  <c r="BB288" i="6"/>
  <c r="BC288" i="6"/>
  <c r="BD288" i="6"/>
  <c r="BE288" i="6"/>
  <c r="BF288" i="6"/>
  <c r="BG288" i="6"/>
  <c r="BH288" i="6"/>
  <c r="BI288" i="6"/>
  <c r="BJ288" i="6"/>
  <c r="BK288" i="6"/>
  <c r="AL289" i="6"/>
  <c r="AM289" i="6"/>
  <c r="AN289" i="6"/>
  <c r="AO289" i="6"/>
  <c r="AP289" i="6"/>
  <c r="AQ289" i="6"/>
  <c r="AR289" i="6"/>
  <c r="AS289" i="6"/>
  <c r="AT289" i="6"/>
  <c r="AU289" i="6"/>
  <c r="AV289" i="6"/>
  <c r="AW289" i="6"/>
  <c r="AX289" i="6"/>
  <c r="AY289" i="6"/>
  <c r="AZ289" i="6"/>
  <c r="BA289" i="6"/>
  <c r="BB289" i="6"/>
  <c r="BC289" i="6"/>
  <c r="BD289" i="6"/>
  <c r="BE289" i="6"/>
  <c r="BF289" i="6"/>
  <c r="BG289" i="6"/>
  <c r="BH289" i="6"/>
  <c r="BI289" i="6"/>
  <c r="BJ289" i="6"/>
  <c r="BK289" i="6"/>
  <c r="AL290" i="6"/>
  <c r="AM290" i="6"/>
  <c r="AN290" i="6"/>
  <c r="AO290" i="6"/>
  <c r="AP290" i="6"/>
  <c r="AQ290" i="6"/>
  <c r="AR290" i="6"/>
  <c r="AS290" i="6"/>
  <c r="AT290" i="6"/>
  <c r="AU290" i="6"/>
  <c r="AV290" i="6"/>
  <c r="AW290" i="6"/>
  <c r="AX290" i="6"/>
  <c r="AY290" i="6"/>
  <c r="AZ290" i="6"/>
  <c r="BA290" i="6"/>
  <c r="BB290" i="6"/>
  <c r="BC290" i="6"/>
  <c r="BD290" i="6"/>
  <c r="BE290" i="6"/>
  <c r="BF290" i="6"/>
  <c r="BG290" i="6"/>
  <c r="BH290" i="6"/>
  <c r="BI290" i="6"/>
  <c r="BJ290" i="6"/>
  <c r="BK290" i="6"/>
  <c r="AL291" i="6"/>
  <c r="AM291" i="6"/>
  <c r="AN291" i="6"/>
  <c r="AO291" i="6"/>
  <c r="AP291" i="6"/>
  <c r="AQ291" i="6"/>
  <c r="AR291" i="6"/>
  <c r="AS291" i="6"/>
  <c r="AT291" i="6"/>
  <c r="AU291" i="6"/>
  <c r="AV291" i="6"/>
  <c r="AW291" i="6"/>
  <c r="AX291" i="6"/>
  <c r="AY291" i="6"/>
  <c r="AZ291" i="6"/>
  <c r="BA291" i="6"/>
  <c r="BB291" i="6"/>
  <c r="BC291" i="6"/>
  <c r="BD291" i="6"/>
  <c r="BE291" i="6"/>
  <c r="BF291" i="6"/>
  <c r="BG291" i="6"/>
  <c r="BH291" i="6"/>
  <c r="BI291" i="6"/>
  <c r="BJ291" i="6"/>
  <c r="BK291" i="6"/>
  <c r="AL292" i="6"/>
  <c r="AM292" i="6"/>
  <c r="AN292" i="6"/>
  <c r="AO292" i="6"/>
  <c r="AP292" i="6"/>
  <c r="AQ292" i="6"/>
  <c r="AR292" i="6"/>
  <c r="AS292" i="6"/>
  <c r="AT292" i="6"/>
  <c r="AU292" i="6"/>
  <c r="AV292" i="6"/>
  <c r="AW292" i="6"/>
  <c r="AX292" i="6"/>
  <c r="AY292" i="6"/>
  <c r="AZ292" i="6"/>
  <c r="BA292" i="6"/>
  <c r="BB292" i="6"/>
  <c r="BC292" i="6"/>
  <c r="BD292" i="6"/>
  <c r="BE292" i="6"/>
  <c r="BF292" i="6"/>
  <c r="BG292" i="6"/>
  <c r="BH292" i="6"/>
  <c r="BI292" i="6"/>
  <c r="BJ292" i="6"/>
  <c r="BK292" i="6"/>
  <c r="AL293" i="6"/>
  <c r="AM293" i="6"/>
  <c r="AN293" i="6"/>
  <c r="AO293" i="6"/>
  <c r="AP293" i="6"/>
  <c r="AQ293" i="6"/>
  <c r="AR293" i="6"/>
  <c r="AS293" i="6"/>
  <c r="AT293" i="6"/>
  <c r="AU293" i="6"/>
  <c r="AV293" i="6"/>
  <c r="AW293" i="6"/>
  <c r="AX293" i="6"/>
  <c r="AY293" i="6"/>
  <c r="AZ293" i="6"/>
  <c r="BA293" i="6"/>
  <c r="BB293" i="6"/>
  <c r="BC293" i="6"/>
  <c r="BD293" i="6"/>
  <c r="BE293" i="6"/>
  <c r="BF293" i="6"/>
  <c r="BG293" i="6"/>
  <c r="BH293" i="6"/>
  <c r="BI293" i="6"/>
  <c r="BJ293" i="6"/>
  <c r="BK293" i="6"/>
  <c r="AL294" i="6"/>
  <c r="AM294" i="6"/>
  <c r="AN294" i="6"/>
  <c r="AO294" i="6"/>
  <c r="AP294" i="6"/>
  <c r="AQ294" i="6"/>
  <c r="AR294" i="6"/>
  <c r="AS294" i="6"/>
  <c r="AT294" i="6"/>
  <c r="AU294" i="6"/>
  <c r="AV294" i="6"/>
  <c r="AW294" i="6"/>
  <c r="AX294" i="6"/>
  <c r="AY294" i="6"/>
  <c r="AZ294" i="6"/>
  <c r="BA294" i="6"/>
  <c r="BB294" i="6"/>
  <c r="BC294" i="6"/>
  <c r="BD294" i="6"/>
  <c r="BE294" i="6"/>
  <c r="BF294" i="6"/>
  <c r="BG294" i="6"/>
  <c r="BH294" i="6"/>
  <c r="BI294" i="6"/>
  <c r="BJ294" i="6"/>
  <c r="BK294" i="6"/>
  <c r="AL295" i="6"/>
  <c r="AM295" i="6"/>
  <c r="AN295" i="6"/>
  <c r="AO295" i="6"/>
  <c r="AP295" i="6"/>
  <c r="AQ295" i="6"/>
  <c r="AR295" i="6"/>
  <c r="AS295" i="6"/>
  <c r="AT295" i="6"/>
  <c r="AU295" i="6"/>
  <c r="AV295" i="6"/>
  <c r="AW295" i="6"/>
  <c r="AX295" i="6"/>
  <c r="AY295" i="6"/>
  <c r="AZ295" i="6"/>
  <c r="BA295" i="6"/>
  <c r="BB295" i="6"/>
  <c r="BC295" i="6"/>
  <c r="BD295" i="6"/>
  <c r="BE295" i="6"/>
  <c r="BF295" i="6"/>
  <c r="BG295" i="6"/>
  <c r="BH295" i="6"/>
  <c r="BI295" i="6"/>
  <c r="BJ295" i="6"/>
  <c r="BK295" i="6"/>
  <c r="AL296" i="6"/>
  <c r="AM296" i="6"/>
  <c r="AN296" i="6"/>
  <c r="AO296" i="6"/>
  <c r="AP296" i="6"/>
  <c r="AQ296" i="6"/>
  <c r="AR296" i="6"/>
  <c r="AS296" i="6"/>
  <c r="AT296" i="6"/>
  <c r="AU296" i="6"/>
  <c r="AV296" i="6"/>
  <c r="AW296" i="6"/>
  <c r="AX296" i="6"/>
  <c r="AY296" i="6"/>
  <c r="AZ296" i="6"/>
  <c r="BA296" i="6"/>
  <c r="BB296" i="6"/>
  <c r="BC296" i="6"/>
  <c r="BD296" i="6"/>
  <c r="BE296" i="6"/>
  <c r="BF296" i="6"/>
  <c r="BG296" i="6"/>
  <c r="BH296" i="6"/>
  <c r="BI296" i="6"/>
  <c r="BJ296" i="6"/>
  <c r="BK296" i="6"/>
  <c r="AL297" i="6"/>
  <c r="AM297" i="6"/>
  <c r="AN297" i="6"/>
  <c r="AO297" i="6"/>
  <c r="AP297" i="6"/>
  <c r="AQ297" i="6"/>
  <c r="AR297" i="6"/>
  <c r="AS297" i="6"/>
  <c r="AT297" i="6"/>
  <c r="AU297" i="6"/>
  <c r="AV297" i="6"/>
  <c r="AW297" i="6"/>
  <c r="AX297" i="6"/>
  <c r="AY297" i="6"/>
  <c r="AZ297" i="6"/>
  <c r="BA297" i="6"/>
  <c r="BB297" i="6"/>
  <c r="BC297" i="6"/>
  <c r="BD297" i="6"/>
  <c r="BE297" i="6"/>
  <c r="BF297" i="6"/>
  <c r="BG297" i="6"/>
  <c r="BH297" i="6"/>
  <c r="BI297" i="6"/>
  <c r="BJ297" i="6"/>
  <c r="BK297" i="6"/>
  <c r="AL298" i="6"/>
  <c r="AM298" i="6"/>
  <c r="AN298" i="6"/>
  <c r="AO298" i="6"/>
  <c r="AP298" i="6"/>
  <c r="AQ298" i="6"/>
  <c r="AR298" i="6"/>
  <c r="AS298" i="6"/>
  <c r="AT298" i="6"/>
  <c r="AU298" i="6"/>
  <c r="AV298" i="6"/>
  <c r="AW298" i="6"/>
  <c r="AX298" i="6"/>
  <c r="AY298" i="6"/>
  <c r="AZ298" i="6"/>
  <c r="BA298" i="6"/>
  <c r="BB298" i="6"/>
  <c r="BC298" i="6"/>
  <c r="BD298" i="6"/>
  <c r="BE298" i="6"/>
  <c r="BF298" i="6"/>
  <c r="BG298" i="6"/>
  <c r="BH298" i="6"/>
  <c r="BI298" i="6"/>
  <c r="BJ298" i="6"/>
  <c r="BK298" i="6"/>
  <c r="AL299" i="6"/>
  <c r="AM299" i="6"/>
  <c r="AN299" i="6"/>
  <c r="AO299" i="6"/>
  <c r="AP299" i="6"/>
  <c r="AQ299" i="6"/>
  <c r="AR299" i="6"/>
  <c r="AS299" i="6"/>
  <c r="AT299" i="6"/>
  <c r="AU299" i="6"/>
  <c r="AV299" i="6"/>
  <c r="AW299" i="6"/>
  <c r="AX299" i="6"/>
  <c r="AY299" i="6"/>
  <c r="AZ299" i="6"/>
  <c r="BA299" i="6"/>
  <c r="BB299" i="6"/>
  <c r="BC299" i="6"/>
  <c r="BD299" i="6"/>
  <c r="BE299" i="6"/>
  <c r="BF299" i="6"/>
  <c r="BG299" i="6"/>
  <c r="BH299" i="6"/>
  <c r="BI299" i="6"/>
  <c r="BJ299" i="6"/>
  <c r="BK299" i="6"/>
  <c r="AL300" i="6"/>
  <c r="AM300" i="6"/>
  <c r="AN300" i="6"/>
  <c r="AO300" i="6"/>
  <c r="AP300" i="6"/>
  <c r="AQ300" i="6"/>
  <c r="AR300" i="6"/>
  <c r="AS300" i="6"/>
  <c r="AT300" i="6"/>
  <c r="AU300" i="6"/>
  <c r="AV300" i="6"/>
  <c r="AW300" i="6"/>
  <c r="AX300" i="6"/>
  <c r="AY300" i="6"/>
  <c r="AZ300" i="6"/>
  <c r="BA300" i="6"/>
  <c r="BB300" i="6"/>
  <c r="BC300" i="6"/>
  <c r="BD300" i="6"/>
  <c r="BE300" i="6"/>
  <c r="BF300" i="6"/>
  <c r="BG300" i="6"/>
  <c r="BH300" i="6"/>
  <c r="BI300" i="6"/>
  <c r="BJ300" i="6"/>
  <c r="BK300" i="6"/>
  <c r="AL301" i="6"/>
  <c r="AM301" i="6"/>
  <c r="AN301" i="6"/>
  <c r="AO301" i="6"/>
  <c r="AP301" i="6"/>
  <c r="AQ301" i="6"/>
  <c r="AR301" i="6"/>
  <c r="AS301" i="6"/>
  <c r="AT301" i="6"/>
  <c r="AU301" i="6"/>
  <c r="AV301" i="6"/>
  <c r="AW301" i="6"/>
  <c r="AX301" i="6"/>
  <c r="AY301" i="6"/>
  <c r="AZ301" i="6"/>
  <c r="BA301" i="6"/>
  <c r="BB301" i="6"/>
  <c r="BC301" i="6"/>
  <c r="BD301" i="6"/>
  <c r="BE301" i="6"/>
  <c r="BF301" i="6"/>
  <c r="BG301" i="6"/>
  <c r="BH301" i="6"/>
  <c r="BI301" i="6"/>
  <c r="BJ301" i="6"/>
  <c r="BK301" i="6"/>
  <c r="AL302" i="6"/>
  <c r="AM302" i="6"/>
  <c r="AN302" i="6"/>
  <c r="AO302" i="6"/>
  <c r="AP302" i="6"/>
  <c r="AQ302" i="6"/>
  <c r="AR302" i="6"/>
  <c r="AS302" i="6"/>
  <c r="AT302" i="6"/>
  <c r="AU302" i="6"/>
  <c r="AV302" i="6"/>
  <c r="AW302" i="6"/>
  <c r="AX302" i="6"/>
  <c r="AY302" i="6"/>
  <c r="AZ302" i="6"/>
  <c r="BA302" i="6"/>
  <c r="BB302" i="6"/>
  <c r="BC302" i="6"/>
  <c r="BD302" i="6"/>
  <c r="BE302" i="6"/>
  <c r="BF302" i="6"/>
  <c r="BG302" i="6"/>
  <c r="BH302" i="6"/>
  <c r="BI302" i="6"/>
  <c r="BJ302" i="6"/>
  <c r="BK302" i="6"/>
  <c r="AL303" i="6"/>
  <c r="AM303" i="6"/>
  <c r="AN303" i="6"/>
  <c r="AO303" i="6"/>
  <c r="AP303" i="6"/>
  <c r="AQ303" i="6"/>
  <c r="AR303" i="6"/>
  <c r="AS303" i="6"/>
  <c r="AT303" i="6"/>
  <c r="AU303" i="6"/>
  <c r="AV303" i="6"/>
  <c r="AW303" i="6"/>
  <c r="AX303" i="6"/>
  <c r="AY303" i="6"/>
  <c r="AZ303" i="6"/>
  <c r="BA303" i="6"/>
  <c r="BB303" i="6"/>
  <c r="BC303" i="6"/>
  <c r="BD303" i="6"/>
  <c r="BE303" i="6"/>
  <c r="BF303" i="6"/>
  <c r="BG303" i="6"/>
  <c r="BH303" i="6"/>
  <c r="BI303" i="6"/>
  <c r="BJ303" i="6"/>
  <c r="BK303" i="6"/>
  <c r="AL304" i="6"/>
  <c r="AM304" i="6"/>
  <c r="AN304" i="6"/>
  <c r="AO304" i="6"/>
  <c r="AP304" i="6"/>
  <c r="AQ304" i="6"/>
  <c r="AR304" i="6"/>
  <c r="AS304" i="6"/>
  <c r="AT304" i="6"/>
  <c r="AU304" i="6"/>
  <c r="AV304" i="6"/>
  <c r="AW304" i="6"/>
  <c r="AX304" i="6"/>
  <c r="AY304" i="6"/>
  <c r="AZ304" i="6"/>
  <c r="BA304" i="6"/>
  <c r="BB304" i="6"/>
  <c r="BC304" i="6"/>
  <c r="BD304" i="6"/>
  <c r="BE304" i="6"/>
  <c r="BF304" i="6"/>
  <c r="BG304" i="6"/>
  <c r="BH304" i="6"/>
  <c r="BI304" i="6"/>
  <c r="BJ304" i="6"/>
  <c r="BK304" i="6"/>
  <c r="AL305" i="6"/>
  <c r="AM305" i="6"/>
  <c r="AN305" i="6"/>
  <c r="AO305" i="6"/>
  <c r="AP305" i="6"/>
  <c r="AQ305" i="6"/>
  <c r="AR305" i="6"/>
  <c r="AS305" i="6"/>
  <c r="AT305" i="6"/>
  <c r="AU305" i="6"/>
  <c r="AV305" i="6"/>
  <c r="AW305" i="6"/>
  <c r="AX305" i="6"/>
  <c r="AY305" i="6"/>
  <c r="AZ305" i="6"/>
  <c r="BA305" i="6"/>
  <c r="BB305" i="6"/>
  <c r="BC305" i="6"/>
  <c r="BD305" i="6"/>
  <c r="BE305" i="6"/>
  <c r="BF305" i="6"/>
  <c r="BG305" i="6"/>
  <c r="BH305" i="6"/>
  <c r="BI305" i="6"/>
  <c r="BJ305" i="6"/>
  <c r="BK305" i="6"/>
  <c r="AL306" i="6"/>
  <c r="AM306" i="6"/>
  <c r="AN306" i="6"/>
  <c r="AO306" i="6"/>
  <c r="AP306" i="6"/>
  <c r="AQ306" i="6"/>
  <c r="AR306" i="6"/>
  <c r="AS306" i="6"/>
  <c r="AT306" i="6"/>
  <c r="AU306" i="6"/>
  <c r="AV306" i="6"/>
  <c r="AW306" i="6"/>
  <c r="AX306" i="6"/>
  <c r="AY306" i="6"/>
  <c r="AZ306" i="6"/>
  <c r="BA306" i="6"/>
  <c r="BB306" i="6"/>
  <c r="BC306" i="6"/>
  <c r="BD306" i="6"/>
  <c r="BE306" i="6"/>
  <c r="BF306" i="6"/>
  <c r="BG306" i="6"/>
  <c r="BH306" i="6"/>
  <c r="BI306" i="6"/>
  <c r="BJ306" i="6"/>
  <c r="BK306" i="6"/>
  <c r="AL307" i="6"/>
  <c r="AM307" i="6"/>
  <c r="AN307" i="6"/>
  <c r="AO307" i="6"/>
  <c r="AP307" i="6"/>
  <c r="AQ307" i="6"/>
  <c r="AR307" i="6"/>
  <c r="AS307" i="6"/>
  <c r="AT307" i="6"/>
  <c r="AU307" i="6"/>
  <c r="AV307" i="6"/>
  <c r="AW307" i="6"/>
  <c r="AX307" i="6"/>
  <c r="AY307" i="6"/>
  <c r="AZ307" i="6"/>
  <c r="BA307" i="6"/>
  <c r="BB307" i="6"/>
  <c r="BC307" i="6"/>
  <c r="BD307" i="6"/>
  <c r="BE307" i="6"/>
  <c r="BF307" i="6"/>
  <c r="BG307" i="6"/>
  <c r="BH307" i="6"/>
  <c r="BI307" i="6"/>
  <c r="BJ307" i="6"/>
  <c r="BK307" i="6"/>
  <c r="AL308" i="6"/>
  <c r="AM308" i="6"/>
  <c r="AN308" i="6"/>
  <c r="AO308" i="6"/>
  <c r="AP308" i="6"/>
  <c r="AQ308" i="6"/>
  <c r="AR308" i="6"/>
  <c r="AS308" i="6"/>
  <c r="AT308" i="6"/>
  <c r="AU308" i="6"/>
  <c r="AV308" i="6"/>
  <c r="AW308" i="6"/>
  <c r="AX308" i="6"/>
  <c r="AY308" i="6"/>
  <c r="AZ308" i="6"/>
  <c r="BA308" i="6"/>
  <c r="BB308" i="6"/>
  <c r="BC308" i="6"/>
  <c r="BD308" i="6"/>
  <c r="BE308" i="6"/>
  <c r="BF308" i="6"/>
  <c r="BG308" i="6"/>
  <c r="BH308" i="6"/>
  <c r="BI308" i="6"/>
  <c r="BJ308" i="6"/>
  <c r="BK308" i="6"/>
  <c r="AL309" i="6"/>
  <c r="AM309" i="6"/>
  <c r="AN309" i="6"/>
  <c r="AO309" i="6"/>
  <c r="AP309" i="6"/>
  <c r="AQ309" i="6"/>
  <c r="AR309" i="6"/>
  <c r="AS309" i="6"/>
  <c r="AT309" i="6"/>
  <c r="AU309" i="6"/>
  <c r="AV309" i="6"/>
  <c r="AW309" i="6"/>
  <c r="AX309" i="6"/>
  <c r="AY309" i="6"/>
  <c r="AZ309" i="6"/>
  <c r="BA309" i="6"/>
  <c r="BB309" i="6"/>
  <c r="BC309" i="6"/>
  <c r="BD309" i="6"/>
  <c r="BE309" i="6"/>
  <c r="BF309" i="6"/>
  <c r="BG309" i="6"/>
  <c r="BH309" i="6"/>
  <c r="BI309" i="6"/>
  <c r="BJ309" i="6"/>
  <c r="BK309" i="6"/>
  <c r="AL310" i="6"/>
  <c r="AM310" i="6"/>
  <c r="AN310" i="6"/>
  <c r="AO310" i="6"/>
  <c r="AP310" i="6"/>
  <c r="AQ310" i="6"/>
  <c r="AR310" i="6"/>
  <c r="AS310" i="6"/>
  <c r="AT310" i="6"/>
  <c r="AU310" i="6"/>
  <c r="AV310" i="6"/>
  <c r="AW310" i="6"/>
  <c r="AX310" i="6"/>
  <c r="AY310" i="6"/>
  <c r="AZ310" i="6"/>
  <c r="BA310" i="6"/>
  <c r="BB310" i="6"/>
  <c r="BC310" i="6"/>
  <c r="BD310" i="6"/>
  <c r="BE310" i="6"/>
  <c r="BF310" i="6"/>
  <c r="BG310" i="6"/>
  <c r="BH310" i="6"/>
  <c r="BI310" i="6"/>
  <c r="BJ310" i="6"/>
  <c r="BK310" i="6"/>
  <c r="AL311" i="6"/>
  <c r="AM311" i="6"/>
  <c r="AN311" i="6"/>
  <c r="AO311" i="6"/>
  <c r="AP311" i="6"/>
  <c r="AQ311" i="6"/>
  <c r="AR311" i="6"/>
  <c r="AS311" i="6"/>
  <c r="AT311" i="6"/>
  <c r="AU311" i="6"/>
  <c r="AV311" i="6"/>
  <c r="AW311" i="6"/>
  <c r="AX311" i="6"/>
  <c r="AY311" i="6"/>
  <c r="AZ311" i="6"/>
  <c r="BA311" i="6"/>
  <c r="BB311" i="6"/>
  <c r="BC311" i="6"/>
  <c r="BD311" i="6"/>
  <c r="BE311" i="6"/>
  <c r="BF311" i="6"/>
  <c r="BG311" i="6"/>
  <c r="BH311" i="6"/>
  <c r="BI311" i="6"/>
  <c r="BJ311" i="6"/>
  <c r="BK311" i="6"/>
  <c r="AL312" i="6"/>
  <c r="AM312" i="6"/>
  <c r="AN312" i="6"/>
  <c r="AO312" i="6"/>
  <c r="AP312" i="6"/>
  <c r="AQ312" i="6"/>
  <c r="AR312" i="6"/>
  <c r="AS312" i="6"/>
  <c r="AT312" i="6"/>
  <c r="AU312" i="6"/>
  <c r="AV312" i="6"/>
  <c r="AW312" i="6"/>
  <c r="AX312" i="6"/>
  <c r="AY312" i="6"/>
  <c r="AZ312" i="6"/>
  <c r="BA312" i="6"/>
  <c r="BB312" i="6"/>
  <c r="BC312" i="6"/>
  <c r="BD312" i="6"/>
  <c r="BE312" i="6"/>
  <c r="BF312" i="6"/>
  <c r="BG312" i="6"/>
  <c r="BH312" i="6"/>
  <c r="BI312" i="6"/>
  <c r="BJ312" i="6"/>
  <c r="BK312" i="6"/>
  <c r="AL313" i="6"/>
  <c r="AM313" i="6"/>
  <c r="AN313" i="6"/>
  <c r="AO313" i="6"/>
  <c r="AP313" i="6"/>
  <c r="AQ313" i="6"/>
  <c r="AR313" i="6"/>
  <c r="AS313" i="6"/>
  <c r="AT313" i="6"/>
  <c r="AU313" i="6"/>
  <c r="AV313" i="6"/>
  <c r="AW313" i="6"/>
  <c r="AX313" i="6"/>
  <c r="AY313" i="6"/>
  <c r="AZ313" i="6"/>
  <c r="BA313" i="6"/>
  <c r="BB313" i="6"/>
  <c r="BC313" i="6"/>
  <c r="BD313" i="6"/>
  <c r="BE313" i="6"/>
  <c r="BF313" i="6"/>
  <c r="BG313" i="6"/>
  <c r="BH313" i="6"/>
  <c r="BI313" i="6"/>
  <c r="BJ313" i="6"/>
  <c r="BK313" i="6"/>
  <c r="AL314" i="6"/>
  <c r="AM314" i="6"/>
  <c r="AN314" i="6"/>
  <c r="AO314" i="6"/>
  <c r="AP314" i="6"/>
  <c r="AQ314" i="6"/>
  <c r="AR314" i="6"/>
  <c r="AS314" i="6"/>
  <c r="AT314" i="6"/>
  <c r="AU314" i="6"/>
  <c r="AV314" i="6"/>
  <c r="AW314" i="6"/>
  <c r="AX314" i="6"/>
  <c r="AY314" i="6"/>
  <c r="AZ314" i="6"/>
  <c r="BA314" i="6"/>
  <c r="BB314" i="6"/>
  <c r="BC314" i="6"/>
  <c r="BD314" i="6"/>
  <c r="BE314" i="6"/>
  <c r="BF314" i="6"/>
  <c r="BG314" i="6"/>
  <c r="BH314" i="6"/>
  <c r="BI314" i="6"/>
  <c r="BJ314" i="6"/>
  <c r="BK314" i="6"/>
  <c r="AL315" i="6"/>
  <c r="AM315" i="6"/>
  <c r="AN315" i="6"/>
  <c r="AO315" i="6"/>
  <c r="AP315" i="6"/>
  <c r="AQ315" i="6"/>
  <c r="AR315" i="6"/>
  <c r="AS315" i="6"/>
  <c r="AT315" i="6"/>
  <c r="AU315" i="6"/>
  <c r="AV315" i="6"/>
  <c r="AW315" i="6"/>
  <c r="AX315" i="6"/>
  <c r="AY315" i="6"/>
  <c r="AZ315" i="6"/>
  <c r="BA315" i="6"/>
  <c r="BB315" i="6"/>
  <c r="BC315" i="6"/>
  <c r="BD315" i="6"/>
  <c r="BE315" i="6"/>
  <c r="BF315" i="6"/>
  <c r="BG315" i="6"/>
  <c r="BH315" i="6"/>
  <c r="BI315" i="6"/>
  <c r="BJ315" i="6"/>
  <c r="BK315" i="6"/>
  <c r="AL316" i="6"/>
  <c r="AM316" i="6"/>
  <c r="AN316" i="6"/>
  <c r="AO316" i="6"/>
  <c r="AP316" i="6"/>
  <c r="AQ316" i="6"/>
  <c r="AR316" i="6"/>
  <c r="AS316" i="6"/>
  <c r="AT316" i="6"/>
  <c r="AU316" i="6"/>
  <c r="AV316" i="6"/>
  <c r="AW316" i="6"/>
  <c r="AX316" i="6"/>
  <c r="AY316" i="6"/>
  <c r="AZ316" i="6"/>
  <c r="BA316" i="6"/>
  <c r="BB316" i="6"/>
  <c r="BC316" i="6"/>
  <c r="BD316" i="6"/>
  <c r="BE316" i="6"/>
  <c r="BF316" i="6"/>
  <c r="BG316" i="6"/>
  <c r="BH316" i="6"/>
  <c r="BI316" i="6"/>
  <c r="BJ316" i="6"/>
  <c r="BK316" i="6"/>
  <c r="AL317" i="6"/>
  <c r="AM317" i="6"/>
  <c r="AN317" i="6"/>
  <c r="AO317" i="6"/>
  <c r="AP317" i="6"/>
  <c r="AQ317" i="6"/>
  <c r="AR317" i="6"/>
  <c r="AS317" i="6"/>
  <c r="AT317" i="6"/>
  <c r="AU317" i="6"/>
  <c r="AV317" i="6"/>
  <c r="AW317" i="6"/>
  <c r="AX317" i="6"/>
  <c r="AY317" i="6"/>
  <c r="AZ317" i="6"/>
  <c r="BA317" i="6"/>
  <c r="BB317" i="6"/>
  <c r="BC317" i="6"/>
  <c r="BD317" i="6"/>
  <c r="BE317" i="6"/>
  <c r="BF317" i="6"/>
  <c r="BG317" i="6"/>
  <c r="BH317" i="6"/>
  <c r="BI317" i="6"/>
  <c r="BJ317" i="6"/>
  <c r="BK317" i="6"/>
  <c r="AL318" i="6"/>
  <c r="AM318" i="6"/>
  <c r="AN318" i="6"/>
  <c r="AO318" i="6"/>
  <c r="AP318" i="6"/>
  <c r="AQ318" i="6"/>
  <c r="AR318" i="6"/>
  <c r="AS318" i="6"/>
  <c r="AT318" i="6"/>
  <c r="AU318" i="6"/>
  <c r="AV318" i="6"/>
  <c r="AW318" i="6"/>
  <c r="AX318" i="6"/>
  <c r="AY318" i="6"/>
  <c r="AZ318" i="6"/>
  <c r="BA318" i="6"/>
  <c r="BB318" i="6"/>
  <c r="BC318" i="6"/>
  <c r="BD318" i="6"/>
  <c r="BE318" i="6"/>
  <c r="BF318" i="6"/>
  <c r="BG318" i="6"/>
  <c r="BH318" i="6"/>
  <c r="BI318" i="6"/>
  <c r="BJ318" i="6"/>
  <c r="BK318" i="6"/>
  <c r="AL319" i="6"/>
  <c r="AM319" i="6"/>
  <c r="AN319" i="6"/>
  <c r="AO319" i="6"/>
  <c r="AP319" i="6"/>
  <c r="AQ319" i="6"/>
  <c r="AR319" i="6"/>
  <c r="AS319" i="6"/>
  <c r="AT319" i="6"/>
  <c r="AU319" i="6"/>
  <c r="AV319" i="6"/>
  <c r="AW319" i="6"/>
  <c r="AX319" i="6"/>
  <c r="AY319" i="6"/>
  <c r="AZ319" i="6"/>
  <c r="BA319" i="6"/>
  <c r="BB319" i="6"/>
  <c r="BC319" i="6"/>
  <c r="BD319" i="6"/>
  <c r="BE319" i="6"/>
  <c r="BF319" i="6"/>
  <c r="BG319" i="6"/>
  <c r="BH319" i="6"/>
  <c r="BI319" i="6"/>
  <c r="BJ319" i="6"/>
  <c r="BK319" i="6"/>
  <c r="AL320" i="6"/>
  <c r="AM320" i="6"/>
  <c r="AN320" i="6"/>
  <c r="AO320" i="6"/>
  <c r="AP320" i="6"/>
  <c r="AQ320" i="6"/>
  <c r="AR320" i="6"/>
  <c r="AS320" i="6"/>
  <c r="AT320" i="6"/>
  <c r="AU320" i="6"/>
  <c r="AV320" i="6"/>
  <c r="AW320" i="6"/>
  <c r="AX320" i="6"/>
  <c r="AY320" i="6"/>
  <c r="AZ320" i="6"/>
  <c r="BA320" i="6"/>
  <c r="BB320" i="6"/>
  <c r="BC320" i="6"/>
  <c r="BD320" i="6"/>
  <c r="BE320" i="6"/>
  <c r="BF320" i="6"/>
  <c r="BG320" i="6"/>
  <c r="BH320" i="6"/>
  <c r="BI320" i="6"/>
  <c r="BJ320" i="6"/>
  <c r="BK320" i="6"/>
  <c r="AL321" i="6"/>
  <c r="AM321" i="6"/>
  <c r="AN321" i="6"/>
  <c r="AO321" i="6"/>
  <c r="AP321" i="6"/>
  <c r="AQ321" i="6"/>
  <c r="AR321" i="6"/>
  <c r="AS321" i="6"/>
  <c r="AT321" i="6"/>
  <c r="AU321" i="6"/>
  <c r="AV321" i="6"/>
  <c r="AW321" i="6"/>
  <c r="AX321" i="6"/>
  <c r="AY321" i="6"/>
  <c r="AZ321" i="6"/>
  <c r="BA321" i="6"/>
  <c r="BB321" i="6"/>
  <c r="BC321" i="6"/>
  <c r="BD321" i="6"/>
  <c r="BE321" i="6"/>
  <c r="BF321" i="6"/>
  <c r="BG321" i="6"/>
  <c r="BH321" i="6"/>
  <c r="BI321" i="6"/>
  <c r="BJ321" i="6"/>
  <c r="BK321" i="6"/>
  <c r="AL322" i="6"/>
  <c r="AM322" i="6"/>
  <c r="AN322" i="6"/>
  <c r="AO322" i="6"/>
  <c r="AP322" i="6"/>
  <c r="AQ322" i="6"/>
  <c r="AR322" i="6"/>
  <c r="AS322" i="6"/>
  <c r="AT322" i="6"/>
  <c r="AU322" i="6"/>
  <c r="AV322" i="6"/>
  <c r="AW322" i="6"/>
  <c r="AX322" i="6"/>
  <c r="AY322" i="6"/>
  <c r="AZ322" i="6"/>
  <c r="BA322" i="6"/>
  <c r="BB322" i="6"/>
  <c r="BC322" i="6"/>
  <c r="BD322" i="6"/>
  <c r="BE322" i="6"/>
  <c r="BF322" i="6"/>
  <c r="BG322" i="6"/>
  <c r="BH322" i="6"/>
  <c r="BI322" i="6"/>
  <c r="BJ322" i="6"/>
  <c r="BK322" i="6"/>
  <c r="AL323" i="6"/>
  <c r="AM323" i="6"/>
  <c r="AN323" i="6"/>
  <c r="AO323" i="6"/>
  <c r="AP323" i="6"/>
  <c r="AQ323" i="6"/>
  <c r="AR323" i="6"/>
  <c r="AS323" i="6"/>
  <c r="AT323" i="6"/>
  <c r="AU323" i="6"/>
  <c r="AV323" i="6"/>
  <c r="AW323" i="6"/>
  <c r="AX323" i="6"/>
  <c r="AY323" i="6"/>
  <c r="AZ323" i="6"/>
  <c r="BA323" i="6"/>
  <c r="BB323" i="6"/>
  <c r="BC323" i="6"/>
  <c r="BD323" i="6"/>
  <c r="BE323" i="6"/>
  <c r="BF323" i="6"/>
  <c r="BG323" i="6"/>
  <c r="BH323" i="6"/>
  <c r="BI323" i="6"/>
  <c r="BJ323" i="6"/>
  <c r="BK323" i="6"/>
  <c r="AL324" i="6"/>
  <c r="AM324" i="6"/>
  <c r="AN324" i="6"/>
  <c r="AO324" i="6"/>
  <c r="AP324" i="6"/>
  <c r="AQ324" i="6"/>
  <c r="AR324" i="6"/>
  <c r="AS324" i="6"/>
  <c r="AT324" i="6"/>
  <c r="AU324" i="6"/>
  <c r="AV324" i="6"/>
  <c r="AW324" i="6"/>
  <c r="AX324" i="6"/>
  <c r="AY324" i="6"/>
  <c r="AZ324" i="6"/>
  <c r="BA324" i="6"/>
  <c r="BB324" i="6"/>
  <c r="BC324" i="6"/>
  <c r="BD324" i="6"/>
  <c r="BE324" i="6"/>
  <c r="BF324" i="6"/>
  <c r="BG324" i="6"/>
  <c r="BH324" i="6"/>
  <c r="BI324" i="6"/>
  <c r="BJ324" i="6"/>
  <c r="BK324" i="6"/>
  <c r="AL325" i="6"/>
  <c r="AM325" i="6"/>
  <c r="AN325" i="6"/>
  <c r="AO325" i="6"/>
  <c r="AP325" i="6"/>
  <c r="AQ325" i="6"/>
  <c r="AR325" i="6"/>
  <c r="AS325" i="6"/>
  <c r="AT325" i="6"/>
  <c r="AU325" i="6"/>
  <c r="AV325" i="6"/>
  <c r="AW325" i="6"/>
  <c r="AX325" i="6"/>
  <c r="AY325" i="6"/>
  <c r="AZ325" i="6"/>
  <c r="BA325" i="6"/>
  <c r="BB325" i="6"/>
  <c r="BC325" i="6"/>
  <c r="BD325" i="6"/>
  <c r="BE325" i="6"/>
  <c r="BF325" i="6"/>
  <c r="BG325" i="6"/>
  <c r="BH325" i="6"/>
  <c r="BI325" i="6"/>
  <c r="BJ325" i="6"/>
  <c r="BK325" i="6"/>
  <c r="AL326" i="6"/>
  <c r="AM326" i="6"/>
  <c r="AN326" i="6"/>
  <c r="AO326" i="6"/>
  <c r="AP326" i="6"/>
  <c r="AQ326" i="6"/>
  <c r="AR326" i="6"/>
  <c r="AS326" i="6"/>
  <c r="AT326" i="6"/>
  <c r="AU326" i="6"/>
  <c r="AV326" i="6"/>
  <c r="AW326" i="6"/>
  <c r="AX326" i="6"/>
  <c r="AY326" i="6"/>
  <c r="AZ326" i="6"/>
  <c r="BA326" i="6"/>
  <c r="BB326" i="6"/>
  <c r="BC326" i="6"/>
  <c r="BD326" i="6"/>
  <c r="BE326" i="6"/>
  <c r="BF326" i="6"/>
  <c r="BG326" i="6"/>
  <c r="BH326" i="6"/>
  <c r="BI326" i="6"/>
  <c r="BJ326" i="6"/>
  <c r="BK326" i="6"/>
  <c r="AL327" i="6"/>
  <c r="AM327" i="6"/>
  <c r="AN327" i="6"/>
  <c r="AO327" i="6"/>
  <c r="AP327" i="6"/>
  <c r="AQ327" i="6"/>
  <c r="AR327" i="6"/>
  <c r="AS327" i="6"/>
  <c r="AT327" i="6"/>
  <c r="AU327" i="6"/>
  <c r="AV327" i="6"/>
  <c r="AW327" i="6"/>
  <c r="AX327" i="6"/>
  <c r="AY327" i="6"/>
  <c r="AZ327" i="6"/>
  <c r="BA327" i="6"/>
  <c r="BB327" i="6"/>
  <c r="BC327" i="6"/>
  <c r="BD327" i="6"/>
  <c r="BE327" i="6"/>
  <c r="BF327" i="6"/>
  <c r="BG327" i="6"/>
  <c r="BH327" i="6"/>
  <c r="BI327" i="6"/>
  <c r="BJ327" i="6"/>
  <c r="BK327" i="6"/>
  <c r="AL328" i="6"/>
  <c r="AM328" i="6"/>
  <c r="AN328" i="6"/>
  <c r="AO328" i="6"/>
  <c r="AP328" i="6"/>
  <c r="AQ328" i="6"/>
  <c r="AR328" i="6"/>
  <c r="AS328" i="6"/>
  <c r="AT328" i="6"/>
  <c r="AU328" i="6"/>
  <c r="AV328" i="6"/>
  <c r="AW328" i="6"/>
  <c r="AX328" i="6"/>
  <c r="AY328" i="6"/>
  <c r="AZ328" i="6"/>
  <c r="BA328" i="6"/>
  <c r="BB328" i="6"/>
  <c r="BC328" i="6"/>
  <c r="BD328" i="6"/>
  <c r="BE328" i="6"/>
  <c r="BF328" i="6"/>
  <c r="BG328" i="6"/>
  <c r="BH328" i="6"/>
  <c r="BI328" i="6"/>
  <c r="BJ328" i="6"/>
  <c r="BK328" i="6"/>
  <c r="AL329" i="6"/>
  <c r="AM329" i="6"/>
  <c r="AN329" i="6"/>
  <c r="AO329" i="6"/>
  <c r="AP329" i="6"/>
  <c r="AQ329" i="6"/>
  <c r="AR329" i="6"/>
  <c r="AS329" i="6"/>
  <c r="AT329" i="6"/>
  <c r="AU329" i="6"/>
  <c r="AV329" i="6"/>
  <c r="AW329" i="6"/>
  <c r="AX329" i="6"/>
  <c r="AY329" i="6"/>
  <c r="AZ329" i="6"/>
  <c r="BA329" i="6"/>
  <c r="BB329" i="6"/>
  <c r="BC329" i="6"/>
  <c r="BD329" i="6"/>
  <c r="BE329" i="6"/>
  <c r="BF329" i="6"/>
  <c r="BG329" i="6"/>
  <c r="BH329" i="6"/>
  <c r="BI329" i="6"/>
  <c r="BJ329" i="6"/>
  <c r="BK329" i="6"/>
  <c r="AL330" i="6"/>
  <c r="AM330" i="6"/>
  <c r="AN330" i="6"/>
  <c r="AO330" i="6"/>
  <c r="AP330" i="6"/>
  <c r="AQ330" i="6"/>
  <c r="AR330" i="6"/>
  <c r="AS330" i="6"/>
  <c r="AT330" i="6"/>
  <c r="AU330" i="6"/>
  <c r="AV330" i="6"/>
  <c r="AW330" i="6"/>
  <c r="AX330" i="6"/>
  <c r="AY330" i="6"/>
  <c r="AZ330" i="6"/>
  <c r="BA330" i="6"/>
  <c r="BB330" i="6"/>
  <c r="BC330" i="6"/>
  <c r="BD330" i="6"/>
  <c r="BE330" i="6"/>
  <c r="BF330" i="6"/>
  <c r="BG330" i="6"/>
  <c r="BH330" i="6"/>
  <c r="BI330" i="6"/>
  <c r="BJ330" i="6"/>
  <c r="BK330" i="6"/>
  <c r="AL331" i="6"/>
  <c r="AM331" i="6"/>
  <c r="AN331" i="6"/>
  <c r="AO331" i="6"/>
  <c r="AP331" i="6"/>
  <c r="AQ331" i="6"/>
  <c r="AR331" i="6"/>
  <c r="AS331" i="6"/>
  <c r="AT331" i="6"/>
  <c r="AU331" i="6"/>
  <c r="AV331" i="6"/>
  <c r="AW331" i="6"/>
  <c r="AX331" i="6"/>
  <c r="AY331" i="6"/>
  <c r="AZ331" i="6"/>
  <c r="BA331" i="6"/>
  <c r="BB331" i="6"/>
  <c r="BC331" i="6"/>
  <c r="BD331" i="6"/>
  <c r="BE331" i="6"/>
  <c r="BF331" i="6"/>
  <c r="BG331" i="6"/>
  <c r="BH331" i="6"/>
  <c r="BI331" i="6"/>
  <c r="BJ331" i="6"/>
  <c r="BK331" i="6"/>
  <c r="AL332" i="6"/>
  <c r="AM332" i="6"/>
  <c r="AN332" i="6"/>
  <c r="AO332" i="6"/>
  <c r="AP332" i="6"/>
  <c r="AQ332" i="6"/>
  <c r="AR332" i="6"/>
  <c r="AS332" i="6"/>
  <c r="AT332" i="6"/>
  <c r="AU332" i="6"/>
  <c r="AV332" i="6"/>
  <c r="AW332" i="6"/>
  <c r="AX332" i="6"/>
  <c r="AY332" i="6"/>
  <c r="AZ332" i="6"/>
  <c r="BA332" i="6"/>
  <c r="BB332" i="6"/>
  <c r="BC332" i="6"/>
  <c r="BD332" i="6"/>
  <c r="BE332" i="6"/>
  <c r="BF332" i="6"/>
  <c r="BG332" i="6"/>
  <c r="BH332" i="6"/>
  <c r="BI332" i="6"/>
  <c r="BJ332" i="6"/>
  <c r="BK332" i="6"/>
  <c r="AL333" i="6"/>
  <c r="AM333" i="6"/>
  <c r="AN333" i="6"/>
  <c r="AO333" i="6"/>
  <c r="AP333" i="6"/>
  <c r="AQ333" i="6"/>
  <c r="AR333" i="6"/>
  <c r="AS333" i="6"/>
  <c r="AT333" i="6"/>
  <c r="AU333" i="6"/>
  <c r="AV333" i="6"/>
  <c r="AW333" i="6"/>
  <c r="AX333" i="6"/>
  <c r="AY333" i="6"/>
  <c r="AZ333" i="6"/>
  <c r="BA333" i="6"/>
  <c r="BB333" i="6"/>
  <c r="BC333" i="6"/>
  <c r="BD333" i="6"/>
  <c r="BE333" i="6"/>
  <c r="BF333" i="6"/>
  <c r="BG333" i="6"/>
  <c r="BH333" i="6"/>
  <c r="BI333" i="6"/>
  <c r="BJ333" i="6"/>
  <c r="BK333" i="6"/>
  <c r="AL334" i="6"/>
  <c r="AM334" i="6"/>
  <c r="AN334" i="6"/>
  <c r="AO334" i="6"/>
  <c r="AP334" i="6"/>
  <c r="AQ334" i="6"/>
  <c r="AR334" i="6"/>
  <c r="AS334" i="6"/>
  <c r="AT334" i="6"/>
  <c r="AU334" i="6"/>
  <c r="AV334" i="6"/>
  <c r="AW334" i="6"/>
  <c r="AX334" i="6"/>
  <c r="AY334" i="6"/>
  <c r="AZ334" i="6"/>
  <c r="BA334" i="6"/>
  <c r="BB334" i="6"/>
  <c r="BC334" i="6"/>
  <c r="BD334" i="6"/>
  <c r="BE334" i="6"/>
  <c r="BF334" i="6"/>
  <c r="BG334" i="6"/>
  <c r="BH334" i="6"/>
  <c r="BI334" i="6"/>
  <c r="BJ334" i="6"/>
  <c r="BK334" i="6"/>
  <c r="AL335" i="6"/>
  <c r="AM335" i="6"/>
  <c r="AN335" i="6"/>
  <c r="AO335" i="6"/>
  <c r="AP335" i="6"/>
  <c r="AQ335" i="6"/>
  <c r="AR335" i="6"/>
  <c r="AS335" i="6"/>
  <c r="AT335" i="6"/>
  <c r="AU335" i="6"/>
  <c r="AV335" i="6"/>
  <c r="AW335" i="6"/>
  <c r="AX335" i="6"/>
  <c r="AY335" i="6"/>
  <c r="AZ335" i="6"/>
  <c r="BA335" i="6"/>
  <c r="BB335" i="6"/>
  <c r="BC335" i="6"/>
  <c r="BD335" i="6"/>
  <c r="BE335" i="6"/>
  <c r="BF335" i="6"/>
  <c r="BG335" i="6"/>
  <c r="BH335" i="6"/>
  <c r="BI335" i="6"/>
  <c r="BJ335" i="6"/>
  <c r="BK335" i="6"/>
  <c r="AL336" i="6"/>
  <c r="AM336" i="6"/>
  <c r="AN336" i="6"/>
  <c r="AO336" i="6"/>
  <c r="AP336" i="6"/>
  <c r="AQ336" i="6"/>
  <c r="AR336" i="6"/>
  <c r="AS336" i="6"/>
  <c r="AT336" i="6"/>
  <c r="AU336" i="6"/>
  <c r="AV336" i="6"/>
  <c r="AW336" i="6"/>
  <c r="AX336" i="6"/>
  <c r="AY336" i="6"/>
  <c r="AZ336" i="6"/>
  <c r="BA336" i="6"/>
  <c r="BB336" i="6"/>
  <c r="BC336" i="6"/>
  <c r="BD336" i="6"/>
  <c r="BE336" i="6"/>
  <c r="BF336" i="6"/>
  <c r="BG336" i="6"/>
  <c r="BH336" i="6"/>
  <c r="BI336" i="6"/>
  <c r="BJ336" i="6"/>
  <c r="BK336" i="6"/>
  <c r="AL337" i="6"/>
  <c r="AM337" i="6"/>
  <c r="AN337" i="6"/>
  <c r="AO337" i="6"/>
  <c r="AP337" i="6"/>
  <c r="AQ337" i="6"/>
  <c r="AR337" i="6"/>
  <c r="AS337" i="6"/>
  <c r="AT337" i="6"/>
  <c r="AU337" i="6"/>
  <c r="AV337" i="6"/>
  <c r="AW337" i="6"/>
  <c r="AX337" i="6"/>
  <c r="AY337" i="6"/>
  <c r="AZ337" i="6"/>
  <c r="BA337" i="6"/>
  <c r="BB337" i="6"/>
  <c r="BC337" i="6"/>
  <c r="BD337" i="6"/>
  <c r="BE337" i="6"/>
  <c r="BF337" i="6"/>
  <c r="BG337" i="6"/>
  <c r="BH337" i="6"/>
  <c r="BI337" i="6"/>
  <c r="BJ337" i="6"/>
  <c r="BK337" i="6"/>
  <c r="AL338" i="6"/>
  <c r="AM338" i="6"/>
  <c r="AN338" i="6"/>
  <c r="AO338" i="6"/>
  <c r="AP338" i="6"/>
  <c r="AQ338" i="6"/>
  <c r="AR338" i="6"/>
  <c r="AS338" i="6"/>
  <c r="AT338" i="6"/>
  <c r="AU338" i="6"/>
  <c r="AV338" i="6"/>
  <c r="AW338" i="6"/>
  <c r="AX338" i="6"/>
  <c r="AY338" i="6"/>
  <c r="AZ338" i="6"/>
  <c r="BA338" i="6"/>
  <c r="BB338" i="6"/>
  <c r="BC338" i="6"/>
  <c r="BD338" i="6"/>
  <c r="BE338" i="6"/>
  <c r="BF338" i="6"/>
  <c r="BG338" i="6"/>
  <c r="BH338" i="6"/>
  <c r="BI338" i="6"/>
  <c r="BJ338" i="6"/>
  <c r="BK338" i="6"/>
  <c r="AL339" i="6"/>
  <c r="AM339" i="6"/>
  <c r="AN339" i="6"/>
  <c r="AO339" i="6"/>
  <c r="AP339" i="6"/>
  <c r="AQ339" i="6"/>
  <c r="AR339" i="6"/>
  <c r="AS339" i="6"/>
  <c r="AT339" i="6"/>
  <c r="AU339" i="6"/>
  <c r="AV339" i="6"/>
  <c r="AW339" i="6"/>
  <c r="AX339" i="6"/>
  <c r="AY339" i="6"/>
  <c r="AZ339" i="6"/>
  <c r="BA339" i="6"/>
  <c r="BB339" i="6"/>
  <c r="BC339" i="6"/>
  <c r="BD339" i="6"/>
  <c r="BE339" i="6"/>
  <c r="BF339" i="6"/>
  <c r="BG339" i="6"/>
  <c r="BH339" i="6"/>
  <c r="BI339" i="6"/>
  <c r="BJ339" i="6"/>
  <c r="BK339" i="6"/>
  <c r="AL340" i="6"/>
  <c r="AM340" i="6"/>
  <c r="AN340" i="6"/>
  <c r="AO340" i="6"/>
  <c r="AP340" i="6"/>
  <c r="AQ340" i="6"/>
  <c r="AR340" i="6"/>
  <c r="AS340" i="6"/>
  <c r="AT340" i="6"/>
  <c r="AU340" i="6"/>
  <c r="AV340" i="6"/>
  <c r="AW340" i="6"/>
  <c r="AX340" i="6"/>
  <c r="AY340" i="6"/>
  <c r="AZ340" i="6"/>
  <c r="BA340" i="6"/>
  <c r="BB340" i="6"/>
  <c r="BC340" i="6"/>
  <c r="BD340" i="6"/>
  <c r="BE340" i="6"/>
  <c r="BF340" i="6"/>
  <c r="BG340" i="6"/>
  <c r="BH340" i="6"/>
  <c r="BI340" i="6"/>
  <c r="BJ340" i="6"/>
  <c r="BK340" i="6"/>
  <c r="AL341" i="6"/>
  <c r="AM341" i="6"/>
  <c r="AN341" i="6"/>
  <c r="AO341" i="6"/>
  <c r="AP341" i="6"/>
  <c r="AQ341" i="6"/>
  <c r="AR341" i="6"/>
  <c r="AS341" i="6"/>
  <c r="AT341" i="6"/>
  <c r="AU341" i="6"/>
  <c r="AV341" i="6"/>
  <c r="AW341" i="6"/>
  <c r="AX341" i="6"/>
  <c r="AY341" i="6"/>
  <c r="AZ341" i="6"/>
  <c r="BA341" i="6"/>
  <c r="BB341" i="6"/>
  <c r="BC341" i="6"/>
  <c r="BD341" i="6"/>
  <c r="BE341" i="6"/>
  <c r="BF341" i="6"/>
  <c r="BG341" i="6"/>
  <c r="BH341" i="6"/>
  <c r="BI341" i="6"/>
  <c r="BJ341" i="6"/>
  <c r="BK341" i="6"/>
  <c r="AL342" i="6"/>
  <c r="AM342" i="6"/>
  <c r="AN342" i="6"/>
  <c r="AO342" i="6"/>
  <c r="AP342" i="6"/>
  <c r="AQ342" i="6"/>
  <c r="AR342" i="6"/>
  <c r="AS342" i="6"/>
  <c r="AT342" i="6"/>
  <c r="AU342" i="6"/>
  <c r="AV342" i="6"/>
  <c r="AW342" i="6"/>
  <c r="AX342" i="6"/>
  <c r="AY342" i="6"/>
  <c r="AZ342" i="6"/>
  <c r="BA342" i="6"/>
  <c r="BB342" i="6"/>
  <c r="BC342" i="6"/>
  <c r="BD342" i="6"/>
  <c r="BE342" i="6"/>
  <c r="BF342" i="6"/>
  <c r="BG342" i="6"/>
  <c r="BH342" i="6"/>
  <c r="BI342" i="6"/>
  <c r="BJ342" i="6"/>
  <c r="BK342" i="6"/>
  <c r="AL343" i="6"/>
  <c r="AM343" i="6"/>
  <c r="AN343" i="6"/>
  <c r="AO343" i="6"/>
  <c r="AP343" i="6"/>
  <c r="AQ343" i="6"/>
  <c r="AR343" i="6"/>
  <c r="AS343" i="6"/>
  <c r="AT343" i="6"/>
  <c r="AU343" i="6"/>
  <c r="AV343" i="6"/>
  <c r="AW343" i="6"/>
  <c r="AX343" i="6"/>
  <c r="AY343" i="6"/>
  <c r="AZ343" i="6"/>
  <c r="BA343" i="6"/>
  <c r="BB343" i="6"/>
  <c r="BC343" i="6"/>
  <c r="BD343" i="6"/>
  <c r="BE343" i="6"/>
  <c r="BF343" i="6"/>
  <c r="BG343" i="6"/>
  <c r="BH343" i="6"/>
  <c r="BI343" i="6"/>
  <c r="BJ343" i="6"/>
  <c r="BK343" i="6"/>
  <c r="AL344" i="6"/>
  <c r="AM344" i="6"/>
  <c r="AN344" i="6"/>
  <c r="AO344" i="6"/>
  <c r="AP344" i="6"/>
  <c r="AQ344" i="6"/>
  <c r="AR344" i="6"/>
  <c r="AS344" i="6"/>
  <c r="AT344" i="6"/>
  <c r="AU344" i="6"/>
  <c r="AV344" i="6"/>
  <c r="AW344" i="6"/>
  <c r="AX344" i="6"/>
  <c r="AY344" i="6"/>
  <c r="AZ344" i="6"/>
  <c r="BA344" i="6"/>
  <c r="BB344" i="6"/>
  <c r="BC344" i="6"/>
  <c r="BD344" i="6"/>
  <c r="BE344" i="6"/>
  <c r="BF344" i="6"/>
  <c r="BG344" i="6"/>
  <c r="BH344" i="6"/>
  <c r="BI344" i="6"/>
  <c r="BJ344" i="6"/>
  <c r="BK344" i="6"/>
  <c r="AL345" i="6"/>
  <c r="AM345" i="6"/>
  <c r="AN345" i="6"/>
  <c r="AO345" i="6"/>
  <c r="AP345" i="6"/>
  <c r="AQ345" i="6"/>
  <c r="AR345" i="6"/>
  <c r="AS345" i="6"/>
  <c r="AT345" i="6"/>
  <c r="AU345" i="6"/>
  <c r="AV345" i="6"/>
  <c r="AW345" i="6"/>
  <c r="AX345" i="6"/>
  <c r="AY345" i="6"/>
  <c r="AZ345" i="6"/>
  <c r="BA345" i="6"/>
  <c r="BB345" i="6"/>
  <c r="BC345" i="6"/>
  <c r="BD345" i="6"/>
  <c r="BE345" i="6"/>
  <c r="BF345" i="6"/>
  <c r="BG345" i="6"/>
  <c r="BH345" i="6"/>
  <c r="BI345" i="6"/>
  <c r="BJ345" i="6"/>
  <c r="BK345" i="6"/>
  <c r="AL346" i="6"/>
  <c r="AM346" i="6"/>
  <c r="AN346" i="6"/>
  <c r="AO346" i="6"/>
  <c r="AP346" i="6"/>
  <c r="AQ346" i="6"/>
  <c r="AR346" i="6"/>
  <c r="AS346" i="6"/>
  <c r="AT346" i="6"/>
  <c r="AU346" i="6"/>
  <c r="AV346" i="6"/>
  <c r="AW346" i="6"/>
  <c r="AX346" i="6"/>
  <c r="AY346" i="6"/>
  <c r="AZ346" i="6"/>
  <c r="BA346" i="6"/>
  <c r="BB346" i="6"/>
  <c r="BC346" i="6"/>
  <c r="BD346" i="6"/>
  <c r="BE346" i="6"/>
  <c r="BF346" i="6"/>
  <c r="BG346" i="6"/>
  <c r="BH346" i="6"/>
  <c r="BI346" i="6"/>
  <c r="BJ346" i="6"/>
  <c r="BK346" i="6"/>
  <c r="AL347" i="6"/>
  <c r="AM347" i="6"/>
  <c r="AN347" i="6"/>
  <c r="AO347" i="6"/>
  <c r="AP347" i="6"/>
  <c r="AQ347" i="6"/>
  <c r="AR347" i="6"/>
  <c r="AS347" i="6"/>
  <c r="AT347" i="6"/>
  <c r="AU347" i="6"/>
  <c r="AV347" i="6"/>
  <c r="AW347" i="6"/>
  <c r="AX347" i="6"/>
  <c r="AY347" i="6"/>
  <c r="AZ347" i="6"/>
  <c r="BA347" i="6"/>
  <c r="BB347" i="6"/>
  <c r="BC347" i="6"/>
  <c r="BD347" i="6"/>
  <c r="BE347" i="6"/>
  <c r="BF347" i="6"/>
  <c r="BG347" i="6"/>
  <c r="BH347" i="6"/>
  <c r="BI347" i="6"/>
  <c r="BJ347" i="6"/>
  <c r="BK347" i="6"/>
  <c r="AL348" i="6"/>
  <c r="AM348" i="6"/>
  <c r="AN348" i="6"/>
  <c r="AO348" i="6"/>
  <c r="AP348" i="6"/>
  <c r="AQ348" i="6"/>
  <c r="AR348" i="6"/>
  <c r="AS348" i="6"/>
  <c r="AT348" i="6"/>
  <c r="AU348" i="6"/>
  <c r="AV348" i="6"/>
  <c r="AW348" i="6"/>
  <c r="AX348" i="6"/>
  <c r="AY348" i="6"/>
  <c r="AZ348" i="6"/>
  <c r="BA348" i="6"/>
  <c r="BB348" i="6"/>
  <c r="BC348" i="6"/>
  <c r="BD348" i="6"/>
  <c r="BE348" i="6"/>
  <c r="BF348" i="6"/>
  <c r="BG348" i="6"/>
  <c r="BH348" i="6"/>
  <c r="BI348" i="6"/>
  <c r="BJ348" i="6"/>
  <c r="BK348" i="6"/>
  <c r="AL349" i="6"/>
  <c r="AM349" i="6"/>
  <c r="AN349" i="6"/>
  <c r="AO349" i="6"/>
  <c r="AP349" i="6"/>
  <c r="AQ349" i="6"/>
  <c r="AR349" i="6"/>
  <c r="AS349" i="6"/>
  <c r="AT349" i="6"/>
  <c r="AU349" i="6"/>
  <c r="AV349" i="6"/>
  <c r="AW349" i="6"/>
  <c r="AX349" i="6"/>
  <c r="AY349" i="6"/>
  <c r="AZ349" i="6"/>
  <c r="BA349" i="6"/>
  <c r="BB349" i="6"/>
  <c r="BC349" i="6"/>
  <c r="BD349" i="6"/>
  <c r="BE349" i="6"/>
  <c r="BF349" i="6"/>
  <c r="BG349" i="6"/>
  <c r="BH349" i="6"/>
  <c r="BI349" i="6"/>
  <c r="BJ349" i="6"/>
  <c r="BK349" i="6"/>
  <c r="AL350" i="6"/>
  <c r="AM350" i="6"/>
  <c r="AN350" i="6"/>
  <c r="AO350" i="6"/>
  <c r="AP350" i="6"/>
  <c r="AQ350" i="6"/>
  <c r="AR350" i="6"/>
  <c r="AS350" i="6"/>
  <c r="AT350" i="6"/>
  <c r="AU350" i="6"/>
  <c r="AV350" i="6"/>
  <c r="AW350" i="6"/>
  <c r="AX350" i="6"/>
  <c r="AY350" i="6"/>
  <c r="AZ350" i="6"/>
  <c r="BA350" i="6"/>
  <c r="BB350" i="6"/>
  <c r="BC350" i="6"/>
  <c r="BD350" i="6"/>
  <c r="BE350" i="6"/>
  <c r="BF350" i="6"/>
  <c r="BG350" i="6"/>
  <c r="BH350" i="6"/>
  <c r="BI350" i="6"/>
  <c r="BJ350" i="6"/>
  <c r="BK350" i="6"/>
  <c r="AL351" i="6"/>
  <c r="AM351" i="6"/>
  <c r="AN351" i="6"/>
  <c r="AO351" i="6"/>
  <c r="AP351" i="6"/>
  <c r="AQ351" i="6"/>
  <c r="AR351" i="6"/>
  <c r="AS351" i="6"/>
  <c r="AT351" i="6"/>
  <c r="AU351" i="6"/>
  <c r="AV351" i="6"/>
  <c r="AW351" i="6"/>
  <c r="AX351" i="6"/>
  <c r="AY351" i="6"/>
  <c r="AZ351" i="6"/>
  <c r="BA351" i="6"/>
  <c r="BB351" i="6"/>
  <c r="BC351" i="6"/>
  <c r="BD351" i="6"/>
  <c r="BE351" i="6"/>
  <c r="BF351" i="6"/>
  <c r="BG351" i="6"/>
  <c r="BH351" i="6"/>
  <c r="BI351" i="6"/>
  <c r="BJ351" i="6"/>
  <c r="BK351" i="6"/>
  <c r="AL352" i="6"/>
  <c r="AM352" i="6"/>
  <c r="AN352" i="6"/>
  <c r="AO352" i="6"/>
  <c r="AP352" i="6"/>
  <c r="AQ352" i="6"/>
  <c r="AR352" i="6"/>
  <c r="AS352" i="6"/>
  <c r="AT352" i="6"/>
  <c r="AU352" i="6"/>
  <c r="AV352" i="6"/>
  <c r="AW352" i="6"/>
  <c r="AX352" i="6"/>
  <c r="AY352" i="6"/>
  <c r="AZ352" i="6"/>
  <c r="BA352" i="6"/>
  <c r="BB352" i="6"/>
  <c r="BC352" i="6"/>
  <c r="BD352" i="6"/>
  <c r="BE352" i="6"/>
  <c r="BF352" i="6"/>
  <c r="BG352" i="6"/>
  <c r="BH352" i="6"/>
  <c r="BI352" i="6"/>
  <c r="BJ352" i="6"/>
  <c r="BK352" i="6"/>
  <c r="AL353" i="6"/>
  <c r="AM353" i="6"/>
  <c r="AN353" i="6"/>
  <c r="AO353" i="6"/>
  <c r="AP353" i="6"/>
  <c r="AQ353" i="6"/>
  <c r="AR353" i="6"/>
  <c r="AS353" i="6"/>
  <c r="AT353" i="6"/>
  <c r="AU353" i="6"/>
  <c r="AV353" i="6"/>
  <c r="AW353" i="6"/>
  <c r="AX353" i="6"/>
  <c r="AY353" i="6"/>
  <c r="AZ353" i="6"/>
  <c r="BA353" i="6"/>
  <c r="BB353" i="6"/>
  <c r="BC353" i="6"/>
  <c r="BD353" i="6"/>
  <c r="BE353" i="6"/>
  <c r="BF353" i="6"/>
  <c r="BG353" i="6"/>
  <c r="BH353" i="6"/>
  <c r="BI353" i="6"/>
  <c r="BJ353" i="6"/>
  <c r="BK353" i="6"/>
  <c r="AL354" i="6"/>
  <c r="AM354" i="6"/>
  <c r="AN354" i="6"/>
  <c r="AO354" i="6"/>
  <c r="AP354" i="6"/>
  <c r="AQ354" i="6"/>
  <c r="AR354" i="6"/>
  <c r="AS354" i="6"/>
  <c r="AT354" i="6"/>
  <c r="AU354" i="6"/>
  <c r="AV354" i="6"/>
  <c r="AW354" i="6"/>
  <c r="AX354" i="6"/>
  <c r="AY354" i="6"/>
  <c r="AZ354" i="6"/>
  <c r="BA354" i="6"/>
  <c r="BB354" i="6"/>
  <c r="BC354" i="6"/>
  <c r="BD354" i="6"/>
  <c r="BE354" i="6"/>
  <c r="BF354" i="6"/>
  <c r="BG354" i="6"/>
  <c r="BH354" i="6"/>
  <c r="BI354" i="6"/>
  <c r="BJ354" i="6"/>
  <c r="BK354" i="6"/>
  <c r="AL355" i="6"/>
  <c r="AM355" i="6"/>
  <c r="AN355" i="6"/>
  <c r="AO355" i="6"/>
  <c r="AP355" i="6"/>
  <c r="AQ355" i="6"/>
  <c r="AR355" i="6"/>
  <c r="AS355" i="6"/>
  <c r="AT355" i="6"/>
  <c r="AU355" i="6"/>
  <c r="AV355" i="6"/>
  <c r="AW355" i="6"/>
  <c r="AX355" i="6"/>
  <c r="AY355" i="6"/>
  <c r="AZ355" i="6"/>
  <c r="BA355" i="6"/>
  <c r="BB355" i="6"/>
  <c r="BC355" i="6"/>
  <c r="BD355" i="6"/>
  <c r="BE355" i="6"/>
  <c r="BF355" i="6"/>
  <c r="BG355" i="6"/>
  <c r="BH355" i="6"/>
  <c r="BI355" i="6"/>
  <c r="BJ355" i="6"/>
  <c r="BK355" i="6"/>
  <c r="AL356" i="6"/>
  <c r="AM356" i="6"/>
  <c r="AN356" i="6"/>
  <c r="AO356" i="6"/>
  <c r="AP356" i="6"/>
  <c r="AQ356" i="6"/>
  <c r="AR356" i="6"/>
  <c r="AS356" i="6"/>
  <c r="AT356" i="6"/>
  <c r="AU356" i="6"/>
  <c r="AV356" i="6"/>
  <c r="AW356" i="6"/>
  <c r="AX356" i="6"/>
  <c r="AY356" i="6"/>
  <c r="AZ356" i="6"/>
  <c r="BA356" i="6"/>
  <c r="BB356" i="6"/>
  <c r="BC356" i="6"/>
  <c r="BD356" i="6"/>
  <c r="BE356" i="6"/>
  <c r="BF356" i="6"/>
  <c r="BG356" i="6"/>
  <c r="BH356" i="6"/>
  <c r="BI356" i="6"/>
  <c r="BJ356" i="6"/>
  <c r="BK356" i="6"/>
  <c r="AL357" i="6"/>
  <c r="AM357" i="6"/>
  <c r="AN357" i="6"/>
  <c r="AO357" i="6"/>
  <c r="AP357" i="6"/>
  <c r="AQ357" i="6"/>
  <c r="AR357" i="6"/>
  <c r="AS357" i="6"/>
  <c r="AT357" i="6"/>
  <c r="AU357" i="6"/>
  <c r="AV357" i="6"/>
  <c r="AW357" i="6"/>
  <c r="AX357" i="6"/>
  <c r="AY357" i="6"/>
  <c r="AZ357" i="6"/>
  <c r="BA357" i="6"/>
  <c r="BB357" i="6"/>
  <c r="BC357" i="6"/>
  <c r="BD357" i="6"/>
  <c r="BE357" i="6"/>
  <c r="BF357" i="6"/>
  <c r="BG357" i="6"/>
  <c r="BH357" i="6"/>
  <c r="BI357" i="6"/>
  <c r="BJ357" i="6"/>
  <c r="BK357" i="6"/>
  <c r="AL358" i="6"/>
  <c r="AM358" i="6"/>
  <c r="AN358" i="6"/>
  <c r="AO358" i="6"/>
  <c r="AP358" i="6"/>
  <c r="AQ358" i="6"/>
  <c r="AR358" i="6"/>
  <c r="AS358" i="6"/>
  <c r="AT358" i="6"/>
  <c r="AU358" i="6"/>
  <c r="AV358" i="6"/>
  <c r="AW358" i="6"/>
  <c r="AX358" i="6"/>
  <c r="AY358" i="6"/>
  <c r="AZ358" i="6"/>
  <c r="BA358" i="6"/>
  <c r="BB358" i="6"/>
  <c r="BC358" i="6"/>
  <c r="BD358" i="6"/>
  <c r="BE358" i="6"/>
  <c r="BF358" i="6"/>
  <c r="BG358" i="6"/>
  <c r="BH358" i="6"/>
  <c r="BI358" i="6"/>
  <c r="BJ358" i="6"/>
  <c r="BK358" i="6"/>
  <c r="AL359" i="6"/>
  <c r="AM359" i="6"/>
  <c r="AN359" i="6"/>
  <c r="AO359" i="6"/>
  <c r="AP359" i="6"/>
  <c r="AQ359" i="6"/>
  <c r="AR359" i="6"/>
  <c r="AS359" i="6"/>
  <c r="AT359" i="6"/>
  <c r="AU359" i="6"/>
  <c r="AV359" i="6"/>
  <c r="AW359" i="6"/>
  <c r="AX359" i="6"/>
  <c r="AY359" i="6"/>
  <c r="AZ359" i="6"/>
  <c r="BA359" i="6"/>
  <c r="BB359" i="6"/>
  <c r="BC359" i="6"/>
  <c r="BD359" i="6"/>
  <c r="BE359" i="6"/>
  <c r="BF359" i="6"/>
  <c r="BG359" i="6"/>
  <c r="BH359" i="6"/>
  <c r="BI359" i="6"/>
  <c r="BJ359" i="6"/>
  <c r="BK359" i="6"/>
  <c r="AL360" i="6"/>
  <c r="AM360" i="6"/>
  <c r="AN360" i="6"/>
  <c r="AO360" i="6"/>
  <c r="AP360" i="6"/>
  <c r="AQ360" i="6"/>
  <c r="AR360" i="6"/>
  <c r="AS360" i="6"/>
  <c r="AT360" i="6"/>
  <c r="AU360" i="6"/>
  <c r="AV360" i="6"/>
  <c r="AW360" i="6"/>
  <c r="AX360" i="6"/>
  <c r="AY360" i="6"/>
  <c r="AZ360" i="6"/>
  <c r="BA360" i="6"/>
  <c r="BB360" i="6"/>
  <c r="BC360" i="6"/>
  <c r="BD360" i="6"/>
  <c r="BE360" i="6"/>
  <c r="BF360" i="6"/>
  <c r="BG360" i="6"/>
  <c r="BH360" i="6"/>
  <c r="BI360" i="6"/>
  <c r="BJ360" i="6"/>
  <c r="BK360" i="6"/>
  <c r="AL361" i="6"/>
  <c r="AM361" i="6"/>
  <c r="AN361" i="6"/>
  <c r="AO361" i="6"/>
  <c r="AP361" i="6"/>
  <c r="AQ361" i="6"/>
  <c r="AR361" i="6"/>
  <c r="AS361" i="6"/>
  <c r="AT361" i="6"/>
  <c r="AU361" i="6"/>
  <c r="AV361" i="6"/>
  <c r="AW361" i="6"/>
  <c r="AX361" i="6"/>
  <c r="AY361" i="6"/>
  <c r="AZ361" i="6"/>
  <c r="BA361" i="6"/>
  <c r="BB361" i="6"/>
  <c r="BC361" i="6"/>
  <c r="BD361" i="6"/>
  <c r="BE361" i="6"/>
  <c r="BF361" i="6"/>
  <c r="BG361" i="6"/>
  <c r="BH361" i="6"/>
  <c r="BI361" i="6"/>
  <c r="BJ361" i="6"/>
  <c r="BK361" i="6"/>
  <c r="AL362" i="6"/>
  <c r="AM362" i="6"/>
  <c r="AN362" i="6"/>
  <c r="AO362" i="6"/>
  <c r="AP362" i="6"/>
  <c r="AQ362" i="6"/>
  <c r="AR362" i="6"/>
  <c r="AS362" i="6"/>
  <c r="AT362" i="6"/>
  <c r="AU362" i="6"/>
  <c r="AV362" i="6"/>
  <c r="AW362" i="6"/>
  <c r="AX362" i="6"/>
  <c r="AY362" i="6"/>
  <c r="AZ362" i="6"/>
  <c r="BA362" i="6"/>
  <c r="BB362" i="6"/>
  <c r="BC362" i="6"/>
  <c r="BD362" i="6"/>
  <c r="BE362" i="6"/>
  <c r="BF362" i="6"/>
  <c r="BG362" i="6"/>
  <c r="BH362" i="6"/>
  <c r="BI362" i="6"/>
  <c r="BJ362" i="6"/>
  <c r="BK362" i="6"/>
  <c r="AL363" i="6"/>
  <c r="AM363" i="6"/>
  <c r="AN363" i="6"/>
  <c r="AO363" i="6"/>
  <c r="AP363" i="6"/>
  <c r="AQ363" i="6"/>
  <c r="AR363" i="6"/>
  <c r="AS363" i="6"/>
  <c r="AT363" i="6"/>
  <c r="AU363" i="6"/>
  <c r="AV363" i="6"/>
  <c r="AW363" i="6"/>
  <c r="AX363" i="6"/>
  <c r="AY363" i="6"/>
  <c r="AZ363" i="6"/>
  <c r="BA363" i="6"/>
  <c r="BB363" i="6"/>
  <c r="BC363" i="6"/>
  <c r="BD363" i="6"/>
  <c r="BE363" i="6"/>
  <c r="BF363" i="6"/>
  <c r="BG363" i="6"/>
  <c r="BH363" i="6"/>
  <c r="BI363" i="6"/>
  <c r="BJ363" i="6"/>
  <c r="BK363" i="6"/>
  <c r="AL364" i="6"/>
  <c r="AM364" i="6"/>
  <c r="AN364" i="6"/>
  <c r="AO364" i="6"/>
  <c r="AP364" i="6"/>
  <c r="AQ364" i="6"/>
  <c r="AR364" i="6"/>
  <c r="AS364" i="6"/>
  <c r="AT364" i="6"/>
  <c r="AU364" i="6"/>
  <c r="AV364" i="6"/>
  <c r="AW364" i="6"/>
  <c r="AX364" i="6"/>
  <c r="AY364" i="6"/>
  <c r="AZ364" i="6"/>
  <c r="BA364" i="6"/>
  <c r="BB364" i="6"/>
  <c r="BC364" i="6"/>
  <c r="BD364" i="6"/>
  <c r="BE364" i="6"/>
  <c r="BF364" i="6"/>
  <c r="BG364" i="6"/>
  <c r="BH364" i="6"/>
  <c r="BI364" i="6"/>
  <c r="BJ364" i="6"/>
  <c r="BK364" i="6"/>
  <c r="AL365" i="6"/>
  <c r="AM365" i="6"/>
  <c r="AN365" i="6"/>
  <c r="AO365" i="6"/>
  <c r="AP365" i="6"/>
  <c r="AQ365" i="6"/>
  <c r="AR365" i="6"/>
  <c r="AS365" i="6"/>
  <c r="AT365" i="6"/>
  <c r="AU365" i="6"/>
  <c r="AV365" i="6"/>
  <c r="AW365" i="6"/>
  <c r="AX365" i="6"/>
  <c r="AY365" i="6"/>
  <c r="AZ365" i="6"/>
  <c r="BA365" i="6"/>
  <c r="BB365" i="6"/>
  <c r="BC365" i="6"/>
  <c r="BD365" i="6"/>
  <c r="BE365" i="6"/>
  <c r="BF365" i="6"/>
  <c r="BG365" i="6"/>
  <c r="BH365" i="6"/>
  <c r="BI365" i="6"/>
  <c r="BJ365" i="6"/>
  <c r="BK365" i="6"/>
  <c r="AL366" i="6"/>
  <c r="AM366" i="6"/>
  <c r="AN366" i="6"/>
  <c r="AO366" i="6"/>
  <c r="AP366" i="6"/>
  <c r="AQ366" i="6"/>
  <c r="AR366" i="6"/>
  <c r="AS366" i="6"/>
  <c r="AT366" i="6"/>
  <c r="AU366" i="6"/>
  <c r="AV366" i="6"/>
  <c r="AW366" i="6"/>
  <c r="AX366" i="6"/>
  <c r="AY366" i="6"/>
  <c r="AZ366" i="6"/>
  <c r="BA366" i="6"/>
  <c r="BB366" i="6"/>
  <c r="BC366" i="6"/>
  <c r="BD366" i="6"/>
  <c r="BE366" i="6"/>
  <c r="BF366" i="6"/>
  <c r="BG366" i="6"/>
  <c r="BH366" i="6"/>
  <c r="BI366" i="6"/>
  <c r="BJ366" i="6"/>
  <c r="BK366" i="6"/>
  <c r="AL367" i="6"/>
  <c r="AM367" i="6"/>
  <c r="AN367" i="6"/>
  <c r="AO367" i="6"/>
  <c r="AP367" i="6"/>
  <c r="AQ367" i="6"/>
  <c r="AR367" i="6"/>
  <c r="AS367" i="6"/>
  <c r="AT367" i="6"/>
  <c r="AU367" i="6"/>
  <c r="AV367" i="6"/>
  <c r="AW367" i="6"/>
  <c r="AX367" i="6"/>
  <c r="AY367" i="6"/>
  <c r="AZ367" i="6"/>
  <c r="BA367" i="6"/>
  <c r="BB367" i="6"/>
  <c r="BC367" i="6"/>
  <c r="BD367" i="6"/>
  <c r="BE367" i="6"/>
  <c r="BF367" i="6"/>
  <c r="BG367" i="6"/>
  <c r="BH367" i="6"/>
  <c r="BI367" i="6"/>
  <c r="BJ367" i="6"/>
  <c r="BK367" i="6"/>
  <c r="AL368" i="6"/>
  <c r="AM368" i="6"/>
  <c r="AN368" i="6"/>
  <c r="AO368" i="6"/>
  <c r="AP368" i="6"/>
  <c r="AQ368" i="6"/>
  <c r="AR368" i="6"/>
  <c r="AS368" i="6"/>
  <c r="AT368" i="6"/>
  <c r="AU368" i="6"/>
  <c r="AV368" i="6"/>
  <c r="AW368" i="6"/>
  <c r="AX368" i="6"/>
  <c r="AY368" i="6"/>
  <c r="AZ368" i="6"/>
  <c r="BA368" i="6"/>
  <c r="BB368" i="6"/>
  <c r="BC368" i="6"/>
  <c r="BD368" i="6"/>
  <c r="BE368" i="6"/>
  <c r="BF368" i="6"/>
  <c r="BG368" i="6"/>
  <c r="BH368" i="6"/>
  <c r="BI368" i="6"/>
  <c r="BJ368" i="6"/>
  <c r="BK368" i="6"/>
  <c r="AL369" i="6"/>
  <c r="AM369" i="6"/>
  <c r="AN369" i="6"/>
  <c r="AO369" i="6"/>
  <c r="AP369" i="6"/>
  <c r="AQ369" i="6"/>
  <c r="AR369" i="6"/>
  <c r="AS369" i="6"/>
  <c r="AT369" i="6"/>
  <c r="AU369" i="6"/>
  <c r="AV369" i="6"/>
  <c r="AW369" i="6"/>
  <c r="AX369" i="6"/>
  <c r="AY369" i="6"/>
  <c r="AZ369" i="6"/>
  <c r="BA369" i="6"/>
  <c r="BB369" i="6"/>
  <c r="BC369" i="6"/>
  <c r="BD369" i="6"/>
  <c r="BE369" i="6"/>
  <c r="BF369" i="6"/>
  <c r="BG369" i="6"/>
  <c r="BH369" i="6"/>
  <c r="BI369" i="6"/>
  <c r="BJ369" i="6"/>
  <c r="BK369" i="6"/>
  <c r="AL370" i="6"/>
  <c r="AM370" i="6"/>
  <c r="AN370" i="6"/>
  <c r="AO370" i="6"/>
  <c r="AP370" i="6"/>
  <c r="AQ370" i="6"/>
  <c r="AR370" i="6"/>
  <c r="AS370" i="6"/>
  <c r="AT370" i="6"/>
  <c r="AU370" i="6"/>
  <c r="AV370" i="6"/>
  <c r="AW370" i="6"/>
  <c r="AX370" i="6"/>
  <c r="AY370" i="6"/>
  <c r="AZ370" i="6"/>
  <c r="BA370" i="6"/>
  <c r="BB370" i="6"/>
  <c r="BC370" i="6"/>
  <c r="BD370" i="6"/>
  <c r="BE370" i="6"/>
  <c r="BF370" i="6"/>
  <c r="BG370" i="6"/>
  <c r="BH370" i="6"/>
  <c r="BI370" i="6"/>
  <c r="BJ370" i="6"/>
  <c r="BK370" i="6"/>
  <c r="AL371" i="6"/>
  <c r="AM371" i="6"/>
  <c r="AN371" i="6"/>
  <c r="AO371" i="6"/>
  <c r="AP371" i="6"/>
  <c r="AQ371" i="6"/>
  <c r="AR371" i="6"/>
  <c r="AS371" i="6"/>
  <c r="AT371" i="6"/>
  <c r="AU371" i="6"/>
  <c r="AV371" i="6"/>
  <c r="AW371" i="6"/>
  <c r="AX371" i="6"/>
  <c r="AY371" i="6"/>
  <c r="AZ371" i="6"/>
  <c r="BA371" i="6"/>
  <c r="BB371" i="6"/>
  <c r="BC371" i="6"/>
  <c r="BD371" i="6"/>
  <c r="BE371" i="6"/>
  <c r="BF371" i="6"/>
  <c r="BG371" i="6"/>
  <c r="BH371" i="6"/>
  <c r="BI371" i="6"/>
  <c r="BJ371" i="6"/>
  <c r="BK371" i="6"/>
  <c r="AL372" i="6"/>
  <c r="AM372" i="6"/>
  <c r="AN372" i="6"/>
  <c r="AO372" i="6"/>
  <c r="AP372" i="6"/>
  <c r="AQ372" i="6"/>
  <c r="AR372" i="6"/>
  <c r="AS372" i="6"/>
  <c r="AT372" i="6"/>
  <c r="AU372" i="6"/>
  <c r="AV372" i="6"/>
  <c r="AW372" i="6"/>
  <c r="AX372" i="6"/>
  <c r="AY372" i="6"/>
  <c r="AZ372" i="6"/>
  <c r="BA372" i="6"/>
  <c r="BB372" i="6"/>
  <c r="BC372" i="6"/>
  <c r="BD372" i="6"/>
  <c r="BE372" i="6"/>
  <c r="BF372" i="6"/>
  <c r="BG372" i="6"/>
  <c r="BH372" i="6"/>
  <c r="BI372" i="6"/>
  <c r="BJ372" i="6"/>
  <c r="BK372" i="6"/>
  <c r="AL373" i="6"/>
  <c r="AM373" i="6"/>
  <c r="AN373" i="6"/>
  <c r="AO373" i="6"/>
  <c r="AP373" i="6"/>
  <c r="AQ373" i="6"/>
  <c r="AR373" i="6"/>
  <c r="AS373" i="6"/>
  <c r="AT373" i="6"/>
  <c r="AU373" i="6"/>
  <c r="AV373" i="6"/>
  <c r="AW373" i="6"/>
  <c r="AX373" i="6"/>
  <c r="AY373" i="6"/>
  <c r="AZ373" i="6"/>
  <c r="BA373" i="6"/>
  <c r="BB373" i="6"/>
  <c r="BC373" i="6"/>
  <c r="BD373" i="6"/>
  <c r="BE373" i="6"/>
  <c r="BF373" i="6"/>
  <c r="BG373" i="6"/>
  <c r="BH373" i="6"/>
  <c r="BI373" i="6"/>
  <c r="BJ373" i="6"/>
  <c r="BK373" i="6"/>
  <c r="AL374" i="6"/>
  <c r="AM374" i="6"/>
  <c r="AN374" i="6"/>
  <c r="AO374" i="6"/>
  <c r="AP374" i="6"/>
  <c r="AQ374" i="6"/>
  <c r="AR374" i="6"/>
  <c r="AS374" i="6"/>
  <c r="AT374" i="6"/>
  <c r="AU374" i="6"/>
  <c r="AV374" i="6"/>
  <c r="AW374" i="6"/>
  <c r="AX374" i="6"/>
  <c r="AY374" i="6"/>
  <c r="AZ374" i="6"/>
  <c r="BA374" i="6"/>
  <c r="BB374" i="6"/>
  <c r="BC374" i="6"/>
  <c r="BD374" i="6"/>
  <c r="BE374" i="6"/>
  <c r="BF374" i="6"/>
  <c r="BG374" i="6"/>
  <c r="BH374" i="6"/>
  <c r="BI374" i="6"/>
  <c r="BJ374" i="6"/>
  <c r="BK374" i="6"/>
  <c r="AL375" i="6"/>
  <c r="AM375" i="6"/>
  <c r="AN375" i="6"/>
  <c r="AO375" i="6"/>
  <c r="AP375" i="6"/>
  <c r="AQ375" i="6"/>
  <c r="AR375" i="6"/>
  <c r="AS375" i="6"/>
  <c r="AT375" i="6"/>
  <c r="AU375" i="6"/>
  <c r="AV375" i="6"/>
  <c r="AW375" i="6"/>
  <c r="AX375" i="6"/>
  <c r="AY375" i="6"/>
  <c r="AZ375" i="6"/>
  <c r="BA375" i="6"/>
  <c r="BB375" i="6"/>
  <c r="BC375" i="6"/>
  <c r="BD375" i="6"/>
  <c r="BE375" i="6"/>
  <c r="BF375" i="6"/>
  <c r="BG375" i="6"/>
  <c r="BH375" i="6"/>
  <c r="BI375" i="6"/>
  <c r="BJ375" i="6"/>
  <c r="BK375" i="6"/>
  <c r="AL376" i="6"/>
  <c r="AM376" i="6"/>
  <c r="AN376" i="6"/>
  <c r="AO376" i="6"/>
  <c r="AP376" i="6"/>
  <c r="AQ376" i="6"/>
  <c r="AR376" i="6"/>
  <c r="AS376" i="6"/>
  <c r="AT376" i="6"/>
  <c r="AU376" i="6"/>
  <c r="AV376" i="6"/>
  <c r="AW376" i="6"/>
  <c r="AX376" i="6"/>
  <c r="AY376" i="6"/>
  <c r="AZ376" i="6"/>
  <c r="BA376" i="6"/>
  <c r="BB376" i="6"/>
  <c r="BC376" i="6"/>
  <c r="BD376" i="6"/>
  <c r="BE376" i="6"/>
  <c r="BF376" i="6"/>
  <c r="BG376" i="6"/>
  <c r="BH376" i="6"/>
  <c r="BI376" i="6"/>
  <c r="BJ376" i="6"/>
  <c r="BK376" i="6"/>
  <c r="AL377" i="6"/>
  <c r="AM377" i="6"/>
  <c r="AN377" i="6"/>
  <c r="AO377" i="6"/>
  <c r="AP377" i="6"/>
  <c r="AQ377" i="6"/>
  <c r="AR377" i="6"/>
  <c r="AS377" i="6"/>
  <c r="AT377" i="6"/>
  <c r="AU377" i="6"/>
  <c r="AV377" i="6"/>
  <c r="AW377" i="6"/>
  <c r="AX377" i="6"/>
  <c r="AY377" i="6"/>
  <c r="AZ377" i="6"/>
  <c r="BA377" i="6"/>
  <c r="BB377" i="6"/>
  <c r="BC377" i="6"/>
  <c r="BD377" i="6"/>
  <c r="BE377" i="6"/>
  <c r="BF377" i="6"/>
  <c r="BG377" i="6"/>
  <c r="BH377" i="6"/>
  <c r="BI377" i="6"/>
  <c r="BJ377" i="6"/>
  <c r="BK377" i="6"/>
  <c r="AL378" i="6"/>
  <c r="AM378" i="6"/>
  <c r="AN378" i="6"/>
  <c r="AO378" i="6"/>
  <c r="AP378" i="6"/>
  <c r="AQ378" i="6"/>
  <c r="AR378" i="6"/>
  <c r="AS378" i="6"/>
  <c r="AT378" i="6"/>
  <c r="AU378" i="6"/>
  <c r="AV378" i="6"/>
  <c r="AW378" i="6"/>
  <c r="AX378" i="6"/>
  <c r="AY378" i="6"/>
  <c r="AZ378" i="6"/>
  <c r="BA378" i="6"/>
  <c r="BB378" i="6"/>
  <c r="BC378" i="6"/>
  <c r="BD378" i="6"/>
  <c r="BE378" i="6"/>
  <c r="BF378" i="6"/>
  <c r="BG378" i="6"/>
  <c r="BH378" i="6"/>
  <c r="BI378" i="6"/>
  <c r="BJ378" i="6"/>
  <c r="BK378" i="6"/>
  <c r="AL379" i="6"/>
  <c r="AM379" i="6"/>
  <c r="AN379" i="6"/>
  <c r="AO379" i="6"/>
  <c r="AP379" i="6"/>
  <c r="AQ379" i="6"/>
  <c r="AR379" i="6"/>
  <c r="AS379" i="6"/>
  <c r="AT379" i="6"/>
  <c r="AU379" i="6"/>
  <c r="AV379" i="6"/>
  <c r="AW379" i="6"/>
  <c r="AX379" i="6"/>
  <c r="AY379" i="6"/>
  <c r="AZ379" i="6"/>
  <c r="BA379" i="6"/>
  <c r="BB379" i="6"/>
  <c r="BC379" i="6"/>
  <c r="BD379" i="6"/>
  <c r="BE379" i="6"/>
  <c r="BF379" i="6"/>
  <c r="BG379" i="6"/>
  <c r="BH379" i="6"/>
  <c r="BI379" i="6"/>
  <c r="BJ379" i="6"/>
  <c r="BK379" i="6"/>
  <c r="AL380" i="6"/>
  <c r="AM380" i="6"/>
  <c r="AN380" i="6"/>
  <c r="AO380" i="6"/>
  <c r="AP380" i="6"/>
  <c r="AQ380" i="6"/>
  <c r="AR380" i="6"/>
  <c r="AS380" i="6"/>
  <c r="AT380" i="6"/>
  <c r="AU380" i="6"/>
  <c r="AV380" i="6"/>
  <c r="AW380" i="6"/>
  <c r="AX380" i="6"/>
  <c r="AY380" i="6"/>
  <c r="AZ380" i="6"/>
  <c r="BA380" i="6"/>
  <c r="BB380" i="6"/>
  <c r="BC380" i="6"/>
  <c r="BD380" i="6"/>
  <c r="BE380" i="6"/>
  <c r="BF380" i="6"/>
  <c r="BG380" i="6"/>
  <c r="BH380" i="6"/>
  <c r="BI380" i="6"/>
  <c r="BJ380" i="6"/>
  <c r="BK380" i="6"/>
  <c r="AL381" i="6"/>
  <c r="AM381" i="6"/>
  <c r="AN381" i="6"/>
  <c r="AO381" i="6"/>
  <c r="AP381" i="6"/>
  <c r="AQ381" i="6"/>
  <c r="AR381" i="6"/>
  <c r="AS381" i="6"/>
  <c r="AT381" i="6"/>
  <c r="AU381" i="6"/>
  <c r="AV381" i="6"/>
  <c r="AW381" i="6"/>
  <c r="AX381" i="6"/>
  <c r="AY381" i="6"/>
  <c r="AZ381" i="6"/>
  <c r="BA381" i="6"/>
  <c r="BB381" i="6"/>
  <c r="BC381" i="6"/>
  <c r="BD381" i="6"/>
  <c r="BE381" i="6"/>
  <c r="BF381" i="6"/>
  <c r="BG381" i="6"/>
  <c r="BH381" i="6"/>
  <c r="BI381" i="6"/>
  <c r="BJ381" i="6"/>
  <c r="BK381" i="6"/>
  <c r="AL382" i="6"/>
  <c r="AM382" i="6"/>
  <c r="AN382" i="6"/>
  <c r="AO382" i="6"/>
  <c r="AP382" i="6"/>
  <c r="AQ382" i="6"/>
  <c r="AR382" i="6"/>
  <c r="AS382" i="6"/>
  <c r="AT382" i="6"/>
  <c r="AU382" i="6"/>
  <c r="AV382" i="6"/>
  <c r="AW382" i="6"/>
  <c r="AX382" i="6"/>
  <c r="AY382" i="6"/>
  <c r="AZ382" i="6"/>
  <c r="BA382" i="6"/>
  <c r="BB382" i="6"/>
  <c r="BC382" i="6"/>
  <c r="BD382" i="6"/>
  <c r="BE382" i="6"/>
  <c r="BF382" i="6"/>
  <c r="BG382" i="6"/>
  <c r="BH382" i="6"/>
  <c r="BI382" i="6"/>
  <c r="BJ382" i="6"/>
  <c r="BK382" i="6"/>
  <c r="AL383" i="6"/>
  <c r="AM383" i="6"/>
  <c r="AN383" i="6"/>
  <c r="AO383" i="6"/>
  <c r="AP383" i="6"/>
  <c r="AQ383" i="6"/>
  <c r="AR383" i="6"/>
  <c r="AS383" i="6"/>
  <c r="AT383" i="6"/>
  <c r="AU383" i="6"/>
  <c r="AV383" i="6"/>
  <c r="AW383" i="6"/>
  <c r="AX383" i="6"/>
  <c r="AY383" i="6"/>
  <c r="AZ383" i="6"/>
  <c r="BA383" i="6"/>
  <c r="BB383" i="6"/>
  <c r="BC383" i="6"/>
  <c r="BD383" i="6"/>
  <c r="BE383" i="6"/>
  <c r="BF383" i="6"/>
  <c r="BG383" i="6"/>
  <c r="BH383" i="6"/>
  <c r="BI383" i="6"/>
  <c r="BJ383" i="6"/>
  <c r="BK383" i="6"/>
  <c r="AL384" i="6"/>
  <c r="AM384" i="6"/>
  <c r="AN384" i="6"/>
  <c r="AO384" i="6"/>
  <c r="AP384" i="6"/>
  <c r="AQ384" i="6"/>
  <c r="AR384" i="6"/>
  <c r="AS384" i="6"/>
  <c r="AT384" i="6"/>
  <c r="AU384" i="6"/>
  <c r="AV384" i="6"/>
  <c r="AW384" i="6"/>
  <c r="AX384" i="6"/>
  <c r="AY384" i="6"/>
  <c r="AZ384" i="6"/>
  <c r="BA384" i="6"/>
  <c r="BB384" i="6"/>
  <c r="BC384" i="6"/>
  <c r="BD384" i="6"/>
  <c r="BE384" i="6"/>
  <c r="BF384" i="6"/>
  <c r="BG384" i="6"/>
  <c r="BH384" i="6"/>
  <c r="BI384" i="6"/>
  <c r="BJ384" i="6"/>
  <c r="BK384" i="6"/>
  <c r="AL385" i="6"/>
  <c r="AM385" i="6"/>
  <c r="AN385" i="6"/>
  <c r="AO385" i="6"/>
  <c r="AP385" i="6"/>
  <c r="AQ385" i="6"/>
  <c r="AR385" i="6"/>
  <c r="AS385" i="6"/>
  <c r="AT385" i="6"/>
  <c r="AU385" i="6"/>
  <c r="AV385" i="6"/>
  <c r="AW385" i="6"/>
  <c r="AX385" i="6"/>
  <c r="AY385" i="6"/>
  <c r="AZ385" i="6"/>
  <c r="BA385" i="6"/>
  <c r="BB385" i="6"/>
  <c r="BC385" i="6"/>
  <c r="BD385" i="6"/>
  <c r="BE385" i="6"/>
  <c r="BF385" i="6"/>
  <c r="BG385" i="6"/>
  <c r="BH385" i="6"/>
  <c r="BI385" i="6"/>
  <c r="BJ385" i="6"/>
  <c r="BK385" i="6"/>
  <c r="AL386" i="6"/>
  <c r="AM386" i="6"/>
  <c r="AN386" i="6"/>
  <c r="AO386" i="6"/>
  <c r="AP386" i="6"/>
  <c r="AQ386" i="6"/>
  <c r="AR386" i="6"/>
  <c r="AS386" i="6"/>
  <c r="AT386" i="6"/>
  <c r="AU386" i="6"/>
  <c r="AV386" i="6"/>
  <c r="AW386" i="6"/>
  <c r="AX386" i="6"/>
  <c r="AY386" i="6"/>
  <c r="AZ386" i="6"/>
  <c r="BA386" i="6"/>
  <c r="BB386" i="6"/>
  <c r="BC386" i="6"/>
  <c r="BD386" i="6"/>
  <c r="BE386" i="6"/>
  <c r="BF386" i="6"/>
  <c r="BG386" i="6"/>
  <c r="BH386" i="6"/>
  <c r="BI386" i="6"/>
  <c r="BJ386" i="6"/>
  <c r="BK386" i="6"/>
  <c r="AL387" i="6"/>
  <c r="AM387" i="6"/>
  <c r="AN387" i="6"/>
  <c r="AO387" i="6"/>
  <c r="AP387" i="6"/>
  <c r="AQ387" i="6"/>
  <c r="AR387" i="6"/>
  <c r="AS387" i="6"/>
  <c r="AT387" i="6"/>
  <c r="AU387" i="6"/>
  <c r="AV387" i="6"/>
  <c r="AW387" i="6"/>
  <c r="AX387" i="6"/>
  <c r="AY387" i="6"/>
  <c r="AZ387" i="6"/>
  <c r="BA387" i="6"/>
  <c r="BB387" i="6"/>
  <c r="BC387" i="6"/>
  <c r="BD387" i="6"/>
  <c r="BE387" i="6"/>
  <c r="BF387" i="6"/>
  <c r="BG387" i="6"/>
  <c r="BH387" i="6"/>
  <c r="BI387" i="6"/>
  <c r="BJ387" i="6"/>
  <c r="BK387" i="6"/>
  <c r="AL388" i="6"/>
  <c r="AM388" i="6"/>
  <c r="AN388" i="6"/>
  <c r="AO388" i="6"/>
  <c r="AP388" i="6"/>
  <c r="AQ388" i="6"/>
  <c r="AR388" i="6"/>
  <c r="AS388" i="6"/>
  <c r="AT388" i="6"/>
  <c r="AU388" i="6"/>
  <c r="AV388" i="6"/>
  <c r="AW388" i="6"/>
  <c r="AX388" i="6"/>
  <c r="AY388" i="6"/>
  <c r="AZ388" i="6"/>
  <c r="BA388" i="6"/>
  <c r="BB388" i="6"/>
  <c r="BC388" i="6"/>
  <c r="BD388" i="6"/>
  <c r="BE388" i="6"/>
  <c r="BF388" i="6"/>
  <c r="BG388" i="6"/>
  <c r="BH388" i="6"/>
  <c r="BI388" i="6"/>
  <c r="BJ388" i="6"/>
  <c r="BK388" i="6"/>
  <c r="AL389" i="6"/>
  <c r="AM389" i="6"/>
  <c r="AN389" i="6"/>
  <c r="AO389" i="6"/>
  <c r="AP389" i="6"/>
  <c r="AQ389" i="6"/>
  <c r="AR389" i="6"/>
  <c r="AS389" i="6"/>
  <c r="AT389" i="6"/>
  <c r="AU389" i="6"/>
  <c r="AV389" i="6"/>
  <c r="AW389" i="6"/>
  <c r="AX389" i="6"/>
  <c r="AY389" i="6"/>
  <c r="AZ389" i="6"/>
  <c r="BA389" i="6"/>
  <c r="BB389" i="6"/>
  <c r="BC389" i="6"/>
  <c r="BD389" i="6"/>
  <c r="BE389" i="6"/>
  <c r="BF389" i="6"/>
  <c r="BG389" i="6"/>
  <c r="BH389" i="6"/>
  <c r="BI389" i="6"/>
  <c r="BJ389" i="6"/>
  <c r="BK389" i="6"/>
  <c r="AL390" i="6"/>
  <c r="AM390" i="6"/>
  <c r="AN390" i="6"/>
  <c r="AO390" i="6"/>
  <c r="AP390" i="6"/>
  <c r="AQ390" i="6"/>
  <c r="AR390" i="6"/>
  <c r="AS390" i="6"/>
  <c r="AT390" i="6"/>
  <c r="AU390" i="6"/>
  <c r="AV390" i="6"/>
  <c r="AW390" i="6"/>
  <c r="AX390" i="6"/>
  <c r="AY390" i="6"/>
  <c r="AZ390" i="6"/>
  <c r="BA390" i="6"/>
  <c r="BB390" i="6"/>
  <c r="BC390" i="6"/>
  <c r="BD390" i="6"/>
  <c r="BE390" i="6"/>
  <c r="BF390" i="6"/>
  <c r="BG390" i="6"/>
  <c r="BH390" i="6"/>
  <c r="BI390" i="6"/>
  <c r="BJ390" i="6"/>
  <c r="BK390" i="6"/>
  <c r="AL391" i="6"/>
  <c r="AM391" i="6"/>
  <c r="AN391" i="6"/>
  <c r="AO391" i="6"/>
  <c r="AP391" i="6"/>
  <c r="AQ391" i="6"/>
  <c r="AR391" i="6"/>
  <c r="AS391" i="6"/>
  <c r="AT391" i="6"/>
  <c r="AU391" i="6"/>
  <c r="AV391" i="6"/>
  <c r="AW391" i="6"/>
  <c r="AX391" i="6"/>
  <c r="AY391" i="6"/>
  <c r="AZ391" i="6"/>
  <c r="BA391" i="6"/>
  <c r="BB391" i="6"/>
  <c r="BC391" i="6"/>
  <c r="BD391" i="6"/>
  <c r="BE391" i="6"/>
  <c r="BF391" i="6"/>
  <c r="BG391" i="6"/>
  <c r="BH391" i="6"/>
  <c r="BI391" i="6"/>
  <c r="BJ391" i="6"/>
  <c r="BK391" i="6"/>
  <c r="AL392" i="6"/>
  <c r="AM392" i="6"/>
  <c r="AN392" i="6"/>
  <c r="AO392" i="6"/>
  <c r="AP392" i="6"/>
  <c r="AQ392" i="6"/>
  <c r="AR392" i="6"/>
  <c r="AS392" i="6"/>
  <c r="AT392" i="6"/>
  <c r="AU392" i="6"/>
  <c r="AV392" i="6"/>
  <c r="AW392" i="6"/>
  <c r="AX392" i="6"/>
  <c r="AY392" i="6"/>
  <c r="AZ392" i="6"/>
  <c r="BA392" i="6"/>
  <c r="BB392" i="6"/>
  <c r="BC392" i="6"/>
  <c r="BD392" i="6"/>
  <c r="BE392" i="6"/>
  <c r="BF392" i="6"/>
  <c r="BG392" i="6"/>
  <c r="BH392" i="6"/>
  <c r="BI392" i="6"/>
  <c r="BJ392" i="6"/>
  <c r="BK392" i="6"/>
  <c r="AL393" i="6"/>
  <c r="AM393" i="6"/>
  <c r="AN393" i="6"/>
  <c r="AO393" i="6"/>
  <c r="AP393" i="6"/>
  <c r="AQ393" i="6"/>
  <c r="AR393" i="6"/>
  <c r="AS393" i="6"/>
  <c r="AT393" i="6"/>
  <c r="AU393" i="6"/>
  <c r="AV393" i="6"/>
  <c r="AW393" i="6"/>
  <c r="AX393" i="6"/>
  <c r="AY393" i="6"/>
  <c r="AZ393" i="6"/>
  <c r="BA393" i="6"/>
  <c r="BB393" i="6"/>
  <c r="BC393" i="6"/>
  <c r="BD393" i="6"/>
  <c r="BE393" i="6"/>
  <c r="BF393" i="6"/>
  <c r="BG393" i="6"/>
  <c r="BH393" i="6"/>
  <c r="BI393" i="6"/>
  <c r="BJ393" i="6"/>
  <c r="BK393" i="6"/>
  <c r="AL394" i="6"/>
  <c r="AM394" i="6"/>
  <c r="AN394" i="6"/>
  <c r="AO394" i="6"/>
  <c r="AP394" i="6"/>
  <c r="AQ394" i="6"/>
  <c r="AR394" i="6"/>
  <c r="AS394" i="6"/>
  <c r="AT394" i="6"/>
  <c r="AU394" i="6"/>
  <c r="AV394" i="6"/>
  <c r="AW394" i="6"/>
  <c r="AX394" i="6"/>
  <c r="AY394" i="6"/>
  <c r="AZ394" i="6"/>
  <c r="BA394" i="6"/>
  <c r="BB394" i="6"/>
  <c r="BC394" i="6"/>
  <c r="BD394" i="6"/>
  <c r="BE394" i="6"/>
  <c r="BF394" i="6"/>
  <c r="BG394" i="6"/>
  <c r="BH394" i="6"/>
  <c r="BI394" i="6"/>
  <c r="BJ394" i="6"/>
  <c r="BK394" i="6"/>
  <c r="AL395" i="6"/>
  <c r="AM395" i="6"/>
  <c r="AN395" i="6"/>
  <c r="AO395" i="6"/>
  <c r="AP395" i="6"/>
  <c r="AQ395" i="6"/>
  <c r="AR395" i="6"/>
  <c r="AS395" i="6"/>
  <c r="AT395" i="6"/>
  <c r="AU395" i="6"/>
  <c r="AV395" i="6"/>
  <c r="AW395" i="6"/>
  <c r="AX395" i="6"/>
  <c r="AY395" i="6"/>
  <c r="AZ395" i="6"/>
  <c r="BA395" i="6"/>
  <c r="BB395" i="6"/>
  <c r="BC395" i="6"/>
  <c r="BD395" i="6"/>
  <c r="BE395" i="6"/>
  <c r="BF395" i="6"/>
  <c r="BG395" i="6"/>
  <c r="BH395" i="6"/>
  <c r="BI395" i="6"/>
  <c r="BJ395" i="6"/>
  <c r="BK395" i="6"/>
  <c r="AL396" i="6"/>
  <c r="AM396" i="6"/>
  <c r="AN396" i="6"/>
  <c r="AO396" i="6"/>
  <c r="AP396" i="6"/>
  <c r="AQ396" i="6"/>
  <c r="AR396" i="6"/>
  <c r="AS396" i="6"/>
  <c r="AT396" i="6"/>
  <c r="AU396" i="6"/>
  <c r="AV396" i="6"/>
  <c r="AW396" i="6"/>
  <c r="AX396" i="6"/>
  <c r="AY396" i="6"/>
  <c r="AZ396" i="6"/>
  <c r="BA396" i="6"/>
  <c r="BB396" i="6"/>
  <c r="BC396" i="6"/>
  <c r="BD396" i="6"/>
  <c r="BE396" i="6"/>
  <c r="BF396" i="6"/>
  <c r="BG396" i="6"/>
  <c r="BH396" i="6"/>
  <c r="BI396" i="6"/>
  <c r="BJ396" i="6"/>
  <c r="BK396" i="6"/>
  <c r="AL397" i="6"/>
  <c r="AM397" i="6"/>
  <c r="AN397" i="6"/>
  <c r="AO397" i="6"/>
  <c r="AP397" i="6"/>
  <c r="AQ397" i="6"/>
  <c r="AR397" i="6"/>
  <c r="AS397" i="6"/>
  <c r="AT397" i="6"/>
  <c r="AU397" i="6"/>
  <c r="AV397" i="6"/>
  <c r="AW397" i="6"/>
  <c r="AX397" i="6"/>
  <c r="AY397" i="6"/>
  <c r="AZ397" i="6"/>
  <c r="BA397" i="6"/>
  <c r="BB397" i="6"/>
  <c r="BC397" i="6"/>
  <c r="BD397" i="6"/>
  <c r="BE397" i="6"/>
  <c r="BF397" i="6"/>
  <c r="BG397" i="6"/>
  <c r="BH397" i="6"/>
  <c r="BI397" i="6"/>
  <c r="BJ397" i="6"/>
  <c r="BK397" i="6"/>
  <c r="AL398" i="6"/>
  <c r="AM398" i="6"/>
  <c r="AN398" i="6"/>
  <c r="AO398" i="6"/>
  <c r="AP398" i="6"/>
  <c r="AQ398" i="6"/>
  <c r="AR398" i="6"/>
  <c r="AS398" i="6"/>
  <c r="AT398" i="6"/>
  <c r="AU398" i="6"/>
  <c r="AV398" i="6"/>
  <c r="AW398" i="6"/>
  <c r="AX398" i="6"/>
  <c r="AY398" i="6"/>
  <c r="AZ398" i="6"/>
  <c r="BA398" i="6"/>
  <c r="BB398" i="6"/>
  <c r="BC398" i="6"/>
  <c r="BD398" i="6"/>
  <c r="BE398" i="6"/>
  <c r="BF398" i="6"/>
  <c r="BG398" i="6"/>
  <c r="BH398" i="6"/>
  <c r="BI398" i="6"/>
  <c r="BJ398" i="6"/>
  <c r="BK398" i="6"/>
  <c r="AL399" i="6"/>
  <c r="AM399" i="6"/>
  <c r="AN399" i="6"/>
  <c r="AO399" i="6"/>
  <c r="AP399" i="6"/>
  <c r="AQ399" i="6"/>
  <c r="AR399" i="6"/>
  <c r="AS399" i="6"/>
  <c r="AT399" i="6"/>
  <c r="AU399" i="6"/>
  <c r="AV399" i="6"/>
  <c r="AW399" i="6"/>
  <c r="AX399" i="6"/>
  <c r="AY399" i="6"/>
  <c r="AZ399" i="6"/>
  <c r="BA399" i="6"/>
  <c r="BB399" i="6"/>
  <c r="BC399" i="6"/>
  <c r="BD399" i="6"/>
  <c r="BE399" i="6"/>
  <c r="BF399" i="6"/>
  <c r="BG399" i="6"/>
  <c r="BH399" i="6"/>
  <c r="BI399" i="6"/>
  <c r="BJ399" i="6"/>
  <c r="BK399" i="6"/>
  <c r="AL400" i="6"/>
  <c r="AM400" i="6"/>
  <c r="AN400" i="6"/>
  <c r="AO400" i="6"/>
  <c r="AP400" i="6"/>
  <c r="AQ400" i="6"/>
  <c r="AR400" i="6"/>
  <c r="AS400" i="6"/>
  <c r="AT400" i="6"/>
  <c r="AU400" i="6"/>
  <c r="AV400" i="6"/>
  <c r="AW400" i="6"/>
  <c r="AX400" i="6"/>
  <c r="AY400" i="6"/>
  <c r="AZ400" i="6"/>
  <c r="BA400" i="6"/>
  <c r="BB400" i="6"/>
  <c r="BC400" i="6"/>
  <c r="BD400" i="6"/>
  <c r="BE400" i="6"/>
  <c r="BF400" i="6"/>
  <c r="BG400" i="6"/>
  <c r="BH400" i="6"/>
  <c r="BI400" i="6"/>
  <c r="BJ400" i="6"/>
  <c r="BK400" i="6"/>
  <c r="AL401" i="6"/>
  <c r="AM401" i="6"/>
  <c r="AN401" i="6"/>
  <c r="AO401" i="6"/>
  <c r="AP401" i="6"/>
  <c r="AQ401" i="6"/>
  <c r="AR401" i="6"/>
  <c r="AS401" i="6"/>
  <c r="AT401" i="6"/>
  <c r="AU401" i="6"/>
  <c r="AV401" i="6"/>
  <c r="AW401" i="6"/>
  <c r="AX401" i="6"/>
  <c r="AY401" i="6"/>
  <c r="AZ401" i="6"/>
  <c r="BA401" i="6"/>
  <c r="BB401" i="6"/>
  <c r="BC401" i="6"/>
  <c r="BD401" i="6"/>
  <c r="BE401" i="6"/>
  <c r="BF401" i="6"/>
  <c r="BG401" i="6"/>
  <c r="BH401" i="6"/>
  <c r="BI401" i="6"/>
  <c r="BJ401" i="6"/>
  <c r="BK401" i="6"/>
  <c r="AL402" i="6"/>
  <c r="AM402" i="6"/>
  <c r="AN402" i="6"/>
  <c r="AO402" i="6"/>
  <c r="AP402" i="6"/>
  <c r="AQ402" i="6"/>
  <c r="AR402" i="6"/>
  <c r="AS402" i="6"/>
  <c r="AT402" i="6"/>
  <c r="AU402" i="6"/>
  <c r="AV402" i="6"/>
  <c r="AW402" i="6"/>
  <c r="AX402" i="6"/>
  <c r="AY402" i="6"/>
  <c r="AZ402" i="6"/>
  <c r="BA402" i="6"/>
  <c r="BB402" i="6"/>
  <c r="BC402" i="6"/>
  <c r="BD402" i="6"/>
  <c r="BE402" i="6"/>
  <c r="BF402" i="6"/>
  <c r="BG402" i="6"/>
  <c r="BH402" i="6"/>
  <c r="BI402" i="6"/>
  <c r="BJ402" i="6"/>
  <c r="BK402" i="6"/>
  <c r="AL403" i="6"/>
  <c r="AM403" i="6"/>
  <c r="AN403" i="6"/>
  <c r="AO403" i="6"/>
  <c r="AP403" i="6"/>
  <c r="AQ403" i="6"/>
  <c r="AR403" i="6"/>
  <c r="AS403" i="6"/>
  <c r="AT403" i="6"/>
  <c r="AU403" i="6"/>
  <c r="AV403" i="6"/>
  <c r="AW403" i="6"/>
  <c r="AX403" i="6"/>
  <c r="AY403" i="6"/>
  <c r="AZ403" i="6"/>
  <c r="BA403" i="6"/>
  <c r="BB403" i="6"/>
  <c r="BC403" i="6"/>
  <c r="BD403" i="6"/>
  <c r="BE403" i="6"/>
  <c r="BF403" i="6"/>
  <c r="BG403" i="6"/>
  <c r="BH403" i="6"/>
  <c r="BI403" i="6"/>
  <c r="BJ403" i="6"/>
  <c r="BK403" i="6"/>
  <c r="AL404" i="6"/>
  <c r="AM404" i="6"/>
  <c r="AN404" i="6"/>
  <c r="AO404" i="6"/>
  <c r="AP404" i="6"/>
  <c r="AQ404" i="6"/>
  <c r="AR404" i="6"/>
  <c r="AS404" i="6"/>
  <c r="AT404" i="6"/>
  <c r="AU404" i="6"/>
  <c r="AV404" i="6"/>
  <c r="AW404" i="6"/>
  <c r="AX404" i="6"/>
  <c r="AY404" i="6"/>
  <c r="AZ404" i="6"/>
  <c r="BA404" i="6"/>
  <c r="BB404" i="6"/>
  <c r="BC404" i="6"/>
  <c r="BD404" i="6"/>
  <c r="BE404" i="6"/>
  <c r="BF404" i="6"/>
  <c r="BG404" i="6"/>
  <c r="BH404" i="6"/>
  <c r="BI404" i="6"/>
  <c r="BJ404" i="6"/>
  <c r="BK404" i="6"/>
  <c r="AL405" i="6"/>
  <c r="AM405" i="6"/>
  <c r="AN405" i="6"/>
  <c r="AO405" i="6"/>
  <c r="AP405" i="6"/>
  <c r="AQ405" i="6"/>
  <c r="AR405" i="6"/>
  <c r="AS405" i="6"/>
  <c r="AT405" i="6"/>
  <c r="AU405" i="6"/>
  <c r="AV405" i="6"/>
  <c r="AW405" i="6"/>
  <c r="AX405" i="6"/>
  <c r="AY405" i="6"/>
  <c r="AZ405" i="6"/>
  <c r="BA405" i="6"/>
  <c r="BB405" i="6"/>
  <c r="BC405" i="6"/>
  <c r="BD405" i="6"/>
  <c r="BE405" i="6"/>
  <c r="BF405" i="6"/>
  <c r="BG405" i="6"/>
  <c r="BH405" i="6"/>
  <c r="BI405" i="6"/>
  <c r="BJ405" i="6"/>
  <c r="BK405" i="6"/>
  <c r="AL406" i="6"/>
  <c r="AM406" i="6"/>
  <c r="AN406" i="6"/>
  <c r="AO406" i="6"/>
  <c r="AP406" i="6"/>
  <c r="AQ406" i="6"/>
  <c r="AR406" i="6"/>
  <c r="AS406" i="6"/>
  <c r="AT406" i="6"/>
  <c r="AU406" i="6"/>
  <c r="AV406" i="6"/>
  <c r="AW406" i="6"/>
  <c r="AX406" i="6"/>
  <c r="AY406" i="6"/>
  <c r="AZ406" i="6"/>
  <c r="BA406" i="6"/>
  <c r="BB406" i="6"/>
  <c r="BC406" i="6"/>
  <c r="BD406" i="6"/>
  <c r="BE406" i="6"/>
  <c r="BF406" i="6"/>
  <c r="BG406" i="6"/>
  <c r="BH406" i="6"/>
  <c r="BI406" i="6"/>
  <c r="BJ406" i="6"/>
  <c r="BK406" i="6"/>
  <c r="AL407" i="6"/>
  <c r="AM407" i="6"/>
  <c r="AN407" i="6"/>
  <c r="AO407" i="6"/>
  <c r="AP407" i="6"/>
  <c r="AQ407" i="6"/>
  <c r="AR407" i="6"/>
  <c r="AS407" i="6"/>
  <c r="AT407" i="6"/>
  <c r="AU407" i="6"/>
  <c r="AV407" i="6"/>
  <c r="AW407" i="6"/>
  <c r="AX407" i="6"/>
  <c r="AY407" i="6"/>
  <c r="AZ407" i="6"/>
  <c r="BA407" i="6"/>
  <c r="BB407" i="6"/>
  <c r="BC407" i="6"/>
  <c r="BD407" i="6"/>
  <c r="BE407" i="6"/>
  <c r="BF407" i="6"/>
  <c r="BG407" i="6"/>
  <c r="BH407" i="6"/>
  <c r="BI407" i="6"/>
  <c r="BJ407" i="6"/>
  <c r="BK407" i="6"/>
  <c r="AL408" i="6"/>
  <c r="AM408" i="6"/>
  <c r="AN408" i="6"/>
  <c r="AO408" i="6"/>
  <c r="AP408" i="6"/>
  <c r="AQ408" i="6"/>
  <c r="AR408" i="6"/>
  <c r="AS408" i="6"/>
  <c r="AT408" i="6"/>
  <c r="AU408" i="6"/>
  <c r="AV408" i="6"/>
  <c r="AW408" i="6"/>
  <c r="AX408" i="6"/>
  <c r="AY408" i="6"/>
  <c r="AZ408" i="6"/>
  <c r="BA408" i="6"/>
  <c r="BB408" i="6"/>
  <c r="BC408" i="6"/>
  <c r="BD408" i="6"/>
  <c r="BE408" i="6"/>
  <c r="BF408" i="6"/>
  <c r="BG408" i="6"/>
  <c r="BH408" i="6"/>
  <c r="BI408" i="6"/>
  <c r="BJ408" i="6"/>
  <c r="BK408" i="6"/>
  <c r="AL409" i="6"/>
  <c r="AM409" i="6"/>
  <c r="AN409" i="6"/>
  <c r="AO409" i="6"/>
  <c r="AP409" i="6"/>
  <c r="AQ409" i="6"/>
  <c r="AR409" i="6"/>
  <c r="AS409" i="6"/>
  <c r="AT409" i="6"/>
  <c r="AU409" i="6"/>
  <c r="AV409" i="6"/>
  <c r="AW409" i="6"/>
  <c r="AX409" i="6"/>
  <c r="AY409" i="6"/>
  <c r="AZ409" i="6"/>
  <c r="BA409" i="6"/>
  <c r="BB409" i="6"/>
  <c r="BC409" i="6"/>
  <c r="BD409" i="6"/>
  <c r="BE409" i="6"/>
  <c r="BF409" i="6"/>
  <c r="BG409" i="6"/>
  <c r="BH409" i="6"/>
  <c r="BI409" i="6"/>
  <c r="BJ409" i="6"/>
  <c r="BK409" i="6"/>
  <c r="AL410" i="6"/>
  <c r="AM410" i="6"/>
  <c r="AN410" i="6"/>
  <c r="AO410" i="6"/>
  <c r="AP410" i="6"/>
  <c r="AQ410" i="6"/>
  <c r="AR410" i="6"/>
  <c r="AS410" i="6"/>
  <c r="AT410" i="6"/>
  <c r="AU410" i="6"/>
  <c r="AV410" i="6"/>
  <c r="AW410" i="6"/>
  <c r="AX410" i="6"/>
  <c r="AY410" i="6"/>
  <c r="AZ410" i="6"/>
  <c r="BA410" i="6"/>
  <c r="BB410" i="6"/>
  <c r="BC410" i="6"/>
  <c r="BD410" i="6"/>
  <c r="BE410" i="6"/>
  <c r="BF410" i="6"/>
  <c r="BG410" i="6"/>
  <c r="BH410" i="6"/>
  <c r="BI410" i="6"/>
  <c r="BJ410" i="6"/>
  <c r="BK410" i="6"/>
  <c r="AL411" i="6"/>
  <c r="AM411" i="6"/>
  <c r="AN411" i="6"/>
  <c r="AO411" i="6"/>
  <c r="AP411" i="6"/>
  <c r="AQ411" i="6"/>
  <c r="AR411" i="6"/>
  <c r="AS411" i="6"/>
  <c r="AT411" i="6"/>
  <c r="AU411" i="6"/>
  <c r="AV411" i="6"/>
  <c r="AW411" i="6"/>
  <c r="AX411" i="6"/>
  <c r="AY411" i="6"/>
  <c r="AZ411" i="6"/>
  <c r="BA411" i="6"/>
  <c r="BB411" i="6"/>
  <c r="BC411" i="6"/>
  <c r="BD411" i="6"/>
  <c r="BE411" i="6"/>
  <c r="BF411" i="6"/>
  <c r="BG411" i="6"/>
  <c r="BH411" i="6"/>
  <c r="BI411" i="6"/>
  <c r="BJ411" i="6"/>
  <c r="BK411" i="6"/>
  <c r="AL412" i="6"/>
  <c r="AM412" i="6"/>
  <c r="AN412" i="6"/>
  <c r="AO412" i="6"/>
  <c r="AP412" i="6"/>
  <c r="AQ412" i="6"/>
  <c r="AR412" i="6"/>
  <c r="AS412" i="6"/>
  <c r="AT412" i="6"/>
  <c r="AU412" i="6"/>
  <c r="AV412" i="6"/>
  <c r="AW412" i="6"/>
  <c r="AX412" i="6"/>
  <c r="AY412" i="6"/>
  <c r="AZ412" i="6"/>
  <c r="BA412" i="6"/>
  <c r="BB412" i="6"/>
  <c r="BC412" i="6"/>
  <c r="BD412" i="6"/>
  <c r="BE412" i="6"/>
  <c r="BF412" i="6"/>
  <c r="BG412" i="6"/>
  <c r="BH412" i="6"/>
  <c r="BI412" i="6"/>
  <c r="BJ412" i="6"/>
  <c r="BK412" i="6"/>
  <c r="AL413" i="6"/>
  <c r="AM413" i="6"/>
  <c r="AN413" i="6"/>
  <c r="AO413" i="6"/>
  <c r="AP413" i="6"/>
  <c r="AQ413" i="6"/>
  <c r="AR413" i="6"/>
  <c r="AS413" i="6"/>
  <c r="AT413" i="6"/>
  <c r="AU413" i="6"/>
  <c r="AV413" i="6"/>
  <c r="AW413" i="6"/>
  <c r="AX413" i="6"/>
  <c r="AY413" i="6"/>
  <c r="AZ413" i="6"/>
  <c r="BA413" i="6"/>
  <c r="BB413" i="6"/>
  <c r="BC413" i="6"/>
  <c r="BD413" i="6"/>
  <c r="BE413" i="6"/>
  <c r="BF413" i="6"/>
  <c r="BG413" i="6"/>
  <c r="BH413" i="6"/>
  <c r="BI413" i="6"/>
  <c r="BJ413" i="6"/>
  <c r="BK413" i="6"/>
  <c r="AL414" i="6"/>
  <c r="AM414" i="6"/>
  <c r="AN414" i="6"/>
  <c r="AO414" i="6"/>
  <c r="AP414" i="6"/>
  <c r="AQ414" i="6"/>
  <c r="AR414" i="6"/>
  <c r="AS414" i="6"/>
  <c r="AT414" i="6"/>
  <c r="AU414" i="6"/>
  <c r="AV414" i="6"/>
  <c r="AW414" i="6"/>
  <c r="AX414" i="6"/>
  <c r="AY414" i="6"/>
  <c r="AZ414" i="6"/>
  <c r="BA414" i="6"/>
  <c r="BB414" i="6"/>
  <c r="BC414" i="6"/>
  <c r="BD414" i="6"/>
  <c r="BE414" i="6"/>
  <c r="BF414" i="6"/>
  <c r="BG414" i="6"/>
  <c r="BH414" i="6"/>
  <c r="BI414" i="6"/>
  <c r="BJ414" i="6"/>
  <c r="BK414" i="6"/>
  <c r="AL415" i="6"/>
  <c r="AM415" i="6"/>
  <c r="AN415" i="6"/>
  <c r="AO415" i="6"/>
  <c r="AP415" i="6"/>
  <c r="AQ415" i="6"/>
  <c r="AR415" i="6"/>
  <c r="AS415" i="6"/>
  <c r="AT415" i="6"/>
  <c r="AU415" i="6"/>
  <c r="AV415" i="6"/>
  <c r="AW415" i="6"/>
  <c r="AX415" i="6"/>
  <c r="AY415" i="6"/>
  <c r="AZ415" i="6"/>
  <c r="BA415" i="6"/>
  <c r="BB415" i="6"/>
  <c r="BC415" i="6"/>
  <c r="BD415" i="6"/>
  <c r="BE415" i="6"/>
  <c r="BF415" i="6"/>
  <c r="BG415" i="6"/>
  <c r="BH415" i="6"/>
  <c r="BI415" i="6"/>
  <c r="BJ415" i="6"/>
  <c r="BK415" i="6"/>
  <c r="AL416" i="6"/>
  <c r="AM416" i="6"/>
  <c r="AN416" i="6"/>
  <c r="AO416" i="6"/>
  <c r="AP416" i="6"/>
  <c r="AQ416" i="6"/>
  <c r="AR416" i="6"/>
  <c r="AS416" i="6"/>
  <c r="AT416" i="6"/>
  <c r="AU416" i="6"/>
  <c r="AV416" i="6"/>
  <c r="AW416" i="6"/>
  <c r="AX416" i="6"/>
  <c r="AY416" i="6"/>
  <c r="AZ416" i="6"/>
  <c r="BA416" i="6"/>
  <c r="BB416" i="6"/>
  <c r="BC416" i="6"/>
  <c r="BD416" i="6"/>
  <c r="BE416" i="6"/>
  <c r="BF416" i="6"/>
  <c r="BG416" i="6"/>
  <c r="BH416" i="6"/>
  <c r="BI416" i="6"/>
  <c r="BJ416" i="6"/>
  <c r="BK416" i="6"/>
  <c r="AL417" i="6"/>
  <c r="AM417" i="6"/>
  <c r="AN417" i="6"/>
  <c r="AO417" i="6"/>
  <c r="AP417" i="6"/>
  <c r="AQ417" i="6"/>
  <c r="AR417" i="6"/>
  <c r="AS417" i="6"/>
  <c r="AT417" i="6"/>
  <c r="AU417" i="6"/>
  <c r="AV417" i="6"/>
  <c r="AW417" i="6"/>
  <c r="AX417" i="6"/>
  <c r="AY417" i="6"/>
  <c r="AZ417" i="6"/>
  <c r="BA417" i="6"/>
  <c r="BB417" i="6"/>
  <c r="BC417" i="6"/>
  <c r="BD417" i="6"/>
  <c r="BE417" i="6"/>
  <c r="BF417" i="6"/>
  <c r="BG417" i="6"/>
  <c r="BH417" i="6"/>
  <c r="BI417" i="6"/>
  <c r="BJ417" i="6"/>
  <c r="BK417" i="6"/>
  <c r="AL418" i="6"/>
  <c r="AM418" i="6"/>
  <c r="AN418" i="6"/>
  <c r="AO418" i="6"/>
  <c r="AP418" i="6"/>
  <c r="AQ418" i="6"/>
  <c r="AR418" i="6"/>
  <c r="AS418" i="6"/>
  <c r="AT418" i="6"/>
  <c r="AU418" i="6"/>
  <c r="AV418" i="6"/>
  <c r="AW418" i="6"/>
  <c r="AX418" i="6"/>
  <c r="AY418" i="6"/>
  <c r="AZ418" i="6"/>
  <c r="BA418" i="6"/>
  <c r="BB418" i="6"/>
  <c r="BC418" i="6"/>
  <c r="BD418" i="6"/>
  <c r="BE418" i="6"/>
  <c r="BF418" i="6"/>
  <c r="BG418" i="6"/>
  <c r="BH418" i="6"/>
  <c r="BI418" i="6"/>
  <c r="BJ418" i="6"/>
  <c r="BK418" i="6"/>
  <c r="AL419" i="6"/>
  <c r="AM419" i="6"/>
  <c r="AN419" i="6"/>
  <c r="AO419" i="6"/>
  <c r="AP419" i="6"/>
  <c r="AQ419" i="6"/>
  <c r="AR419" i="6"/>
  <c r="AS419" i="6"/>
  <c r="AT419" i="6"/>
  <c r="AU419" i="6"/>
  <c r="AV419" i="6"/>
  <c r="AW419" i="6"/>
  <c r="AX419" i="6"/>
  <c r="AY419" i="6"/>
  <c r="AZ419" i="6"/>
  <c r="BA419" i="6"/>
  <c r="BB419" i="6"/>
  <c r="BC419" i="6"/>
  <c r="BD419" i="6"/>
  <c r="BE419" i="6"/>
  <c r="BF419" i="6"/>
  <c r="BG419" i="6"/>
  <c r="BH419" i="6"/>
  <c r="BI419" i="6"/>
  <c r="BJ419" i="6"/>
  <c r="BK419" i="6"/>
  <c r="AL420" i="6"/>
  <c r="AM420" i="6"/>
  <c r="AN420" i="6"/>
  <c r="AO420" i="6"/>
  <c r="AP420" i="6"/>
  <c r="AQ420" i="6"/>
  <c r="AR420" i="6"/>
  <c r="AS420" i="6"/>
  <c r="AT420" i="6"/>
  <c r="AU420" i="6"/>
  <c r="AV420" i="6"/>
  <c r="AW420" i="6"/>
  <c r="AX420" i="6"/>
  <c r="AY420" i="6"/>
  <c r="AZ420" i="6"/>
  <c r="BA420" i="6"/>
  <c r="BB420" i="6"/>
  <c r="BC420" i="6"/>
  <c r="BD420" i="6"/>
  <c r="BE420" i="6"/>
  <c r="BF420" i="6"/>
  <c r="BG420" i="6"/>
  <c r="BH420" i="6"/>
  <c r="BI420" i="6"/>
  <c r="BJ420" i="6"/>
  <c r="BK420" i="6"/>
  <c r="AL421" i="6"/>
  <c r="AM421" i="6"/>
  <c r="AN421" i="6"/>
  <c r="AO421" i="6"/>
  <c r="AP421" i="6"/>
  <c r="AQ421" i="6"/>
  <c r="AR421" i="6"/>
  <c r="AS421" i="6"/>
  <c r="AT421" i="6"/>
  <c r="AU421" i="6"/>
  <c r="AV421" i="6"/>
  <c r="AW421" i="6"/>
  <c r="AX421" i="6"/>
  <c r="AY421" i="6"/>
  <c r="AZ421" i="6"/>
  <c r="BA421" i="6"/>
  <c r="BB421" i="6"/>
  <c r="BC421" i="6"/>
  <c r="BD421" i="6"/>
  <c r="BE421" i="6"/>
  <c r="BF421" i="6"/>
  <c r="BG421" i="6"/>
  <c r="BH421" i="6"/>
  <c r="BI421" i="6"/>
  <c r="BJ421" i="6"/>
  <c r="BK421" i="6"/>
  <c r="AL422" i="6"/>
  <c r="AM422" i="6"/>
  <c r="AN422" i="6"/>
  <c r="AO422" i="6"/>
  <c r="AP422" i="6"/>
  <c r="AQ422" i="6"/>
  <c r="AR422" i="6"/>
  <c r="AS422" i="6"/>
  <c r="AT422" i="6"/>
  <c r="AU422" i="6"/>
  <c r="AV422" i="6"/>
  <c r="AW422" i="6"/>
  <c r="AX422" i="6"/>
  <c r="AY422" i="6"/>
  <c r="AZ422" i="6"/>
  <c r="BA422" i="6"/>
  <c r="BB422" i="6"/>
  <c r="BC422" i="6"/>
  <c r="BD422" i="6"/>
  <c r="BE422" i="6"/>
  <c r="BF422" i="6"/>
  <c r="BG422" i="6"/>
  <c r="BH422" i="6"/>
  <c r="BI422" i="6"/>
  <c r="BJ422" i="6"/>
  <c r="BK422" i="6"/>
  <c r="AL423" i="6"/>
  <c r="AM423" i="6"/>
  <c r="AN423" i="6"/>
  <c r="AO423" i="6"/>
  <c r="AP423" i="6"/>
  <c r="AQ423" i="6"/>
  <c r="AR423" i="6"/>
  <c r="AS423" i="6"/>
  <c r="AT423" i="6"/>
  <c r="AU423" i="6"/>
  <c r="AV423" i="6"/>
  <c r="AW423" i="6"/>
  <c r="AX423" i="6"/>
  <c r="AY423" i="6"/>
  <c r="AZ423" i="6"/>
  <c r="BA423" i="6"/>
  <c r="BB423" i="6"/>
  <c r="BC423" i="6"/>
  <c r="BD423" i="6"/>
  <c r="BE423" i="6"/>
  <c r="BF423" i="6"/>
  <c r="BG423" i="6"/>
  <c r="BH423" i="6"/>
  <c r="BI423" i="6"/>
  <c r="BJ423" i="6"/>
  <c r="BK423" i="6"/>
  <c r="AL424" i="6"/>
  <c r="AM424" i="6"/>
  <c r="AN424" i="6"/>
  <c r="AO424" i="6"/>
  <c r="AP424" i="6"/>
  <c r="AQ424" i="6"/>
  <c r="AR424" i="6"/>
  <c r="AS424" i="6"/>
  <c r="AT424" i="6"/>
  <c r="AU424" i="6"/>
  <c r="AV424" i="6"/>
  <c r="AW424" i="6"/>
  <c r="AX424" i="6"/>
  <c r="AY424" i="6"/>
  <c r="AZ424" i="6"/>
  <c r="BA424" i="6"/>
  <c r="BB424" i="6"/>
  <c r="BC424" i="6"/>
  <c r="BD424" i="6"/>
  <c r="BE424" i="6"/>
  <c r="BF424" i="6"/>
  <c r="BG424" i="6"/>
  <c r="BH424" i="6"/>
  <c r="BI424" i="6"/>
  <c r="BJ424" i="6"/>
  <c r="BK424" i="6"/>
  <c r="AL425" i="6"/>
  <c r="AM425" i="6"/>
  <c r="AN425" i="6"/>
  <c r="AO425" i="6"/>
  <c r="AP425" i="6"/>
  <c r="AQ425" i="6"/>
  <c r="AR425" i="6"/>
  <c r="AS425" i="6"/>
  <c r="AT425" i="6"/>
  <c r="AU425" i="6"/>
  <c r="AV425" i="6"/>
  <c r="AW425" i="6"/>
  <c r="AX425" i="6"/>
  <c r="AY425" i="6"/>
  <c r="AZ425" i="6"/>
  <c r="BA425" i="6"/>
  <c r="BB425" i="6"/>
  <c r="BC425" i="6"/>
  <c r="BD425" i="6"/>
  <c r="BE425" i="6"/>
  <c r="BF425" i="6"/>
  <c r="BG425" i="6"/>
  <c r="BH425" i="6"/>
  <c r="BI425" i="6"/>
  <c r="BJ425" i="6"/>
  <c r="BK425" i="6"/>
  <c r="AL426" i="6"/>
  <c r="AM426" i="6"/>
  <c r="AN426" i="6"/>
  <c r="AO426" i="6"/>
  <c r="AP426" i="6"/>
  <c r="AQ426" i="6"/>
  <c r="AR426" i="6"/>
  <c r="AS426" i="6"/>
  <c r="AT426" i="6"/>
  <c r="AU426" i="6"/>
  <c r="AV426" i="6"/>
  <c r="AW426" i="6"/>
  <c r="AX426" i="6"/>
  <c r="AY426" i="6"/>
  <c r="AZ426" i="6"/>
  <c r="BA426" i="6"/>
  <c r="BB426" i="6"/>
  <c r="BC426" i="6"/>
  <c r="BD426" i="6"/>
  <c r="BE426" i="6"/>
  <c r="BF426" i="6"/>
  <c r="BG426" i="6"/>
  <c r="BH426" i="6"/>
  <c r="BI426" i="6"/>
  <c r="BJ426" i="6"/>
  <c r="BK426" i="6"/>
  <c r="AL427" i="6"/>
  <c r="AM427" i="6"/>
  <c r="AN427" i="6"/>
  <c r="AO427" i="6"/>
  <c r="AP427" i="6"/>
  <c r="AQ427" i="6"/>
  <c r="AR427" i="6"/>
  <c r="AS427" i="6"/>
  <c r="AT427" i="6"/>
  <c r="AU427" i="6"/>
  <c r="AV427" i="6"/>
  <c r="AW427" i="6"/>
  <c r="AX427" i="6"/>
  <c r="AY427" i="6"/>
  <c r="AZ427" i="6"/>
  <c r="BA427" i="6"/>
  <c r="BB427" i="6"/>
  <c r="BC427" i="6"/>
  <c r="BD427" i="6"/>
  <c r="BE427" i="6"/>
  <c r="BF427" i="6"/>
  <c r="BG427" i="6"/>
  <c r="BH427" i="6"/>
  <c r="BI427" i="6"/>
  <c r="BJ427" i="6"/>
  <c r="BK427" i="6"/>
  <c r="AL428" i="6"/>
  <c r="AM428" i="6"/>
  <c r="AN428" i="6"/>
  <c r="AO428" i="6"/>
  <c r="AP428" i="6"/>
  <c r="AQ428" i="6"/>
  <c r="AR428" i="6"/>
  <c r="AS428" i="6"/>
  <c r="AT428" i="6"/>
  <c r="AU428" i="6"/>
  <c r="AV428" i="6"/>
  <c r="AW428" i="6"/>
  <c r="AX428" i="6"/>
  <c r="AY428" i="6"/>
  <c r="AZ428" i="6"/>
  <c r="BA428" i="6"/>
  <c r="BB428" i="6"/>
  <c r="BC428" i="6"/>
  <c r="BD428" i="6"/>
  <c r="BE428" i="6"/>
  <c r="BF428" i="6"/>
  <c r="BG428" i="6"/>
  <c r="BH428" i="6"/>
  <c r="BI428" i="6"/>
  <c r="BJ428" i="6"/>
  <c r="BK428" i="6"/>
  <c r="AL429" i="6"/>
  <c r="AM429" i="6"/>
  <c r="AN429" i="6"/>
  <c r="AO429" i="6"/>
  <c r="AP429" i="6"/>
  <c r="AQ429" i="6"/>
  <c r="AR429" i="6"/>
  <c r="AS429" i="6"/>
  <c r="AT429" i="6"/>
  <c r="AU429" i="6"/>
  <c r="AV429" i="6"/>
  <c r="AW429" i="6"/>
  <c r="AX429" i="6"/>
  <c r="AY429" i="6"/>
  <c r="AZ429" i="6"/>
  <c r="BA429" i="6"/>
  <c r="BB429" i="6"/>
  <c r="BC429" i="6"/>
  <c r="BD429" i="6"/>
  <c r="BE429" i="6"/>
  <c r="BF429" i="6"/>
  <c r="BG429" i="6"/>
  <c r="BH429" i="6"/>
  <c r="BI429" i="6"/>
  <c r="BJ429" i="6"/>
  <c r="BK429" i="6"/>
  <c r="AL430" i="6"/>
  <c r="AM430" i="6"/>
  <c r="AN430" i="6"/>
  <c r="AO430" i="6"/>
  <c r="AP430" i="6"/>
  <c r="AQ430" i="6"/>
  <c r="AR430" i="6"/>
  <c r="AS430" i="6"/>
  <c r="AT430" i="6"/>
  <c r="AU430" i="6"/>
  <c r="AV430" i="6"/>
  <c r="AW430" i="6"/>
  <c r="AX430" i="6"/>
  <c r="AY430" i="6"/>
  <c r="AZ430" i="6"/>
  <c r="BA430" i="6"/>
  <c r="BB430" i="6"/>
  <c r="BC430" i="6"/>
  <c r="BD430" i="6"/>
  <c r="BE430" i="6"/>
  <c r="BF430" i="6"/>
  <c r="BG430" i="6"/>
  <c r="BH430" i="6"/>
  <c r="BI430" i="6"/>
  <c r="BJ430" i="6"/>
  <c r="BK430" i="6"/>
  <c r="AL431" i="6"/>
  <c r="AM431" i="6"/>
  <c r="AN431" i="6"/>
  <c r="AO431" i="6"/>
  <c r="AP431" i="6"/>
  <c r="AQ431" i="6"/>
  <c r="AR431" i="6"/>
  <c r="AS431" i="6"/>
  <c r="AT431" i="6"/>
  <c r="AU431" i="6"/>
  <c r="AV431" i="6"/>
  <c r="AW431" i="6"/>
  <c r="AX431" i="6"/>
  <c r="AY431" i="6"/>
  <c r="AZ431" i="6"/>
  <c r="BA431" i="6"/>
  <c r="BB431" i="6"/>
  <c r="BC431" i="6"/>
  <c r="BD431" i="6"/>
  <c r="BE431" i="6"/>
  <c r="BF431" i="6"/>
  <c r="BG431" i="6"/>
  <c r="BH431" i="6"/>
  <c r="BI431" i="6"/>
  <c r="BJ431" i="6"/>
  <c r="BK431" i="6"/>
  <c r="AL432" i="6"/>
  <c r="AM432" i="6"/>
  <c r="AN432" i="6"/>
  <c r="AO432" i="6"/>
  <c r="AP432" i="6"/>
  <c r="AQ432" i="6"/>
  <c r="AR432" i="6"/>
  <c r="AS432" i="6"/>
  <c r="AT432" i="6"/>
  <c r="AU432" i="6"/>
  <c r="AV432" i="6"/>
  <c r="AW432" i="6"/>
  <c r="AX432" i="6"/>
  <c r="AY432" i="6"/>
  <c r="AZ432" i="6"/>
  <c r="BA432" i="6"/>
  <c r="BB432" i="6"/>
  <c r="BC432" i="6"/>
  <c r="BD432" i="6"/>
  <c r="BE432" i="6"/>
  <c r="BF432" i="6"/>
  <c r="BG432" i="6"/>
  <c r="BH432" i="6"/>
  <c r="BI432" i="6"/>
  <c r="BJ432" i="6"/>
  <c r="BK432" i="6"/>
  <c r="AL433" i="6"/>
  <c r="AM433" i="6"/>
  <c r="AN433" i="6"/>
  <c r="AO433" i="6"/>
  <c r="AP433" i="6"/>
  <c r="AQ433" i="6"/>
  <c r="AR433" i="6"/>
  <c r="AS433" i="6"/>
  <c r="AT433" i="6"/>
  <c r="AU433" i="6"/>
  <c r="AV433" i="6"/>
  <c r="AW433" i="6"/>
  <c r="AX433" i="6"/>
  <c r="AY433" i="6"/>
  <c r="AZ433" i="6"/>
  <c r="BA433" i="6"/>
  <c r="BB433" i="6"/>
  <c r="BC433" i="6"/>
  <c r="BD433" i="6"/>
  <c r="BE433" i="6"/>
  <c r="BF433" i="6"/>
  <c r="BG433" i="6"/>
  <c r="BH433" i="6"/>
  <c r="BI433" i="6"/>
  <c r="BJ433" i="6"/>
  <c r="BK433" i="6"/>
  <c r="AL434" i="6"/>
  <c r="AM434" i="6"/>
  <c r="AN434" i="6"/>
  <c r="AO434" i="6"/>
  <c r="AP434" i="6"/>
  <c r="AQ434" i="6"/>
  <c r="AR434" i="6"/>
  <c r="AS434" i="6"/>
  <c r="AT434" i="6"/>
  <c r="AU434" i="6"/>
  <c r="AV434" i="6"/>
  <c r="AW434" i="6"/>
  <c r="AX434" i="6"/>
  <c r="AY434" i="6"/>
  <c r="AZ434" i="6"/>
  <c r="BA434" i="6"/>
  <c r="BB434" i="6"/>
  <c r="BC434" i="6"/>
  <c r="BD434" i="6"/>
  <c r="BE434" i="6"/>
  <c r="BF434" i="6"/>
  <c r="BG434" i="6"/>
  <c r="BH434" i="6"/>
  <c r="BI434" i="6"/>
  <c r="BJ434" i="6"/>
  <c r="BK434" i="6"/>
  <c r="AL435" i="6"/>
  <c r="AM435" i="6"/>
  <c r="AN435" i="6"/>
  <c r="AO435" i="6"/>
  <c r="AP435" i="6"/>
  <c r="AQ435" i="6"/>
  <c r="AR435" i="6"/>
  <c r="AS435" i="6"/>
  <c r="AT435" i="6"/>
  <c r="AU435" i="6"/>
  <c r="AV435" i="6"/>
  <c r="AW435" i="6"/>
  <c r="AX435" i="6"/>
  <c r="AY435" i="6"/>
  <c r="AZ435" i="6"/>
  <c r="BA435" i="6"/>
  <c r="BB435" i="6"/>
  <c r="BC435" i="6"/>
  <c r="BD435" i="6"/>
  <c r="BE435" i="6"/>
  <c r="BF435" i="6"/>
  <c r="BG435" i="6"/>
  <c r="BH435" i="6"/>
  <c r="BI435" i="6"/>
  <c r="BJ435" i="6"/>
  <c r="BK435" i="6"/>
  <c r="AL436" i="6"/>
  <c r="AM436" i="6"/>
  <c r="AN436" i="6"/>
  <c r="AO436" i="6"/>
  <c r="AP436" i="6"/>
  <c r="AQ436" i="6"/>
  <c r="AR436" i="6"/>
  <c r="AS436" i="6"/>
  <c r="AT436" i="6"/>
  <c r="AU436" i="6"/>
  <c r="AV436" i="6"/>
  <c r="AW436" i="6"/>
  <c r="AX436" i="6"/>
  <c r="AY436" i="6"/>
  <c r="AZ436" i="6"/>
  <c r="BA436" i="6"/>
  <c r="BB436" i="6"/>
  <c r="BC436" i="6"/>
  <c r="BD436" i="6"/>
  <c r="BE436" i="6"/>
  <c r="BF436" i="6"/>
  <c r="BG436" i="6"/>
  <c r="BH436" i="6"/>
  <c r="BI436" i="6"/>
  <c r="BJ436" i="6"/>
  <c r="BK436" i="6"/>
  <c r="AL437" i="6"/>
  <c r="AM437" i="6"/>
  <c r="AN437" i="6"/>
  <c r="AO437" i="6"/>
  <c r="AP437" i="6"/>
  <c r="AQ437" i="6"/>
  <c r="AR437" i="6"/>
  <c r="AS437" i="6"/>
  <c r="AT437" i="6"/>
  <c r="AU437" i="6"/>
  <c r="AV437" i="6"/>
  <c r="AW437" i="6"/>
  <c r="AX437" i="6"/>
  <c r="AY437" i="6"/>
  <c r="AZ437" i="6"/>
  <c r="BA437" i="6"/>
  <c r="BB437" i="6"/>
  <c r="BC437" i="6"/>
  <c r="BD437" i="6"/>
  <c r="BE437" i="6"/>
  <c r="BF437" i="6"/>
  <c r="BG437" i="6"/>
  <c r="BH437" i="6"/>
  <c r="BI437" i="6"/>
  <c r="BJ437" i="6"/>
  <c r="BK437" i="6"/>
  <c r="AL438" i="6"/>
  <c r="AM438" i="6"/>
  <c r="AN438" i="6"/>
  <c r="AO438" i="6"/>
  <c r="AP438" i="6"/>
  <c r="AQ438" i="6"/>
  <c r="AR438" i="6"/>
  <c r="AS438" i="6"/>
  <c r="AT438" i="6"/>
  <c r="AU438" i="6"/>
  <c r="AV438" i="6"/>
  <c r="AW438" i="6"/>
  <c r="AX438" i="6"/>
  <c r="AY438" i="6"/>
  <c r="AZ438" i="6"/>
  <c r="BA438" i="6"/>
  <c r="BB438" i="6"/>
  <c r="BC438" i="6"/>
  <c r="BD438" i="6"/>
  <c r="BE438" i="6"/>
  <c r="BF438" i="6"/>
  <c r="BG438" i="6"/>
  <c r="BH438" i="6"/>
  <c r="BI438" i="6"/>
  <c r="BJ438" i="6"/>
  <c r="BK438" i="6"/>
  <c r="AL439" i="6"/>
  <c r="AM439" i="6"/>
  <c r="AN439" i="6"/>
  <c r="AO439" i="6"/>
  <c r="AP439" i="6"/>
  <c r="AQ439" i="6"/>
  <c r="AR439" i="6"/>
  <c r="AS439" i="6"/>
  <c r="AT439" i="6"/>
  <c r="AU439" i="6"/>
  <c r="AV439" i="6"/>
  <c r="AW439" i="6"/>
  <c r="AX439" i="6"/>
  <c r="AY439" i="6"/>
  <c r="AZ439" i="6"/>
  <c r="BA439" i="6"/>
  <c r="BB439" i="6"/>
  <c r="BC439" i="6"/>
  <c r="BD439" i="6"/>
  <c r="BE439" i="6"/>
  <c r="BF439" i="6"/>
  <c r="BG439" i="6"/>
  <c r="BH439" i="6"/>
  <c r="BI439" i="6"/>
  <c r="BJ439" i="6"/>
  <c r="BK439" i="6"/>
  <c r="AL440" i="6"/>
  <c r="AM440" i="6"/>
  <c r="AN440" i="6"/>
  <c r="AO440" i="6"/>
  <c r="AP440" i="6"/>
  <c r="AQ440" i="6"/>
  <c r="AR440" i="6"/>
  <c r="AS440" i="6"/>
  <c r="AT440" i="6"/>
  <c r="AU440" i="6"/>
  <c r="AV440" i="6"/>
  <c r="AW440" i="6"/>
  <c r="AX440" i="6"/>
  <c r="AY440" i="6"/>
  <c r="AZ440" i="6"/>
  <c r="BA440" i="6"/>
  <c r="BB440" i="6"/>
  <c r="BC440" i="6"/>
  <c r="BD440" i="6"/>
  <c r="BE440" i="6"/>
  <c r="BF440" i="6"/>
  <c r="BG440" i="6"/>
  <c r="BH440" i="6"/>
  <c r="BI440" i="6"/>
  <c r="BJ440" i="6"/>
  <c r="BK440" i="6"/>
  <c r="AL441" i="6"/>
  <c r="AM441" i="6"/>
  <c r="AN441" i="6"/>
  <c r="AO441" i="6"/>
  <c r="AP441" i="6"/>
  <c r="AQ441" i="6"/>
  <c r="AR441" i="6"/>
  <c r="AS441" i="6"/>
  <c r="AT441" i="6"/>
  <c r="AU441" i="6"/>
  <c r="AV441" i="6"/>
  <c r="AW441" i="6"/>
  <c r="AX441" i="6"/>
  <c r="AY441" i="6"/>
  <c r="AZ441" i="6"/>
  <c r="BA441" i="6"/>
  <c r="BB441" i="6"/>
  <c r="BC441" i="6"/>
  <c r="BD441" i="6"/>
  <c r="BE441" i="6"/>
  <c r="BF441" i="6"/>
  <c r="BG441" i="6"/>
  <c r="BH441" i="6"/>
  <c r="BI441" i="6"/>
  <c r="BJ441" i="6"/>
  <c r="BK441" i="6"/>
  <c r="AL442" i="6"/>
  <c r="AM442" i="6"/>
  <c r="AN442" i="6"/>
  <c r="AO442" i="6"/>
  <c r="AP442" i="6"/>
  <c r="AQ442" i="6"/>
  <c r="AR442" i="6"/>
  <c r="AS442" i="6"/>
  <c r="AT442" i="6"/>
  <c r="AU442" i="6"/>
  <c r="AV442" i="6"/>
  <c r="AW442" i="6"/>
  <c r="AX442" i="6"/>
  <c r="AY442" i="6"/>
  <c r="AZ442" i="6"/>
  <c r="BA442" i="6"/>
  <c r="BB442" i="6"/>
  <c r="BC442" i="6"/>
  <c r="BD442" i="6"/>
  <c r="BE442" i="6"/>
  <c r="BF442" i="6"/>
  <c r="BG442" i="6"/>
  <c r="BH442" i="6"/>
  <c r="BI442" i="6"/>
  <c r="BJ442" i="6"/>
  <c r="BK442" i="6"/>
  <c r="AL443" i="6"/>
  <c r="AM443" i="6"/>
  <c r="AN443" i="6"/>
  <c r="AO443" i="6"/>
  <c r="AP443" i="6"/>
  <c r="AQ443" i="6"/>
  <c r="AR443" i="6"/>
  <c r="AS443" i="6"/>
  <c r="AT443" i="6"/>
  <c r="AU443" i="6"/>
  <c r="AV443" i="6"/>
  <c r="AW443" i="6"/>
  <c r="AX443" i="6"/>
  <c r="AY443" i="6"/>
  <c r="AZ443" i="6"/>
  <c r="BA443" i="6"/>
  <c r="BB443" i="6"/>
  <c r="BC443" i="6"/>
  <c r="BD443" i="6"/>
  <c r="BE443" i="6"/>
  <c r="BF443" i="6"/>
  <c r="BG443" i="6"/>
  <c r="BH443" i="6"/>
  <c r="BI443" i="6"/>
  <c r="BJ443" i="6"/>
  <c r="BK443" i="6"/>
  <c r="AL444" i="6"/>
  <c r="AM444" i="6"/>
  <c r="AN444" i="6"/>
  <c r="AO444" i="6"/>
  <c r="AP444" i="6"/>
  <c r="AQ444" i="6"/>
  <c r="AR444" i="6"/>
  <c r="AS444" i="6"/>
  <c r="AT444" i="6"/>
  <c r="AU444" i="6"/>
  <c r="AV444" i="6"/>
  <c r="AW444" i="6"/>
  <c r="AX444" i="6"/>
  <c r="AY444" i="6"/>
  <c r="AZ444" i="6"/>
  <c r="BA444" i="6"/>
  <c r="BB444" i="6"/>
  <c r="BC444" i="6"/>
  <c r="BD444" i="6"/>
  <c r="BE444" i="6"/>
  <c r="BF444" i="6"/>
  <c r="BG444" i="6"/>
  <c r="BH444" i="6"/>
  <c r="BI444" i="6"/>
  <c r="BJ444" i="6"/>
  <c r="BK444" i="6"/>
  <c r="AL445" i="6"/>
  <c r="AM445" i="6"/>
  <c r="AN445" i="6"/>
  <c r="AO445" i="6"/>
  <c r="AP445" i="6"/>
  <c r="AQ445" i="6"/>
  <c r="AR445" i="6"/>
  <c r="AS445" i="6"/>
  <c r="AT445" i="6"/>
  <c r="AU445" i="6"/>
  <c r="AV445" i="6"/>
  <c r="AW445" i="6"/>
  <c r="AX445" i="6"/>
  <c r="AY445" i="6"/>
  <c r="AZ445" i="6"/>
  <c r="BA445" i="6"/>
  <c r="BB445" i="6"/>
  <c r="BC445" i="6"/>
  <c r="BD445" i="6"/>
  <c r="BE445" i="6"/>
  <c r="BF445" i="6"/>
  <c r="BG445" i="6"/>
  <c r="BH445" i="6"/>
  <c r="BI445" i="6"/>
  <c r="BJ445" i="6"/>
  <c r="BK445" i="6"/>
  <c r="AL446" i="6"/>
  <c r="AM446" i="6"/>
  <c r="AN446" i="6"/>
  <c r="AO446" i="6"/>
  <c r="AP446" i="6"/>
  <c r="AQ446" i="6"/>
  <c r="AR446" i="6"/>
  <c r="AS446" i="6"/>
  <c r="AT446" i="6"/>
  <c r="AU446" i="6"/>
  <c r="AV446" i="6"/>
  <c r="AW446" i="6"/>
  <c r="AX446" i="6"/>
  <c r="AY446" i="6"/>
  <c r="AZ446" i="6"/>
  <c r="BA446" i="6"/>
  <c r="BB446" i="6"/>
  <c r="BC446" i="6"/>
  <c r="BD446" i="6"/>
  <c r="BE446" i="6"/>
  <c r="BF446" i="6"/>
  <c r="BG446" i="6"/>
  <c r="BH446" i="6"/>
  <c r="BI446" i="6"/>
  <c r="BJ446" i="6"/>
  <c r="BK446" i="6"/>
  <c r="AL447" i="6"/>
  <c r="AM447" i="6"/>
  <c r="AN447" i="6"/>
  <c r="AO447" i="6"/>
  <c r="AP447" i="6"/>
  <c r="AQ447" i="6"/>
  <c r="AR447" i="6"/>
  <c r="AS447" i="6"/>
  <c r="AT447" i="6"/>
  <c r="AU447" i="6"/>
  <c r="AV447" i="6"/>
  <c r="AW447" i="6"/>
  <c r="AX447" i="6"/>
  <c r="AY447" i="6"/>
  <c r="AZ447" i="6"/>
  <c r="BA447" i="6"/>
  <c r="BB447" i="6"/>
  <c r="BC447" i="6"/>
  <c r="BD447" i="6"/>
  <c r="BE447" i="6"/>
  <c r="BF447" i="6"/>
  <c r="BG447" i="6"/>
  <c r="BH447" i="6"/>
  <c r="BI447" i="6"/>
  <c r="BJ447" i="6"/>
  <c r="BK447" i="6"/>
  <c r="AL448" i="6"/>
  <c r="AM448" i="6"/>
  <c r="AN448" i="6"/>
  <c r="AO448" i="6"/>
  <c r="AP448" i="6"/>
  <c r="AQ448" i="6"/>
  <c r="AR448" i="6"/>
  <c r="AS448" i="6"/>
  <c r="AT448" i="6"/>
  <c r="AU448" i="6"/>
  <c r="AV448" i="6"/>
  <c r="AW448" i="6"/>
  <c r="AX448" i="6"/>
  <c r="AY448" i="6"/>
  <c r="AZ448" i="6"/>
  <c r="BA448" i="6"/>
  <c r="BB448" i="6"/>
  <c r="BC448" i="6"/>
  <c r="BD448" i="6"/>
  <c r="BE448" i="6"/>
  <c r="BF448" i="6"/>
  <c r="BG448" i="6"/>
  <c r="BH448" i="6"/>
  <c r="BI448" i="6"/>
  <c r="BJ448" i="6"/>
  <c r="BK448" i="6"/>
  <c r="AL449" i="6"/>
  <c r="AM449" i="6"/>
  <c r="AN449" i="6"/>
  <c r="AO449" i="6"/>
  <c r="AP449" i="6"/>
  <c r="AQ449" i="6"/>
  <c r="AR449" i="6"/>
  <c r="AS449" i="6"/>
  <c r="AT449" i="6"/>
  <c r="AU449" i="6"/>
  <c r="AV449" i="6"/>
  <c r="AW449" i="6"/>
  <c r="AX449" i="6"/>
  <c r="AY449" i="6"/>
  <c r="AZ449" i="6"/>
  <c r="BA449" i="6"/>
  <c r="BB449" i="6"/>
  <c r="BC449" i="6"/>
  <c r="BD449" i="6"/>
  <c r="BE449" i="6"/>
  <c r="BF449" i="6"/>
  <c r="BG449" i="6"/>
  <c r="BH449" i="6"/>
  <c r="BI449" i="6"/>
  <c r="BJ449" i="6"/>
  <c r="BK449" i="6"/>
  <c r="AL450" i="6"/>
  <c r="AM450" i="6"/>
  <c r="AN450" i="6"/>
  <c r="AO450" i="6"/>
  <c r="AP450" i="6"/>
  <c r="AQ450" i="6"/>
  <c r="AR450" i="6"/>
  <c r="AS450" i="6"/>
  <c r="AT450" i="6"/>
  <c r="AU450" i="6"/>
  <c r="AV450" i="6"/>
  <c r="AW450" i="6"/>
  <c r="AX450" i="6"/>
  <c r="AY450" i="6"/>
  <c r="AZ450" i="6"/>
  <c r="BA450" i="6"/>
  <c r="BB450" i="6"/>
  <c r="BC450" i="6"/>
  <c r="BD450" i="6"/>
  <c r="BE450" i="6"/>
  <c r="BF450" i="6"/>
  <c r="BG450" i="6"/>
  <c r="BH450" i="6"/>
  <c r="BI450" i="6"/>
  <c r="BJ450" i="6"/>
  <c r="BK450" i="6"/>
  <c r="AL451" i="6"/>
  <c r="AM451" i="6"/>
  <c r="AN451" i="6"/>
  <c r="AO451" i="6"/>
  <c r="AP451" i="6"/>
  <c r="AQ451" i="6"/>
  <c r="AR451" i="6"/>
  <c r="AS451" i="6"/>
  <c r="AT451" i="6"/>
  <c r="AU451" i="6"/>
  <c r="AV451" i="6"/>
  <c r="AW451" i="6"/>
  <c r="AX451" i="6"/>
  <c r="AY451" i="6"/>
  <c r="AZ451" i="6"/>
  <c r="BA451" i="6"/>
  <c r="BB451" i="6"/>
  <c r="BC451" i="6"/>
  <c r="BD451" i="6"/>
  <c r="BE451" i="6"/>
  <c r="BF451" i="6"/>
  <c r="BG451" i="6"/>
  <c r="BH451" i="6"/>
  <c r="BI451" i="6"/>
  <c r="BJ451" i="6"/>
  <c r="BK451" i="6"/>
  <c r="AL452" i="6"/>
  <c r="AM452" i="6"/>
  <c r="AN452" i="6"/>
  <c r="AO452" i="6"/>
  <c r="AP452" i="6"/>
  <c r="AQ452" i="6"/>
  <c r="AR452" i="6"/>
  <c r="AS452" i="6"/>
  <c r="AT452" i="6"/>
  <c r="AU452" i="6"/>
  <c r="AV452" i="6"/>
  <c r="AW452" i="6"/>
  <c r="AX452" i="6"/>
  <c r="AY452" i="6"/>
  <c r="AZ452" i="6"/>
  <c r="BA452" i="6"/>
  <c r="BB452" i="6"/>
  <c r="BC452" i="6"/>
  <c r="BD452" i="6"/>
  <c r="BE452" i="6"/>
  <c r="BF452" i="6"/>
  <c r="BG452" i="6"/>
  <c r="BH452" i="6"/>
  <c r="BI452" i="6"/>
  <c r="BJ452" i="6"/>
  <c r="BK452" i="6"/>
  <c r="AL453" i="6"/>
  <c r="AM453" i="6"/>
  <c r="AN453" i="6"/>
  <c r="AO453" i="6"/>
  <c r="AP453" i="6"/>
  <c r="AQ453" i="6"/>
  <c r="AR453" i="6"/>
  <c r="AS453" i="6"/>
  <c r="AT453" i="6"/>
  <c r="AU453" i="6"/>
  <c r="AV453" i="6"/>
  <c r="AW453" i="6"/>
  <c r="AX453" i="6"/>
  <c r="AY453" i="6"/>
  <c r="AZ453" i="6"/>
  <c r="BA453" i="6"/>
  <c r="BB453" i="6"/>
  <c r="BC453" i="6"/>
  <c r="BD453" i="6"/>
  <c r="BE453" i="6"/>
  <c r="BF453" i="6"/>
  <c r="BG453" i="6"/>
  <c r="BH453" i="6"/>
  <c r="BI453" i="6"/>
  <c r="BJ453" i="6"/>
  <c r="BK453" i="6"/>
  <c r="AL454" i="6"/>
  <c r="AM454" i="6"/>
  <c r="AN454" i="6"/>
  <c r="AO454" i="6"/>
  <c r="AP454" i="6"/>
  <c r="AQ454" i="6"/>
  <c r="AR454" i="6"/>
  <c r="AS454" i="6"/>
  <c r="AT454" i="6"/>
  <c r="AU454" i="6"/>
  <c r="AV454" i="6"/>
  <c r="AW454" i="6"/>
  <c r="AX454" i="6"/>
  <c r="AY454" i="6"/>
  <c r="AZ454" i="6"/>
  <c r="BA454" i="6"/>
  <c r="BB454" i="6"/>
  <c r="BC454" i="6"/>
  <c r="BD454" i="6"/>
  <c r="BE454" i="6"/>
  <c r="BF454" i="6"/>
  <c r="BG454" i="6"/>
  <c r="BH454" i="6"/>
  <c r="BI454" i="6"/>
  <c r="BJ454" i="6"/>
  <c r="BK454" i="6"/>
  <c r="AL455" i="6"/>
  <c r="AM455" i="6"/>
  <c r="AN455" i="6"/>
  <c r="AO455" i="6"/>
  <c r="AP455" i="6"/>
  <c r="AQ455" i="6"/>
  <c r="AR455" i="6"/>
  <c r="AS455" i="6"/>
  <c r="AT455" i="6"/>
  <c r="AU455" i="6"/>
  <c r="AV455" i="6"/>
  <c r="AW455" i="6"/>
  <c r="AX455" i="6"/>
  <c r="AY455" i="6"/>
  <c r="AZ455" i="6"/>
  <c r="BA455" i="6"/>
  <c r="BB455" i="6"/>
  <c r="BC455" i="6"/>
  <c r="BD455" i="6"/>
  <c r="BE455" i="6"/>
  <c r="BF455" i="6"/>
  <c r="BG455" i="6"/>
  <c r="BH455" i="6"/>
  <c r="BI455" i="6"/>
  <c r="BJ455" i="6"/>
  <c r="BK455" i="6"/>
  <c r="AL456" i="6"/>
  <c r="AM456" i="6"/>
  <c r="AN456" i="6"/>
  <c r="AO456" i="6"/>
  <c r="AP456" i="6"/>
  <c r="AQ456" i="6"/>
  <c r="AR456" i="6"/>
  <c r="AS456" i="6"/>
  <c r="AT456" i="6"/>
  <c r="AU456" i="6"/>
  <c r="AV456" i="6"/>
  <c r="AW456" i="6"/>
  <c r="AX456" i="6"/>
  <c r="AY456" i="6"/>
  <c r="AZ456" i="6"/>
  <c r="BA456" i="6"/>
  <c r="BB456" i="6"/>
  <c r="BC456" i="6"/>
  <c r="BD456" i="6"/>
  <c r="BE456" i="6"/>
  <c r="BF456" i="6"/>
  <c r="BG456" i="6"/>
  <c r="BH456" i="6"/>
  <c r="BI456" i="6"/>
  <c r="BJ456" i="6"/>
  <c r="BK456" i="6"/>
  <c r="AL457" i="6"/>
  <c r="AM457" i="6"/>
  <c r="AN457" i="6"/>
  <c r="AO457" i="6"/>
  <c r="AP457" i="6"/>
  <c r="AQ457" i="6"/>
  <c r="AR457" i="6"/>
  <c r="AS457" i="6"/>
  <c r="AT457" i="6"/>
  <c r="AU457" i="6"/>
  <c r="AV457" i="6"/>
  <c r="AW457" i="6"/>
  <c r="AX457" i="6"/>
  <c r="AY457" i="6"/>
  <c r="AZ457" i="6"/>
  <c r="BA457" i="6"/>
  <c r="BB457" i="6"/>
  <c r="BC457" i="6"/>
  <c r="BD457" i="6"/>
  <c r="BE457" i="6"/>
  <c r="BF457" i="6"/>
  <c r="BG457" i="6"/>
  <c r="BH457" i="6"/>
  <c r="BI457" i="6"/>
  <c r="BJ457" i="6"/>
  <c r="BK457" i="6"/>
  <c r="AL458" i="6"/>
  <c r="AM458" i="6"/>
  <c r="AN458" i="6"/>
  <c r="AO458" i="6"/>
  <c r="AP458" i="6"/>
  <c r="AQ458" i="6"/>
  <c r="AR458" i="6"/>
  <c r="AS458" i="6"/>
  <c r="AT458" i="6"/>
  <c r="AU458" i="6"/>
  <c r="AV458" i="6"/>
  <c r="AW458" i="6"/>
  <c r="AX458" i="6"/>
  <c r="AY458" i="6"/>
  <c r="AZ458" i="6"/>
  <c r="BA458" i="6"/>
  <c r="BB458" i="6"/>
  <c r="BC458" i="6"/>
  <c r="BD458" i="6"/>
  <c r="BE458" i="6"/>
  <c r="BF458" i="6"/>
  <c r="BG458" i="6"/>
  <c r="BH458" i="6"/>
  <c r="BI458" i="6"/>
  <c r="BJ458" i="6"/>
  <c r="BK458" i="6"/>
  <c r="AL459" i="6"/>
  <c r="AM459" i="6"/>
  <c r="AN459" i="6"/>
  <c r="AO459" i="6"/>
  <c r="AP459" i="6"/>
  <c r="AQ459" i="6"/>
  <c r="AR459" i="6"/>
  <c r="AS459" i="6"/>
  <c r="AT459" i="6"/>
  <c r="AU459" i="6"/>
  <c r="AV459" i="6"/>
  <c r="AW459" i="6"/>
  <c r="AX459" i="6"/>
  <c r="AY459" i="6"/>
  <c r="AZ459" i="6"/>
  <c r="BA459" i="6"/>
  <c r="BB459" i="6"/>
  <c r="BC459" i="6"/>
  <c r="BD459" i="6"/>
  <c r="BE459" i="6"/>
  <c r="BF459" i="6"/>
  <c r="BG459" i="6"/>
  <c r="BH459" i="6"/>
  <c r="BI459" i="6"/>
  <c r="BJ459" i="6"/>
  <c r="BK459" i="6"/>
  <c r="AL460" i="6"/>
  <c r="AM460" i="6"/>
  <c r="AN460" i="6"/>
  <c r="AO460" i="6"/>
  <c r="AP460" i="6"/>
  <c r="AQ460" i="6"/>
  <c r="AR460" i="6"/>
  <c r="AS460" i="6"/>
  <c r="AT460" i="6"/>
  <c r="AU460" i="6"/>
  <c r="AV460" i="6"/>
  <c r="AW460" i="6"/>
  <c r="AX460" i="6"/>
  <c r="AY460" i="6"/>
  <c r="AZ460" i="6"/>
  <c r="BA460" i="6"/>
  <c r="BB460" i="6"/>
  <c r="BC460" i="6"/>
  <c r="BD460" i="6"/>
  <c r="BE460" i="6"/>
  <c r="BF460" i="6"/>
  <c r="BG460" i="6"/>
  <c r="BH460" i="6"/>
  <c r="BI460" i="6"/>
  <c r="BJ460" i="6"/>
  <c r="BK460" i="6"/>
  <c r="AL461" i="6"/>
  <c r="AM461" i="6"/>
  <c r="AN461" i="6"/>
  <c r="AO461" i="6"/>
  <c r="AP461" i="6"/>
  <c r="AQ461" i="6"/>
  <c r="AR461" i="6"/>
  <c r="AS461" i="6"/>
  <c r="AT461" i="6"/>
  <c r="AU461" i="6"/>
  <c r="AV461" i="6"/>
  <c r="AW461" i="6"/>
  <c r="AX461" i="6"/>
  <c r="AY461" i="6"/>
  <c r="AZ461" i="6"/>
  <c r="BA461" i="6"/>
  <c r="BB461" i="6"/>
  <c r="BC461" i="6"/>
  <c r="BD461" i="6"/>
  <c r="BE461" i="6"/>
  <c r="BF461" i="6"/>
  <c r="BG461" i="6"/>
  <c r="BH461" i="6"/>
  <c r="BI461" i="6"/>
  <c r="BJ461" i="6"/>
  <c r="BK461" i="6"/>
  <c r="AL462" i="6"/>
  <c r="AM462" i="6"/>
  <c r="AN462" i="6"/>
  <c r="AO462" i="6"/>
  <c r="AP462" i="6"/>
  <c r="AQ462" i="6"/>
  <c r="AR462" i="6"/>
  <c r="AS462" i="6"/>
  <c r="AT462" i="6"/>
  <c r="AU462" i="6"/>
  <c r="AV462" i="6"/>
  <c r="AW462" i="6"/>
  <c r="AX462" i="6"/>
  <c r="AY462" i="6"/>
  <c r="AZ462" i="6"/>
  <c r="BA462" i="6"/>
  <c r="BB462" i="6"/>
  <c r="BC462" i="6"/>
  <c r="BD462" i="6"/>
  <c r="BE462" i="6"/>
  <c r="BF462" i="6"/>
  <c r="BG462" i="6"/>
  <c r="BH462" i="6"/>
  <c r="BI462" i="6"/>
  <c r="BJ462" i="6"/>
  <c r="BK462" i="6"/>
  <c r="AL463" i="6"/>
  <c r="AM463" i="6"/>
  <c r="AN463" i="6"/>
  <c r="AO463" i="6"/>
  <c r="AP463" i="6"/>
  <c r="AQ463" i="6"/>
  <c r="AR463" i="6"/>
  <c r="AS463" i="6"/>
  <c r="AT463" i="6"/>
  <c r="AU463" i="6"/>
  <c r="AV463" i="6"/>
  <c r="AW463" i="6"/>
  <c r="AX463" i="6"/>
  <c r="AY463" i="6"/>
  <c r="AZ463" i="6"/>
  <c r="BA463" i="6"/>
  <c r="BB463" i="6"/>
  <c r="BC463" i="6"/>
  <c r="BD463" i="6"/>
  <c r="BE463" i="6"/>
  <c r="BF463" i="6"/>
  <c r="BG463" i="6"/>
  <c r="BH463" i="6"/>
  <c r="BI463" i="6"/>
  <c r="BJ463" i="6"/>
  <c r="BK463" i="6"/>
  <c r="AL464" i="6"/>
  <c r="AM464" i="6"/>
  <c r="AN464" i="6"/>
  <c r="AO464" i="6"/>
  <c r="AP464" i="6"/>
  <c r="AQ464" i="6"/>
  <c r="AR464" i="6"/>
  <c r="AS464" i="6"/>
  <c r="AT464" i="6"/>
  <c r="AU464" i="6"/>
  <c r="AV464" i="6"/>
  <c r="AW464" i="6"/>
  <c r="AX464" i="6"/>
  <c r="AY464" i="6"/>
  <c r="AZ464" i="6"/>
  <c r="BA464" i="6"/>
  <c r="BB464" i="6"/>
  <c r="BC464" i="6"/>
  <c r="BD464" i="6"/>
  <c r="BE464" i="6"/>
  <c r="BF464" i="6"/>
  <c r="BG464" i="6"/>
  <c r="BH464" i="6"/>
  <c r="BI464" i="6"/>
  <c r="BJ464" i="6"/>
  <c r="BK464" i="6"/>
  <c r="AL465" i="6"/>
  <c r="AM465" i="6"/>
  <c r="AN465" i="6"/>
  <c r="AO465" i="6"/>
  <c r="AP465" i="6"/>
  <c r="AQ465" i="6"/>
  <c r="AR465" i="6"/>
  <c r="AS465" i="6"/>
  <c r="AT465" i="6"/>
  <c r="AU465" i="6"/>
  <c r="AV465" i="6"/>
  <c r="AW465" i="6"/>
  <c r="AX465" i="6"/>
  <c r="AY465" i="6"/>
  <c r="AZ465" i="6"/>
  <c r="BA465" i="6"/>
  <c r="BB465" i="6"/>
  <c r="BC465" i="6"/>
  <c r="BD465" i="6"/>
  <c r="BE465" i="6"/>
  <c r="BF465" i="6"/>
  <c r="BG465" i="6"/>
  <c r="BH465" i="6"/>
  <c r="BI465" i="6"/>
  <c r="BJ465" i="6"/>
  <c r="BK465" i="6"/>
  <c r="AL466" i="6"/>
  <c r="AM466" i="6"/>
  <c r="AN466" i="6"/>
  <c r="AO466" i="6"/>
  <c r="AP466" i="6"/>
  <c r="AQ466" i="6"/>
  <c r="AR466" i="6"/>
  <c r="AS466" i="6"/>
  <c r="AT466" i="6"/>
  <c r="AU466" i="6"/>
  <c r="AV466" i="6"/>
  <c r="AW466" i="6"/>
  <c r="AX466" i="6"/>
  <c r="AY466" i="6"/>
  <c r="AZ466" i="6"/>
  <c r="BA466" i="6"/>
  <c r="BB466" i="6"/>
  <c r="BC466" i="6"/>
  <c r="BD466" i="6"/>
  <c r="BE466" i="6"/>
  <c r="BF466" i="6"/>
  <c r="BG466" i="6"/>
  <c r="BH466" i="6"/>
  <c r="BI466" i="6"/>
  <c r="BJ466" i="6"/>
  <c r="BK466" i="6"/>
  <c r="AL467" i="6"/>
  <c r="AM467" i="6"/>
  <c r="AN467" i="6"/>
  <c r="AO467" i="6"/>
  <c r="AP467" i="6"/>
  <c r="AQ467" i="6"/>
  <c r="AR467" i="6"/>
  <c r="AS467" i="6"/>
  <c r="AT467" i="6"/>
  <c r="AU467" i="6"/>
  <c r="AV467" i="6"/>
  <c r="AW467" i="6"/>
  <c r="AX467" i="6"/>
  <c r="AY467" i="6"/>
  <c r="AZ467" i="6"/>
  <c r="BA467" i="6"/>
  <c r="BB467" i="6"/>
  <c r="BC467" i="6"/>
  <c r="BD467" i="6"/>
  <c r="BE467" i="6"/>
  <c r="BF467" i="6"/>
  <c r="BG467" i="6"/>
  <c r="BH467" i="6"/>
  <c r="BI467" i="6"/>
  <c r="BJ467" i="6"/>
  <c r="BK467" i="6"/>
  <c r="AL468" i="6"/>
  <c r="AM468" i="6"/>
  <c r="AN468" i="6"/>
  <c r="AO468" i="6"/>
  <c r="AP468" i="6"/>
  <c r="AQ468" i="6"/>
  <c r="AR468" i="6"/>
  <c r="AS468" i="6"/>
  <c r="AT468" i="6"/>
  <c r="AU468" i="6"/>
  <c r="AV468" i="6"/>
  <c r="AW468" i="6"/>
  <c r="AX468" i="6"/>
  <c r="AY468" i="6"/>
  <c r="AZ468" i="6"/>
  <c r="BA468" i="6"/>
  <c r="BB468" i="6"/>
  <c r="BC468" i="6"/>
  <c r="BD468" i="6"/>
  <c r="BE468" i="6"/>
  <c r="BF468" i="6"/>
  <c r="BG468" i="6"/>
  <c r="BH468" i="6"/>
  <c r="BI468" i="6"/>
  <c r="BJ468" i="6"/>
  <c r="BK468" i="6"/>
  <c r="AL469" i="6"/>
  <c r="AM469" i="6"/>
  <c r="AN469" i="6"/>
  <c r="AO469" i="6"/>
  <c r="AP469" i="6"/>
  <c r="AQ469" i="6"/>
  <c r="AR469" i="6"/>
  <c r="AS469" i="6"/>
  <c r="AT469" i="6"/>
  <c r="AU469" i="6"/>
  <c r="AV469" i="6"/>
  <c r="AW469" i="6"/>
  <c r="AX469" i="6"/>
  <c r="AY469" i="6"/>
  <c r="AZ469" i="6"/>
  <c r="BA469" i="6"/>
  <c r="BB469" i="6"/>
  <c r="BC469" i="6"/>
  <c r="BD469" i="6"/>
  <c r="BE469" i="6"/>
  <c r="BF469" i="6"/>
  <c r="BG469" i="6"/>
  <c r="BH469" i="6"/>
  <c r="BI469" i="6"/>
  <c r="BJ469" i="6"/>
  <c r="BK469" i="6"/>
  <c r="AL470" i="6"/>
  <c r="AM470" i="6"/>
  <c r="AN470" i="6"/>
  <c r="AO470" i="6"/>
  <c r="AP470" i="6"/>
  <c r="AQ470" i="6"/>
  <c r="AR470" i="6"/>
  <c r="AS470" i="6"/>
  <c r="AT470" i="6"/>
  <c r="AU470" i="6"/>
  <c r="AV470" i="6"/>
  <c r="AW470" i="6"/>
  <c r="AX470" i="6"/>
  <c r="AY470" i="6"/>
  <c r="AZ470" i="6"/>
  <c r="BA470" i="6"/>
  <c r="BB470" i="6"/>
  <c r="BC470" i="6"/>
  <c r="BD470" i="6"/>
  <c r="BE470" i="6"/>
  <c r="BF470" i="6"/>
  <c r="BG470" i="6"/>
  <c r="BH470" i="6"/>
  <c r="BI470" i="6"/>
  <c r="BJ470" i="6"/>
  <c r="BK470" i="6"/>
  <c r="AL471" i="6"/>
  <c r="AM471" i="6"/>
  <c r="AN471" i="6"/>
  <c r="AO471" i="6"/>
  <c r="AP471" i="6"/>
  <c r="AQ471" i="6"/>
  <c r="AR471" i="6"/>
  <c r="AS471" i="6"/>
  <c r="AT471" i="6"/>
  <c r="AU471" i="6"/>
  <c r="AV471" i="6"/>
  <c r="AW471" i="6"/>
  <c r="AX471" i="6"/>
  <c r="AY471" i="6"/>
  <c r="AZ471" i="6"/>
  <c r="BA471" i="6"/>
  <c r="BB471" i="6"/>
  <c r="BC471" i="6"/>
  <c r="BD471" i="6"/>
  <c r="BE471" i="6"/>
  <c r="BF471" i="6"/>
  <c r="BG471" i="6"/>
  <c r="BH471" i="6"/>
  <c r="BI471" i="6"/>
  <c r="BJ471" i="6"/>
  <c r="BK471" i="6"/>
  <c r="AL472" i="6"/>
  <c r="AM472" i="6"/>
  <c r="AN472" i="6"/>
  <c r="AO472" i="6"/>
  <c r="AP472" i="6"/>
  <c r="AQ472" i="6"/>
  <c r="AR472" i="6"/>
  <c r="AS472" i="6"/>
  <c r="AT472" i="6"/>
  <c r="AU472" i="6"/>
  <c r="AV472" i="6"/>
  <c r="AW472" i="6"/>
  <c r="AX472" i="6"/>
  <c r="AY472" i="6"/>
  <c r="AZ472" i="6"/>
  <c r="BA472" i="6"/>
  <c r="BB472" i="6"/>
  <c r="BC472" i="6"/>
  <c r="BD472" i="6"/>
  <c r="BE472" i="6"/>
  <c r="BF472" i="6"/>
  <c r="BG472" i="6"/>
  <c r="BH472" i="6"/>
  <c r="BI472" i="6"/>
  <c r="BJ472" i="6"/>
  <c r="BK472" i="6"/>
  <c r="AL473" i="6"/>
  <c r="AM473" i="6"/>
  <c r="AN473" i="6"/>
  <c r="AO473" i="6"/>
  <c r="AP473" i="6"/>
  <c r="AQ473" i="6"/>
  <c r="AR473" i="6"/>
  <c r="AS473" i="6"/>
  <c r="AT473" i="6"/>
  <c r="AU473" i="6"/>
  <c r="AV473" i="6"/>
  <c r="AW473" i="6"/>
  <c r="AX473" i="6"/>
  <c r="AY473" i="6"/>
  <c r="AZ473" i="6"/>
  <c r="BA473" i="6"/>
  <c r="BB473" i="6"/>
  <c r="BC473" i="6"/>
  <c r="BD473" i="6"/>
  <c r="BE473" i="6"/>
  <c r="BF473" i="6"/>
  <c r="BG473" i="6"/>
  <c r="BH473" i="6"/>
  <c r="BI473" i="6"/>
  <c r="BJ473" i="6"/>
  <c r="BK473" i="6"/>
  <c r="AL474" i="6"/>
  <c r="AM474" i="6"/>
  <c r="AN474" i="6"/>
  <c r="AO474" i="6"/>
  <c r="AP474" i="6"/>
  <c r="AQ474" i="6"/>
  <c r="AR474" i="6"/>
  <c r="AS474" i="6"/>
  <c r="AT474" i="6"/>
  <c r="AU474" i="6"/>
  <c r="AV474" i="6"/>
  <c r="AW474" i="6"/>
  <c r="AX474" i="6"/>
  <c r="AY474" i="6"/>
  <c r="AZ474" i="6"/>
  <c r="BA474" i="6"/>
  <c r="BB474" i="6"/>
  <c r="BC474" i="6"/>
  <c r="BD474" i="6"/>
  <c r="BE474" i="6"/>
  <c r="BF474" i="6"/>
  <c r="BG474" i="6"/>
  <c r="BH474" i="6"/>
  <c r="BI474" i="6"/>
  <c r="BJ474" i="6"/>
  <c r="BK474" i="6"/>
  <c r="AL475" i="6"/>
  <c r="AM475" i="6"/>
  <c r="AN475" i="6"/>
  <c r="AO475" i="6"/>
  <c r="AP475" i="6"/>
  <c r="AQ475" i="6"/>
  <c r="AR475" i="6"/>
  <c r="AS475" i="6"/>
  <c r="AT475" i="6"/>
  <c r="AU475" i="6"/>
  <c r="AV475" i="6"/>
  <c r="AW475" i="6"/>
  <c r="AX475" i="6"/>
  <c r="AY475" i="6"/>
  <c r="AZ475" i="6"/>
  <c r="BA475" i="6"/>
  <c r="BB475" i="6"/>
  <c r="BC475" i="6"/>
  <c r="BD475" i="6"/>
  <c r="BE475" i="6"/>
  <c r="BF475" i="6"/>
  <c r="BG475" i="6"/>
  <c r="BH475" i="6"/>
  <c r="BI475" i="6"/>
  <c r="BJ475" i="6"/>
  <c r="BK475" i="6"/>
  <c r="AL476" i="6"/>
  <c r="AM476" i="6"/>
  <c r="AN476" i="6"/>
  <c r="AO476" i="6"/>
  <c r="AP476" i="6"/>
  <c r="AQ476" i="6"/>
  <c r="AR476" i="6"/>
  <c r="AS476" i="6"/>
  <c r="AT476" i="6"/>
  <c r="AU476" i="6"/>
  <c r="AV476" i="6"/>
  <c r="AW476" i="6"/>
  <c r="AX476" i="6"/>
  <c r="AY476" i="6"/>
  <c r="AZ476" i="6"/>
  <c r="BA476" i="6"/>
  <c r="BB476" i="6"/>
  <c r="BC476" i="6"/>
  <c r="BD476" i="6"/>
  <c r="BE476" i="6"/>
  <c r="BF476" i="6"/>
  <c r="BG476" i="6"/>
  <c r="BH476" i="6"/>
  <c r="BI476" i="6"/>
  <c r="BJ476" i="6"/>
  <c r="BK476" i="6"/>
  <c r="AL477" i="6"/>
  <c r="AM477" i="6"/>
  <c r="AN477" i="6"/>
  <c r="AO477" i="6"/>
  <c r="AP477" i="6"/>
  <c r="AQ477" i="6"/>
  <c r="AR477" i="6"/>
  <c r="AS477" i="6"/>
  <c r="AT477" i="6"/>
  <c r="AU477" i="6"/>
  <c r="AV477" i="6"/>
  <c r="AW477" i="6"/>
  <c r="AX477" i="6"/>
  <c r="AY477" i="6"/>
  <c r="AZ477" i="6"/>
  <c r="BA477" i="6"/>
  <c r="BB477" i="6"/>
  <c r="BC477" i="6"/>
  <c r="BD477" i="6"/>
  <c r="BE477" i="6"/>
  <c r="BF477" i="6"/>
  <c r="BG477" i="6"/>
  <c r="BH477" i="6"/>
  <c r="BI477" i="6"/>
  <c r="BJ477" i="6"/>
  <c r="BK477" i="6"/>
  <c r="AL478" i="6"/>
  <c r="AM478" i="6"/>
  <c r="AN478" i="6"/>
  <c r="AO478" i="6"/>
  <c r="AP478" i="6"/>
  <c r="AQ478" i="6"/>
  <c r="AR478" i="6"/>
  <c r="AS478" i="6"/>
  <c r="AT478" i="6"/>
  <c r="AU478" i="6"/>
  <c r="AV478" i="6"/>
  <c r="AW478" i="6"/>
  <c r="AX478" i="6"/>
  <c r="AY478" i="6"/>
  <c r="AZ478" i="6"/>
  <c r="BA478" i="6"/>
  <c r="BB478" i="6"/>
  <c r="BC478" i="6"/>
  <c r="BD478" i="6"/>
  <c r="BE478" i="6"/>
  <c r="BF478" i="6"/>
  <c r="BG478" i="6"/>
  <c r="BH478" i="6"/>
  <c r="BI478" i="6"/>
  <c r="BJ478" i="6"/>
  <c r="BK478" i="6"/>
  <c r="AL479" i="6"/>
  <c r="AM479" i="6"/>
  <c r="AN479" i="6"/>
  <c r="AO479" i="6"/>
  <c r="AP479" i="6"/>
  <c r="AQ479" i="6"/>
  <c r="AR479" i="6"/>
  <c r="AS479" i="6"/>
  <c r="AT479" i="6"/>
  <c r="AU479" i="6"/>
  <c r="AV479" i="6"/>
  <c r="AW479" i="6"/>
  <c r="AX479" i="6"/>
  <c r="AY479" i="6"/>
  <c r="AZ479" i="6"/>
  <c r="BA479" i="6"/>
  <c r="BB479" i="6"/>
  <c r="BC479" i="6"/>
  <c r="BD479" i="6"/>
  <c r="BE479" i="6"/>
  <c r="BF479" i="6"/>
  <c r="BG479" i="6"/>
  <c r="BH479" i="6"/>
  <c r="BI479" i="6"/>
  <c r="BJ479" i="6"/>
  <c r="BK479" i="6"/>
  <c r="AL480" i="6"/>
  <c r="AM480" i="6"/>
  <c r="AN480" i="6"/>
  <c r="AO480" i="6"/>
  <c r="AP480" i="6"/>
  <c r="AQ480" i="6"/>
  <c r="AR480" i="6"/>
  <c r="AS480" i="6"/>
  <c r="AT480" i="6"/>
  <c r="AU480" i="6"/>
  <c r="AV480" i="6"/>
  <c r="AW480" i="6"/>
  <c r="AX480" i="6"/>
  <c r="AY480" i="6"/>
  <c r="AZ480" i="6"/>
  <c r="BA480" i="6"/>
  <c r="BB480" i="6"/>
  <c r="BC480" i="6"/>
  <c r="BD480" i="6"/>
  <c r="BE480" i="6"/>
  <c r="BF480" i="6"/>
  <c r="BG480" i="6"/>
  <c r="BH480" i="6"/>
  <c r="BI480" i="6"/>
  <c r="BJ480" i="6"/>
  <c r="BK480" i="6"/>
  <c r="AL481" i="6"/>
  <c r="AM481" i="6"/>
  <c r="AN481" i="6"/>
  <c r="AO481" i="6"/>
  <c r="AP481" i="6"/>
  <c r="AQ481" i="6"/>
  <c r="AR481" i="6"/>
  <c r="AS481" i="6"/>
  <c r="AT481" i="6"/>
  <c r="AU481" i="6"/>
  <c r="AV481" i="6"/>
  <c r="AW481" i="6"/>
  <c r="AX481" i="6"/>
  <c r="AY481" i="6"/>
  <c r="AZ481" i="6"/>
  <c r="BA481" i="6"/>
  <c r="BB481" i="6"/>
  <c r="BC481" i="6"/>
  <c r="BD481" i="6"/>
  <c r="BE481" i="6"/>
  <c r="BF481" i="6"/>
  <c r="BG481" i="6"/>
  <c r="BH481" i="6"/>
  <c r="BI481" i="6"/>
  <c r="BJ481" i="6"/>
  <c r="BK481" i="6"/>
  <c r="AL482" i="6"/>
  <c r="AM482" i="6"/>
  <c r="AN482" i="6"/>
  <c r="AO482" i="6"/>
  <c r="AP482" i="6"/>
  <c r="AQ482" i="6"/>
  <c r="AR482" i="6"/>
  <c r="AS482" i="6"/>
  <c r="AT482" i="6"/>
  <c r="AU482" i="6"/>
  <c r="AV482" i="6"/>
  <c r="AW482" i="6"/>
  <c r="AX482" i="6"/>
  <c r="AY482" i="6"/>
  <c r="AZ482" i="6"/>
  <c r="BA482" i="6"/>
  <c r="BB482" i="6"/>
  <c r="BC482" i="6"/>
  <c r="BD482" i="6"/>
  <c r="BE482" i="6"/>
  <c r="BF482" i="6"/>
  <c r="BG482" i="6"/>
  <c r="BH482" i="6"/>
  <c r="BI482" i="6"/>
  <c r="BJ482" i="6"/>
  <c r="BK482" i="6"/>
  <c r="AL483" i="6"/>
  <c r="AM483" i="6"/>
  <c r="AN483" i="6"/>
  <c r="AO483" i="6"/>
  <c r="AP483" i="6"/>
  <c r="AQ483" i="6"/>
  <c r="AR483" i="6"/>
  <c r="AS483" i="6"/>
  <c r="AT483" i="6"/>
  <c r="AU483" i="6"/>
  <c r="AV483" i="6"/>
  <c r="AW483" i="6"/>
  <c r="AX483" i="6"/>
  <c r="AY483" i="6"/>
  <c r="AZ483" i="6"/>
  <c r="BA483" i="6"/>
  <c r="BB483" i="6"/>
  <c r="BC483" i="6"/>
  <c r="BD483" i="6"/>
  <c r="BE483" i="6"/>
  <c r="BF483" i="6"/>
  <c r="BG483" i="6"/>
  <c r="BH483" i="6"/>
  <c r="BI483" i="6"/>
  <c r="BJ483" i="6"/>
  <c r="BK483" i="6"/>
  <c r="AL484" i="6"/>
  <c r="AM484" i="6"/>
  <c r="AN484" i="6"/>
  <c r="AO484" i="6"/>
  <c r="AP484" i="6"/>
  <c r="AQ484" i="6"/>
  <c r="AR484" i="6"/>
  <c r="AS484" i="6"/>
  <c r="AT484" i="6"/>
  <c r="AU484" i="6"/>
  <c r="AV484" i="6"/>
  <c r="AW484" i="6"/>
  <c r="AX484" i="6"/>
  <c r="AY484" i="6"/>
  <c r="AZ484" i="6"/>
  <c r="BA484" i="6"/>
  <c r="BB484" i="6"/>
  <c r="BC484" i="6"/>
  <c r="BD484" i="6"/>
  <c r="BE484" i="6"/>
  <c r="BF484" i="6"/>
  <c r="BG484" i="6"/>
  <c r="BH484" i="6"/>
  <c r="BI484" i="6"/>
  <c r="BJ484" i="6"/>
  <c r="BK484" i="6"/>
  <c r="AL485" i="6"/>
  <c r="AM485" i="6"/>
  <c r="AN485" i="6"/>
  <c r="AO485" i="6"/>
  <c r="AP485" i="6"/>
  <c r="AQ485" i="6"/>
  <c r="AR485" i="6"/>
  <c r="AS485" i="6"/>
  <c r="AT485" i="6"/>
  <c r="AU485" i="6"/>
  <c r="AV485" i="6"/>
  <c r="AW485" i="6"/>
  <c r="AX485" i="6"/>
  <c r="AY485" i="6"/>
  <c r="AZ485" i="6"/>
  <c r="BA485" i="6"/>
  <c r="BB485" i="6"/>
  <c r="BC485" i="6"/>
  <c r="BD485" i="6"/>
  <c r="BE485" i="6"/>
  <c r="BF485" i="6"/>
  <c r="BG485" i="6"/>
  <c r="BH485" i="6"/>
  <c r="BI485" i="6"/>
  <c r="BJ485" i="6"/>
  <c r="BK485" i="6"/>
  <c r="AL486" i="6"/>
  <c r="AM486" i="6"/>
  <c r="AN486" i="6"/>
  <c r="AO486" i="6"/>
  <c r="AP486" i="6"/>
  <c r="AQ486" i="6"/>
  <c r="AR486" i="6"/>
  <c r="AS486" i="6"/>
  <c r="AT486" i="6"/>
  <c r="AU486" i="6"/>
  <c r="AV486" i="6"/>
  <c r="AW486" i="6"/>
  <c r="AX486" i="6"/>
  <c r="AY486" i="6"/>
  <c r="AZ486" i="6"/>
  <c r="BA486" i="6"/>
  <c r="BB486" i="6"/>
  <c r="BC486" i="6"/>
  <c r="BD486" i="6"/>
  <c r="BE486" i="6"/>
  <c r="BF486" i="6"/>
  <c r="BG486" i="6"/>
  <c r="BH486" i="6"/>
  <c r="BI486" i="6"/>
  <c r="BJ486" i="6"/>
  <c r="BK486" i="6"/>
  <c r="AL487" i="6"/>
  <c r="AM487" i="6"/>
  <c r="AN487" i="6"/>
  <c r="AO487" i="6"/>
  <c r="AP487" i="6"/>
  <c r="AQ487" i="6"/>
  <c r="AR487" i="6"/>
  <c r="AS487" i="6"/>
  <c r="AT487" i="6"/>
  <c r="AU487" i="6"/>
  <c r="AV487" i="6"/>
  <c r="AW487" i="6"/>
  <c r="AX487" i="6"/>
  <c r="AY487" i="6"/>
  <c r="AZ487" i="6"/>
  <c r="BA487" i="6"/>
  <c r="BB487" i="6"/>
  <c r="BC487" i="6"/>
  <c r="BD487" i="6"/>
  <c r="BE487" i="6"/>
  <c r="BF487" i="6"/>
  <c r="BG487" i="6"/>
  <c r="BH487" i="6"/>
  <c r="BI487" i="6"/>
  <c r="BJ487" i="6"/>
  <c r="BK487" i="6"/>
  <c r="AL488" i="6"/>
  <c r="AM488" i="6"/>
  <c r="AN488" i="6"/>
  <c r="AO488" i="6"/>
  <c r="AP488" i="6"/>
  <c r="AQ488" i="6"/>
  <c r="AR488" i="6"/>
  <c r="AS488" i="6"/>
  <c r="AT488" i="6"/>
  <c r="AU488" i="6"/>
  <c r="AV488" i="6"/>
  <c r="AW488" i="6"/>
  <c r="AX488" i="6"/>
  <c r="AY488" i="6"/>
  <c r="AZ488" i="6"/>
  <c r="BA488" i="6"/>
  <c r="BB488" i="6"/>
  <c r="BC488" i="6"/>
  <c r="BD488" i="6"/>
  <c r="BE488" i="6"/>
  <c r="BF488" i="6"/>
  <c r="BG488" i="6"/>
  <c r="BH488" i="6"/>
  <c r="BI488" i="6"/>
  <c r="BJ488" i="6"/>
  <c r="BK488" i="6"/>
  <c r="AL489" i="6"/>
  <c r="AM489" i="6"/>
  <c r="AN489" i="6"/>
  <c r="AO489" i="6"/>
  <c r="AP489" i="6"/>
  <c r="AQ489" i="6"/>
  <c r="AR489" i="6"/>
  <c r="AS489" i="6"/>
  <c r="AT489" i="6"/>
  <c r="AU489" i="6"/>
  <c r="AV489" i="6"/>
  <c r="AW489" i="6"/>
  <c r="AX489" i="6"/>
  <c r="AY489" i="6"/>
  <c r="AZ489" i="6"/>
  <c r="BA489" i="6"/>
  <c r="BB489" i="6"/>
  <c r="BC489" i="6"/>
  <c r="BD489" i="6"/>
  <c r="BE489" i="6"/>
  <c r="BF489" i="6"/>
  <c r="BG489" i="6"/>
  <c r="BH489" i="6"/>
  <c r="BI489" i="6"/>
  <c r="BJ489" i="6"/>
  <c r="BK489" i="6"/>
  <c r="AL490" i="6"/>
  <c r="AM490" i="6"/>
  <c r="AN490" i="6"/>
  <c r="AO490" i="6"/>
  <c r="AP490" i="6"/>
  <c r="AQ490" i="6"/>
  <c r="AR490" i="6"/>
  <c r="AS490" i="6"/>
  <c r="AT490" i="6"/>
  <c r="AU490" i="6"/>
  <c r="AV490" i="6"/>
  <c r="AW490" i="6"/>
  <c r="AX490" i="6"/>
  <c r="AY490" i="6"/>
  <c r="AZ490" i="6"/>
  <c r="BA490" i="6"/>
  <c r="BB490" i="6"/>
  <c r="BC490" i="6"/>
  <c r="BD490" i="6"/>
  <c r="BE490" i="6"/>
  <c r="BF490" i="6"/>
  <c r="BG490" i="6"/>
  <c r="BH490" i="6"/>
  <c r="BI490" i="6"/>
  <c r="BJ490" i="6"/>
  <c r="BK490" i="6"/>
  <c r="AL491" i="6"/>
  <c r="AM491" i="6"/>
  <c r="AN491" i="6"/>
  <c r="AO491" i="6"/>
  <c r="AP491" i="6"/>
  <c r="AQ491" i="6"/>
  <c r="AR491" i="6"/>
  <c r="AS491" i="6"/>
  <c r="AT491" i="6"/>
  <c r="AU491" i="6"/>
  <c r="AV491" i="6"/>
  <c r="AW491" i="6"/>
  <c r="AX491" i="6"/>
  <c r="AY491" i="6"/>
  <c r="AZ491" i="6"/>
  <c r="BA491" i="6"/>
  <c r="BB491" i="6"/>
  <c r="BC491" i="6"/>
  <c r="BD491" i="6"/>
  <c r="BE491" i="6"/>
  <c r="BF491" i="6"/>
  <c r="BG491" i="6"/>
  <c r="BH491" i="6"/>
  <c r="BI491" i="6"/>
  <c r="BJ491" i="6"/>
  <c r="BK491" i="6"/>
  <c r="AL492" i="6"/>
  <c r="AM492" i="6"/>
  <c r="AN492" i="6"/>
  <c r="AO492" i="6"/>
  <c r="AP492" i="6"/>
  <c r="AQ492" i="6"/>
  <c r="AR492" i="6"/>
  <c r="AS492" i="6"/>
  <c r="AT492" i="6"/>
  <c r="AU492" i="6"/>
  <c r="AV492" i="6"/>
  <c r="AW492" i="6"/>
  <c r="AX492" i="6"/>
  <c r="AY492" i="6"/>
  <c r="AZ492" i="6"/>
  <c r="BA492" i="6"/>
  <c r="BB492" i="6"/>
  <c r="BC492" i="6"/>
  <c r="BD492" i="6"/>
  <c r="BE492" i="6"/>
  <c r="BF492" i="6"/>
  <c r="BG492" i="6"/>
  <c r="BH492" i="6"/>
  <c r="BI492" i="6"/>
  <c r="BJ492" i="6"/>
  <c r="BK492" i="6"/>
  <c r="AL493" i="6"/>
  <c r="AM493" i="6"/>
  <c r="AN493" i="6"/>
  <c r="AO493" i="6"/>
  <c r="AP493" i="6"/>
  <c r="AQ493" i="6"/>
  <c r="AR493" i="6"/>
  <c r="AS493" i="6"/>
  <c r="AT493" i="6"/>
  <c r="AU493" i="6"/>
  <c r="AV493" i="6"/>
  <c r="AW493" i="6"/>
  <c r="AX493" i="6"/>
  <c r="AY493" i="6"/>
  <c r="AZ493" i="6"/>
  <c r="BA493" i="6"/>
  <c r="BB493" i="6"/>
  <c r="BC493" i="6"/>
  <c r="BD493" i="6"/>
  <c r="BE493" i="6"/>
  <c r="BF493" i="6"/>
  <c r="BG493" i="6"/>
  <c r="BH493" i="6"/>
  <c r="BI493" i="6"/>
  <c r="BJ493" i="6"/>
  <c r="BK493" i="6"/>
  <c r="AL494" i="6"/>
  <c r="AM494" i="6"/>
  <c r="AN494" i="6"/>
  <c r="AO494" i="6"/>
  <c r="AP494" i="6"/>
  <c r="AQ494" i="6"/>
  <c r="AR494" i="6"/>
  <c r="AS494" i="6"/>
  <c r="AT494" i="6"/>
  <c r="AU494" i="6"/>
  <c r="AV494" i="6"/>
  <c r="AW494" i="6"/>
  <c r="AX494" i="6"/>
  <c r="AY494" i="6"/>
  <c r="AZ494" i="6"/>
  <c r="BA494" i="6"/>
  <c r="BB494" i="6"/>
  <c r="BC494" i="6"/>
  <c r="BD494" i="6"/>
  <c r="BE494" i="6"/>
  <c r="BF494" i="6"/>
  <c r="BG494" i="6"/>
  <c r="BH494" i="6"/>
  <c r="BI494" i="6"/>
  <c r="BJ494" i="6"/>
  <c r="BK494" i="6"/>
  <c r="AL495" i="6"/>
  <c r="AM495" i="6"/>
  <c r="AN495" i="6"/>
  <c r="AO495" i="6"/>
  <c r="AP495" i="6"/>
  <c r="AQ495" i="6"/>
  <c r="AR495" i="6"/>
  <c r="AS495" i="6"/>
  <c r="AT495" i="6"/>
  <c r="AU495" i="6"/>
  <c r="AV495" i="6"/>
  <c r="AW495" i="6"/>
  <c r="AX495" i="6"/>
  <c r="AY495" i="6"/>
  <c r="AZ495" i="6"/>
  <c r="BA495" i="6"/>
  <c r="BB495" i="6"/>
  <c r="BC495" i="6"/>
  <c r="BD495" i="6"/>
  <c r="BE495" i="6"/>
  <c r="BF495" i="6"/>
  <c r="BG495" i="6"/>
  <c r="BH495" i="6"/>
  <c r="BI495" i="6"/>
  <c r="BJ495" i="6"/>
  <c r="BK495" i="6"/>
  <c r="AL496" i="6"/>
  <c r="AM496" i="6"/>
  <c r="AN496" i="6"/>
  <c r="AO496" i="6"/>
  <c r="AP496" i="6"/>
  <c r="AQ496" i="6"/>
  <c r="AR496" i="6"/>
  <c r="AS496" i="6"/>
  <c r="AT496" i="6"/>
  <c r="AU496" i="6"/>
  <c r="AV496" i="6"/>
  <c r="AW496" i="6"/>
  <c r="AX496" i="6"/>
  <c r="AY496" i="6"/>
  <c r="AZ496" i="6"/>
  <c r="BA496" i="6"/>
  <c r="BB496" i="6"/>
  <c r="BC496" i="6"/>
  <c r="BD496" i="6"/>
  <c r="BE496" i="6"/>
  <c r="BF496" i="6"/>
  <c r="BG496" i="6"/>
  <c r="BH496" i="6"/>
  <c r="BI496" i="6"/>
  <c r="BJ496" i="6"/>
  <c r="BK496" i="6"/>
  <c r="AL497" i="6"/>
  <c r="AM497" i="6"/>
  <c r="AN497" i="6"/>
  <c r="AO497" i="6"/>
  <c r="AP497" i="6"/>
  <c r="AQ497" i="6"/>
  <c r="AR497" i="6"/>
  <c r="AS497" i="6"/>
  <c r="AT497" i="6"/>
  <c r="AU497" i="6"/>
  <c r="AV497" i="6"/>
  <c r="AW497" i="6"/>
  <c r="AX497" i="6"/>
  <c r="AY497" i="6"/>
  <c r="AZ497" i="6"/>
  <c r="BA497" i="6"/>
  <c r="BB497" i="6"/>
  <c r="BC497" i="6"/>
  <c r="BD497" i="6"/>
  <c r="BE497" i="6"/>
  <c r="BF497" i="6"/>
  <c r="BG497" i="6"/>
  <c r="BH497" i="6"/>
  <c r="BI497" i="6"/>
  <c r="BJ497" i="6"/>
  <c r="BK497" i="6"/>
  <c r="AL498" i="6"/>
  <c r="AM498" i="6"/>
  <c r="AN498" i="6"/>
  <c r="AO498" i="6"/>
  <c r="AP498" i="6"/>
  <c r="AQ498" i="6"/>
  <c r="AR498" i="6"/>
  <c r="AS498" i="6"/>
  <c r="AT498" i="6"/>
  <c r="AU498" i="6"/>
  <c r="AV498" i="6"/>
  <c r="AW498" i="6"/>
  <c r="AX498" i="6"/>
  <c r="AY498" i="6"/>
  <c r="AZ498" i="6"/>
  <c r="BA498" i="6"/>
  <c r="BB498" i="6"/>
  <c r="BC498" i="6"/>
  <c r="BD498" i="6"/>
  <c r="BE498" i="6"/>
  <c r="BF498" i="6"/>
  <c r="BG498" i="6"/>
  <c r="BH498" i="6"/>
  <c r="BI498" i="6"/>
  <c r="BJ498" i="6"/>
  <c r="BK498" i="6"/>
  <c r="AL499" i="6"/>
  <c r="AM499" i="6"/>
  <c r="AN499" i="6"/>
  <c r="AO499" i="6"/>
  <c r="AP499" i="6"/>
  <c r="AQ499" i="6"/>
  <c r="AR499" i="6"/>
  <c r="AS499" i="6"/>
  <c r="AT499" i="6"/>
  <c r="AU499" i="6"/>
  <c r="AV499" i="6"/>
  <c r="AW499" i="6"/>
  <c r="AX499" i="6"/>
  <c r="AY499" i="6"/>
  <c r="AZ499" i="6"/>
  <c r="BA499" i="6"/>
  <c r="BB499" i="6"/>
  <c r="BC499" i="6"/>
  <c r="BD499" i="6"/>
  <c r="BE499" i="6"/>
  <c r="BF499" i="6"/>
  <c r="BG499" i="6"/>
  <c r="BH499" i="6"/>
  <c r="BI499" i="6"/>
  <c r="BJ499" i="6"/>
  <c r="BK499" i="6"/>
  <c r="AL500" i="6"/>
  <c r="AM500" i="6"/>
  <c r="AN500" i="6"/>
  <c r="AO500" i="6"/>
  <c r="AP500" i="6"/>
  <c r="AQ500" i="6"/>
  <c r="AR500" i="6"/>
  <c r="AS500" i="6"/>
  <c r="AT500" i="6"/>
  <c r="AU500" i="6"/>
  <c r="AV500" i="6"/>
  <c r="AW500" i="6"/>
  <c r="AX500" i="6"/>
  <c r="AY500" i="6"/>
  <c r="AZ500" i="6"/>
  <c r="BA500" i="6"/>
  <c r="BB500" i="6"/>
  <c r="BC500" i="6"/>
  <c r="BD500" i="6"/>
  <c r="BE500" i="6"/>
  <c r="BF500" i="6"/>
  <c r="BG500" i="6"/>
  <c r="BH500" i="6"/>
  <c r="BI500" i="6"/>
  <c r="BJ500" i="6"/>
  <c r="BK500" i="6"/>
  <c r="AL501" i="6"/>
  <c r="AM501" i="6"/>
  <c r="AN501" i="6"/>
  <c r="AO501" i="6"/>
  <c r="AP501" i="6"/>
  <c r="AQ501" i="6"/>
  <c r="AR501" i="6"/>
  <c r="AS501" i="6"/>
  <c r="AT501" i="6"/>
  <c r="AU501" i="6"/>
  <c r="AV501" i="6"/>
  <c r="AW501" i="6"/>
  <c r="AX501" i="6"/>
  <c r="AY501" i="6"/>
  <c r="AZ501" i="6"/>
  <c r="BA501" i="6"/>
  <c r="BB501" i="6"/>
  <c r="BC501" i="6"/>
  <c r="BD501" i="6"/>
  <c r="BE501" i="6"/>
  <c r="BF501" i="6"/>
  <c r="BG501" i="6"/>
  <c r="BH501" i="6"/>
  <c r="BI501" i="6"/>
  <c r="BJ501" i="6"/>
  <c r="BK501" i="6"/>
  <c r="AL502" i="6"/>
  <c r="AM502" i="6"/>
  <c r="AN502" i="6"/>
  <c r="AO502" i="6"/>
  <c r="AP502" i="6"/>
  <c r="AQ502" i="6"/>
  <c r="AR502" i="6"/>
  <c r="AS502" i="6"/>
  <c r="AT502" i="6"/>
  <c r="AU502" i="6"/>
  <c r="AV502" i="6"/>
  <c r="AW502" i="6"/>
  <c r="AX502" i="6"/>
  <c r="AY502" i="6"/>
  <c r="AZ502" i="6"/>
  <c r="BA502" i="6"/>
  <c r="BB502" i="6"/>
  <c r="BC502" i="6"/>
  <c r="BD502" i="6"/>
  <c r="BE502" i="6"/>
  <c r="BF502" i="6"/>
  <c r="BG502" i="6"/>
  <c r="BH502" i="6"/>
  <c r="BI502" i="6"/>
  <c r="BJ502" i="6"/>
  <c r="BK502" i="6"/>
  <c r="AL503" i="6"/>
  <c r="AM503" i="6"/>
  <c r="AN503" i="6"/>
  <c r="AO503" i="6"/>
  <c r="AP503" i="6"/>
  <c r="AQ503" i="6"/>
  <c r="AR503" i="6"/>
  <c r="AS503" i="6"/>
  <c r="AT503" i="6"/>
  <c r="AU503" i="6"/>
  <c r="AV503" i="6"/>
  <c r="AW503" i="6"/>
  <c r="AX503" i="6"/>
  <c r="AY503" i="6"/>
  <c r="AZ503" i="6"/>
  <c r="BA503" i="6"/>
  <c r="BB503" i="6"/>
  <c r="BC503" i="6"/>
  <c r="BD503" i="6"/>
  <c r="BE503" i="6"/>
  <c r="BF503" i="6"/>
  <c r="BG503" i="6"/>
  <c r="BH503" i="6"/>
  <c r="BI503" i="6"/>
  <c r="BJ503" i="6"/>
  <c r="BK503" i="6"/>
  <c r="AL504" i="6"/>
  <c r="AM504" i="6"/>
  <c r="AN504" i="6"/>
  <c r="AO504" i="6"/>
  <c r="AP504" i="6"/>
  <c r="AQ504" i="6"/>
  <c r="AR504" i="6"/>
  <c r="AS504" i="6"/>
  <c r="AT504" i="6"/>
  <c r="AU504" i="6"/>
  <c r="AV504" i="6"/>
  <c r="AW504" i="6"/>
  <c r="AX504" i="6"/>
  <c r="AY504" i="6"/>
  <c r="AZ504" i="6"/>
  <c r="BA504" i="6"/>
  <c r="BB504" i="6"/>
  <c r="BC504" i="6"/>
  <c r="BD504" i="6"/>
  <c r="BE504" i="6"/>
  <c r="BF504" i="6"/>
  <c r="BG504" i="6"/>
  <c r="BH504" i="6"/>
  <c r="BI504" i="6"/>
  <c r="BJ504" i="6"/>
  <c r="BK504" i="6"/>
  <c r="AL505" i="6"/>
  <c r="AM505" i="6"/>
  <c r="AN505" i="6"/>
  <c r="AO505" i="6"/>
  <c r="AP505" i="6"/>
  <c r="AQ505" i="6"/>
  <c r="AR505" i="6"/>
  <c r="AS505" i="6"/>
  <c r="AT505" i="6"/>
  <c r="AU505" i="6"/>
  <c r="AV505" i="6"/>
  <c r="AW505" i="6"/>
  <c r="AX505" i="6"/>
  <c r="AY505" i="6"/>
  <c r="AZ505" i="6"/>
  <c r="BA505" i="6"/>
  <c r="BB505" i="6"/>
  <c r="BC505" i="6"/>
  <c r="BD505" i="6"/>
  <c r="BE505" i="6"/>
  <c r="BF505" i="6"/>
  <c r="BG505" i="6"/>
  <c r="BH505" i="6"/>
  <c r="BI505" i="6"/>
  <c r="BJ505" i="6"/>
  <c r="BK505" i="6"/>
  <c r="AL506" i="6"/>
  <c r="AM506" i="6"/>
  <c r="AN506" i="6"/>
  <c r="AO506" i="6"/>
  <c r="AP506" i="6"/>
  <c r="AQ506" i="6"/>
  <c r="AR506" i="6"/>
  <c r="AS506" i="6"/>
  <c r="AT506" i="6"/>
  <c r="AU506" i="6"/>
  <c r="AV506" i="6"/>
  <c r="AW506" i="6"/>
  <c r="AX506" i="6"/>
  <c r="AY506" i="6"/>
  <c r="AZ506" i="6"/>
  <c r="BA506" i="6"/>
  <c r="BB506" i="6"/>
  <c r="BC506" i="6"/>
  <c r="BD506" i="6"/>
  <c r="BE506" i="6"/>
  <c r="BF506" i="6"/>
  <c r="BG506" i="6"/>
  <c r="BH506" i="6"/>
  <c r="BI506" i="6"/>
  <c r="BJ506" i="6"/>
  <c r="BK506" i="6"/>
  <c r="AL507" i="6"/>
  <c r="AM507" i="6"/>
  <c r="AN507" i="6"/>
  <c r="AO507" i="6"/>
  <c r="AP507" i="6"/>
  <c r="AQ507" i="6"/>
  <c r="AR507" i="6"/>
  <c r="AS507" i="6"/>
  <c r="AT507" i="6"/>
  <c r="AU507" i="6"/>
  <c r="AV507" i="6"/>
  <c r="AW507" i="6"/>
  <c r="AX507" i="6"/>
  <c r="AY507" i="6"/>
  <c r="AZ507" i="6"/>
  <c r="BA507" i="6"/>
  <c r="BB507" i="6"/>
  <c r="BC507" i="6"/>
  <c r="BD507" i="6"/>
  <c r="BE507" i="6"/>
  <c r="BF507" i="6"/>
  <c r="BG507" i="6"/>
  <c r="BH507" i="6"/>
  <c r="BI507" i="6"/>
  <c r="BJ507" i="6"/>
  <c r="BK507" i="6"/>
  <c r="AL508" i="6"/>
  <c r="AM508" i="6"/>
  <c r="AN508" i="6"/>
  <c r="AO508" i="6"/>
  <c r="AP508" i="6"/>
  <c r="AQ508" i="6"/>
  <c r="AR508" i="6"/>
  <c r="AS508" i="6"/>
  <c r="AT508" i="6"/>
  <c r="AU508" i="6"/>
  <c r="AV508" i="6"/>
  <c r="AW508" i="6"/>
  <c r="AX508" i="6"/>
  <c r="AY508" i="6"/>
  <c r="AZ508" i="6"/>
  <c r="BA508" i="6"/>
  <c r="BB508" i="6"/>
  <c r="BC508" i="6"/>
  <c r="BD508" i="6"/>
  <c r="BE508" i="6"/>
  <c r="BF508" i="6"/>
  <c r="BG508" i="6"/>
  <c r="BH508" i="6"/>
  <c r="BI508" i="6"/>
  <c r="BJ508" i="6"/>
  <c r="BK508" i="6"/>
  <c r="AL509" i="6"/>
  <c r="AM509" i="6"/>
  <c r="AN509" i="6"/>
  <c r="AO509" i="6"/>
  <c r="AP509" i="6"/>
  <c r="AQ509" i="6"/>
  <c r="AR509" i="6"/>
  <c r="AS509" i="6"/>
  <c r="AT509" i="6"/>
  <c r="AU509" i="6"/>
  <c r="AV509" i="6"/>
  <c r="AW509" i="6"/>
  <c r="AX509" i="6"/>
  <c r="AY509" i="6"/>
  <c r="AZ509" i="6"/>
  <c r="BA509" i="6"/>
  <c r="BB509" i="6"/>
  <c r="BC509" i="6"/>
  <c r="BD509" i="6"/>
  <c r="BE509" i="6"/>
  <c r="BF509" i="6"/>
  <c r="BG509" i="6"/>
  <c r="BH509" i="6"/>
  <c r="BI509" i="6"/>
  <c r="BJ509" i="6"/>
  <c r="BK509" i="6"/>
  <c r="AL510" i="6"/>
  <c r="AM510" i="6"/>
  <c r="AN510" i="6"/>
  <c r="AO510" i="6"/>
  <c r="AP510" i="6"/>
  <c r="AQ510" i="6"/>
  <c r="AR510" i="6"/>
  <c r="AS510" i="6"/>
  <c r="AT510" i="6"/>
  <c r="AU510" i="6"/>
  <c r="AV510" i="6"/>
  <c r="AW510" i="6"/>
  <c r="AX510" i="6"/>
  <c r="AY510" i="6"/>
  <c r="AZ510" i="6"/>
  <c r="BA510" i="6"/>
  <c r="BB510" i="6"/>
  <c r="BC510" i="6"/>
  <c r="BD510" i="6"/>
  <c r="BE510" i="6"/>
  <c r="BF510" i="6"/>
  <c r="BG510" i="6"/>
  <c r="BH510" i="6"/>
  <c r="BI510" i="6"/>
  <c r="BJ510" i="6"/>
  <c r="BK510" i="6"/>
  <c r="AL511" i="6"/>
  <c r="AM511" i="6"/>
  <c r="AN511" i="6"/>
  <c r="AO511" i="6"/>
  <c r="AP511" i="6"/>
  <c r="AQ511" i="6"/>
  <c r="AR511" i="6"/>
  <c r="AS511" i="6"/>
  <c r="AT511" i="6"/>
  <c r="AU511" i="6"/>
  <c r="AV511" i="6"/>
  <c r="AW511" i="6"/>
  <c r="AX511" i="6"/>
  <c r="AY511" i="6"/>
  <c r="AZ511" i="6"/>
  <c r="BA511" i="6"/>
  <c r="BB511" i="6"/>
  <c r="BC511" i="6"/>
  <c r="BD511" i="6"/>
  <c r="BE511" i="6"/>
  <c r="BF511" i="6"/>
  <c r="BG511" i="6"/>
  <c r="BH511" i="6"/>
  <c r="BI511" i="6"/>
  <c r="BJ511" i="6"/>
  <c r="BK511" i="6"/>
  <c r="AL512" i="6"/>
  <c r="AM512" i="6"/>
  <c r="AN512" i="6"/>
  <c r="AO512" i="6"/>
  <c r="AP512" i="6"/>
  <c r="AQ512" i="6"/>
  <c r="AR512" i="6"/>
  <c r="AS512" i="6"/>
  <c r="AT512" i="6"/>
  <c r="AU512" i="6"/>
  <c r="AV512" i="6"/>
  <c r="AW512" i="6"/>
  <c r="AX512" i="6"/>
  <c r="AY512" i="6"/>
  <c r="AZ512" i="6"/>
  <c r="BA512" i="6"/>
  <c r="BB512" i="6"/>
  <c r="BC512" i="6"/>
  <c r="BD512" i="6"/>
  <c r="BE512" i="6"/>
  <c r="BF512" i="6"/>
  <c r="BG512" i="6"/>
  <c r="BH512" i="6"/>
  <c r="BI512" i="6"/>
  <c r="BJ512" i="6"/>
  <c r="BK512" i="6"/>
  <c r="AL513" i="6"/>
  <c r="AM513" i="6"/>
  <c r="AN513" i="6"/>
  <c r="AO513" i="6"/>
  <c r="AP513" i="6"/>
  <c r="AQ513" i="6"/>
  <c r="AR513" i="6"/>
  <c r="AS513" i="6"/>
  <c r="AT513" i="6"/>
  <c r="AU513" i="6"/>
  <c r="AV513" i="6"/>
  <c r="AW513" i="6"/>
  <c r="AX513" i="6"/>
  <c r="AY513" i="6"/>
  <c r="AZ513" i="6"/>
  <c r="BA513" i="6"/>
  <c r="BB513" i="6"/>
  <c r="BC513" i="6"/>
  <c r="BD513" i="6"/>
  <c r="BE513" i="6"/>
  <c r="BF513" i="6"/>
  <c r="BG513" i="6"/>
  <c r="BH513" i="6"/>
  <c r="BI513" i="6"/>
  <c r="BJ513" i="6"/>
  <c r="BK513" i="6"/>
  <c r="AL514" i="6"/>
  <c r="AM514" i="6"/>
  <c r="AN514" i="6"/>
  <c r="AO514" i="6"/>
  <c r="AP514" i="6"/>
  <c r="AQ514" i="6"/>
  <c r="AR514" i="6"/>
  <c r="AS514" i="6"/>
  <c r="AT514" i="6"/>
  <c r="AU514" i="6"/>
  <c r="AV514" i="6"/>
  <c r="AW514" i="6"/>
  <c r="AX514" i="6"/>
  <c r="AY514" i="6"/>
  <c r="AZ514" i="6"/>
  <c r="BA514" i="6"/>
  <c r="BB514" i="6"/>
  <c r="BC514" i="6"/>
  <c r="BD514" i="6"/>
  <c r="BE514" i="6"/>
  <c r="BF514" i="6"/>
  <c r="BG514" i="6"/>
  <c r="BH514" i="6"/>
  <c r="BI514" i="6"/>
  <c r="BJ514" i="6"/>
  <c r="BK514" i="6"/>
  <c r="AL515" i="6"/>
  <c r="AM515" i="6"/>
  <c r="AN515" i="6"/>
  <c r="AO515" i="6"/>
  <c r="AP515" i="6"/>
  <c r="AQ515" i="6"/>
  <c r="AR515" i="6"/>
  <c r="AS515" i="6"/>
  <c r="AT515" i="6"/>
  <c r="AU515" i="6"/>
  <c r="AV515" i="6"/>
  <c r="AW515" i="6"/>
  <c r="AX515" i="6"/>
  <c r="AY515" i="6"/>
  <c r="AZ515" i="6"/>
  <c r="BA515" i="6"/>
  <c r="BB515" i="6"/>
  <c r="BC515" i="6"/>
  <c r="BD515" i="6"/>
  <c r="BE515" i="6"/>
  <c r="BF515" i="6"/>
  <c r="BG515" i="6"/>
  <c r="BH515" i="6"/>
  <c r="BI515" i="6"/>
  <c r="BJ515" i="6"/>
  <c r="BK515" i="6"/>
  <c r="AL516" i="6"/>
  <c r="AM516" i="6"/>
  <c r="AN516" i="6"/>
  <c r="AO516" i="6"/>
  <c r="AP516" i="6"/>
  <c r="AQ516" i="6"/>
  <c r="AR516" i="6"/>
  <c r="AS516" i="6"/>
  <c r="AT516" i="6"/>
  <c r="AU516" i="6"/>
  <c r="AV516" i="6"/>
  <c r="AW516" i="6"/>
  <c r="AX516" i="6"/>
  <c r="AY516" i="6"/>
  <c r="AZ516" i="6"/>
  <c r="BA516" i="6"/>
  <c r="BB516" i="6"/>
  <c r="BC516" i="6"/>
  <c r="BD516" i="6"/>
  <c r="BE516" i="6"/>
  <c r="BF516" i="6"/>
  <c r="BG516" i="6"/>
  <c r="BH516" i="6"/>
  <c r="BI516" i="6"/>
  <c r="BJ516" i="6"/>
  <c r="BK516" i="6"/>
  <c r="AL517" i="6"/>
  <c r="AM517" i="6"/>
  <c r="AN517" i="6"/>
  <c r="AO517" i="6"/>
  <c r="AP517" i="6"/>
  <c r="AQ517" i="6"/>
  <c r="AR517" i="6"/>
  <c r="AS517" i="6"/>
  <c r="AT517" i="6"/>
  <c r="AU517" i="6"/>
  <c r="AV517" i="6"/>
  <c r="AW517" i="6"/>
  <c r="AX517" i="6"/>
  <c r="AY517" i="6"/>
  <c r="AZ517" i="6"/>
  <c r="BA517" i="6"/>
  <c r="BB517" i="6"/>
  <c r="BC517" i="6"/>
  <c r="BD517" i="6"/>
  <c r="BE517" i="6"/>
  <c r="BF517" i="6"/>
  <c r="BG517" i="6"/>
  <c r="BH517" i="6"/>
  <c r="BI517" i="6"/>
  <c r="BJ517" i="6"/>
  <c r="BK517" i="6"/>
  <c r="AL518" i="6"/>
  <c r="AM518" i="6"/>
  <c r="AN518" i="6"/>
  <c r="AO518" i="6"/>
  <c r="AP518" i="6"/>
  <c r="AQ518" i="6"/>
  <c r="AR518" i="6"/>
  <c r="AS518" i="6"/>
  <c r="AT518" i="6"/>
  <c r="AU518" i="6"/>
  <c r="AV518" i="6"/>
  <c r="AW518" i="6"/>
  <c r="AX518" i="6"/>
  <c r="AY518" i="6"/>
  <c r="AZ518" i="6"/>
  <c r="BA518" i="6"/>
  <c r="BB518" i="6"/>
  <c r="BC518" i="6"/>
  <c r="BD518" i="6"/>
  <c r="BE518" i="6"/>
  <c r="BF518" i="6"/>
  <c r="BG518" i="6"/>
  <c r="BH518" i="6"/>
  <c r="BI518" i="6"/>
  <c r="BJ518" i="6"/>
  <c r="BK518" i="6"/>
  <c r="AL519" i="6"/>
  <c r="AM519" i="6"/>
  <c r="AN519" i="6"/>
  <c r="AO519" i="6"/>
  <c r="AP519" i="6"/>
  <c r="AQ519" i="6"/>
  <c r="AR519" i="6"/>
  <c r="AS519" i="6"/>
  <c r="AT519" i="6"/>
  <c r="AU519" i="6"/>
  <c r="AV519" i="6"/>
  <c r="AW519" i="6"/>
  <c r="AX519" i="6"/>
  <c r="AY519" i="6"/>
  <c r="AZ519" i="6"/>
  <c r="BA519" i="6"/>
  <c r="BB519" i="6"/>
  <c r="BC519" i="6"/>
  <c r="BD519" i="6"/>
  <c r="BE519" i="6"/>
  <c r="BF519" i="6"/>
  <c r="BG519" i="6"/>
  <c r="BH519" i="6"/>
  <c r="BI519" i="6"/>
  <c r="BJ519" i="6"/>
  <c r="BK519" i="6"/>
  <c r="AL520" i="6"/>
  <c r="AM520" i="6"/>
  <c r="AN520" i="6"/>
  <c r="AO520" i="6"/>
  <c r="AP520" i="6"/>
  <c r="AQ520" i="6"/>
  <c r="AR520" i="6"/>
  <c r="AS520" i="6"/>
  <c r="AT520" i="6"/>
  <c r="AU520" i="6"/>
  <c r="AV520" i="6"/>
  <c r="AW520" i="6"/>
  <c r="AX520" i="6"/>
  <c r="AY520" i="6"/>
  <c r="AZ520" i="6"/>
  <c r="BA520" i="6"/>
  <c r="BB520" i="6"/>
  <c r="BC520" i="6"/>
  <c r="BD520" i="6"/>
  <c r="BE520" i="6"/>
  <c r="BF520" i="6"/>
  <c r="BG520" i="6"/>
  <c r="BH520" i="6"/>
  <c r="BI520" i="6"/>
  <c r="BJ520" i="6"/>
  <c r="BK520" i="6"/>
  <c r="AL521" i="6"/>
  <c r="AM521" i="6"/>
  <c r="AN521" i="6"/>
  <c r="AO521" i="6"/>
  <c r="AP521" i="6"/>
  <c r="AQ521" i="6"/>
  <c r="AR521" i="6"/>
  <c r="AS521" i="6"/>
  <c r="AT521" i="6"/>
  <c r="AU521" i="6"/>
  <c r="AV521" i="6"/>
  <c r="AW521" i="6"/>
  <c r="AX521" i="6"/>
  <c r="AY521" i="6"/>
  <c r="AZ521" i="6"/>
  <c r="BA521" i="6"/>
  <c r="BB521" i="6"/>
  <c r="BC521" i="6"/>
  <c r="BD521" i="6"/>
  <c r="BE521" i="6"/>
  <c r="BF521" i="6"/>
  <c r="BG521" i="6"/>
  <c r="BH521" i="6"/>
  <c r="BI521" i="6"/>
  <c r="BJ521" i="6"/>
  <c r="BK521" i="6"/>
  <c r="AL522" i="6"/>
  <c r="AM522" i="6"/>
  <c r="AN522" i="6"/>
  <c r="AO522" i="6"/>
  <c r="AP522" i="6"/>
  <c r="AQ522" i="6"/>
  <c r="AR522" i="6"/>
  <c r="AS522" i="6"/>
  <c r="AT522" i="6"/>
  <c r="AU522" i="6"/>
  <c r="AV522" i="6"/>
  <c r="AW522" i="6"/>
  <c r="AX522" i="6"/>
  <c r="AY522" i="6"/>
  <c r="AZ522" i="6"/>
  <c r="BA522" i="6"/>
  <c r="BB522" i="6"/>
  <c r="BC522" i="6"/>
  <c r="BD522" i="6"/>
  <c r="BE522" i="6"/>
  <c r="BF522" i="6"/>
  <c r="BG522" i="6"/>
  <c r="BH522" i="6"/>
  <c r="BI522" i="6"/>
  <c r="BJ522" i="6"/>
  <c r="BK522" i="6"/>
  <c r="AL523" i="6"/>
  <c r="AM523" i="6"/>
  <c r="AN523" i="6"/>
  <c r="AO523" i="6"/>
  <c r="AP523" i="6"/>
  <c r="AQ523" i="6"/>
  <c r="AR523" i="6"/>
  <c r="AS523" i="6"/>
  <c r="AT523" i="6"/>
  <c r="AU523" i="6"/>
  <c r="AV523" i="6"/>
  <c r="AW523" i="6"/>
  <c r="AX523" i="6"/>
  <c r="AY523" i="6"/>
  <c r="AZ523" i="6"/>
  <c r="BA523" i="6"/>
  <c r="BB523" i="6"/>
  <c r="BC523" i="6"/>
  <c r="BD523" i="6"/>
  <c r="BE523" i="6"/>
  <c r="BF523" i="6"/>
  <c r="BG523" i="6"/>
  <c r="BH523" i="6"/>
  <c r="BI523" i="6"/>
  <c r="BJ523" i="6"/>
  <c r="BK523" i="6"/>
  <c r="AL524" i="6"/>
  <c r="AM524" i="6"/>
  <c r="AN524" i="6"/>
  <c r="AO524" i="6"/>
  <c r="AP524" i="6"/>
  <c r="AQ524" i="6"/>
  <c r="AR524" i="6"/>
  <c r="AS524" i="6"/>
  <c r="AT524" i="6"/>
  <c r="AU524" i="6"/>
  <c r="AV524" i="6"/>
  <c r="AW524" i="6"/>
  <c r="AX524" i="6"/>
  <c r="AY524" i="6"/>
  <c r="AZ524" i="6"/>
  <c r="BA524" i="6"/>
  <c r="BB524" i="6"/>
  <c r="BC524" i="6"/>
  <c r="BD524" i="6"/>
  <c r="BE524" i="6"/>
  <c r="BF524" i="6"/>
  <c r="BG524" i="6"/>
  <c r="BH524" i="6"/>
  <c r="BI524" i="6"/>
  <c r="BJ524" i="6"/>
  <c r="BK524" i="6"/>
  <c r="AL525" i="6"/>
  <c r="AM525" i="6"/>
  <c r="AN525" i="6"/>
  <c r="AO525" i="6"/>
  <c r="AP525" i="6"/>
  <c r="AQ525" i="6"/>
  <c r="AR525" i="6"/>
  <c r="AS525" i="6"/>
  <c r="AT525" i="6"/>
  <c r="AU525" i="6"/>
  <c r="AV525" i="6"/>
  <c r="AW525" i="6"/>
  <c r="AX525" i="6"/>
  <c r="AY525" i="6"/>
  <c r="AZ525" i="6"/>
  <c r="BA525" i="6"/>
  <c r="BB525" i="6"/>
  <c r="BC525" i="6"/>
  <c r="BD525" i="6"/>
  <c r="BE525" i="6"/>
  <c r="BF525" i="6"/>
  <c r="BG525" i="6"/>
  <c r="BH525" i="6"/>
  <c r="BI525" i="6"/>
  <c r="BJ525" i="6"/>
  <c r="BK525" i="6"/>
  <c r="AL526" i="6"/>
  <c r="AM526" i="6"/>
  <c r="AN526" i="6"/>
  <c r="AO526" i="6"/>
  <c r="AP526" i="6"/>
  <c r="AQ526" i="6"/>
  <c r="AR526" i="6"/>
  <c r="AS526" i="6"/>
  <c r="AT526" i="6"/>
  <c r="AU526" i="6"/>
  <c r="AV526" i="6"/>
  <c r="AW526" i="6"/>
  <c r="AX526" i="6"/>
  <c r="AY526" i="6"/>
  <c r="AZ526" i="6"/>
  <c r="BA526" i="6"/>
  <c r="BB526" i="6"/>
  <c r="BC526" i="6"/>
  <c r="BD526" i="6"/>
  <c r="BE526" i="6"/>
  <c r="BF526" i="6"/>
  <c r="BG526" i="6"/>
  <c r="BH526" i="6"/>
  <c r="BI526" i="6"/>
  <c r="BJ526" i="6"/>
  <c r="BK526" i="6"/>
  <c r="AL527" i="6"/>
  <c r="AM527" i="6"/>
  <c r="AN527" i="6"/>
  <c r="AO527" i="6"/>
  <c r="AP527" i="6"/>
  <c r="AQ527" i="6"/>
  <c r="AR527" i="6"/>
  <c r="AS527" i="6"/>
  <c r="AT527" i="6"/>
  <c r="AU527" i="6"/>
  <c r="AV527" i="6"/>
  <c r="AW527" i="6"/>
  <c r="AX527" i="6"/>
  <c r="AY527" i="6"/>
  <c r="AZ527" i="6"/>
  <c r="BA527" i="6"/>
  <c r="BB527" i="6"/>
  <c r="BC527" i="6"/>
  <c r="BD527" i="6"/>
  <c r="BE527" i="6"/>
  <c r="BF527" i="6"/>
  <c r="BG527" i="6"/>
  <c r="BH527" i="6"/>
  <c r="BI527" i="6"/>
  <c r="BJ527" i="6"/>
  <c r="BK527" i="6"/>
  <c r="AL528" i="6"/>
  <c r="AM528" i="6"/>
  <c r="AN528" i="6"/>
  <c r="AO528" i="6"/>
  <c r="AP528" i="6"/>
  <c r="AQ528" i="6"/>
  <c r="AR528" i="6"/>
  <c r="AS528" i="6"/>
  <c r="AT528" i="6"/>
  <c r="AU528" i="6"/>
  <c r="AV528" i="6"/>
  <c r="AW528" i="6"/>
  <c r="AX528" i="6"/>
  <c r="AY528" i="6"/>
  <c r="AZ528" i="6"/>
  <c r="BA528" i="6"/>
  <c r="BB528" i="6"/>
  <c r="BC528" i="6"/>
  <c r="BD528" i="6"/>
  <c r="BE528" i="6"/>
  <c r="BF528" i="6"/>
  <c r="BG528" i="6"/>
  <c r="BH528" i="6"/>
  <c r="BI528" i="6"/>
  <c r="BJ528" i="6"/>
  <c r="BK528" i="6"/>
  <c r="AL529" i="6"/>
  <c r="AM529" i="6"/>
  <c r="AN529" i="6"/>
  <c r="AO529" i="6"/>
  <c r="AP529" i="6"/>
  <c r="AQ529" i="6"/>
  <c r="AR529" i="6"/>
  <c r="AS529" i="6"/>
  <c r="AT529" i="6"/>
  <c r="AU529" i="6"/>
  <c r="AV529" i="6"/>
  <c r="AW529" i="6"/>
  <c r="AX529" i="6"/>
  <c r="AY529" i="6"/>
  <c r="AZ529" i="6"/>
  <c r="BA529" i="6"/>
  <c r="BB529" i="6"/>
  <c r="BC529" i="6"/>
  <c r="BD529" i="6"/>
  <c r="BE529" i="6"/>
  <c r="BF529" i="6"/>
  <c r="BG529" i="6"/>
  <c r="BH529" i="6"/>
  <c r="BI529" i="6"/>
  <c r="BJ529" i="6"/>
  <c r="BK529" i="6"/>
  <c r="AL530" i="6"/>
  <c r="AM530" i="6"/>
  <c r="AN530" i="6"/>
  <c r="AO530" i="6"/>
  <c r="AP530" i="6"/>
  <c r="AQ530" i="6"/>
  <c r="AR530" i="6"/>
  <c r="AS530" i="6"/>
  <c r="AT530" i="6"/>
  <c r="AU530" i="6"/>
  <c r="AV530" i="6"/>
  <c r="AW530" i="6"/>
  <c r="AX530" i="6"/>
  <c r="AY530" i="6"/>
  <c r="AZ530" i="6"/>
  <c r="BA530" i="6"/>
  <c r="BB530" i="6"/>
  <c r="BC530" i="6"/>
  <c r="BD530" i="6"/>
  <c r="BE530" i="6"/>
  <c r="BF530" i="6"/>
  <c r="BG530" i="6"/>
  <c r="BH530" i="6"/>
  <c r="BI530" i="6"/>
  <c r="BJ530" i="6"/>
  <c r="BK530" i="6"/>
  <c r="AL531" i="6"/>
  <c r="AM531" i="6"/>
  <c r="AN531" i="6"/>
  <c r="AO531" i="6"/>
  <c r="AP531" i="6"/>
  <c r="AQ531" i="6"/>
  <c r="AR531" i="6"/>
  <c r="AS531" i="6"/>
  <c r="AT531" i="6"/>
  <c r="AU531" i="6"/>
  <c r="AV531" i="6"/>
  <c r="AW531" i="6"/>
  <c r="AX531" i="6"/>
  <c r="AY531" i="6"/>
  <c r="AZ531" i="6"/>
  <c r="BA531" i="6"/>
  <c r="BB531" i="6"/>
  <c r="BC531" i="6"/>
  <c r="BD531" i="6"/>
  <c r="BE531" i="6"/>
  <c r="BF531" i="6"/>
  <c r="BG531" i="6"/>
  <c r="BH531" i="6"/>
  <c r="BI531" i="6"/>
  <c r="BJ531" i="6"/>
  <c r="BK531" i="6"/>
  <c r="AL532" i="6"/>
  <c r="AM532" i="6"/>
  <c r="AN532" i="6"/>
  <c r="AO532" i="6"/>
  <c r="AP532" i="6"/>
  <c r="AQ532" i="6"/>
  <c r="AR532" i="6"/>
  <c r="AS532" i="6"/>
  <c r="AT532" i="6"/>
  <c r="AU532" i="6"/>
  <c r="AV532" i="6"/>
  <c r="AW532" i="6"/>
  <c r="AX532" i="6"/>
  <c r="AY532" i="6"/>
  <c r="AZ532" i="6"/>
  <c r="BA532" i="6"/>
  <c r="BB532" i="6"/>
  <c r="BC532" i="6"/>
  <c r="BD532" i="6"/>
  <c r="BE532" i="6"/>
  <c r="BF532" i="6"/>
  <c r="BG532" i="6"/>
  <c r="BH532" i="6"/>
  <c r="BI532" i="6"/>
  <c r="BJ532" i="6"/>
  <c r="BK532" i="6"/>
  <c r="AL533" i="6"/>
  <c r="AM533" i="6"/>
  <c r="AN533" i="6"/>
  <c r="AO533" i="6"/>
  <c r="AP533" i="6"/>
  <c r="AQ533" i="6"/>
  <c r="AR533" i="6"/>
  <c r="AS533" i="6"/>
  <c r="AT533" i="6"/>
  <c r="AU533" i="6"/>
  <c r="AV533" i="6"/>
  <c r="AW533" i="6"/>
  <c r="AX533" i="6"/>
  <c r="AY533" i="6"/>
  <c r="AZ533" i="6"/>
  <c r="BA533" i="6"/>
  <c r="BB533" i="6"/>
  <c r="BC533" i="6"/>
  <c r="BD533" i="6"/>
  <c r="BE533" i="6"/>
  <c r="BF533" i="6"/>
  <c r="BG533" i="6"/>
  <c r="BH533" i="6"/>
  <c r="BI533" i="6"/>
  <c r="BJ533" i="6"/>
  <c r="BK533" i="6"/>
  <c r="AL534" i="6"/>
  <c r="AM534" i="6"/>
  <c r="AN534" i="6"/>
  <c r="AO534" i="6"/>
  <c r="AP534" i="6"/>
  <c r="AQ534" i="6"/>
  <c r="AR534" i="6"/>
  <c r="AS534" i="6"/>
  <c r="AT534" i="6"/>
  <c r="AU534" i="6"/>
  <c r="AV534" i="6"/>
  <c r="AW534" i="6"/>
  <c r="AX534" i="6"/>
  <c r="AY534" i="6"/>
  <c r="AZ534" i="6"/>
  <c r="BA534" i="6"/>
  <c r="BB534" i="6"/>
  <c r="BC534" i="6"/>
  <c r="BD534" i="6"/>
  <c r="BE534" i="6"/>
  <c r="BF534" i="6"/>
  <c r="BG534" i="6"/>
  <c r="BH534" i="6"/>
  <c r="BI534" i="6"/>
  <c r="BJ534" i="6"/>
  <c r="BK534" i="6"/>
  <c r="AL535" i="6"/>
  <c r="AM535" i="6"/>
  <c r="AN535" i="6"/>
  <c r="AO535" i="6"/>
  <c r="AP535" i="6"/>
  <c r="AQ535" i="6"/>
  <c r="AR535" i="6"/>
  <c r="AS535" i="6"/>
  <c r="AT535" i="6"/>
  <c r="AU535" i="6"/>
  <c r="AV535" i="6"/>
  <c r="AW535" i="6"/>
  <c r="AX535" i="6"/>
  <c r="AY535" i="6"/>
  <c r="AZ535" i="6"/>
  <c r="BA535" i="6"/>
  <c r="BB535" i="6"/>
  <c r="BC535" i="6"/>
  <c r="BD535" i="6"/>
  <c r="BE535" i="6"/>
  <c r="BF535" i="6"/>
  <c r="BG535" i="6"/>
  <c r="BH535" i="6"/>
  <c r="BI535" i="6"/>
  <c r="BJ535" i="6"/>
  <c r="BK535" i="6"/>
  <c r="AL536" i="6"/>
  <c r="AM536" i="6"/>
  <c r="AN536" i="6"/>
  <c r="AO536" i="6"/>
  <c r="AP536" i="6"/>
  <c r="AQ536" i="6"/>
  <c r="AR536" i="6"/>
  <c r="AS536" i="6"/>
  <c r="AT536" i="6"/>
  <c r="AU536" i="6"/>
  <c r="AV536" i="6"/>
  <c r="AW536" i="6"/>
  <c r="AX536" i="6"/>
  <c r="AY536" i="6"/>
  <c r="AZ536" i="6"/>
  <c r="BA536" i="6"/>
  <c r="BB536" i="6"/>
  <c r="BC536" i="6"/>
  <c r="BD536" i="6"/>
  <c r="BE536" i="6"/>
  <c r="BF536" i="6"/>
  <c r="BG536" i="6"/>
  <c r="BH536" i="6"/>
  <c r="BI536" i="6"/>
  <c r="BJ536" i="6"/>
  <c r="BK536" i="6"/>
  <c r="AL537" i="6"/>
  <c r="AM537" i="6"/>
  <c r="AN537" i="6"/>
  <c r="AO537" i="6"/>
  <c r="AP537" i="6"/>
  <c r="AQ537" i="6"/>
  <c r="AR537" i="6"/>
  <c r="AS537" i="6"/>
  <c r="AT537" i="6"/>
  <c r="AU537" i="6"/>
  <c r="AV537" i="6"/>
  <c r="AW537" i="6"/>
  <c r="AX537" i="6"/>
  <c r="AY537" i="6"/>
  <c r="AZ537" i="6"/>
  <c r="BA537" i="6"/>
  <c r="BB537" i="6"/>
  <c r="BC537" i="6"/>
  <c r="BD537" i="6"/>
  <c r="BE537" i="6"/>
  <c r="BF537" i="6"/>
  <c r="BG537" i="6"/>
  <c r="BH537" i="6"/>
  <c r="BI537" i="6"/>
  <c r="BJ537" i="6"/>
  <c r="BK537" i="6"/>
  <c r="AL538" i="6"/>
  <c r="AM538" i="6"/>
  <c r="AN538" i="6"/>
  <c r="AO538" i="6"/>
  <c r="AP538" i="6"/>
  <c r="AQ538" i="6"/>
  <c r="AR538" i="6"/>
  <c r="AS538" i="6"/>
  <c r="AT538" i="6"/>
  <c r="AU538" i="6"/>
  <c r="AV538" i="6"/>
  <c r="AW538" i="6"/>
  <c r="AX538" i="6"/>
  <c r="AY538" i="6"/>
  <c r="AZ538" i="6"/>
  <c r="BA538" i="6"/>
  <c r="BB538" i="6"/>
  <c r="BC538" i="6"/>
  <c r="BD538" i="6"/>
  <c r="BE538" i="6"/>
  <c r="BF538" i="6"/>
  <c r="BG538" i="6"/>
  <c r="BH538" i="6"/>
  <c r="BI538" i="6"/>
  <c r="BJ538" i="6"/>
  <c r="BK538" i="6"/>
  <c r="AL539" i="6"/>
  <c r="AM539" i="6"/>
  <c r="AN539" i="6"/>
  <c r="AO539" i="6"/>
  <c r="AP539" i="6"/>
  <c r="AQ539" i="6"/>
  <c r="AR539" i="6"/>
  <c r="AS539" i="6"/>
  <c r="AT539" i="6"/>
  <c r="AU539" i="6"/>
  <c r="AV539" i="6"/>
  <c r="AW539" i="6"/>
  <c r="AX539" i="6"/>
  <c r="AY539" i="6"/>
  <c r="AZ539" i="6"/>
  <c r="BA539" i="6"/>
  <c r="BB539" i="6"/>
  <c r="BC539" i="6"/>
  <c r="BD539" i="6"/>
  <c r="BE539" i="6"/>
  <c r="BF539" i="6"/>
  <c r="BG539" i="6"/>
  <c r="BH539" i="6"/>
  <c r="BI539" i="6"/>
  <c r="BJ539" i="6"/>
  <c r="BK539" i="6"/>
  <c r="AL540" i="6"/>
  <c r="AM540" i="6"/>
  <c r="AN540" i="6"/>
  <c r="AO540" i="6"/>
  <c r="AP540" i="6"/>
  <c r="AQ540" i="6"/>
  <c r="AR540" i="6"/>
  <c r="AS540" i="6"/>
  <c r="AT540" i="6"/>
  <c r="AU540" i="6"/>
  <c r="AV540" i="6"/>
  <c r="AW540" i="6"/>
  <c r="AX540" i="6"/>
  <c r="AY540" i="6"/>
  <c r="AZ540" i="6"/>
  <c r="BA540" i="6"/>
  <c r="BB540" i="6"/>
  <c r="BC540" i="6"/>
  <c r="BD540" i="6"/>
  <c r="BE540" i="6"/>
  <c r="BF540" i="6"/>
  <c r="BG540" i="6"/>
  <c r="BH540" i="6"/>
  <c r="BI540" i="6"/>
  <c r="BJ540" i="6"/>
  <c r="BK540" i="6"/>
  <c r="AL541" i="6"/>
  <c r="AM541" i="6"/>
  <c r="AN541" i="6"/>
  <c r="AO541" i="6"/>
  <c r="AP541" i="6"/>
  <c r="AQ541" i="6"/>
  <c r="AR541" i="6"/>
  <c r="AS541" i="6"/>
  <c r="AT541" i="6"/>
  <c r="AU541" i="6"/>
  <c r="AV541" i="6"/>
  <c r="AW541" i="6"/>
  <c r="AX541" i="6"/>
  <c r="AY541" i="6"/>
  <c r="AZ541" i="6"/>
  <c r="BA541" i="6"/>
  <c r="BB541" i="6"/>
  <c r="BC541" i="6"/>
  <c r="BD541" i="6"/>
  <c r="BE541" i="6"/>
  <c r="BF541" i="6"/>
  <c r="BG541" i="6"/>
  <c r="BH541" i="6"/>
  <c r="BI541" i="6"/>
  <c r="BJ541" i="6"/>
  <c r="BK541" i="6"/>
  <c r="AL542" i="6"/>
  <c r="AM542" i="6"/>
  <c r="AN542" i="6"/>
  <c r="AO542" i="6"/>
  <c r="AP542" i="6"/>
  <c r="AQ542" i="6"/>
  <c r="AR542" i="6"/>
  <c r="AS542" i="6"/>
  <c r="AT542" i="6"/>
  <c r="AU542" i="6"/>
  <c r="AV542" i="6"/>
  <c r="AW542" i="6"/>
  <c r="AX542" i="6"/>
  <c r="AY542" i="6"/>
  <c r="AZ542" i="6"/>
  <c r="BA542" i="6"/>
  <c r="BB542" i="6"/>
  <c r="BC542" i="6"/>
  <c r="BD542" i="6"/>
  <c r="BE542" i="6"/>
  <c r="BF542" i="6"/>
  <c r="BG542" i="6"/>
  <c r="BH542" i="6"/>
  <c r="BI542" i="6"/>
  <c r="BJ542" i="6"/>
  <c r="BK542" i="6"/>
  <c r="AL543" i="6"/>
  <c r="AM543" i="6"/>
  <c r="AN543" i="6"/>
  <c r="AO543" i="6"/>
  <c r="AP543" i="6"/>
  <c r="AQ543" i="6"/>
  <c r="AR543" i="6"/>
  <c r="AS543" i="6"/>
  <c r="AT543" i="6"/>
  <c r="AU543" i="6"/>
  <c r="AV543" i="6"/>
  <c r="AW543" i="6"/>
  <c r="AX543" i="6"/>
  <c r="AY543" i="6"/>
  <c r="AZ543" i="6"/>
  <c r="BA543" i="6"/>
  <c r="BB543" i="6"/>
  <c r="BC543" i="6"/>
  <c r="BD543" i="6"/>
  <c r="BE543" i="6"/>
  <c r="BF543" i="6"/>
  <c r="BG543" i="6"/>
  <c r="BH543" i="6"/>
  <c r="BI543" i="6"/>
  <c r="BJ543" i="6"/>
  <c r="BK543" i="6"/>
  <c r="AL544" i="6"/>
  <c r="AM544" i="6"/>
  <c r="AN544" i="6"/>
  <c r="AO544" i="6"/>
  <c r="AP544" i="6"/>
  <c r="AQ544" i="6"/>
  <c r="AR544" i="6"/>
  <c r="AS544" i="6"/>
  <c r="AT544" i="6"/>
  <c r="AU544" i="6"/>
  <c r="AV544" i="6"/>
  <c r="AW544" i="6"/>
  <c r="AX544" i="6"/>
  <c r="AY544" i="6"/>
  <c r="AZ544" i="6"/>
  <c r="BA544" i="6"/>
  <c r="BB544" i="6"/>
  <c r="BC544" i="6"/>
  <c r="BD544" i="6"/>
  <c r="BE544" i="6"/>
  <c r="BF544" i="6"/>
  <c r="BG544" i="6"/>
  <c r="BH544" i="6"/>
  <c r="BI544" i="6"/>
  <c r="BJ544" i="6"/>
  <c r="BK544" i="6"/>
  <c r="AL545" i="6"/>
  <c r="AM545" i="6"/>
  <c r="AN545" i="6"/>
  <c r="AO545" i="6"/>
  <c r="AP545" i="6"/>
  <c r="AQ545" i="6"/>
  <c r="AR545" i="6"/>
  <c r="AS545" i="6"/>
  <c r="AT545" i="6"/>
  <c r="AU545" i="6"/>
  <c r="AV545" i="6"/>
  <c r="AW545" i="6"/>
  <c r="AX545" i="6"/>
  <c r="AY545" i="6"/>
  <c r="AZ545" i="6"/>
  <c r="BA545" i="6"/>
  <c r="BB545" i="6"/>
  <c r="BC545" i="6"/>
  <c r="BD545" i="6"/>
  <c r="BE545" i="6"/>
  <c r="BF545" i="6"/>
  <c r="BG545" i="6"/>
  <c r="BH545" i="6"/>
  <c r="BI545" i="6"/>
  <c r="BJ545" i="6"/>
  <c r="BK545" i="6"/>
  <c r="AL546" i="6"/>
  <c r="AM546" i="6"/>
  <c r="AN546" i="6"/>
  <c r="AO546" i="6"/>
  <c r="AP546" i="6"/>
  <c r="AQ546" i="6"/>
  <c r="AR546" i="6"/>
  <c r="AS546" i="6"/>
  <c r="AT546" i="6"/>
  <c r="AU546" i="6"/>
  <c r="AV546" i="6"/>
  <c r="AW546" i="6"/>
  <c r="AX546" i="6"/>
  <c r="AY546" i="6"/>
  <c r="AZ546" i="6"/>
  <c r="BA546" i="6"/>
  <c r="BB546" i="6"/>
  <c r="BC546" i="6"/>
  <c r="BD546" i="6"/>
  <c r="BE546" i="6"/>
  <c r="BF546" i="6"/>
  <c r="BG546" i="6"/>
  <c r="BH546" i="6"/>
  <c r="BI546" i="6"/>
  <c r="BJ546" i="6"/>
  <c r="BK546" i="6"/>
  <c r="AL547" i="6"/>
  <c r="AM547" i="6"/>
  <c r="AN547" i="6"/>
  <c r="AO547" i="6"/>
  <c r="AP547" i="6"/>
  <c r="AQ547" i="6"/>
  <c r="AR547" i="6"/>
  <c r="AS547" i="6"/>
  <c r="AT547" i="6"/>
  <c r="AU547" i="6"/>
  <c r="AV547" i="6"/>
  <c r="AW547" i="6"/>
  <c r="AX547" i="6"/>
  <c r="AY547" i="6"/>
  <c r="AZ547" i="6"/>
  <c r="BA547" i="6"/>
  <c r="BB547" i="6"/>
  <c r="BC547" i="6"/>
  <c r="BD547" i="6"/>
  <c r="BE547" i="6"/>
  <c r="BF547" i="6"/>
  <c r="BG547" i="6"/>
  <c r="BH547" i="6"/>
  <c r="BI547" i="6"/>
  <c r="BJ547" i="6"/>
  <c r="BK547" i="6"/>
  <c r="AL548" i="6"/>
  <c r="AM548" i="6"/>
  <c r="AN548" i="6"/>
  <c r="AO548" i="6"/>
  <c r="AP548" i="6"/>
  <c r="AQ548" i="6"/>
  <c r="AR548" i="6"/>
  <c r="AS548" i="6"/>
  <c r="AT548" i="6"/>
  <c r="AU548" i="6"/>
  <c r="AV548" i="6"/>
  <c r="AW548" i="6"/>
  <c r="AX548" i="6"/>
  <c r="AY548" i="6"/>
  <c r="AZ548" i="6"/>
  <c r="BA548" i="6"/>
  <c r="BB548" i="6"/>
  <c r="BC548" i="6"/>
  <c r="BD548" i="6"/>
  <c r="BE548" i="6"/>
  <c r="BF548" i="6"/>
  <c r="BG548" i="6"/>
  <c r="BH548" i="6"/>
  <c r="BI548" i="6"/>
  <c r="BJ548" i="6"/>
  <c r="BK548" i="6"/>
  <c r="AL549" i="6"/>
  <c r="AM549" i="6"/>
  <c r="AN549" i="6"/>
  <c r="AO549" i="6"/>
  <c r="AP549" i="6"/>
  <c r="AQ549" i="6"/>
  <c r="AR549" i="6"/>
  <c r="AS549" i="6"/>
  <c r="AT549" i="6"/>
  <c r="AU549" i="6"/>
  <c r="AV549" i="6"/>
  <c r="AW549" i="6"/>
  <c r="AX549" i="6"/>
  <c r="AY549" i="6"/>
  <c r="AZ549" i="6"/>
  <c r="BA549" i="6"/>
  <c r="BB549" i="6"/>
  <c r="BC549" i="6"/>
  <c r="BD549" i="6"/>
  <c r="BE549" i="6"/>
  <c r="BF549" i="6"/>
  <c r="BG549" i="6"/>
  <c r="BH549" i="6"/>
  <c r="BI549" i="6"/>
  <c r="BJ549" i="6"/>
  <c r="BK549" i="6"/>
  <c r="AL550" i="6"/>
  <c r="AM550" i="6"/>
  <c r="AN550" i="6"/>
  <c r="AO550" i="6"/>
  <c r="AP550" i="6"/>
  <c r="AQ550" i="6"/>
  <c r="AR550" i="6"/>
  <c r="AS550" i="6"/>
  <c r="AT550" i="6"/>
  <c r="AU550" i="6"/>
  <c r="AV550" i="6"/>
  <c r="AW550" i="6"/>
  <c r="AX550" i="6"/>
  <c r="AY550" i="6"/>
  <c r="AZ550" i="6"/>
  <c r="BA550" i="6"/>
  <c r="BB550" i="6"/>
  <c r="BC550" i="6"/>
  <c r="BD550" i="6"/>
  <c r="BE550" i="6"/>
  <c r="BF550" i="6"/>
  <c r="BG550" i="6"/>
  <c r="BH550" i="6"/>
  <c r="BI550" i="6"/>
  <c r="BJ550" i="6"/>
  <c r="BK550" i="6"/>
  <c r="AL551" i="6"/>
  <c r="AM551" i="6"/>
  <c r="AN551" i="6"/>
  <c r="AO551" i="6"/>
  <c r="AP551" i="6"/>
  <c r="AQ551" i="6"/>
  <c r="AR551" i="6"/>
  <c r="AS551" i="6"/>
  <c r="AT551" i="6"/>
  <c r="AU551" i="6"/>
  <c r="AV551" i="6"/>
  <c r="AW551" i="6"/>
  <c r="AX551" i="6"/>
  <c r="AY551" i="6"/>
  <c r="AZ551" i="6"/>
  <c r="BA551" i="6"/>
  <c r="BB551" i="6"/>
  <c r="BC551" i="6"/>
  <c r="BD551" i="6"/>
  <c r="BE551" i="6"/>
  <c r="BF551" i="6"/>
  <c r="BG551" i="6"/>
  <c r="BH551" i="6"/>
  <c r="BI551" i="6"/>
  <c r="BJ551" i="6"/>
  <c r="BK551" i="6"/>
  <c r="AL552" i="6"/>
  <c r="AM552" i="6"/>
  <c r="AN552" i="6"/>
  <c r="AO552" i="6"/>
  <c r="AP552" i="6"/>
  <c r="AQ552" i="6"/>
  <c r="AR552" i="6"/>
  <c r="AS552" i="6"/>
  <c r="AT552" i="6"/>
  <c r="AU552" i="6"/>
  <c r="AV552" i="6"/>
  <c r="AW552" i="6"/>
  <c r="AX552" i="6"/>
  <c r="AY552" i="6"/>
  <c r="AZ552" i="6"/>
  <c r="BA552" i="6"/>
  <c r="BB552" i="6"/>
  <c r="BC552" i="6"/>
  <c r="BD552" i="6"/>
  <c r="BE552" i="6"/>
  <c r="BF552" i="6"/>
  <c r="BG552" i="6"/>
  <c r="BH552" i="6"/>
  <c r="BI552" i="6"/>
  <c r="BJ552" i="6"/>
  <c r="BK552" i="6"/>
  <c r="AL553" i="6"/>
  <c r="AM553" i="6"/>
  <c r="AN553" i="6"/>
  <c r="AO553" i="6"/>
  <c r="AP553" i="6"/>
  <c r="AQ553" i="6"/>
  <c r="AR553" i="6"/>
  <c r="AS553" i="6"/>
  <c r="AT553" i="6"/>
  <c r="AU553" i="6"/>
  <c r="AV553" i="6"/>
  <c r="AW553" i="6"/>
  <c r="AX553" i="6"/>
  <c r="AY553" i="6"/>
  <c r="AZ553" i="6"/>
  <c r="BA553" i="6"/>
  <c r="BB553" i="6"/>
  <c r="BC553" i="6"/>
  <c r="BD553" i="6"/>
  <c r="BE553" i="6"/>
  <c r="BF553" i="6"/>
  <c r="BG553" i="6"/>
  <c r="BH553" i="6"/>
  <c r="BI553" i="6"/>
  <c r="BJ553" i="6"/>
  <c r="BK553" i="6"/>
  <c r="AL554" i="6"/>
  <c r="AM554" i="6"/>
  <c r="AN554" i="6"/>
  <c r="AO554" i="6"/>
  <c r="AP554" i="6"/>
  <c r="AQ554" i="6"/>
  <c r="AR554" i="6"/>
  <c r="AS554" i="6"/>
  <c r="AT554" i="6"/>
  <c r="AU554" i="6"/>
  <c r="AV554" i="6"/>
  <c r="AW554" i="6"/>
  <c r="AX554" i="6"/>
  <c r="AY554" i="6"/>
  <c r="AZ554" i="6"/>
  <c r="BA554" i="6"/>
  <c r="BB554" i="6"/>
  <c r="BC554" i="6"/>
  <c r="BD554" i="6"/>
  <c r="BE554" i="6"/>
  <c r="BF554" i="6"/>
  <c r="BG554" i="6"/>
  <c r="BH554" i="6"/>
  <c r="BI554" i="6"/>
  <c r="BJ554" i="6"/>
  <c r="BK554" i="6"/>
  <c r="AL555" i="6"/>
  <c r="AM555" i="6"/>
  <c r="AN555" i="6"/>
  <c r="AO555" i="6"/>
  <c r="AP555" i="6"/>
  <c r="AQ555" i="6"/>
  <c r="AR555" i="6"/>
  <c r="AS555" i="6"/>
  <c r="AT555" i="6"/>
  <c r="AU555" i="6"/>
  <c r="AV555" i="6"/>
  <c r="AW555" i="6"/>
  <c r="AX555" i="6"/>
  <c r="AY555" i="6"/>
  <c r="AZ555" i="6"/>
  <c r="BA555" i="6"/>
  <c r="BB555" i="6"/>
  <c r="BC555" i="6"/>
  <c r="BD555" i="6"/>
  <c r="BE555" i="6"/>
  <c r="BF555" i="6"/>
  <c r="BG555" i="6"/>
  <c r="BH555" i="6"/>
  <c r="BI555" i="6"/>
  <c r="BJ555" i="6"/>
  <c r="BK555" i="6"/>
  <c r="AL556" i="6"/>
  <c r="AM556" i="6"/>
  <c r="AN556" i="6"/>
  <c r="AO556" i="6"/>
  <c r="AP556" i="6"/>
  <c r="AQ556" i="6"/>
  <c r="AR556" i="6"/>
  <c r="AS556" i="6"/>
  <c r="AT556" i="6"/>
  <c r="AU556" i="6"/>
  <c r="AV556" i="6"/>
  <c r="AW556" i="6"/>
  <c r="AX556" i="6"/>
  <c r="AY556" i="6"/>
  <c r="AZ556" i="6"/>
  <c r="BA556" i="6"/>
  <c r="BB556" i="6"/>
  <c r="BC556" i="6"/>
  <c r="BD556" i="6"/>
  <c r="BE556" i="6"/>
  <c r="BF556" i="6"/>
  <c r="BG556" i="6"/>
  <c r="BH556" i="6"/>
  <c r="BI556" i="6"/>
  <c r="BJ556" i="6"/>
  <c r="BK556" i="6"/>
  <c r="AL557" i="6"/>
  <c r="AM557" i="6"/>
  <c r="AN557" i="6"/>
  <c r="AO557" i="6"/>
  <c r="AP557" i="6"/>
  <c r="AQ557" i="6"/>
  <c r="AR557" i="6"/>
  <c r="AS557" i="6"/>
  <c r="AT557" i="6"/>
  <c r="AU557" i="6"/>
  <c r="AV557" i="6"/>
  <c r="AW557" i="6"/>
  <c r="AX557" i="6"/>
  <c r="AY557" i="6"/>
  <c r="AZ557" i="6"/>
  <c r="BA557" i="6"/>
  <c r="BB557" i="6"/>
  <c r="BC557" i="6"/>
  <c r="BD557" i="6"/>
  <c r="BE557" i="6"/>
  <c r="BF557" i="6"/>
  <c r="BG557" i="6"/>
  <c r="BH557" i="6"/>
  <c r="BI557" i="6"/>
  <c r="BJ557" i="6"/>
  <c r="BK557" i="6"/>
  <c r="AL558" i="6"/>
  <c r="AM558" i="6"/>
  <c r="AN558" i="6"/>
  <c r="AO558" i="6"/>
  <c r="AP558" i="6"/>
  <c r="AQ558" i="6"/>
  <c r="AR558" i="6"/>
  <c r="AS558" i="6"/>
  <c r="AT558" i="6"/>
  <c r="AU558" i="6"/>
  <c r="AV558" i="6"/>
  <c r="AW558" i="6"/>
  <c r="AX558" i="6"/>
  <c r="AY558" i="6"/>
  <c r="AZ558" i="6"/>
  <c r="BA558" i="6"/>
  <c r="BB558" i="6"/>
  <c r="BC558" i="6"/>
  <c r="BD558" i="6"/>
  <c r="BE558" i="6"/>
  <c r="BF558" i="6"/>
  <c r="BG558" i="6"/>
  <c r="BH558" i="6"/>
  <c r="BI558" i="6"/>
  <c r="BJ558" i="6"/>
  <c r="BK558" i="6"/>
  <c r="AL559" i="6"/>
  <c r="AM559" i="6"/>
  <c r="AN559" i="6"/>
  <c r="AO559" i="6"/>
  <c r="AP559" i="6"/>
  <c r="AQ559" i="6"/>
  <c r="AR559" i="6"/>
  <c r="AS559" i="6"/>
  <c r="AT559" i="6"/>
  <c r="AU559" i="6"/>
  <c r="AV559" i="6"/>
  <c r="AW559" i="6"/>
  <c r="AX559" i="6"/>
  <c r="AY559" i="6"/>
  <c r="AZ559" i="6"/>
  <c r="BA559" i="6"/>
  <c r="BB559" i="6"/>
  <c r="BC559" i="6"/>
  <c r="BD559" i="6"/>
  <c r="BE559" i="6"/>
  <c r="BF559" i="6"/>
  <c r="BG559" i="6"/>
  <c r="BH559" i="6"/>
  <c r="BI559" i="6"/>
  <c r="BJ559" i="6"/>
  <c r="BK559" i="6"/>
  <c r="AL560" i="6"/>
  <c r="AM560" i="6"/>
  <c r="AN560" i="6"/>
  <c r="AO560" i="6"/>
  <c r="AP560" i="6"/>
  <c r="AQ560" i="6"/>
  <c r="AR560" i="6"/>
  <c r="AS560" i="6"/>
  <c r="AT560" i="6"/>
  <c r="AU560" i="6"/>
  <c r="AV560" i="6"/>
  <c r="AW560" i="6"/>
  <c r="AX560" i="6"/>
  <c r="AY560" i="6"/>
  <c r="AZ560" i="6"/>
  <c r="BA560" i="6"/>
  <c r="BB560" i="6"/>
  <c r="BC560" i="6"/>
  <c r="BD560" i="6"/>
  <c r="BE560" i="6"/>
  <c r="BF560" i="6"/>
  <c r="BG560" i="6"/>
  <c r="BH560" i="6"/>
  <c r="BI560" i="6"/>
  <c r="BJ560" i="6"/>
  <c r="BK560" i="6"/>
  <c r="AL561" i="6"/>
  <c r="AM561" i="6"/>
  <c r="AN561" i="6"/>
  <c r="AO561" i="6"/>
  <c r="AP561" i="6"/>
  <c r="AQ561" i="6"/>
  <c r="AR561" i="6"/>
  <c r="AS561" i="6"/>
  <c r="AT561" i="6"/>
  <c r="AU561" i="6"/>
  <c r="AV561" i="6"/>
  <c r="AW561" i="6"/>
  <c r="AX561" i="6"/>
  <c r="AY561" i="6"/>
  <c r="AZ561" i="6"/>
  <c r="BA561" i="6"/>
  <c r="BB561" i="6"/>
  <c r="BC561" i="6"/>
  <c r="BD561" i="6"/>
  <c r="BE561" i="6"/>
  <c r="BF561" i="6"/>
  <c r="BG561" i="6"/>
  <c r="BH561" i="6"/>
  <c r="BI561" i="6"/>
  <c r="BJ561" i="6"/>
  <c r="BK561" i="6"/>
  <c r="AL562" i="6"/>
  <c r="AM562" i="6"/>
  <c r="AN562" i="6"/>
  <c r="AO562" i="6"/>
  <c r="AP562" i="6"/>
  <c r="AQ562" i="6"/>
  <c r="AR562" i="6"/>
  <c r="AS562" i="6"/>
  <c r="AT562" i="6"/>
  <c r="AU562" i="6"/>
  <c r="AV562" i="6"/>
  <c r="AW562" i="6"/>
  <c r="AX562" i="6"/>
  <c r="AY562" i="6"/>
  <c r="AZ562" i="6"/>
  <c r="BA562" i="6"/>
  <c r="BB562" i="6"/>
  <c r="BC562" i="6"/>
  <c r="BD562" i="6"/>
  <c r="BE562" i="6"/>
  <c r="BF562" i="6"/>
  <c r="BG562" i="6"/>
  <c r="BH562" i="6"/>
  <c r="BI562" i="6"/>
  <c r="BJ562" i="6"/>
  <c r="BK562" i="6"/>
  <c r="AL563" i="6"/>
  <c r="AM563" i="6"/>
  <c r="AN563" i="6"/>
  <c r="AO563" i="6"/>
  <c r="AP563" i="6"/>
  <c r="AQ563" i="6"/>
  <c r="AR563" i="6"/>
  <c r="AS563" i="6"/>
  <c r="AT563" i="6"/>
  <c r="AU563" i="6"/>
  <c r="AV563" i="6"/>
  <c r="AW563" i="6"/>
  <c r="AX563" i="6"/>
  <c r="AY563" i="6"/>
  <c r="AZ563" i="6"/>
  <c r="BA563" i="6"/>
  <c r="BB563" i="6"/>
  <c r="BC563" i="6"/>
  <c r="BD563" i="6"/>
  <c r="BE563" i="6"/>
  <c r="BF563" i="6"/>
  <c r="BG563" i="6"/>
  <c r="BH563" i="6"/>
  <c r="BI563" i="6"/>
  <c r="BJ563" i="6"/>
  <c r="BK563" i="6"/>
  <c r="AM3" i="6"/>
  <c r="AN3" i="6"/>
  <c r="AO3" i="6"/>
  <c r="AP3" i="6"/>
  <c r="AQ3" i="6"/>
  <c r="AR3" i="6"/>
  <c r="AS3" i="6"/>
  <c r="AT3" i="6"/>
  <c r="AU3" i="6"/>
  <c r="AV3" i="6"/>
  <c r="AW3" i="6"/>
  <c r="AX3" i="6"/>
  <c r="AY3" i="6"/>
  <c r="AZ3" i="6"/>
  <c r="BA3" i="6"/>
  <c r="BB3" i="6"/>
  <c r="BC3" i="6"/>
  <c r="BD3" i="6"/>
  <c r="BE3" i="6"/>
  <c r="BF3" i="6"/>
  <c r="BG3" i="6"/>
  <c r="BH3" i="6"/>
  <c r="BI3" i="6"/>
  <c r="BJ3" i="6"/>
  <c r="BK3" i="6"/>
  <c r="AM7" i="6"/>
  <c r="AN7" i="6"/>
  <c r="AO7" i="6"/>
  <c r="AP7" i="6"/>
  <c r="AQ7" i="6"/>
  <c r="AR7" i="6"/>
  <c r="AS7" i="6"/>
  <c r="AT7" i="6"/>
  <c r="AU7" i="6"/>
  <c r="AV7" i="6"/>
  <c r="AW7" i="6"/>
  <c r="AX7" i="6"/>
  <c r="AY7" i="6"/>
  <c r="AZ7" i="6"/>
  <c r="BA7" i="6"/>
  <c r="BB7" i="6"/>
  <c r="BC7" i="6"/>
  <c r="BD7" i="6"/>
  <c r="BE7" i="6"/>
  <c r="BF7" i="6"/>
  <c r="BG7" i="6"/>
  <c r="BH7" i="6"/>
  <c r="BI7" i="6"/>
  <c r="BJ7" i="6"/>
  <c r="BK7" i="6"/>
  <c r="AM8" i="6"/>
  <c r="AN8" i="6"/>
  <c r="AO8" i="6"/>
  <c r="AP8" i="6"/>
  <c r="AQ8" i="6"/>
  <c r="AR8" i="6"/>
  <c r="AS8" i="6"/>
  <c r="AT8" i="6"/>
  <c r="AU8" i="6"/>
  <c r="AV8" i="6"/>
  <c r="AW8" i="6"/>
  <c r="AX8" i="6"/>
  <c r="AY8" i="6"/>
  <c r="AZ8" i="6"/>
  <c r="BA8" i="6"/>
  <c r="BB8" i="6"/>
  <c r="BC8" i="6"/>
  <c r="BD8" i="6"/>
  <c r="BE8" i="6"/>
  <c r="BF8" i="6"/>
  <c r="BG8" i="6"/>
  <c r="BH8" i="6"/>
  <c r="BI8" i="6"/>
  <c r="BJ8" i="6"/>
  <c r="BK8" i="6"/>
  <c r="AM9" i="6"/>
  <c r="AN9" i="6"/>
  <c r="AO9" i="6"/>
  <c r="AP9" i="6"/>
  <c r="AQ9" i="6"/>
  <c r="AR9" i="6"/>
  <c r="AS9" i="6"/>
  <c r="AT9" i="6"/>
  <c r="AU9" i="6"/>
  <c r="AV9" i="6"/>
  <c r="AW9" i="6"/>
  <c r="AX9" i="6"/>
  <c r="AY9" i="6"/>
  <c r="AZ9" i="6"/>
  <c r="BA9" i="6"/>
  <c r="BB9" i="6"/>
  <c r="BC9" i="6"/>
  <c r="BD9" i="6"/>
  <c r="BE9" i="6"/>
  <c r="BF9" i="6"/>
  <c r="BG9" i="6"/>
  <c r="BH9" i="6"/>
  <c r="BI9" i="6"/>
  <c r="BJ9" i="6"/>
  <c r="BK9" i="6"/>
  <c r="AM10" i="6"/>
  <c r="AN10" i="6"/>
  <c r="AO10" i="6"/>
  <c r="AP10" i="6"/>
  <c r="AQ10" i="6"/>
  <c r="AR10" i="6"/>
  <c r="AS10" i="6"/>
  <c r="AT10" i="6"/>
  <c r="AU10" i="6"/>
  <c r="AV10" i="6"/>
  <c r="AW10" i="6"/>
  <c r="AX10" i="6"/>
  <c r="AY10" i="6"/>
  <c r="AZ10" i="6"/>
  <c r="BA10" i="6"/>
  <c r="BB10" i="6"/>
  <c r="BC10" i="6"/>
  <c r="BD10" i="6"/>
  <c r="BE10" i="6"/>
  <c r="BF10" i="6"/>
  <c r="BG10" i="6"/>
  <c r="BH10" i="6"/>
  <c r="BI10" i="6"/>
  <c r="BJ10" i="6"/>
  <c r="BK10" i="6"/>
  <c r="AM11" i="6"/>
  <c r="AN11" i="6"/>
  <c r="AO11" i="6"/>
  <c r="AP11" i="6"/>
  <c r="AQ11" i="6"/>
  <c r="AR11" i="6"/>
  <c r="AS11" i="6"/>
  <c r="AT11" i="6"/>
  <c r="AU11" i="6"/>
  <c r="AV11" i="6"/>
  <c r="AW11" i="6"/>
  <c r="AX11" i="6"/>
  <c r="AY11" i="6"/>
  <c r="AZ11" i="6"/>
  <c r="BA11" i="6"/>
  <c r="BB11" i="6"/>
  <c r="BC11" i="6"/>
  <c r="BD11" i="6"/>
  <c r="BE11" i="6"/>
  <c r="BF11" i="6"/>
  <c r="BG11" i="6"/>
  <c r="BH11" i="6"/>
  <c r="BI11" i="6"/>
  <c r="BJ11" i="6"/>
  <c r="BK11" i="6"/>
  <c r="AM12" i="6"/>
  <c r="AN12" i="6"/>
  <c r="AO12" i="6"/>
  <c r="AP12" i="6"/>
  <c r="AQ12" i="6"/>
  <c r="AR12" i="6"/>
  <c r="AS12" i="6"/>
  <c r="AT12" i="6"/>
  <c r="AU12" i="6"/>
  <c r="AV12" i="6"/>
  <c r="AW12" i="6"/>
  <c r="AX12" i="6"/>
  <c r="AY12" i="6"/>
  <c r="AZ12" i="6"/>
  <c r="BA12" i="6"/>
  <c r="BB12" i="6"/>
  <c r="BC12" i="6"/>
  <c r="BD12" i="6"/>
  <c r="BE12" i="6"/>
  <c r="BF12" i="6"/>
  <c r="BG12" i="6"/>
  <c r="BH12" i="6"/>
  <c r="BI12" i="6"/>
  <c r="BJ12" i="6"/>
  <c r="BK12" i="6"/>
  <c r="AM13" i="6"/>
  <c r="AN13" i="6"/>
  <c r="AO13" i="6"/>
  <c r="AP13" i="6"/>
  <c r="AQ13" i="6"/>
  <c r="AR13" i="6"/>
  <c r="AS13" i="6"/>
  <c r="AT13" i="6"/>
  <c r="AU13" i="6"/>
  <c r="AV13" i="6"/>
  <c r="AW13" i="6"/>
  <c r="AX13" i="6"/>
  <c r="AY13" i="6"/>
  <c r="AZ13" i="6"/>
  <c r="BA13" i="6"/>
  <c r="BB13" i="6"/>
  <c r="BC13" i="6"/>
  <c r="BD13" i="6"/>
  <c r="BE13" i="6"/>
  <c r="BF13" i="6"/>
  <c r="BG13" i="6"/>
  <c r="BH13" i="6"/>
  <c r="BI13" i="6"/>
  <c r="BJ13" i="6"/>
  <c r="BK13" i="6"/>
  <c r="AM14" i="6"/>
  <c r="AN14" i="6"/>
  <c r="AO14" i="6"/>
  <c r="AP14" i="6"/>
  <c r="AQ14" i="6"/>
  <c r="AR14" i="6"/>
  <c r="AS14" i="6"/>
  <c r="AT14" i="6"/>
  <c r="AU14" i="6"/>
  <c r="AV14" i="6"/>
  <c r="AW14" i="6"/>
  <c r="AX14" i="6"/>
  <c r="AY14" i="6"/>
  <c r="AZ14" i="6"/>
  <c r="BA14" i="6"/>
  <c r="BB14" i="6"/>
  <c r="BC14" i="6"/>
  <c r="BD14" i="6"/>
  <c r="BE14" i="6"/>
  <c r="BF14" i="6"/>
  <c r="BG14" i="6"/>
  <c r="BH14" i="6"/>
  <c r="BI14" i="6"/>
  <c r="BJ14" i="6"/>
  <c r="BK14" i="6"/>
  <c r="AM15" i="6"/>
  <c r="AN15" i="6"/>
  <c r="AO15" i="6"/>
  <c r="AP15" i="6"/>
  <c r="AQ15" i="6"/>
  <c r="AR15" i="6"/>
  <c r="AS15" i="6"/>
  <c r="AT15" i="6"/>
  <c r="AU15" i="6"/>
  <c r="AV15" i="6"/>
  <c r="AW15" i="6"/>
  <c r="AX15" i="6"/>
  <c r="AY15" i="6"/>
  <c r="AZ15" i="6"/>
  <c r="BA15" i="6"/>
  <c r="BB15" i="6"/>
  <c r="BC15" i="6"/>
  <c r="BD15" i="6"/>
  <c r="BE15" i="6"/>
  <c r="BF15" i="6"/>
  <c r="BG15" i="6"/>
  <c r="BH15" i="6"/>
  <c r="BI15" i="6"/>
  <c r="BJ15" i="6"/>
  <c r="BK15" i="6"/>
  <c r="AM16" i="6"/>
  <c r="AN16" i="6"/>
  <c r="AO16" i="6"/>
  <c r="AP16" i="6"/>
  <c r="AQ16" i="6"/>
  <c r="AR16" i="6"/>
  <c r="AS16" i="6"/>
  <c r="AT16" i="6"/>
  <c r="AU16" i="6"/>
  <c r="AV16" i="6"/>
  <c r="AW16" i="6"/>
  <c r="AX16" i="6"/>
  <c r="AY16" i="6"/>
  <c r="AZ16" i="6"/>
  <c r="BA16" i="6"/>
  <c r="BB16" i="6"/>
  <c r="BC16" i="6"/>
  <c r="BD16" i="6"/>
  <c r="BE16" i="6"/>
  <c r="BF16" i="6"/>
  <c r="BG16" i="6"/>
  <c r="BH16" i="6"/>
  <c r="BI16" i="6"/>
  <c r="BJ16" i="6"/>
  <c r="BK16" i="6"/>
  <c r="AM17" i="6"/>
  <c r="AN17" i="6"/>
  <c r="AO17" i="6"/>
  <c r="AP17" i="6"/>
  <c r="AQ17" i="6"/>
  <c r="AR17" i="6"/>
  <c r="AS17" i="6"/>
  <c r="AT17" i="6"/>
  <c r="AU17" i="6"/>
  <c r="AV17" i="6"/>
  <c r="AW17" i="6"/>
  <c r="AX17" i="6"/>
  <c r="AY17" i="6"/>
  <c r="AZ17" i="6"/>
  <c r="BA17" i="6"/>
  <c r="BB17" i="6"/>
  <c r="BC17" i="6"/>
  <c r="BD17" i="6"/>
  <c r="BE17" i="6"/>
  <c r="BF17" i="6"/>
  <c r="BG17" i="6"/>
  <c r="BH17" i="6"/>
  <c r="BI17" i="6"/>
  <c r="BJ17" i="6"/>
  <c r="BK17" i="6"/>
  <c r="AM18" i="6"/>
  <c r="AN18" i="6"/>
  <c r="AO18" i="6"/>
  <c r="AP18" i="6"/>
  <c r="AQ18" i="6"/>
  <c r="AR18" i="6"/>
  <c r="AS18" i="6"/>
  <c r="AT18" i="6"/>
  <c r="AU18" i="6"/>
  <c r="AV18" i="6"/>
  <c r="AW18" i="6"/>
  <c r="AX18" i="6"/>
  <c r="AY18" i="6"/>
  <c r="AZ18" i="6"/>
  <c r="BA18" i="6"/>
  <c r="BB18" i="6"/>
  <c r="BC18" i="6"/>
  <c r="BD18" i="6"/>
  <c r="BE18" i="6"/>
  <c r="BF18" i="6"/>
  <c r="BG18" i="6"/>
  <c r="BH18" i="6"/>
  <c r="BI18" i="6"/>
  <c r="BJ18" i="6"/>
  <c r="BK18" i="6"/>
  <c r="AM19" i="6"/>
  <c r="AN19" i="6"/>
  <c r="AO19" i="6"/>
  <c r="AP19" i="6"/>
  <c r="AQ19" i="6"/>
  <c r="AR19" i="6"/>
  <c r="AS19" i="6"/>
  <c r="AT19" i="6"/>
  <c r="AU19" i="6"/>
  <c r="AV19" i="6"/>
  <c r="AW19" i="6"/>
  <c r="AX19" i="6"/>
  <c r="AY19" i="6"/>
  <c r="AZ19" i="6"/>
  <c r="BA19" i="6"/>
  <c r="BB19" i="6"/>
  <c r="BC19" i="6"/>
  <c r="BD19" i="6"/>
  <c r="BE19" i="6"/>
  <c r="BF19" i="6"/>
  <c r="BG19" i="6"/>
  <c r="BH19" i="6"/>
  <c r="BI19" i="6"/>
  <c r="BJ19" i="6"/>
  <c r="BK19" i="6"/>
  <c r="AM20" i="6"/>
  <c r="AN20" i="6"/>
  <c r="AO20" i="6"/>
  <c r="AP20" i="6"/>
  <c r="AQ20" i="6"/>
  <c r="AR20" i="6"/>
  <c r="AS20" i="6"/>
  <c r="AT20" i="6"/>
  <c r="AU20" i="6"/>
  <c r="AV20" i="6"/>
  <c r="AW20" i="6"/>
  <c r="AX20" i="6"/>
  <c r="AY20" i="6"/>
  <c r="AZ20" i="6"/>
  <c r="BA20" i="6"/>
  <c r="BB20" i="6"/>
  <c r="BC20" i="6"/>
  <c r="BD20" i="6"/>
  <c r="BE20" i="6"/>
  <c r="BF20" i="6"/>
  <c r="BG20" i="6"/>
  <c r="BH20" i="6"/>
  <c r="BI20" i="6"/>
  <c r="BJ20" i="6"/>
  <c r="BK20" i="6"/>
  <c r="AM21" i="6"/>
  <c r="AN21" i="6"/>
  <c r="AO21" i="6"/>
  <c r="AP21" i="6"/>
  <c r="AQ21" i="6"/>
  <c r="AR21" i="6"/>
  <c r="AS21" i="6"/>
  <c r="AT21" i="6"/>
  <c r="AU21" i="6"/>
  <c r="AV21" i="6"/>
  <c r="AW21" i="6"/>
  <c r="AX21" i="6"/>
  <c r="AY21" i="6"/>
  <c r="AZ21" i="6"/>
  <c r="BA21" i="6"/>
  <c r="BB21" i="6"/>
  <c r="BC21" i="6"/>
  <c r="BD21" i="6"/>
  <c r="BE21" i="6"/>
  <c r="BF21" i="6"/>
  <c r="BG21" i="6"/>
  <c r="BH21" i="6"/>
  <c r="BI21" i="6"/>
  <c r="BJ21" i="6"/>
  <c r="BK21" i="6"/>
  <c r="AM22" i="6"/>
  <c r="AN22" i="6"/>
  <c r="AO22" i="6"/>
  <c r="AP22" i="6"/>
  <c r="AQ22" i="6"/>
  <c r="AR22" i="6"/>
  <c r="AS22" i="6"/>
  <c r="AT22" i="6"/>
  <c r="AU22" i="6"/>
  <c r="AV22" i="6"/>
  <c r="AW22" i="6"/>
  <c r="AX22" i="6"/>
  <c r="AY22" i="6"/>
  <c r="AZ22" i="6"/>
  <c r="BA22" i="6"/>
  <c r="BB22" i="6"/>
  <c r="BC22" i="6"/>
  <c r="BD22" i="6"/>
  <c r="BE22" i="6"/>
  <c r="BF22" i="6"/>
  <c r="BG22" i="6"/>
  <c r="BH22" i="6"/>
  <c r="BI22" i="6"/>
  <c r="BJ22" i="6"/>
  <c r="BK22" i="6"/>
  <c r="AM23" i="6"/>
  <c r="AN23" i="6"/>
  <c r="AO23" i="6"/>
  <c r="AP23" i="6"/>
  <c r="AQ23" i="6"/>
  <c r="AR23" i="6"/>
  <c r="AS23" i="6"/>
  <c r="AT23" i="6"/>
  <c r="AU23" i="6"/>
  <c r="AV23" i="6"/>
  <c r="AW23" i="6"/>
  <c r="AX23" i="6"/>
  <c r="AY23" i="6"/>
  <c r="AZ23" i="6"/>
  <c r="BA23" i="6"/>
  <c r="BB23" i="6"/>
  <c r="BC23" i="6"/>
  <c r="BD23" i="6"/>
  <c r="BE23" i="6"/>
  <c r="BF23" i="6"/>
  <c r="BG23" i="6"/>
  <c r="BH23" i="6"/>
  <c r="BI23" i="6"/>
  <c r="BJ23" i="6"/>
  <c r="BK23" i="6"/>
  <c r="AM24" i="6"/>
  <c r="AN24" i="6"/>
  <c r="AO24" i="6"/>
  <c r="AP24" i="6"/>
  <c r="AQ24" i="6"/>
  <c r="AR24" i="6"/>
  <c r="AS24" i="6"/>
  <c r="AT24" i="6"/>
  <c r="AU24" i="6"/>
  <c r="AV24" i="6"/>
  <c r="AW24" i="6"/>
  <c r="AX24" i="6"/>
  <c r="AY24" i="6"/>
  <c r="AZ24" i="6"/>
  <c r="BA24" i="6"/>
  <c r="BB24" i="6"/>
  <c r="BC24" i="6"/>
  <c r="BD24" i="6"/>
  <c r="BE24" i="6"/>
  <c r="BF24" i="6"/>
  <c r="BG24" i="6"/>
  <c r="BH24" i="6"/>
  <c r="BI24" i="6"/>
  <c r="BJ24" i="6"/>
  <c r="BK24" i="6"/>
  <c r="AM25" i="6"/>
  <c r="AN25" i="6"/>
  <c r="AO25" i="6"/>
  <c r="AP25" i="6"/>
  <c r="AQ25" i="6"/>
  <c r="AR25" i="6"/>
  <c r="AS25" i="6"/>
  <c r="AT25" i="6"/>
  <c r="AU25" i="6"/>
  <c r="AV25" i="6"/>
  <c r="AW25" i="6"/>
  <c r="AX25" i="6"/>
  <c r="AY25" i="6"/>
  <c r="AZ25" i="6"/>
  <c r="BA25" i="6"/>
  <c r="BB25" i="6"/>
  <c r="BC25" i="6"/>
  <c r="BD25" i="6"/>
  <c r="BE25" i="6"/>
  <c r="BF25" i="6"/>
  <c r="BG25" i="6"/>
  <c r="BH25" i="6"/>
  <c r="BI25" i="6"/>
  <c r="BJ25" i="6"/>
  <c r="BK25" i="6"/>
  <c r="AM26" i="6"/>
  <c r="AN26" i="6"/>
  <c r="AO26" i="6"/>
  <c r="AP26" i="6"/>
  <c r="AQ26" i="6"/>
  <c r="AR26" i="6"/>
  <c r="AS26" i="6"/>
  <c r="AT26" i="6"/>
  <c r="AU26" i="6"/>
  <c r="AV26" i="6"/>
  <c r="AW26" i="6"/>
  <c r="AX26" i="6"/>
  <c r="AY26" i="6"/>
  <c r="AZ26" i="6"/>
  <c r="BA26" i="6"/>
  <c r="BB26" i="6"/>
  <c r="BC26" i="6"/>
  <c r="BD26" i="6"/>
  <c r="BE26" i="6"/>
  <c r="BF26" i="6"/>
  <c r="BG26" i="6"/>
  <c r="BH26" i="6"/>
  <c r="BI26" i="6"/>
  <c r="BJ26" i="6"/>
  <c r="BK26" i="6"/>
  <c r="AM27" i="6"/>
  <c r="AN27" i="6"/>
  <c r="AO27" i="6"/>
  <c r="AP27" i="6"/>
  <c r="AQ27" i="6"/>
  <c r="AR27" i="6"/>
  <c r="AS27" i="6"/>
  <c r="AT27" i="6"/>
  <c r="AU27" i="6"/>
  <c r="AV27" i="6"/>
  <c r="AW27" i="6"/>
  <c r="AX27" i="6"/>
  <c r="AY27" i="6"/>
  <c r="AZ27" i="6"/>
  <c r="BA27" i="6"/>
  <c r="BB27" i="6"/>
  <c r="BC27" i="6"/>
  <c r="BD27" i="6"/>
  <c r="BE27" i="6"/>
  <c r="BF27" i="6"/>
  <c r="BG27" i="6"/>
  <c r="BH27" i="6"/>
  <c r="BI27" i="6"/>
  <c r="BJ27" i="6"/>
  <c r="BK27" i="6"/>
  <c r="AM28" i="6"/>
  <c r="AN28" i="6"/>
  <c r="AO28" i="6"/>
  <c r="AP28" i="6"/>
  <c r="AQ28" i="6"/>
  <c r="AR28" i="6"/>
  <c r="AS28" i="6"/>
  <c r="AT28" i="6"/>
  <c r="AU28" i="6"/>
  <c r="AV28" i="6"/>
  <c r="AW28" i="6"/>
  <c r="AX28" i="6"/>
  <c r="AY28" i="6"/>
  <c r="AZ28" i="6"/>
  <c r="BA28" i="6"/>
  <c r="BB28" i="6"/>
  <c r="BC28" i="6"/>
  <c r="BD28" i="6"/>
  <c r="BE28" i="6"/>
  <c r="BF28" i="6"/>
  <c r="BG28" i="6"/>
  <c r="BH28" i="6"/>
  <c r="BI28" i="6"/>
  <c r="BJ28" i="6"/>
  <c r="BK28" i="6"/>
  <c r="AM29" i="6"/>
  <c r="AN29" i="6"/>
  <c r="AO29" i="6"/>
  <c r="AP29" i="6"/>
  <c r="AQ29" i="6"/>
  <c r="AR29" i="6"/>
  <c r="AS29" i="6"/>
  <c r="AT29" i="6"/>
  <c r="AU29" i="6"/>
  <c r="AV29" i="6"/>
  <c r="AW29" i="6"/>
  <c r="AX29" i="6"/>
  <c r="AY29" i="6"/>
  <c r="AZ29" i="6"/>
  <c r="BA29" i="6"/>
  <c r="BB29" i="6"/>
  <c r="BC29" i="6"/>
  <c r="BD29" i="6"/>
  <c r="BE29" i="6"/>
  <c r="BF29" i="6"/>
  <c r="BG29" i="6"/>
  <c r="BH29" i="6"/>
  <c r="BI29" i="6"/>
  <c r="BJ29" i="6"/>
  <c r="BK29" i="6"/>
  <c r="AM30" i="6"/>
  <c r="AN30" i="6"/>
  <c r="AO30" i="6"/>
  <c r="AP30" i="6"/>
  <c r="AQ30" i="6"/>
  <c r="AR30" i="6"/>
  <c r="AS30" i="6"/>
  <c r="AT30" i="6"/>
  <c r="AU30" i="6"/>
  <c r="AV30" i="6"/>
  <c r="AW30" i="6"/>
  <c r="AX30" i="6"/>
  <c r="AY30" i="6"/>
  <c r="AZ30" i="6"/>
  <c r="BA30" i="6"/>
  <c r="BB30" i="6"/>
  <c r="BC30" i="6"/>
  <c r="BD30" i="6"/>
  <c r="BE30" i="6"/>
  <c r="BF30" i="6"/>
  <c r="BG30" i="6"/>
  <c r="BH30" i="6"/>
  <c r="BI30" i="6"/>
  <c r="BJ30" i="6"/>
  <c r="BK30" i="6"/>
  <c r="AM31" i="6"/>
  <c r="AN31" i="6"/>
  <c r="AO31" i="6"/>
  <c r="AP31" i="6"/>
  <c r="AQ31" i="6"/>
  <c r="AR31" i="6"/>
  <c r="AS31" i="6"/>
  <c r="AT31" i="6"/>
  <c r="AU31" i="6"/>
  <c r="AV31" i="6"/>
  <c r="AW31" i="6"/>
  <c r="AX31" i="6"/>
  <c r="AY31" i="6"/>
  <c r="AZ31" i="6"/>
  <c r="BA31" i="6"/>
  <c r="BB31" i="6"/>
  <c r="BC31" i="6"/>
  <c r="BD31" i="6"/>
  <c r="BE31" i="6"/>
  <c r="BF31" i="6"/>
  <c r="BG31" i="6"/>
  <c r="BH31" i="6"/>
  <c r="BI31" i="6"/>
  <c r="BJ31" i="6"/>
  <c r="BK31" i="6"/>
  <c r="AM32" i="6"/>
  <c r="AN32" i="6"/>
  <c r="AO32" i="6"/>
  <c r="AP32" i="6"/>
  <c r="AQ32" i="6"/>
  <c r="AR32" i="6"/>
  <c r="AS32" i="6"/>
  <c r="AT32" i="6"/>
  <c r="AU32" i="6"/>
  <c r="AV32" i="6"/>
  <c r="AW32" i="6"/>
  <c r="AX32" i="6"/>
  <c r="AY32" i="6"/>
  <c r="AZ32" i="6"/>
  <c r="BA32" i="6"/>
  <c r="BB32" i="6"/>
  <c r="BC32" i="6"/>
  <c r="BD32" i="6"/>
  <c r="BE32" i="6"/>
  <c r="BF32" i="6"/>
  <c r="BG32" i="6"/>
  <c r="BH32" i="6"/>
  <c r="BI32" i="6"/>
  <c r="BJ32" i="6"/>
  <c r="BK32" i="6"/>
  <c r="AM33" i="6"/>
  <c r="AN33" i="6"/>
  <c r="AO33" i="6"/>
  <c r="AP33" i="6"/>
  <c r="AQ33" i="6"/>
  <c r="AR33" i="6"/>
  <c r="AS33" i="6"/>
  <c r="AT33" i="6"/>
  <c r="AU33" i="6"/>
  <c r="AV33" i="6"/>
  <c r="AW33" i="6"/>
  <c r="AX33" i="6"/>
  <c r="AY33" i="6"/>
  <c r="AZ33" i="6"/>
  <c r="BA33" i="6"/>
  <c r="BB33" i="6"/>
  <c r="BC33" i="6"/>
  <c r="BD33" i="6"/>
  <c r="BE33" i="6"/>
  <c r="BF33" i="6"/>
  <c r="BG33" i="6"/>
  <c r="BH33" i="6"/>
  <c r="BI33" i="6"/>
  <c r="BJ33" i="6"/>
  <c r="BK33" i="6"/>
  <c r="AM34" i="6"/>
  <c r="AN34" i="6"/>
  <c r="AO34" i="6"/>
  <c r="AP34" i="6"/>
  <c r="AQ34" i="6"/>
  <c r="AR34" i="6"/>
  <c r="AS34" i="6"/>
  <c r="AT34" i="6"/>
  <c r="AU34" i="6"/>
  <c r="AV34" i="6"/>
  <c r="AW34" i="6"/>
  <c r="AX34" i="6"/>
  <c r="AY34" i="6"/>
  <c r="AZ34" i="6"/>
  <c r="BA34" i="6"/>
  <c r="BB34" i="6"/>
  <c r="BC34" i="6"/>
  <c r="BD34" i="6"/>
  <c r="BE34" i="6"/>
  <c r="BF34" i="6"/>
  <c r="BG34" i="6"/>
  <c r="BH34" i="6"/>
  <c r="BI34" i="6"/>
  <c r="BJ34" i="6"/>
  <c r="BK34" i="6"/>
  <c r="AM35" i="6"/>
  <c r="AN35" i="6"/>
  <c r="AO35" i="6"/>
  <c r="AP35" i="6"/>
  <c r="AQ35" i="6"/>
  <c r="AR35" i="6"/>
  <c r="AS35" i="6"/>
  <c r="AT35" i="6"/>
  <c r="AU35" i="6"/>
  <c r="AV35" i="6"/>
  <c r="AW35" i="6"/>
  <c r="AX35" i="6"/>
  <c r="AY35" i="6"/>
  <c r="AZ35" i="6"/>
  <c r="BA35" i="6"/>
  <c r="BB35" i="6"/>
  <c r="BC35" i="6"/>
  <c r="BD35" i="6"/>
  <c r="BE35" i="6"/>
  <c r="BF35" i="6"/>
  <c r="BG35" i="6"/>
  <c r="BH35" i="6"/>
  <c r="BI35" i="6"/>
  <c r="BJ35" i="6"/>
  <c r="BK35" i="6"/>
  <c r="AM36" i="6"/>
  <c r="AN36" i="6"/>
  <c r="AO36" i="6"/>
  <c r="AP36" i="6"/>
  <c r="AQ36" i="6"/>
  <c r="AR36" i="6"/>
  <c r="AS36" i="6"/>
  <c r="AT36" i="6"/>
  <c r="AU36" i="6"/>
  <c r="AV36" i="6"/>
  <c r="AW36" i="6"/>
  <c r="AX36" i="6"/>
  <c r="AY36" i="6"/>
  <c r="AZ36" i="6"/>
  <c r="BA36" i="6"/>
  <c r="BB36" i="6"/>
  <c r="BC36" i="6"/>
  <c r="BD36" i="6"/>
  <c r="BE36" i="6"/>
  <c r="BF36" i="6"/>
  <c r="BG36" i="6"/>
  <c r="BH36" i="6"/>
  <c r="BI36" i="6"/>
  <c r="BJ36" i="6"/>
  <c r="BK36" i="6"/>
  <c r="AM37" i="6"/>
  <c r="AN37" i="6"/>
  <c r="AO37" i="6"/>
  <c r="AP37" i="6"/>
  <c r="AQ37" i="6"/>
  <c r="AR37" i="6"/>
  <c r="AS37" i="6"/>
  <c r="AT37" i="6"/>
  <c r="AU37" i="6"/>
  <c r="AV37" i="6"/>
  <c r="AW37" i="6"/>
  <c r="AX37" i="6"/>
  <c r="AY37" i="6"/>
  <c r="AZ37" i="6"/>
  <c r="BA37" i="6"/>
  <c r="BB37" i="6"/>
  <c r="BC37" i="6"/>
  <c r="BD37" i="6"/>
  <c r="BE37" i="6"/>
  <c r="BF37" i="6"/>
  <c r="BG37" i="6"/>
  <c r="BH37" i="6"/>
  <c r="BI37" i="6"/>
  <c r="BJ37" i="6"/>
  <c r="BK37" i="6"/>
  <c r="AM38" i="6"/>
  <c r="AN38" i="6"/>
  <c r="AO38" i="6"/>
  <c r="AP38" i="6"/>
  <c r="AQ38" i="6"/>
  <c r="AR38" i="6"/>
  <c r="AS38" i="6"/>
  <c r="AT38" i="6"/>
  <c r="AU38" i="6"/>
  <c r="AV38" i="6"/>
  <c r="AW38" i="6"/>
  <c r="AX38" i="6"/>
  <c r="AY38" i="6"/>
  <c r="AZ38" i="6"/>
  <c r="BA38" i="6"/>
  <c r="BB38" i="6"/>
  <c r="BC38" i="6"/>
  <c r="BD38" i="6"/>
  <c r="BE38" i="6"/>
  <c r="BF38" i="6"/>
  <c r="BG38" i="6"/>
  <c r="BH38" i="6"/>
  <c r="BI38" i="6"/>
  <c r="BJ38" i="6"/>
  <c r="BK38" i="6"/>
  <c r="AM39" i="6"/>
  <c r="AN39" i="6"/>
  <c r="AO39" i="6"/>
  <c r="AP39" i="6"/>
  <c r="AQ39" i="6"/>
  <c r="AR39" i="6"/>
  <c r="AS39" i="6"/>
  <c r="AT39" i="6"/>
  <c r="AU39" i="6"/>
  <c r="AV39" i="6"/>
  <c r="AW39" i="6"/>
  <c r="AX39" i="6"/>
  <c r="AY39" i="6"/>
  <c r="AZ39" i="6"/>
  <c r="BA39" i="6"/>
  <c r="BB39" i="6"/>
  <c r="BC39" i="6"/>
  <c r="BD39" i="6"/>
  <c r="BE39" i="6"/>
  <c r="BF39" i="6"/>
  <c r="BG39" i="6"/>
  <c r="BH39" i="6"/>
  <c r="BI39" i="6"/>
  <c r="BJ39" i="6"/>
  <c r="BK39" i="6"/>
  <c r="AM40" i="6"/>
  <c r="AN40" i="6"/>
  <c r="AO40" i="6"/>
  <c r="AP40" i="6"/>
  <c r="AQ40" i="6"/>
  <c r="AR40" i="6"/>
  <c r="AS40" i="6"/>
  <c r="AT40" i="6"/>
  <c r="AU40" i="6"/>
  <c r="AV40" i="6"/>
  <c r="AW40" i="6"/>
  <c r="AX40" i="6"/>
  <c r="AY40" i="6"/>
  <c r="AZ40" i="6"/>
  <c r="BA40" i="6"/>
  <c r="BB40" i="6"/>
  <c r="BC40" i="6"/>
  <c r="BD40" i="6"/>
  <c r="BE40" i="6"/>
  <c r="BF40" i="6"/>
  <c r="BG40" i="6"/>
  <c r="BH40" i="6"/>
  <c r="BI40" i="6"/>
  <c r="BJ40" i="6"/>
  <c r="BK40" i="6"/>
  <c r="AM41" i="6"/>
  <c r="AN41" i="6"/>
  <c r="AO41" i="6"/>
  <c r="AP41" i="6"/>
  <c r="AQ41" i="6"/>
  <c r="AR41" i="6"/>
  <c r="AS41" i="6"/>
  <c r="AT41" i="6"/>
  <c r="AU41" i="6"/>
  <c r="AV41" i="6"/>
  <c r="AW41" i="6"/>
  <c r="AX41" i="6"/>
  <c r="AY41" i="6"/>
  <c r="AZ41" i="6"/>
  <c r="BA41" i="6"/>
  <c r="BB41" i="6"/>
  <c r="BC41" i="6"/>
  <c r="BD41" i="6"/>
  <c r="BE41" i="6"/>
  <c r="BF41" i="6"/>
  <c r="BG41" i="6"/>
  <c r="BH41" i="6"/>
  <c r="BI41" i="6"/>
  <c r="BJ41" i="6"/>
  <c r="BK41" i="6"/>
  <c r="AM42" i="6"/>
  <c r="AN42" i="6"/>
  <c r="AO42" i="6"/>
  <c r="AP42" i="6"/>
  <c r="AQ42" i="6"/>
  <c r="AR42" i="6"/>
  <c r="AS42" i="6"/>
  <c r="AT42" i="6"/>
  <c r="AU42" i="6"/>
  <c r="AV42" i="6"/>
  <c r="AW42" i="6"/>
  <c r="AX42" i="6"/>
  <c r="AY42" i="6"/>
  <c r="AZ42" i="6"/>
  <c r="BA42" i="6"/>
  <c r="BB42" i="6"/>
  <c r="BC42" i="6"/>
  <c r="BD42" i="6"/>
  <c r="BE42" i="6"/>
  <c r="BF42" i="6"/>
  <c r="BG42" i="6"/>
  <c r="BH42" i="6"/>
  <c r="BI42" i="6"/>
  <c r="BJ42" i="6"/>
  <c r="BK42" i="6"/>
  <c r="AM43" i="6"/>
  <c r="AN43" i="6"/>
  <c r="AO43" i="6"/>
  <c r="AP43" i="6"/>
  <c r="AQ43" i="6"/>
  <c r="AR43" i="6"/>
  <c r="AS43" i="6"/>
  <c r="AT43" i="6"/>
  <c r="AU43" i="6"/>
  <c r="AV43" i="6"/>
  <c r="AW43" i="6"/>
  <c r="AX43" i="6"/>
  <c r="AY43" i="6"/>
  <c r="AZ43" i="6"/>
  <c r="BA43" i="6"/>
  <c r="BB43" i="6"/>
  <c r="BC43" i="6"/>
  <c r="BD43" i="6"/>
  <c r="BE43" i="6"/>
  <c r="BF43" i="6"/>
  <c r="BG43" i="6"/>
  <c r="BH43" i="6"/>
  <c r="BI43" i="6"/>
  <c r="BJ43" i="6"/>
  <c r="BK43" i="6"/>
  <c r="AM44" i="6"/>
  <c r="AN44" i="6"/>
  <c r="AO44" i="6"/>
  <c r="AP44" i="6"/>
  <c r="AQ44" i="6"/>
  <c r="AR44" i="6"/>
  <c r="AS44" i="6"/>
  <c r="AT44" i="6"/>
  <c r="AU44" i="6"/>
  <c r="AV44" i="6"/>
  <c r="AW44" i="6"/>
  <c r="AX44" i="6"/>
  <c r="AY44" i="6"/>
  <c r="AZ44" i="6"/>
  <c r="BA44" i="6"/>
  <c r="BB44" i="6"/>
  <c r="BC44" i="6"/>
  <c r="BD44" i="6"/>
  <c r="BE44" i="6"/>
  <c r="BF44" i="6"/>
  <c r="BG44" i="6"/>
  <c r="BH44" i="6"/>
  <c r="BI44" i="6"/>
  <c r="BJ44" i="6"/>
  <c r="BK44" i="6"/>
  <c r="AM45" i="6"/>
  <c r="AN45" i="6"/>
  <c r="AO45" i="6"/>
  <c r="AP45" i="6"/>
  <c r="AQ45" i="6"/>
  <c r="AR45" i="6"/>
  <c r="AS45" i="6"/>
  <c r="AT45" i="6"/>
  <c r="AU45" i="6"/>
  <c r="AV45" i="6"/>
  <c r="AW45" i="6"/>
  <c r="AX45" i="6"/>
  <c r="AY45" i="6"/>
  <c r="AZ45" i="6"/>
  <c r="BA45" i="6"/>
  <c r="BB45" i="6"/>
  <c r="BC45" i="6"/>
  <c r="BD45" i="6"/>
  <c r="BE45" i="6"/>
  <c r="BF45" i="6"/>
  <c r="BG45" i="6"/>
  <c r="BH45" i="6"/>
  <c r="BI45" i="6"/>
  <c r="BJ45" i="6"/>
  <c r="BK45" i="6"/>
  <c r="AM46" i="6"/>
  <c r="AN46" i="6"/>
  <c r="AO46" i="6"/>
  <c r="AP46" i="6"/>
  <c r="AQ46" i="6"/>
  <c r="AR46" i="6"/>
  <c r="AS46" i="6"/>
  <c r="AT46" i="6"/>
  <c r="AU46" i="6"/>
  <c r="AV46" i="6"/>
  <c r="AW46" i="6"/>
  <c r="AX46" i="6"/>
  <c r="AY46" i="6"/>
  <c r="AZ46" i="6"/>
  <c r="BA46" i="6"/>
  <c r="BB46" i="6"/>
  <c r="BC46" i="6"/>
  <c r="BD46" i="6"/>
  <c r="BE46" i="6"/>
  <c r="BF46" i="6"/>
  <c r="BG46" i="6"/>
  <c r="BH46" i="6"/>
  <c r="BI46" i="6"/>
  <c r="BJ46" i="6"/>
  <c r="BK46" i="6"/>
  <c r="AM47" i="6"/>
  <c r="AN47" i="6"/>
  <c r="AO47" i="6"/>
  <c r="AP47" i="6"/>
  <c r="AQ47" i="6"/>
  <c r="AR47" i="6"/>
  <c r="AS47" i="6"/>
  <c r="AT47" i="6"/>
  <c r="AU47" i="6"/>
  <c r="AV47" i="6"/>
  <c r="AW47" i="6"/>
  <c r="AX47" i="6"/>
  <c r="AY47" i="6"/>
  <c r="AZ47" i="6"/>
  <c r="BA47" i="6"/>
  <c r="BB47" i="6"/>
  <c r="BC47" i="6"/>
  <c r="BD47" i="6"/>
  <c r="BE47" i="6"/>
  <c r="BF47" i="6"/>
  <c r="BG47" i="6"/>
  <c r="BH47" i="6"/>
  <c r="BI47" i="6"/>
  <c r="BJ47" i="6"/>
  <c r="BK47" i="6"/>
  <c r="AM48" i="6"/>
  <c r="AN48" i="6"/>
  <c r="AO48" i="6"/>
  <c r="AP48" i="6"/>
  <c r="AQ48" i="6"/>
  <c r="AR48" i="6"/>
  <c r="AS48" i="6"/>
  <c r="AT48" i="6"/>
  <c r="AU48" i="6"/>
  <c r="AV48" i="6"/>
  <c r="AW48" i="6"/>
  <c r="AX48" i="6"/>
  <c r="AY48" i="6"/>
  <c r="AZ48" i="6"/>
  <c r="BA48" i="6"/>
  <c r="BB48" i="6"/>
  <c r="BC48" i="6"/>
  <c r="BD48" i="6"/>
  <c r="BE48" i="6"/>
  <c r="BF48" i="6"/>
  <c r="BG48" i="6"/>
  <c r="BH48" i="6"/>
  <c r="BI48" i="6"/>
  <c r="BJ48" i="6"/>
  <c r="BK48" i="6"/>
  <c r="AM49" i="6"/>
  <c r="AN49" i="6"/>
  <c r="AO49" i="6"/>
  <c r="AP49" i="6"/>
  <c r="AQ49" i="6"/>
  <c r="AR49" i="6"/>
  <c r="AS49" i="6"/>
  <c r="AT49" i="6"/>
  <c r="AU49" i="6"/>
  <c r="AV49" i="6"/>
  <c r="AW49" i="6"/>
  <c r="AX49" i="6"/>
  <c r="AY49" i="6"/>
  <c r="AZ49" i="6"/>
  <c r="BA49" i="6"/>
  <c r="BB49" i="6"/>
  <c r="BC49" i="6"/>
  <c r="BD49" i="6"/>
  <c r="BE49" i="6"/>
  <c r="BF49" i="6"/>
  <c r="BG49" i="6"/>
  <c r="BH49" i="6"/>
  <c r="BI49" i="6"/>
  <c r="BJ49" i="6"/>
  <c r="BK49" i="6"/>
  <c r="AM50" i="6"/>
  <c r="AN50" i="6"/>
  <c r="AO50" i="6"/>
  <c r="AP50" i="6"/>
  <c r="AQ50" i="6"/>
  <c r="AR50" i="6"/>
  <c r="AS50" i="6"/>
  <c r="AT50" i="6"/>
  <c r="AU50" i="6"/>
  <c r="AV50" i="6"/>
  <c r="AW50" i="6"/>
  <c r="AX50" i="6"/>
  <c r="AY50" i="6"/>
  <c r="AZ50" i="6"/>
  <c r="BA50" i="6"/>
  <c r="BB50" i="6"/>
  <c r="BC50" i="6"/>
  <c r="BD50" i="6"/>
  <c r="BE50" i="6"/>
  <c r="BF50" i="6"/>
  <c r="BG50" i="6"/>
  <c r="BH50" i="6"/>
  <c r="BI50" i="6"/>
  <c r="BJ50" i="6"/>
  <c r="BK50" i="6"/>
  <c r="AM51" i="6"/>
  <c r="AN51" i="6"/>
  <c r="AO51" i="6"/>
  <c r="AP51" i="6"/>
  <c r="AQ51" i="6"/>
  <c r="AR51" i="6"/>
  <c r="AS51" i="6"/>
  <c r="AT51" i="6"/>
  <c r="AU51" i="6"/>
  <c r="AV51" i="6"/>
  <c r="AW51" i="6"/>
  <c r="AX51" i="6"/>
  <c r="AY51" i="6"/>
  <c r="AZ51" i="6"/>
  <c r="BA51" i="6"/>
  <c r="BB51" i="6"/>
  <c r="BC51" i="6"/>
  <c r="BD51" i="6"/>
  <c r="BE51" i="6"/>
  <c r="BF51" i="6"/>
  <c r="BG51" i="6"/>
  <c r="BH51" i="6"/>
  <c r="BI51" i="6"/>
  <c r="BJ51" i="6"/>
  <c r="BK51" i="6"/>
  <c r="AM52" i="6"/>
  <c r="AN52" i="6"/>
  <c r="AO52" i="6"/>
  <c r="AP52" i="6"/>
  <c r="AQ52" i="6"/>
  <c r="AR52" i="6"/>
  <c r="AS52" i="6"/>
  <c r="AT52" i="6"/>
  <c r="AU52" i="6"/>
  <c r="AV52" i="6"/>
  <c r="AW52" i="6"/>
  <c r="AX52" i="6"/>
  <c r="AY52" i="6"/>
  <c r="AZ52" i="6"/>
  <c r="BA52" i="6"/>
  <c r="BB52" i="6"/>
  <c r="BC52" i="6"/>
  <c r="BD52" i="6"/>
  <c r="BE52" i="6"/>
  <c r="BF52" i="6"/>
  <c r="BG52" i="6"/>
  <c r="BH52" i="6"/>
  <c r="BI52" i="6"/>
  <c r="BJ52" i="6"/>
  <c r="BK52" i="6"/>
  <c r="AM53" i="6"/>
  <c r="AN53" i="6"/>
  <c r="AO53" i="6"/>
  <c r="AP53" i="6"/>
  <c r="AQ53" i="6"/>
  <c r="AR53" i="6"/>
  <c r="AS53" i="6"/>
  <c r="AT53" i="6"/>
  <c r="AU53" i="6"/>
  <c r="AV53" i="6"/>
  <c r="AW53" i="6"/>
  <c r="AX53" i="6"/>
  <c r="AY53" i="6"/>
  <c r="AZ53" i="6"/>
  <c r="BA53" i="6"/>
  <c r="BB53" i="6"/>
  <c r="BC53" i="6"/>
  <c r="BD53" i="6"/>
  <c r="BE53" i="6"/>
  <c r="BF53" i="6"/>
  <c r="BG53" i="6"/>
  <c r="BH53" i="6"/>
  <c r="BI53" i="6"/>
  <c r="BJ53" i="6"/>
  <c r="BK53" i="6"/>
  <c r="AM54" i="6"/>
  <c r="AN54" i="6"/>
  <c r="AO54" i="6"/>
  <c r="AP54" i="6"/>
  <c r="AQ54" i="6"/>
  <c r="AR54" i="6"/>
  <c r="AS54" i="6"/>
  <c r="AT54" i="6"/>
  <c r="AU54" i="6"/>
  <c r="AV54" i="6"/>
  <c r="AW54" i="6"/>
  <c r="AX54" i="6"/>
  <c r="AY54" i="6"/>
  <c r="AZ54" i="6"/>
  <c r="BA54" i="6"/>
  <c r="BB54" i="6"/>
  <c r="BC54" i="6"/>
  <c r="BD54" i="6"/>
  <c r="BE54" i="6"/>
  <c r="BF54" i="6"/>
  <c r="BG54" i="6"/>
  <c r="BH54" i="6"/>
  <c r="BI54" i="6"/>
  <c r="BJ54" i="6"/>
  <c r="BK54" i="6"/>
  <c r="AM55" i="6"/>
  <c r="AN55" i="6"/>
  <c r="AO55" i="6"/>
  <c r="AP55" i="6"/>
  <c r="AQ55" i="6"/>
  <c r="AR55" i="6"/>
  <c r="AS55" i="6"/>
  <c r="AT55" i="6"/>
  <c r="AU55" i="6"/>
  <c r="AV55" i="6"/>
  <c r="AW55" i="6"/>
  <c r="AX55" i="6"/>
  <c r="AY55" i="6"/>
  <c r="AZ55" i="6"/>
  <c r="BA55" i="6"/>
  <c r="BB55" i="6"/>
  <c r="BC55" i="6"/>
  <c r="BD55" i="6"/>
  <c r="BE55" i="6"/>
  <c r="BF55" i="6"/>
  <c r="BG55" i="6"/>
  <c r="BH55" i="6"/>
  <c r="BI55" i="6"/>
  <c r="BJ55" i="6"/>
  <c r="BK55" i="6"/>
  <c r="AM56" i="6"/>
  <c r="AN56" i="6"/>
  <c r="AO56" i="6"/>
  <c r="AP56" i="6"/>
  <c r="AQ56" i="6"/>
  <c r="AR56" i="6"/>
  <c r="AS56" i="6"/>
  <c r="AT56" i="6"/>
  <c r="AU56" i="6"/>
  <c r="AV56" i="6"/>
  <c r="AW56" i="6"/>
  <c r="AX56" i="6"/>
  <c r="AY56" i="6"/>
  <c r="AZ56" i="6"/>
  <c r="BA56" i="6"/>
  <c r="BB56" i="6"/>
  <c r="BC56" i="6"/>
  <c r="BD56" i="6"/>
  <c r="BE56" i="6"/>
  <c r="BF56" i="6"/>
  <c r="BG56" i="6"/>
  <c r="BH56" i="6"/>
  <c r="BI56" i="6"/>
  <c r="BJ56" i="6"/>
  <c r="BK56" i="6"/>
  <c r="AM57" i="6"/>
  <c r="AN57" i="6"/>
  <c r="AO57" i="6"/>
  <c r="AP57" i="6"/>
  <c r="AQ57" i="6"/>
  <c r="AR57" i="6"/>
  <c r="AS57" i="6"/>
  <c r="AT57" i="6"/>
  <c r="AU57" i="6"/>
  <c r="AV57" i="6"/>
  <c r="AW57" i="6"/>
  <c r="AX57" i="6"/>
  <c r="AY57" i="6"/>
  <c r="AZ57" i="6"/>
  <c r="BA57" i="6"/>
  <c r="BB57" i="6"/>
  <c r="BC57" i="6"/>
  <c r="BD57" i="6"/>
  <c r="BE57" i="6"/>
  <c r="BF57" i="6"/>
  <c r="BG57" i="6"/>
  <c r="BH57" i="6"/>
  <c r="BI57" i="6"/>
  <c r="BJ57" i="6"/>
  <c r="BK57" i="6"/>
  <c r="AM58" i="6"/>
  <c r="AN58" i="6"/>
  <c r="AO58" i="6"/>
  <c r="AP58" i="6"/>
  <c r="AQ58" i="6"/>
  <c r="AR58" i="6"/>
  <c r="AS58" i="6"/>
  <c r="AT58" i="6"/>
  <c r="AU58" i="6"/>
  <c r="AV58" i="6"/>
  <c r="AW58" i="6"/>
  <c r="AX58" i="6"/>
  <c r="AY58" i="6"/>
  <c r="AZ58" i="6"/>
  <c r="BA58" i="6"/>
  <c r="BB58" i="6"/>
  <c r="BC58" i="6"/>
  <c r="BD58" i="6"/>
  <c r="BE58" i="6"/>
  <c r="BF58" i="6"/>
  <c r="BG58" i="6"/>
  <c r="BH58" i="6"/>
  <c r="BI58" i="6"/>
  <c r="BJ58" i="6"/>
  <c r="BK58" i="6"/>
  <c r="AM59" i="6"/>
  <c r="AN59" i="6"/>
  <c r="AO59" i="6"/>
  <c r="AP59" i="6"/>
  <c r="AQ59" i="6"/>
  <c r="AR59" i="6"/>
  <c r="AS59" i="6"/>
  <c r="AT59" i="6"/>
  <c r="AU59" i="6"/>
  <c r="AV59" i="6"/>
  <c r="AW59" i="6"/>
  <c r="AX59" i="6"/>
  <c r="AY59" i="6"/>
  <c r="AZ59" i="6"/>
  <c r="BA59" i="6"/>
  <c r="BB59" i="6"/>
  <c r="BC59" i="6"/>
  <c r="BD59" i="6"/>
  <c r="BE59" i="6"/>
  <c r="BF59" i="6"/>
  <c r="BG59" i="6"/>
  <c r="BH59" i="6"/>
  <c r="BI59" i="6"/>
  <c r="BJ59" i="6"/>
  <c r="BK59" i="6"/>
  <c r="AM60" i="6"/>
  <c r="AN60" i="6"/>
  <c r="AO60" i="6"/>
  <c r="AP60" i="6"/>
  <c r="AQ60" i="6"/>
  <c r="AR60" i="6"/>
  <c r="AS60" i="6"/>
  <c r="AT60" i="6"/>
  <c r="AU60" i="6"/>
  <c r="AV60" i="6"/>
  <c r="AW60" i="6"/>
  <c r="AX60" i="6"/>
  <c r="AY60" i="6"/>
  <c r="AZ60" i="6"/>
  <c r="BA60" i="6"/>
  <c r="BB60" i="6"/>
  <c r="BC60" i="6"/>
  <c r="BD60" i="6"/>
  <c r="BE60" i="6"/>
  <c r="BF60" i="6"/>
  <c r="BG60" i="6"/>
  <c r="BH60" i="6"/>
  <c r="BI60" i="6"/>
  <c r="BJ60" i="6"/>
  <c r="BK60" i="6"/>
  <c r="AM61" i="6"/>
  <c r="AN61" i="6"/>
  <c r="AO61" i="6"/>
  <c r="AP61" i="6"/>
  <c r="AQ61" i="6"/>
  <c r="AR61" i="6"/>
  <c r="AS61" i="6"/>
  <c r="AT61" i="6"/>
  <c r="AU61" i="6"/>
  <c r="AV61" i="6"/>
  <c r="AW61" i="6"/>
  <c r="AX61" i="6"/>
  <c r="AY61" i="6"/>
  <c r="AZ61" i="6"/>
  <c r="BA61" i="6"/>
  <c r="BB61" i="6"/>
  <c r="BC61" i="6"/>
  <c r="BD61" i="6"/>
  <c r="BE61" i="6"/>
  <c r="BF61" i="6"/>
  <c r="BG61" i="6"/>
  <c r="BH61" i="6"/>
  <c r="BI61" i="6"/>
  <c r="BJ61" i="6"/>
  <c r="BK61" i="6"/>
  <c r="AM62" i="6"/>
  <c r="AN62" i="6"/>
  <c r="AO62" i="6"/>
  <c r="AP62" i="6"/>
  <c r="AQ62" i="6"/>
  <c r="AR62" i="6"/>
  <c r="AS62" i="6"/>
  <c r="AT62" i="6"/>
  <c r="AU62" i="6"/>
  <c r="AV62" i="6"/>
  <c r="AW62" i="6"/>
  <c r="AX62" i="6"/>
  <c r="AY62" i="6"/>
  <c r="AZ62" i="6"/>
  <c r="BA62" i="6"/>
  <c r="BB62" i="6"/>
  <c r="BC62" i="6"/>
  <c r="BD62" i="6"/>
  <c r="BE62" i="6"/>
  <c r="BF62" i="6"/>
  <c r="BG62" i="6"/>
  <c r="BH62" i="6"/>
  <c r="BI62" i="6"/>
  <c r="BJ62" i="6"/>
  <c r="BK62" i="6"/>
  <c r="AM63" i="6"/>
  <c r="AN63" i="6"/>
  <c r="AO63" i="6"/>
  <c r="AP63" i="6"/>
  <c r="AQ63" i="6"/>
  <c r="AR63" i="6"/>
  <c r="AS63" i="6"/>
  <c r="AT63" i="6"/>
  <c r="AU63" i="6"/>
  <c r="AV63" i="6"/>
  <c r="AW63" i="6"/>
  <c r="AX63" i="6"/>
  <c r="AY63" i="6"/>
  <c r="AZ63" i="6"/>
  <c r="BA63" i="6"/>
  <c r="BB63" i="6"/>
  <c r="BC63" i="6"/>
  <c r="BD63" i="6"/>
  <c r="BE63" i="6"/>
  <c r="BF63" i="6"/>
  <c r="BG63" i="6"/>
  <c r="BH63" i="6"/>
  <c r="BI63" i="6"/>
  <c r="BJ63" i="6"/>
  <c r="BK63" i="6"/>
  <c r="AM64" i="6"/>
  <c r="AN64" i="6"/>
  <c r="AO64" i="6"/>
  <c r="AP64" i="6"/>
  <c r="AQ64" i="6"/>
  <c r="AR64" i="6"/>
  <c r="AS64" i="6"/>
  <c r="AT64" i="6"/>
  <c r="AU64" i="6"/>
  <c r="AV64" i="6"/>
  <c r="AW64" i="6"/>
  <c r="AX64" i="6"/>
  <c r="AY64" i="6"/>
  <c r="AZ64" i="6"/>
  <c r="BA64" i="6"/>
  <c r="BB64" i="6"/>
  <c r="BC64" i="6"/>
  <c r="BD64" i="6"/>
  <c r="BE64" i="6"/>
  <c r="BF64" i="6"/>
  <c r="BG64" i="6"/>
  <c r="BH64" i="6"/>
  <c r="BI64" i="6"/>
  <c r="BJ64" i="6"/>
  <c r="BK64" i="6"/>
  <c r="AM65" i="6"/>
  <c r="AN65" i="6"/>
  <c r="AO65" i="6"/>
  <c r="AP65" i="6"/>
  <c r="AQ65" i="6"/>
  <c r="AR65" i="6"/>
  <c r="AS65" i="6"/>
  <c r="AT65" i="6"/>
  <c r="AU65" i="6"/>
  <c r="AV65" i="6"/>
  <c r="AW65" i="6"/>
  <c r="AX65" i="6"/>
  <c r="AY65" i="6"/>
  <c r="AZ65" i="6"/>
  <c r="BA65" i="6"/>
  <c r="BB65" i="6"/>
  <c r="BC65" i="6"/>
  <c r="BD65" i="6"/>
  <c r="BE65" i="6"/>
  <c r="BF65" i="6"/>
  <c r="BG65" i="6"/>
  <c r="BH65" i="6"/>
  <c r="BI65" i="6"/>
  <c r="BJ65" i="6"/>
  <c r="BK65" i="6"/>
  <c r="AM66" i="6"/>
  <c r="AN66" i="6"/>
  <c r="AO66" i="6"/>
  <c r="AP66" i="6"/>
  <c r="AQ66" i="6"/>
  <c r="AR66" i="6"/>
  <c r="AS66" i="6"/>
  <c r="AT66" i="6"/>
  <c r="AU66" i="6"/>
  <c r="AV66" i="6"/>
  <c r="AW66" i="6"/>
  <c r="AX66" i="6"/>
  <c r="AY66" i="6"/>
  <c r="AZ66" i="6"/>
  <c r="BA66" i="6"/>
  <c r="BB66" i="6"/>
  <c r="BC66" i="6"/>
  <c r="BD66" i="6"/>
  <c r="BE66" i="6"/>
  <c r="BF66" i="6"/>
  <c r="BG66" i="6"/>
  <c r="BH66" i="6"/>
  <c r="BI66" i="6"/>
  <c r="BJ66" i="6"/>
  <c r="BK66" i="6"/>
  <c r="AM67" i="6"/>
  <c r="AN67" i="6"/>
  <c r="AO67" i="6"/>
  <c r="AP67" i="6"/>
  <c r="AQ67" i="6"/>
  <c r="AR67" i="6"/>
  <c r="AS67" i="6"/>
  <c r="AT67" i="6"/>
  <c r="AU67" i="6"/>
  <c r="AV67" i="6"/>
  <c r="AW67" i="6"/>
  <c r="AX67" i="6"/>
  <c r="AY67" i="6"/>
  <c r="AZ67" i="6"/>
  <c r="BA67" i="6"/>
  <c r="BB67" i="6"/>
  <c r="BC67" i="6"/>
  <c r="BD67" i="6"/>
  <c r="BE67" i="6"/>
  <c r="BF67" i="6"/>
  <c r="BG67" i="6"/>
  <c r="BH67" i="6"/>
  <c r="BI67" i="6"/>
  <c r="BJ67" i="6"/>
  <c r="BK67" i="6"/>
  <c r="AM68" i="6"/>
  <c r="AN68" i="6"/>
  <c r="AO68" i="6"/>
  <c r="AP68" i="6"/>
  <c r="AQ68" i="6"/>
  <c r="AR68" i="6"/>
  <c r="AS68" i="6"/>
  <c r="AT68" i="6"/>
  <c r="AU68" i="6"/>
  <c r="AV68" i="6"/>
  <c r="AW68" i="6"/>
  <c r="AX68" i="6"/>
  <c r="AY68" i="6"/>
  <c r="AZ68" i="6"/>
  <c r="BA68" i="6"/>
  <c r="BB68" i="6"/>
  <c r="BC68" i="6"/>
  <c r="BD68" i="6"/>
  <c r="BE68" i="6"/>
  <c r="BF68" i="6"/>
  <c r="BG68" i="6"/>
  <c r="BH68" i="6"/>
  <c r="BI68" i="6"/>
  <c r="BJ68" i="6"/>
  <c r="BK68" i="6"/>
  <c r="AM69" i="6"/>
  <c r="AN69" i="6"/>
  <c r="AO69" i="6"/>
  <c r="AP69" i="6"/>
  <c r="AQ69" i="6"/>
  <c r="AR69" i="6"/>
  <c r="AS69" i="6"/>
  <c r="AT69" i="6"/>
  <c r="AU69" i="6"/>
  <c r="AV69" i="6"/>
  <c r="AW69" i="6"/>
  <c r="AX69" i="6"/>
  <c r="AY69" i="6"/>
  <c r="AZ69" i="6"/>
  <c r="BA69" i="6"/>
  <c r="BB69" i="6"/>
  <c r="BC69" i="6"/>
  <c r="BD69" i="6"/>
  <c r="BE69" i="6"/>
  <c r="BF69" i="6"/>
  <c r="BG69" i="6"/>
  <c r="BH69" i="6"/>
  <c r="BI69" i="6"/>
  <c r="BJ69" i="6"/>
  <c r="BK69" i="6"/>
  <c r="AM70" i="6"/>
  <c r="AN70" i="6"/>
  <c r="AO70" i="6"/>
  <c r="AP70" i="6"/>
  <c r="AQ70" i="6"/>
  <c r="AR70" i="6"/>
  <c r="AS70" i="6"/>
  <c r="AT70" i="6"/>
  <c r="AU70" i="6"/>
  <c r="AV70" i="6"/>
  <c r="AW70" i="6"/>
  <c r="AX70" i="6"/>
  <c r="AY70" i="6"/>
  <c r="AZ70" i="6"/>
  <c r="BA70" i="6"/>
  <c r="BB70" i="6"/>
  <c r="BC70" i="6"/>
  <c r="BD70" i="6"/>
  <c r="BE70" i="6"/>
  <c r="BF70" i="6"/>
  <c r="BG70" i="6"/>
  <c r="BH70" i="6"/>
  <c r="BI70" i="6"/>
  <c r="BJ70" i="6"/>
  <c r="BK70" i="6"/>
  <c r="AM71" i="6"/>
  <c r="AN71" i="6"/>
  <c r="AO71" i="6"/>
  <c r="AP71" i="6"/>
  <c r="AQ71" i="6"/>
  <c r="AR71" i="6"/>
  <c r="AS71" i="6"/>
  <c r="AT71" i="6"/>
  <c r="AU71" i="6"/>
  <c r="AV71" i="6"/>
  <c r="AW71" i="6"/>
  <c r="AX71" i="6"/>
  <c r="AY71" i="6"/>
  <c r="AZ71" i="6"/>
  <c r="BA71" i="6"/>
  <c r="BB71" i="6"/>
  <c r="BC71" i="6"/>
  <c r="BD71" i="6"/>
  <c r="BE71" i="6"/>
  <c r="BF71" i="6"/>
  <c r="BG71" i="6"/>
  <c r="BH71" i="6"/>
  <c r="BI71" i="6"/>
  <c r="BJ71" i="6"/>
  <c r="BK71" i="6"/>
  <c r="AM72" i="6"/>
  <c r="AN72" i="6"/>
  <c r="AO72" i="6"/>
  <c r="AP72" i="6"/>
  <c r="AQ72" i="6"/>
  <c r="AR72" i="6"/>
  <c r="AS72" i="6"/>
  <c r="AT72" i="6"/>
  <c r="AU72" i="6"/>
  <c r="AV72" i="6"/>
  <c r="AW72" i="6"/>
  <c r="AX72" i="6"/>
  <c r="AY72" i="6"/>
  <c r="AZ72" i="6"/>
  <c r="BA72" i="6"/>
  <c r="BB72" i="6"/>
  <c r="BC72" i="6"/>
  <c r="BD72" i="6"/>
  <c r="BE72" i="6"/>
  <c r="BF72" i="6"/>
  <c r="BG72" i="6"/>
  <c r="BH72" i="6"/>
  <c r="BI72" i="6"/>
  <c r="BJ72" i="6"/>
  <c r="BK72" i="6"/>
  <c r="AM73" i="6"/>
  <c r="AN73" i="6"/>
  <c r="AO73" i="6"/>
  <c r="AP73" i="6"/>
  <c r="AQ73" i="6"/>
  <c r="AR73" i="6"/>
  <c r="AS73" i="6"/>
  <c r="AT73" i="6"/>
  <c r="AU73" i="6"/>
  <c r="AV73" i="6"/>
  <c r="AW73" i="6"/>
  <c r="AX73" i="6"/>
  <c r="AY73" i="6"/>
  <c r="AZ73" i="6"/>
  <c r="BA73" i="6"/>
  <c r="BB73" i="6"/>
  <c r="BC73" i="6"/>
  <c r="BD73" i="6"/>
  <c r="BE73" i="6"/>
  <c r="BF73" i="6"/>
  <c r="BG73" i="6"/>
  <c r="BH73" i="6"/>
  <c r="BI73" i="6"/>
  <c r="BJ73" i="6"/>
  <c r="BK73" i="6"/>
  <c r="AM74" i="6"/>
  <c r="AN74" i="6"/>
  <c r="AO74" i="6"/>
  <c r="AP74" i="6"/>
  <c r="AQ74" i="6"/>
  <c r="AR74" i="6"/>
  <c r="AS74" i="6"/>
  <c r="AT74" i="6"/>
  <c r="AU74" i="6"/>
  <c r="AV74" i="6"/>
  <c r="AW74" i="6"/>
  <c r="AX74" i="6"/>
  <c r="AY74" i="6"/>
  <c r="AZ74" i="6"/>
  <c r="BA74" i="6"/>
  <c r="BB74" i="6"/>
  <c r="BC74" i="6"/>
  <c r="BD74" i="6"/>
  <c r="BE74" i="6"/>
  <c r="BF74" i="6"/>
  <c r="BG74" i="6"/>
  <c r="BH74" i="6"/>
  <c r="BI74" i="6"/>
  <c r="BJ74" i="6"/>
  <c r="BK74" i="6"/>
  <c r="AM75" i="6"/>
  <c r="AN75" i="6"/>
  <c r="AO75" i="6"/>
  <c r="AP75" i="6"/>
  <c r="AQ75" i="6"/>
  <c r="AR75" i="6"/>
  <c r="AS75" i="6"/>
  <c r="AT75" i="6"/>
  <c r="AU75" i="6"/>
  <c r="AV75" i="6"/>
  <c r="AW75" i="6"/>
  <c r="AX75" i="6"/>
  <c r="AY75" i="6"/>
  <c r="AZ75" i="6"/>
  <c r="BA75" i="6"/>
  <c r="BB75" i="6"/>
  <c r="BC75" i="6"/>
  <c r="BD75" i="6"/>
  <c r="BE75" i="6"/>
  <c r="BF75" i="6"/>
  <c r="BG75" i="6"/>
  <c r="BH75" i="6"/>
  <c r="BI75" i="6"/>
  <c r="BJ75" i="6"/>
  <c r="BK75" i="6"/>
  <c r="AM76" i="6"/>
  <c r="AN76" i="6"/>
  <c r="AO76" i="6"/>
  <c r="AP76" i="6"/>
  <c r="AQ76" i="6"/>
  <c r="AR76" i="6"/>
  <c r="AS76" i="6"/>
  <c r="AT76" i="6"/>
  <c r="AU76" i="6"/>
  <c r="AV76" i="6"/>
  <c r="AW76" i="6"/>
  <c r="AX76" i="6"/>
  <c r="AY76" i="6"/>
  <c r="AZ76" i="6"/>
  <c r="BA76" i="6"/>
  <c r="BB76" i="6"/>
  <c r="BC76" i="6"/>
  <c r="BD76" i="6"/>
  <c r="BE76" i="6"/>
  <c r="BF76" i="6"/>
  <c r="BG76" i="6"/>
  <c r="BH76" i="6"/>
  <c r="BI76" i="6"/>
  <c r="BJ76" i="6"/>
  <c r="BK76" i="6"/>
  <c r="AM77" i="6"/>
  <c r="AN77" i="6"/>
  <c r="AO77" i="6"/>
  <c r="AP77" i="6"/>
  <c r="AQ77" i="6"/>
  <c r="AR77" i="6"/>
  <c r="AS77" i="6"/>
  <c r="AT77" i="6"/>
  <c r="AU77" i="6"/>
  <c r="AV77" i="6"/>
  <c r="AW77" i="6"/>
  <c r="AX77" i="6"/>
  <c r="AY77" i="6"/>
  <c r="AZ77" i="6"/>
  <c r="BA77" i="6"/>
  <c r="BB77" i="6"/>
  <c r="BC77" i="6"/>
  <c r="BD77" i="6"/>
  <c r="BE77" i="6"/>
  <c r="BF77" i="6"/>
  <c r="BG77" i="6"/>
  <c r="BH77" i="6"/>
  <c r="BI77" i="6"/>
  <c r="BJ77" i="6"/>
  <c r="BK77" i="6"/>
  <c r="AM78" i="6"/>
  <c r="AN78" i="6"/>
  <c r="AO78" i="6"/>
  <c r="AP78" i="6"/>
  <c r="AQ78" i="6"/>
  <c r="AR78" i="6"/>
  <c r="AS78" i="6"/>
  <c r="AT78" i="6"/>
  <c r="AU78" i="6"/>
  <c r="AV78" i="6"/>
  <c r="AW78" i="6"/>
  <c r="AX78" i="6"/>
  <c r="AY78" i="6"/>
  <c r="AZ78" i="6"/>
  <c r="BA78" i="6"/>
  <c r="BB78" i="6"/>
  <c r="BC78" i="6"/>
  <c r="BD78" i="6"/>
  <c r="BE78" i="6"/>
  <c r="BF78" i="6"/>
  <c r="BG78" i="6"/>
  <c r="BH78" i="6"/>
  <c r="BI78" i="6"/>
  <c r="BJ78" i="6"/>
  <c r="BK78" i="6"/>
  <c r="AM79" i="6"/>
  <c r="AN79" i="6"/>
  <c r="AO79" i="6"/>
  <c r="AP79" i="6"/>
  <c r="AQ79" i="6"/>
  <c r="AR79" i="6"/>
  <c r="AS79" i="6"/>
  <c r="AT79" i="6"/>
  <c r="AU79" i="6"/>
  <c r="AV79" i="6"/>
  <c r="AW79" i="6"/>
  <c r="AX79" i="6"/>
  <c r="AY79" i="6"/>
  <c r="AZ79" i="6"/>
  <c r="BA79" i="6"/>
  <c r="BB79" i="6"/>
  <c r="BC79" i="6"/>
  <c r="BD79" i="6"/>
  <c r="BE79" i="6"/>
  <c r="BF79" i="6"/>
  <c r="BG79" i="6"/>
  <c r="BH79" i="6"/>
  <c r="BI79" i="6"/>
  <c r="BJ79" i="6"/>
  <c r="BK79" i="6"/>
  <c r="AM80" i="6"/>
  <c r="AN80" i="6"/>
  <c r="AO80" i="6"/>
  <c r="AP80" i="6"/>
  <c r="AQ80" i="6"/>
  <c r="AR80" i="6"/>
  <c r="AS80" i="6"/>
  <c r="AT80" i="6"/>
  <c r="AU80" i="6"/>
  <c r="AV80" i="6"/>
  <c r="AW80" i="6"/>
  <c r="AX80" i="6"/>
  <c r="AY80" i="6"/>
  <c r="AZ80" i="6"/>
  <c r="BA80" i="6"/>
  <c r="BB80" i="6"/>
  <c r="BC80" i="6"/>
  <c r="BD80" i="6"/>
  <c r="BE80" i="6"/>
  <c r="BF80" i="6"/>
  <c r="BG80" i="6"/>
  <c r="BH80" i="6"/>
  <c r="BI80" i="6"/>
  <c r="BJ80" i="6"/>
  <c r="BK80" i="6"/>
  <c r="AM81" i="6"/>
  <c r="AN81" i="6"/>
  <c r="AO81" i="6"/>
  <c r="AP81" i="6"/>
  <c r="AQ81" i="6"/>
  <c r="AR81" i="6"/>
  <c r="AS81" i="6"/>
  <c r="AT81" i="6"/>
  <c r="AU81" i="6"/>
  <c r="AV81" i="6"/>
  <c r="AW81" i="6"/>
  <c r="AX81" i="6"/>
  <c r="AY81" i="6"/>
  <c r="AZ81" i="6"/>
  <c r="BA81" i="6"/>
  <c r="BB81" i="6"/>
  <c r="BC81" i="6"/>
  <c r="BD81" i="6"/>
  <c r="BE81" i="6"/>
  <c r="BF81" i="6"/>
  <c r="BG81" i="6"/>
  <c r="BH81" i="6"/>
  <c r="BI81" i="6"/>
  <c r="BJ81" i="6"/>
  <c r="BK81" i="6"/>
  <c r="AM82" i="6"/>
  <c r="AN82" i="6"/>
  <c r="AO82" i="6"/>
  <c r="AP82" i="6"/>
  <c r="AQ82" i="6"/>
  <c r="AR82" i="6"/>
  <c r="AS82" i="6"/>
  <c r="AT82" i="6"/>
  <c r="AU82" i="6"/>
  <c r="AV82" i="6"/>
  <c r="AW82" i="6"/>
  <c r="AX82" i="6"/>
  <c r="AY82" i="6"/>
  <c r="AZ82" i="6"/>
  <c r="BA82" i="6"/>
  <c r="BB82" i="6"/>
  <c r="BC82" i="6"/>
  <c r="BD82" i="6"/>
  <c r="BE82" i="6"/>
  <c r="BF82" i="6"/>
  <c r="BG82" i="6"/>
  <c r="BH82" i="6"/>
  <c r="BI82" i="6"/>
  <c r="BJ82" i="6"/>
  <c r="BK82" i="6"/>
  <c r="AM83" i="6"/>
  <c r="AN83" i="6"/>
  <c r="AO83" i="6"/>
  <c r="AP83" i="6"/>
  <c r="AQ83" i="6"/>
  <c r="AR83" i="6"/>
  <c r="AS83" i="6"/>
  <c r="AT83" i="6"/>
  <c r="AU83" i="6"/>
  <c r="AV83" i="6"/>
  <c r="AW83" i="6"/>
  <c r="AX83" i="6"/>
  <c r="AY83" i="6"/>
  <c r="AZ83" i="6"/>
  <c r="BA83" i="6"/>
  <c r="BB83" i="6"/>
  <c r="BC83" i="6"/>
  <c r="BD83" i="6"/>
  <c r="BE83" i="6"/>
  <c r="BF83" i="6"/>
  <c r="BG83" i="6"/>
  <c r="BH83" i="6"/>
  <c r="BI83" i="6"/>
  <c r="BJ83" i="6"/>
  <c r="BK83" i="6"/>
  <c r="AM84" i="6"/>
  <c r="AN84" i="6"/>
  <c r="AO84" i="6"/>
  <c r="AP84" i="6"/>
  <c r="AQ84" i="6"/>
  <c r="AR84" i="6"/>
  <c r="AS84" i="6"/>
  <c r="AT84" i="6"/>
  <c r="AU84" i="6"/>
  <c r="AV84" i="6"/>
  <c r="AW84" i="6"/>
  <c r="AX84" i="6"/>
  <c r="AY84" i="6"/>
  <c r="AZ84" i="6"/>
  <c r="BA84" i="6"/>
  <c r="BB84" i="6"/>
  <c r="BC84" i="6"/>
  <c r="BD84" i="6"/>
  <c r="BE84" i="6"/>
  <c r="BF84" i="6"/>
  <c r="BG84" i="6"/>
  <c r="BH84" i="6"/>
  <c r="BI84" i="6"/>
  <c r="BJ84" i="6"/>
  <c r="BK84" i="6"/>
  <c r="AM85" i="6"/>
  <c r="AN85" i="6"/>
  <c r="AO85" i="6"/>
  <c r="AP85" i="6"/>
  <c r="AQ85" i="6"/>
  <c r="AR85" i="6"/>
  <c r="AS85" i="6"/>
  <c r="AT85" i="6"/>
  <c r="AU85" i="6"/>
  <c r="AV85" i="6"/>
  <c r="AW85" i="6"/>
  <c r="AX85" i="6"/>
  <c r="AY85" i="6"/>
  <c r="AZ85" i="6"/>
  <c r="BA85" i="6"/>
  <c r="BB85" i="6"/>
  <c r="BC85" i="6"/>
  <c r="BD85" i="6"/>
  <c r="BE85" i="6"/>
  <c r="BF85" i="6"/>
  <c r="BG85" i="6"/>
  <c r="BH85" i="6"/>
  <c r="BI85" i="6"/>
  <c r="BJ85" i="6"/>
  <c r="BK85" i="6"/>
  <c r="AM86" i="6"/>
  <c r="AN86" i="6"/>
  <c r="AO86" i="6"/>
  <c r="AP86" i="6"/>
  <c r="AQ86" i="6"/>
  <c r="AR86" i="6"/>
  <c r="AS86" i="6"/>
  <c r="AT86" i="6"/>
  <c r="AU86" i="6"/>
  <c r="AV86" i="6"/>
  <c r="AW86" i="6"/>
  <c r="AX86" i="6"/>
  <c r="AY86" i="6"/>
  <c r="AZ86" i="6"/>
  <c r="BA86" i="6"/>
  <c r="BB86" i="6"/>
  <c r="BC86" i="6"/>
  <c r="BD86" i="6"/>
  <c r="BE86" i="6"/>
  <c r="BF86" i="6"/>
  <c r="BG86" i="6"/>
  <c r="BH86" i="6"/>
  <c r="BI86" i="6"/>
  <c r="BJ86" i="6"/>
  <c r="BK86" i="6"/>
  <c r="AM87" i="6"/>
  <c r="AN87" i="6"/>
  <c r="AO87" i="6"/>
  <c r="AP87" i="6"/>
  <c r="AQ87" i="6"/>
  <c r="AR87" i="6"/>
  <c r="AS87" i="6"/>
  <c r="AT87" i="6"/>
  <c r="AU87" i="6"/>
  <c r="AV87" i="6"/>
  <c r="AW87" i="6"/>
  <c r="AX87" i="6"/>
  <c r="AY87" i="6"/>
  <c r="AZ87" i="6"/>
  <c r="BA87" i="6"/>
  <c r="BB87" i="6"/>
  <c r="BC87" i="6"/>
  <c r="BD87" i="6"/>
  <c r="BE87" i="6"/>
  <c r="BF87" i="6"/>
  <c r="BG87" i="6"/>
  <c r="BH87" i="6"/>
  <c r="BI87" i="6"/>
  <c r="BJ87" i="6"/>
  <c r="BK87" i="6"/>
  <c r="AM88" i="6"/>
  <c r="AN88" i="6"/>
  <c r="AO88" i="6"/>
  <c r="AP88" i="6"/>
  <c r="AQ88" i="6"/>
  <c r="AR88" i="6"/>
  <c r="AS88" i="6"/>
  <c r="AT88" i="6"/>
  <c r="AU88" i="6"/>
  <c r="AV88" i="6"/>
  <c r="AW88" i="6"/>
  <c r="AX88" i="6"/>
  <c r="AY88" i="6"/>
  <c r="AZ88" i="6"/>
  <c r="BA88" i="6"/>
  <c r="BB88" i="6"/>
  <c r="BC88" i="6"/>
  <c r="BD88" i="6"/>
  <c r="BE88" i="6"/>
  <c r="BF88" i="6"/>
  <c r="BG88" i="6"/>
  <c r="BH88" i="6"/>
  <c r="BI88" i="6"/>
  <c r="BJ88" i="6"/>
  <c r="BK88" i="6"/>
  <c r="AM89" i="6"/>
  <c r="AN89" i="6"/>
  <c r="AO89" i="6"/>
  <c r="AP89" i="6"/>
  <c r="AQ89" i="6"/>
  <c r="AR89" i="6"/>
  <c r="AS89" i="6"/>
  <c r="AT89" i="6"/>
  <c r="AU89" i="6"/>
  <c r="AV89" i="6"/>
  <c r="AW89" i="6"/>
  <c r="AX89" i="6"/>
  <c r="AY89" i="6"/>
  <c r="AZ89" i="6"/>
  <c r="BA89" i="6"/>
  <c r="BB89" i="6"/>
  <c r="BC89" i="6"/>
  <c r="BD89" i="6"/>
  <c r="BE89" i="6"/>
  <c r="BF89" i="6"/>
  <c r="BG89" i="6"/>
  <c r="BH89" i="6"/>
  <c r="BI89" i="6"/>
  <c r="BJ89" i="6"/>
  <c r="BK89" i="6"/>
  <c r="AM90" i="6"/>
  <c r="AN90" i="6"/>
  <c r="AO90" i="6"/>
  <c r="AP90" i="6"/>
  <c r="AQ90" i="6"/>
  <c r="AR90" i="6"/>
  <c r="AS90" i="6"/>
  <c r="AT90" i="6"/>
  <c r="AU90" i="6"/>
  <c r="AV90" i="6"/>
  <c r="AW90" i="6"/>
  <c r="AX90" i="6"/>
  <c r="AY90" i="6"/>
  <c r="AZ90" i="6"/>
  <c r="BA90" i="6"/>
  <c r="BB90" i="6"/>
  <c r="BC90" i="6"/>
  <c r="BD90" i="6"/>
  <c r="BE90" i="6"/>
  <c r="BF90" i="6"/>
  <c r="BG90" i="6"/>
  <c r="BH90" i="6"/>
  <c r="BI90" i="6"/>
  <c r="BJ90" i="6"/>
  <c r="BK90" i="6"/>
  <c r="AM91" i="6"/>
  <c r="AN91" i="6"/>
  <c r="AO91" i="6"/>
  <c r="AP91" i="6"/>
  <c r="AQ91" i="6"/>
  <c r="AR91" i="6"/>
  <c r="AS91" i="6"/>
  <c r="AT91" i="6"/>
  <c r="AU91" i="6"/>
  <c r="AV91" i="6"/>
  <c r="AW91" i="6"/>
  <c r="AX91" i="6"/>
  <c r="AY91" i="6"/>
  <c r="AZ91" i="6"/>
  <c r="BA91" i="6"/>
  <c r="BB91" i="6"/>
  <c r="BC91" i="6"/>
  <c r="BD91" i="6"/>
  <c r="BE91" i="6"/>
  <c r="BF91" i="6"/>
  <c r="BG91" i="6"/>
  <c r="BH91" i="6"/>
  <c r="BI91" i="6"/>
  <c r="BJ91" i="6"/>
  <c r="BK91" i="6"/>
  <c r="AM92" i="6"/>
  <c r="AN92" i="6"/>
  <c r="AO92" i="6"/>
  <c r="AP92" i="6"/>
  <c r="AQ92" i="6"/>
  <c r="AR92" i="6"/>
  <c r="AS92" i="6"/>
  <c r="AT92" i="6"/>
  <c r="AU92" i="6"/>
  <c r="AV92" i="6"/>
  <c r="AW92" i="6"/>
  <c r="AX92" i="6"/>
  <c r="AY92" i="6"/>
  <c r="AZ92" i="6"/>
  <c r="BA92" i="6"/>
  <c r="BB92" i="6"/>
  <c r="BC92" i="6"/>
  <c r="BD92" i="6"/>
  <c r="BE92" i="6"/>
  <c r="BF92" i="6"/>
  <c r="BG92" i="6"/>
  <c r="BH92" i="6"/>
  <c r="BI92" i="6"/>
  <c r="BJ92" i="6"/>
  <c r="BK92" i="6"/>
  <c r="AM93" i="6"/>
  <c r="AN93" i="6"/>
  <c r="AO93" i="6"/>
  <c r="AP93" i="6"/>
  <c r="AQ93" i="6"/>
  <c r="AR93" i="6"/>
  <c r="AS93" i="6"/>
  <c r="AT93" i="6"/>
  <c r="AU93" i="6"/>
  <c r="AV93" i="6"/>
  <c r="AW93" i="6"/>
  <c r="AX93" i="6"/>
  <c r="AY93" i="6"/>
  <c r="AZ93" i="6"/>
  <c r="BA93" i="6"/>
  <c r="BB93" i="6"/>
  <c r="BC93" i="6"/>
  <c r="BD93" i="6"/>
  <c r="BE93" i="6"/>
  <c r="BF93" i="6"/>
  <c r="BG93" i="6"/>
  <c r="BH93" i="6"/>
  <c r="BI93" i="6"/>
  <c r="BJ93" i="6"/>
  <c r="BK93" i="6"/>
  <c r="AM94" i="6"/>
  <c r="AN94" i="6"/>
  <c r="AO94" i="6"/>
  <c r="AP94" i="6"/>
  <c r="AQ94" i="6"/>
  <c r="AR94" i="6"/>
  <c r="AS94" i="6"/>
  <c r="AT94" i="6"/>
  <c r="AU94" i="6"/>
  <c r="AV94" i="6"/>
  <c r="AW94" i="6"/>
  <c r="AX94" i="6"/>
  <c r="AY94" i="6"/>
  <c r="AZ94" i="6"/>
  <c r="BA94" i="6"/>
  <c r="BB94" i="6"/>
  <c r="BC94" i="6"/>
  <c r="BD94" i="6"/>
  <c r="BE94" i="6"/>
  <c r="BF94" i="6"/>
  <c r="BG94" i="6"/>
  <c r="BH94" i="6"/>
  <c r="BI94" i="6"/>
  <c r="BJ94" i="6"/>
  <c r="BK94" i="6"/>
  <c r="AM95" i="6"/>
  <c r="AN95" i="6"/>
  <c r="AO95" i="6"/>
  <c r="AP95" i="6"/>
  <c r="AQ95" i="6"/>
  <c r="AR95" i="6"/>
  <c r="AS95" i="6"/>
  <c r="AT95" i="6"/>
  <c r="AU95" i="6"/>
  <c r="AV95" i="6"/>
  <c r="AW95" i="6"/>
  <c r="AX95" i="6"/>
  <c r="AY95" i="6"/>
  <c r="AZ95" i="6"/>
  <c r="BA95" i="6"/>
  <c r="BB95" i="6"/>
  <c r="BC95" i="6"/>
  <c r="BD95" i="6"/>
  <c r="BE95" i="6"/>
  <c r="BF95" i="6"/>
  <c r="BG95" i="6"/>
  <c r="BH95" i="6"/>
  <c r="BI95" i="6"/>
  <c r="BJ95" i="6"/>
  <c r="BK95" i="6"/>
  <c r="AM96" i="6"/>
  <c r="AN96" i="6"/>
  <c r="AO96" i="6"/>
  <c r="AP96" i="6"/>
  <c r="AQ96" i="6"/>
  <c r="AR96" i="6"/>
  <c r="AS96" i="6"/>
  <c r="AT96" i="6"/>
  <c r="AU96" i="6"/>
  <c r="AV96" i="6"/>
  <c r="AW96" i="6"/>
  <c r="AX96" i="6"/>
  <c r="AY96" i="6"/>
  <c r="AZ96" i="6"/>
  <c r="BA96" i="6"/>
  <c r="BB96" i="6"/>
  <c r="BC96" i="6"/>
  <c r="BD96" i="6"/>
  <c r="BE96" i="6"/>
  <c r="BF96" i="6"/>
  <c r="BG96" i="6"/>
  <c r="BH96" i="6"/>
  <c r="BI96" i="6"/>
  <c r="BJ96" i="6"/>
  <c r="BK96" i="6"/>
  <c r="AM97" i="6"/>
  <c r="AN97" i="6"/>
  <c r="AO97" i="6"/>
  <c r="AP97" i="6"/>
  <c r="AQ97" i="6"/>
  <c r="AR97" i="6"/>
  <c r="AS97" i="6"/>
  <c r="AT97" i="6"/>
  <c r="AU97" i="6"/>
  <c r="AV97" i="6"/>
  <c r="AW97" i="6"/>
  <c r="AX97" i="6"/>
  <c r="AY97" i="6"/>
  <c r="AZ97" i="6"/>
  <c r="BA97" i="6"/>
  <c r="BB97" i="6"/>
  <c r="BC97" i="6"/>
  <c r="BD97" i="6"/>
  <c r="BE97" i="6"/>
  <c r="BF97" i="6"/>
  <c r="BG97" i="6"/>
  <c r="BH97" i="6"/>
  <c r="BI97" i="6"/>
  <c r="BJ97" i="6"/>
  <c r="BK97" i="6"/>
  <c r="AM98" i="6"/>
  <c r="AN98" i="6"/>
  <c r="AO98" i="6"/>
  <c r="AP98" i="6"/>
  <c r="AQ98" i="6"/>
  <c r="AR98" i="6"/>
  <c r="AS98" i="6"/>
  <c r="AT98" i="6"/>
  <c r="AU98" i="6"/>
  <c r="AV98" i="6"/>
  <c r="AW98" i="6"/>
  <c r="AX98" i="6"/>
  <c r="AY98" i="6"/>
  <c r="AZ98" i="6"/>
  <c r="BA98" i="6"/>
  <c r="BB98" i="6"/>
  <c r="BC98" i="6"/>
  <c r="BD98" i="6"/>
  <c r="BE98" i="6"/>
  <c r="BF98" i="6"/>
  <c r="BG98" i="6"/>
  <c r="BH98" i="6"/>
  <c r="BI98" i="6"/>
  <c r="BJ98" i="6"/>
  <c r="BK98" i="6"/>
  <c r="AM99" i="6"/>
  <c r="AN99" i="6"/>
  <c r="AO99" i="6"/>
  <c r="AP99" i="6"/>
  <c r="AQ99" i="6"/>
  <c r="AR99" i="6"/>
  <c r="AS99" i="6"/>
  <c r="AT99" i="6"/>
  <c r="AU99" i="6"/>
  <c r="AV99" i="6"/>
  <c r="AW99" i="6"/>
  <c r="AX99" i="6"/>
  <c r="AY99" i="6"/>
  <c r="AZ99" i="6"/>
  <c r="BA99" i="6"/>
  <c r="BB99" i="6"/>
  <c r="BC99" i="6"/>
  <c r="BD99" i="6"/>
  <c r="BE99" i="6"/>
  <c r="BF99" i="6"/>
  <c r="BG99" i="6"/>
  <c r="BH99" i="6"/>
  <c r="BI99" i="6"/>
  <c r="BJ99" i="6"/>
  <c r="BK99" i="6"/>
  <c r="AM100" i="6"/>
  <c r="AN100" i="6"/>
  <c r="AO100" i="6"/>
  <c r="AP100" i="6"/>
  <c r="AQ100" i="6"/>
  <c r="AR100" i="6"/>
  <c r="AS100" i="6"/>
  <c r="AT100" i="6"/>
  <c r="AU100" i="6"/>
  <c r="AV100" i="6"/>
  <c r="AW100" i="6"/>
  <c r="AX100" i="6"/>
  <c r="AY100" i="6"/>
  <c r="AZ100" i="6"/>
  <c r="BA100" i="6"/>
  <c r="BB100" i="6"/>
  <c r="BC100" i="6"/>
  <c r="BD100" i="6"/>
  <c r="BE100" i="6"/>
  <c r="BF100" i="6"/>
  <c r="BG100" i="6"/>
  <c r="BH100" i="6"/>
  <c r="BI100" i="6"/>
  <c r="BJ100" i="6"/>
  <c r="BK100" i="6"/>
  <c r="AM101" i="6"/>
  <c r="AN101" i="6"/>
  <c r="AO101" i="6"/>
  <c r="AP101" i="6"/>
  <c r="AQ101" i="6"/>
  <c r="AR101" i="6"/>
  <c r="AS101" i="6"/>
  <c r="AT101" i="6"/>
  <c r="AU101" i="6"/>
  <c r="AV101" i="6"/>
  <c r="AW101" i="6"/>
  <c r="AX101" i="6"/>
  <c r="AY101" i="6"/>
  <c r="AZ101" i="6"/>
  <c r="BA101" i="6"/>
  <c r="BB101" i="6"/>
  <c r="BC101" i="6"/>
  <c r="BD101" i="6"/>
  <c r="BE101" i="6"/>
  <c r="BF101" i="6"/>
  <c r="BG101" i="6"/>
  <c r="BH101" i="6"/>
  <c r="BI101" i="6"/>
  <c r="BJ101" i="6"/>
  <c r="BK101" i="6"/>
  <c r="AM102" i="6"/>
  <c r="AN102" i="6"/>
  <c r="AO102" i="6"/>
  <c r="AP102" i="6"/>
  <c r="AQ102" i="6"/>
  <c r="AR102" i="6"/>
  <c r="AS102" i="6"/>
  <c r="AT102" i="6"/>
  <c r="AU102" i="6"/>
  <c r="AV102" i="6"/>
  <c r="AW102" i="6"/>
  <c r="AX102" i="6"/>
  <c r="AY102" i="6"/>
  <c r="AZ102" i="6"/>
  <c r="BA102" i="6"/>
  <c r="BB102" i="6"/>
  <c r="BC102" i="6"/>
  <c r="BD102" i="6"/>
  <c r="BE102" i="6"/>
  <c r="BF102" i="6"/>
  <c r="BG102" i="6"/>
  <c r="BH102" i="6"/>
  <c r="BI102" i="6"/>
  <c r="BJ102" i="6"/>
  <c r="BK102" i="6"/>
  <c r="AM103" i="6"/>
  <c r="AN103" i="6"/>
  <c r="AO103" i="6"/>
  <c r="AP103" i="6"/>
  <c r="AQ103" i="6"/>
  <c r="AR103" i="6"/>
  <c r="AS103" i="6"/>
  <c r="AT103" i="6"/>
  <c r="AU103" i="6"/>
  <c r="AV103" i="6"/>
  <c r="AW103" i="6"/>
  <c r="AX103" i="6"/>
  <c r="AY103" i="6"/>
  <c r="AZ103" i="6"/>
  <c r="BA103" i="6"/>
  <c r="BB103" i="6"/>
  <c r="BC103" i="6"/>
  <c r="BD103" i="6"/>
  <c r="BE103" i="6"/>
  <c r="BF103" i="6"/>
  <c r="BG103" i="6"/>
  <c r="BH103" i="6"/>
  <c r="BI103" i="6"/>
  <c r="BJ103" i="6"/>
  <c r="BK103" i="6"/>
  <c r="AM104" i="6"/>
  <c r="AN104" i="6"/>
  <c r="AO104" i="6"/>
  <c r="AP104" i="6"/>
  <c r="AQ104" i="6"/>
  <c r="AR104" i="6"/>
  <c r="AS104" i="6"/>
  <c r="AT104" i="6"/>
  <c r="AU104" i="6"/>
  <c r="AV104" i="6"/>
  <c r="AW104" i="6"/>
  <c r="AX104" i="6"/>
  <c r="AY104" i="6"/>
  <c r="AZ104" i="6"/>
  <c r="BA104" i="6"/>
  <c r="BB104" i="6"/>
  <c r="BC104" i="6"/>
  <c r="BD104" i="6"/>
  <c r="BE104" i="6"/>
  <c r="BF104" i="6"/>
  <c r="BG104" i="6"/>
  <c r="BH104" i="6"/>
  <c r="BI104" i="6"/>
  <c r="BJ104" i="6"/>
  <c r="BK104" i="6"/>
  <c r="AM105" i="6"/>
  <c r="AN105" i="6"/>
  <c r="AO105" i="6"/>
  <c r="AP105" i="6"/>
  <c r="AQ105" i="6"/>
  <c r="AR105" i="6"/>
  <c r="AS105" i="6"/>
  <c r="AT105" i="6"/>
  <c r="AU105" i="6"/>
  <c r="AV105" i="6"/>
  <c r="AW105" i="6"/>
  <c r="AX105" i="6"/>
  <c r="AY105" i="6"/>
  <c r="AZ105" i="6"/>
  <c r="BA105" i="6"/>
  <c r="BB105" i="6"/>
  <c r="BC105" i="6"/>
  <c r="BD105" i="6"/>
  <c r="BE105" i="6"/>
  <c r="BF105" i="6"/>
  <c r="BG105" i="6"/>
  <c r="BH105" i="6"/>
  <c r="BI105" i="6"/>
  <c r="BJ105" i="6"/>
  <c r="BK105" i="6"/>
  <c r="AM106" i="6"/>
  <c r="AN106" i="6"/>
  <c r="AO106" i="6"/>
  <c r="AP106" i="6"/>
  <c r="AQ106" i="6"/>
  <c r="AR106" i="6"/>
  <c r="AS106" i="6"/>
  <c r="AT106" i="6"/>
  <c r="AU106" i="6"/>
  <c r="AV106" i="6"/>
  <c r="AW106" i="6"/>
  <c r="AX106" i="6"/>
  <c r="AY106" i="6"/>
  <c r="AZ106" i="6"/>
  <c r="BA106" i="6"/>
  <c r="BB106" i="6"/>
  <c r="BC106" i="6"/>
  <c r="BD106" i="6"/>
  <c r="BE106" i="6"/>
  <c r="BF106" i="6"/>
  <c r="BG106" i="6"/>
  <c r="BH106" i="6"/>
  <c r="BI106" i="6"/>
  <c r="BJ106" i="6"/>
  <c r="BK106" i="6"/>
  <c r="AM107" i="6"/>
  <c r="AN107" i="6"/>
  <c r="AO107" i="6"/>
  <c r="AP107" i="6"/>
  <c r="AQ107" i="6"/>
  <c r="AR107" i="6"/>
  <c r="AS107" i="6"/>
  <c r="AT107" i="6"/>
  <c r="AU107" i="6"/>
  <c r="AV107" i="6"/>
  <c r="AW107" i="6"/>
  <c r="AX107" i="6"/>
  <c r="AY107" i="6"/>
  <c r="AZ107" i="6"/>
  <c r="BA107" i="6"/>
  <c r="BB107" i="6"/>
  <c r="BC107" i="6"/>
  <c r="BD107" i="6"/>
  <c r="BE107" i="6"/>
  <c r="BF107" i="6"/>
  <c r="BG107" i="6"/>
  <c r="BH107" i="6"/>
  <c r="BI107" i="6"/>
  <c r="BJ107" i="6"/>
  <c r="BK107" i="6"/>
  <c r="AM108" i="6"/>
  <c r="AN108" i="6"/>
  <c r="AO108" i="6"/>
  <c r="AP108" i="6"/>
  <c r="AQ108" i="6"/>
  <c r="AR108" i="6"/>
  <c r="AS108" i="6"/>
  <c r="AT108" i="6"/>
  <c r="AU108" i="6"/>
  <c r="AV108" i="6"/>
  <c r="AW108" i="6"/>
  <c r="AX108" i="6"/>
  <c r="AY108" i="6"/>
  <c r="AZ108" i="6"/>
  <c r="BA108" i="6"/>
  <c r="BB108" i="6"/>
  <c r="BC108" i="6"/>
  <c r="BD108" i="6"/>
  <c r="BE108" i="6"/>
  <c r="BF108" i="6"/>
  <c r="BG108" i="6"/>
  <c r="BH108" i="6"/>
  <c r="BI108" i="6"/>
  <c r="BJ108" i="6"/>
  <c r="BK108" i="6"/>
  <c r="AM109" i="6"/>
  <c r="AN109" i="6"/>
  <c r="AO109" i="6"/>
  <c r="AP109" i="6"/>
  <c r="AQ109" i="6"/>
  <c r="AR109" i="6"/>
  <c r="AS109" i="6"/>
  <c r="AT109" i="6"/>
  <c r="AU109" i="6"/>
  <c r="AV109" i="6"/>
  <c r="AW109" i="6"/>
  <c r="AX109" i="6"/>
  <c r="AY109" i="6"/>
  <c r="AZ109" i="6"/>
  <c r="BA109" i="6"/>
  <c r="BB109" i="6"/>
  <c r="BC109" i="6"/>
  <c r="BD109" i="6"/>
  <c r="BE109" i="6"/>
  <c r="BF109" i="6"/>
  <c r="BG109" i="6"/>
  <c r="BH109" i="6"/>
  <c r="BI109" i="6"/>
  <c r="BJ109" i="6"/>
  <c r="BK109" i="6"/>
  <c r="AM110" i="6"/>
  <c r="AN110" i="6"/>
  <c r="AO110" i="6"/>
  <c r="AP110" i="6"/>
  <c r="AQ110" i="6"/>
  <c r="AR110" i="6"/>
  <c r="AS110" i="6"/>
  <c r="AT110" i="6"/>
  <c r="AU110" i="6"/>
  <c r="AV110" i="6"/>
  <c r="AW110" i="6"/>
  <c r="AX110" i="6"/>
  <c r="AY110" i="6"/>
  <c r="AZ110" i="6"/>
  <c r="BA110" i="6"/>
  <c r="BB110" i="6"/>
  <c r="BC110" i="6"/>
  <c r="BD110" i="6"/>
  <c r="BE110" i="6"/>
  <c r="BF110" i="6"/>
  <c r="BG110" i="6"/>
  <c r="BH110" i="6"/>
  <c r="BI110" i="6"/>
  <c r="BJ110" i="6"/>
  <c r="BK110" i="6"/>
  <c r="AM111" i="6"/>
  <c r="AN111" i="6"/>
  <c r="AO111" i="6"/>
  <c r="AP111" i="6"/>
  <c r="AQ111" i="6"/>
  <c r="AR111" i="6"/>
  <c r="AS111" i="6"/>
  <c r="AT111" i="6"/>
  <c r="AU111" i="6"/>
  <c r="AV111" i="6"/>
  <c r="AW111" i="6"/>
  <c r="AX111" i="6"/>
  <c r="AY111" i="6"/>
  <c r="AZ111" i="6"/>
  <c r="BA111" i="6"/>
  <c r="BB111" i="6"/>
  <c r="BC111" i="6"/>
  <c r="BD111" i="6"/>
  <c r="BE111" i="6"/>
  <c r="BF111" i="6"/>
  <c r="BG111" i="6"/>
  <c r="BH111" i="6"/>
  <c r="BI111" i="6"/>
  <c r="BJ111" i="6"/>
  <c r="BK111" i="6"/>
  <c r="AM112" i="6"/>
  <c r="AN112" i="6"/>
  <c r="AO112" i="6"/>
  <c r="AP112" i="6"/>
  <c r="AQ112" i="6"/>
  <c r="AR112" i="6"/>
  <c r="AS112" i="6"/>
  <c r="AT112" i="6"/>
  <c r="AU112" i="6"/>
  <c r="AV112" i="6"/>
  <c r="AW112" i="6"/>
  <c r="AX112" i="6"/>
  <c r="AY112" i="6"/>
  <c r="AZ112" i="6"/>
  <c r="BA112" i="6"/>
  <c r="BB112" i="6"/>
  <c r="BC112" i="6"/>
  <c r="BD112" i="6"/>
  <c r="BE112" i="6"/>
  <c r="BF112" i="6"/>
  <c r="BG112" i="6"/>
  <c r="BH112" i="6"/>
  <c r="BI112" i="6"/>
  <c r="BJ112" i="6"/>
  <c r="BK112" i="6"/>
  <c r="AM113" i="6"/>
  <c r="AN113" i="6"/>
  <c r="AO113" i="6"/>
  <c r="AP113" i="6"/>
  <c r="AQ113" i="6"/>
  <c r="AR113" i="6"/>
  <c r="AS113" i="6"/>
  <c r="AT113" i="6"/>
  <c r="AU113" i="6"/>
  <c r="AV113" i="6"/>
  <c r="AW113" i="6"/>
  <c r="AX113" i="6"/>
  <c r="AY113" i="6"/>
  <c r="AZ113" i="6"/>
  <c r="BA113" i="6"/>
  <c r="BB113" i="6"/>
  <c r="BC113" i="6"/>
  <c r="BD113" i="6"/>
  <c r="BE113" i="6"/>
  <c r="BF113" i="6"/>
  <c r="BG113" i="6"/>
  <c r="BH113" i="6"/>
  <c r="BI113" i="6"/>
  <c r="BJ113" i="6"/>
  <c r="BK113" i="6"/>
  <c r="AM114" i="6"/>
  <c r="AN114" i="6"/>
  <c r="AO114" i="6"/>
  <c r="AP114" i="6"/>
  <c r="AQ114" i="6"/>
  <c r="AR114" i="6"/>
  <c r="AS114" i="6"/>
  <c r="AT114" i="6"/>
  <c r="AU114" i="6"/>
  <c r="AV114" i="6"/>
  <c r="AW114" i="6"/>
  <c r="AX114" i="6"/>
  <c r="AY114" i="6"/>
  <c r="AZ114" i="6"/>
  <c r="BA114" i="6"/>
  <c r="BB114" i="6"/>
  <c r="BC114" i="6"/>
  <c r="BD114" i="6"/>
  <c r="BE114" i="6"/>
  <c r="BF114" i="6"/>
  <c r="BG114" i="6"/>
  <c r="BH114" i="6"/>
  <c r="BI114" i="6"/>
  <c r="BJ114" i="6"/>
  <c r="BK114" i="6"/>
  <c r="AM115" i="6"/>
  <c r="AN115" i="6"/>
  <c r="AO115" i="6"/>
  <c r="AP115" i="6"/>
  <c r="AQ115" i="6"/>
  <c r="AR115" i="6"/>
  <c r="AS115" i="6"/>
  <c r="AT115" i="6"/>
  <c r="AU115" i="6"/>
  <c r="AV115" i="6"/>
  <c r="AW115" i="6"/>
  <c r="AX115" i="6"/>
  <c r="AY115" i="6"/>
  <c r="AZ115" i="6"/>
  <c r="BA115" i="6"/>
  <c r="BB115" i="6"/>
  <c r="BC115" i="6"/>
  <c r="BD115" i="6"/>
  <c r="BE115" i="6"/>
  <c r="BF115" i="6"/>
  <c r="BG115" i="6"/>
  <c r="BH115" i="6"/>
  <c r="BI115" i="6"/>
  <c r="BJ115" i="6"/>
  <c r="BK115" i="6"/>
  <c r="AM116" i="6"/>
  <c r="AN116" i="6"/>
  <c r="AO116" i="6"/>
  <c r="AP116" i="6"/>
  <c r="AQ116" i="6"/>
  <c r="AR116" i="6"/>
  <c r="AS116" i="6"/>
  <c r="AT116" i="6"/>
  <c r="AU116" i="6"/>
  <c r="AV116" i="6"/>
  <c r="AW116" i="6"/>
  <c r="AX116" i="6"/>
  <c r="AY116" i="6"/>
  <c r="AZ116" i="6"/>
  <c r="BA116" i="6"/>
  <c r="BB116" i="6"/>
  <c r="BC116" i="6"/>
  <c r="BD116" i="6"/>
  <c r="BE116" i="6"/>
  <c r="BF116" i="6"/>
  <c r="BG116" i="6"/>
  <c r="BH116" i="6"/>
  <c r="BI116" i="6"/>
  <c r="BJ116" i="6"/>
  <c r="BK116" i="6"/>
  <c r="AM117" i="6"/>
  <c r="AN117" i="6"/>
  <c r="AO117" i="6"/>
  <c r="AP117" i="6"/>
  <c r="AQ117" i="6"/>
  <c r="AR117" i="6"/>
  <c r="AS117" i="6"/>
  <c r="AT117" i="6"/>
  <c r="AU117" i="6"/>
  <c r="AV117" i="6"/>
  <c r="AW117" i="6"/>
  <c r="AX117" i="6"/>
  <c r="AY117" i="6"/>
  <c r="AZ117" i="6"/>
  <c r="BA117" i="6"/>
  <c r="BB117" i="6"/>
  <c r="BC117" i="6"/>
  <c r="BD117" i="6"/>
  <c r="BE117" i="6"/>
  <c r="BF117" i="6"/>
  <c r="BG117" i="6"/>
  <c r="BH117" i="6"/>
  <c r="BI117" i="6"/>
  <c r="BJ117" i="6"/>
  <c r="BK117" i="6"/>
  <c r="AM118" i="6"/>
  <c r="AN118" i="6"/>
  <c r="AO118" i="6"/>
  <c r="AP118" i="6"/>
  <c r="AQ118" i="6"/>
  <c r="AR118" i="6"/>
  <c r="AS118" i="6"/>
  <c r="AT118" i="6"/>
  <c r="AU118" i="6"/>
  <c r="AV118" i="6"/>
  <c r="AW118" i="6"/>
  <c r="AX118" i="6"/>
  <c r="AY118" i="6"/>
  <c r="AZ118" i="6"/>
  <c r="BA118" i="6"/>
  <c r="BB118" i="6"/>
  <c r="BC118" i="6"/>
  <c r="BD118" i="6"/>
  <c r="BE118" i="6"/>
  <c r="BF118" i="6"/>
  <c r="BG118" i="6"/>
  <c r="BH118" i="6"/>
  <c r="BI118" i="6"/>
  <c r="BJ118" i="6"/>
  <c r="BK118" i="6"/>
  <c r="AM119" i="6"/>
  <c r="AN119" i="6"/>
  <c r="AO119" i="6"/>
  <c r="AP119" i="6"/>
  <c r="AQ119" i="6"/>
  <c r="AR119" i="6"/>
  <c r="AS119" i="6"/>
  <c r="AT119" i="6"/>
  <c r="AU119" i="6"/>
  <c r="AV119" i="6"/>
  <c r="AW119" i="6"/>
  <c r="AX119" i="6"/>
  <c r="AY119" i="6"/>
  <c r="AZ119" i="6"/>
  <c r="BA119" i="6"/>
  <c r="BB119" i="6"/>
  <c r="BC119" i="6"/>
  <c r="BD119" i="6"/>
  <c r="BE119" i="6"/>
  <c r="BF119" i="6"/>
  <c r="BG119" i="6"/>
  <c r="BH119" i="6"/>
  <c r="BI119" i="6"/>
  <c r="BJ119" i="6"/>
  <c r="BK119" i="6"/>
  <c r="AM120" i="6"/>
  <c r="AN120" i="6"/>
  <c r="AO120" i="6"/>
  <c r="AP120" i="6"/>
  <c r="AQ120" i="6"/>
  <c r="AR120" i="6"/>
  <c r="AS120" i="6"/>
  <c r="AT120" i="6"/>
  <c r="AU120" i="6"/>
  <c r="AV120" i="6"/>
  <c r="AW120" i="6"/>
  <c r="AX120" i="6"/>
  <c r="AY120" i="6"/>
  <c r="AZ120" i="6"/>
  <c r="BA120" i="6"/>
  <c r="BB120" i="6"/>
  <c r="BC120" i="6"/>
  <c r="BD120" i="6"/>
  <c r="BE120" i="6"/>
  <c r="BF120" i="6"/>
  <c r="BG120" i="6"/>
  <c r="BH120" i="6"/>
  <c r="BI120" i="6"/>
  <c r="BJ120" i="6"/>
  <c r="BK120" i="6"/>
  <c r="AM121" i="6"/>
  <c r="AN121" i="6"/>
  <c r="AO121" i="6"/>
  <c r="AP121" i="6"/>
  <c r="AQ121" i="6"/>
  <c r="AR121" i="6"/>
  <c r="AS121" i="6"/>
  <c r="AT121" i="6"/>
  <c r="AU121" i="6"/>
  <c r="AV121" i="6"/>
  <c r="AW121" i="6"/>
  <c r="AX121" i="6"/>
  <c r="AY121" i="6"/>
  <c r="AZ121" i="6"/>
  <c r="BA121" i="6"/>
  <c r="BB121" i="6"/>
  <c r="BC121" i="6"/>
  <c r="BD121" i="6"/>
  <c r="BE121" i="6"/>
  <c r="BF121" i="6"/>
  <c r="BG121" i="6"/>
  <c r="BH121" i="6"/>
  <c r="BI121" i="6"/>
  <c r="BJ121" i="6"/>
  <c r="BK121" i="6"/>
  <c r="AM122" i="6"/>
  <c r="AN122" i="6"/>
  <c r="AO122" i="6"/>
  <c r="AP122" i="6"/>
  <c r="AQ122" i="6"/>
  <c r="AR122" i="6"/>
  <c r="AS122" i="6"/>
  <c r="AT122" i="6"/>
  <c r="AU122" i="6"/>
  <c r="AV122" i="6"/>
  <c r="AW122" i="6"/>
  <c r="AX122" i="6"/>
  <c r="AY122" i="6"/>
  <c r="AZ122" i="6"/>
  <c r="BA122" i="6"/>
  <c r="BB122" i="6"/>
  <c r="BC122" i="6"/>
  <c r="BD122" i="6"/>
  <c r="BE122" i="6"/>
  <c r="BF122" i="6"/>
  <c r="BG122" i="6"/>
  <c r="BH122" i="6"/>
  <c r="BI122" i="6"/>
  <c r="BJ122" i="6"/>
  <c r="BK122" i="6"/>
  <c r="AM123" i="6"/>
  <c r="AN123" i="6"/>
  <c r="AO123" i="6"/>
  <c r="AP123" i="6"/>
  <c r="AQ123" i="6"/>
  <c r="AR123" i="6"/>
  <c r="AS123" i="6"/>
  <c r="AT123" i="6"/>
  <c r="AU123" i="6"/>
  <c r="AV123" i="6"/>
  <c r="AW123" i="6"/>
  <c r="AX123" i="6"/>
  <c r="AY123" i="6"/>
  <c r="AZ123" i="6"/>
  <c r="BA123" i="6"/>
  <c r="BB123" i="6"/>
  <c r="BC123" i="6"/>
  <c r="BD123" i="6"/>
  <c r="BE123" i="6"/>
  <c r="BF123" i="6"/>
  <c r="BG123" i="6"/>
  <c r="BH123" i="6"/>
  <c r="BI123" i="6"/>
  <c r="BJ123" i="6"/>
  <c r="BK123" i="6"/>
  <c r="AM124" i="6"/>
  <c r="AN124" i="6"/>
  <c r="AO124" i="6"/>
  <c r="AP124" i="6"/>
  <c r="AQ124" i="6"/>
  <c r="AR124" i="6"/>
  <c r="AS124" i="6"/>
  <c r="AT124" i="6"/>
  <c r="AU124" i="6"/>
  <c r="AV124" i="6"/>
  <c r="AW124" i="6"/>
  <c r="AX124" i="6"/>
  <c r="AY124" i="6"/>
  <c r="AZ124" i="6"/>
  <c r="BA124" i="6"/>
  <c r="BB124" i="6"/>
  <c r="BC124" i="6"/>
  <c r="BD124" i="6"/>
  <c r="BE124" i="6"/>
  <c r="BF124" i="6"/>
  <c r="BG124" i="6"/>
  <c r="BH124" i="6"/>
  <c r="BI124" i="6"/>
  <c r="BJ124" i="6"/>
  <c r="BK124" i="6"/>
  <c r="AM125" i="6"/>
  <c r="AN125" i="6"/>
  <c r="AO125" i="6"/>
  <c r="AP125" i="6"/>
  <c r="AQ125" i="6"/>
  <c r="AR125" i="6"/>
  <c r="AS125" i="6"/>
  <c r="AT125" i="6"/>
  <c r="AU125" i="6"/>
  <c r="AV125" i="6"/>
  <c r="AW125" i="6"/>
  <c r="AX125" i="6"/>
  <c r="AY125" i="6"/>
  <c r="AZ125" i="6"/>
  <c r="BA125" i="6"/>
  <c r="BB125" i="6"/>
  <c r="BC125" i="6"/>
  <c r="BD125" i="6"/>
  <c r="BE125" i="6"/>
  <c r="BF125" i="6"/>
  <c r="BG125" i="6"/>
  <c r="BH125" i="6"/>
  <c r="BI125" i="6"/>
  <c r="BJ125" i="6"/>
  <c r="BK125" i="6"/>
  <c r="AM126" i="6"/>
  <c r="AN126" i="6"/>
  <c r="AO126" i="6"/>
  <c r="AP126" i="6"/>
  <c r="AQ126" i="6"/>
  <c r="AR126" i="6"/>
  <c r="AS126" i="6"/>
  <c r="AT126" i="6"/>
  <c r="AU126" i="6"/>
  <c r="AV126" i="6"/>
  <c r="AW126" i="6"/>
  <c r="AX126" i="6"/>
  <c r="AY126" i="6"/>
  <c r="AZ126" i="6"/>
  <c r="BA126" i="6"/>
  <c r="BB126" i="6"/>
  <c r="BC126" i="6"/>
  <c r="BD126" i="6"/>
  <c r="BE126" i="6"/>
  <c r="BF126" i="6"/>
  <c r="BG126" i="6"/>
  <c r="BH126" i="6"/>
  <c r="BI126" i="6"/>
  <c r="BJ126" i="6"/>
  <c r="BK126" i="6"/>
  <c r="AM127" i="6"/>
  <c r="AN127" i="6"/>
  <c r="AO127" i="6"/>
  <c r="AP127" i="6"/>
  <c r="AQ127" i="6"/>
  <c r="AR127" i="6"/>
  <c r="AS127" i="6"/>
  <c r="AT127" i="6"/>
  <c r="AU127" i="6"/>
  <c r="AV127" i="6"/>
  <c r="AW127" i="6"/>
  <c r="AX127" i="6"/>
  <c r="AY127" i="6"/>
  <c r="AZ127" i="6"/>
  <c r="BA127" i="6"/>
  <c r="BB127" i="6"/>
  <c r="BC127" i="6"/>
  <c r="BD127" i="6"/>
  <c r="BE127" i="6"/>
  <c r="BF127" i="6"/>
  <c r="BG127" i="6"/>
  <c r="BH127" i="6"/>
  <c r="BI127" i="6"/>
  <c r="BJ127" i="6"/>
  <c r="BK127" i="6"/>
  <c r="AM128" i="6"/>
  <c r="AN128" i="6"/>
  <c r="AO128" i="6"/>
  <c r="AP128" i="6"/>
  <c r="AQ128" i="6"/>
  <c r="AR128" i="6"/>
  <c r="AS128" i="6"/>
  <c r="AT128" i="6"/>
  <c r="AU128" i="6"/>
  <c r="AV128" i="6"/>
  <c r="AW128" i="6"/>
  <c r="AX128" i="6"/>
  <c r="AY128" i="6"/>
  <c r="AZ128" i="6"/>
  <c r="BA128" i="6"/>
  <c r="BB128" i="6"/>
  <c r="BC128" i="6"/>
  <c r="BD128" i="6"/>
  <c r="BE128" i="6"/>
  <c r="BF128" i="6"/>
  <c r="BG128" i="6"/>
  <c r="BH128" i="6"/>
  <c r="BI128" i="6"/>
  <c r="BJ128" i="6"/>
  <c r="BK128" i="6"/>
  <c r="AM129" i="6"/>
  <c r="AN129" i="6"/>
  <c r="AO129" i="6"/>
  <c r="AP129" i="6"/>
  <c r="AQ129" i="6"/>
  <c r="AR129" i="6"/>
  <c r="AS129" i="6"/>
  <c r="AT129" i="6"/>
  <c r="AU129" i="6"/>
  <c r="AV129" i="6"/>
  <c r="AW129" i="6"/>
  <c r="AX129" i="6"/>
  <c r="AY129" i="6"/>
  <c r="AZ129" i="6"/>
  <c r="BA129" i="6"/>
  <c r="BB129" i="6"/>
  <c r="BC129" i="6"/>
  <c r="BD129" i="6"/>
  <c r="BE129" i="6"/>
  <c r="BF129" i="6"/>
  <c r="BG129" i="6"/>
  <c r="BH129" i="6"/>
  <c r="BI129" i="6"/>
  <c r="BJ129" i="6"/>
  <c r="BK129" i="6"/>
  <c r="AM130" i="6"/>
  <c r="AN130" i="6"/>
  <c r="AO130" i="6"/>
  <c r="AP130" i="6"/>
  <c r="AQ130" i="6"/>
  <c r="AR130" i="6"/>
  <c r="AS130" i="6"/>
  <c r="AT130" i="6"/>
  <c r="AU130" i="6"/>
  <c r="AV130" i="6"/>
  <c r="AW130" i="6"/>
  <c r="AX130" i="6"/>
  <c r="AY130" i="6"/>
  <c r="AZ130" i="6"/>
  <c r="BA130" i="6"/>
  <c r="BB130" i="6"/>
  <c r="BC130" i="6"/>
  <c r="BD130" i="6"/>
  <c r="BE130" i="6"/>
  <c r="BF130" i="6"/>
  <c r="BG130" i="6"/>
  <c r="BH130" i="6"/>
  <c r="BI130" i="6"/>
  <c r="BJ130" i="6"/>
  <c r="BK130" i="6"/>
  <c r="AM131" i="6"/>
  <c r="AN131" i="6"/>
  <c r="AO131" i="6"/>
  <c r="AP131" i="6"/>
  <c r="AQ131" i="6"/>
  <c r="AR131" i="6"/>
  <c r="AS131" i="6"/>
  <c r="AT131" i="6"/>
  <c r="AU131" i="6"/>
  <c r="AV131" i="6"/>
  <c r="AW131" i="6"/>
  <c r="AX131" i="6"/>
  <c r="AY131" i="6"/>
  <c r="AZ131" i="6"/>
  <c r="BA131" i="6"/>
  <c r="BB131" i="6"/>
  <c r="BC131" i="6"/>
  <c r="BD131" i="6"/>
  <c r="BE131" i="6"/>
  <c r="BF131" i="6"/>
  <c r="BG131" i="6"/>
  <c r="BH131" i="6"/>
  <c r="BI131" i="6"/>
  <c r="BJ131" i="6"/>
  <c r="BK131" i="6"/>
  <c r="AM132" i="6"/>
  <c r="AN132" i="6"/>
  <c r="AO132" i="6"/>
  <c r="AP132" i="6"/>
  <c r="AQ132" i="6"/>
  <c r="AR132" i="6"/>
  <c r="AS132" i="6"/>
  <c r="AT132" i="6"/>
  <c r="AU132" i="6"/>
  <c r="AV132" i="6"/>
  <c r="AW132" i="6"/>
  <c r="AX132" i="6"/>
  <c r="AY132" i="6"/>
  <c r="AZ132" i="6"/>
  <c r="BA132" i="6"/>
  <c r="BB132" i="6"/>
  <c r="BC132" i="6"/>
  <c r="BD132" i="6"/>
  <c r="BE132" i="6"/>
  <c r="BF132" i="6"/>
  <c r="BG132" i="6"/>
  <c r="BH132" i="6"/>
  <c r="BI132" i="6"/>
  <c r="BJ132" i="6"/>
  <c r="BK132" i="6"/>
  <c r="AM133" i="6"/>
  <c r="AN133" i="6"/>
  <c r="AO133" i="6"/>
  <c r="AP133" i="6"/>
  <c r="AQ133" i="6"/>
  <c r="AR133" i="6"/>
  <c r="AS133" i="6"/>
  <c r="AT133" i="6"/>
  <c r="AU133" i="6"/>
  <c r="AV133" i="6"/>
  <c r="AW133" i="6"/>
  <c r="AX133" i="6"/>
  <c r="AY133" i="6"/>
  <c r="AZ133" i="6"/>
  <c r="BA133" i="6"/>
  <c r="BB133" i="6"/>
  <c r="BC133" i="6"/>
  <c r="BD133" i="6"/>
  <c r="BE133" i="6"/>
  <c r="BF133" i="6"/>
  <c r="BG133" i="6"/>
  <c r="BH133" i="6"/>
  <c r="BI133" i="6"/>
  <c r="BJ133" i="6"/>
  <c r="BK133" i="6"/>
  <c r="AM134" i="6"/>
  <c r="AN134" i="6"/>
  <c r="AO134" i="6"/>
  <c r="AP134" i="6"/>
  <c r="AQ134" i="6"/>
  <c r="AR134" i="6"/>
  <c r="AS134" i="6"/>
  <c r="AT134" i="6"/>
  <c r="AU134" i="6"/>
  <c r="AV134" i="6"/>
  <c r="AW134" i="6"/>
  <c r="AX134" i="6"/>
  <c r="AY134" i="6"/>
  <c r="AZ134" i="6"/>
  <c r="BA134" i="6"/>
  <c r="BB134" i="6"/>
  <c r="BC134" i="6"/>
  <c r="BD134" i="6"/>
  <c r="BE134" i="6"/>
  <c r="BF134" i="6"/>
  <c r="BG134" i="6"/>
  <c r="BH134" i="6"/>
  <c r="BI134" i="6"/>
  <c r="BJ134" i="6"/>
  <c r="BK134" i="6"/>
  <c r="AM135" i="6"/>
  <c r="AN135" i="6"/>
  <c r="AO135" i="6"/>
  <c r="AP135" i="6"/>
  <c r="AQ135" i="6"/>
  <c r="AR135" i="6"/>
  <c r="AS135" i="6"/>
  <c r="AT135" i="6"/>
  <c r="AU135" i="6"/>
  <c r="AV135" i="6"/>
  <c r="AW135" i="6"/>
  <c r="AX135" i="6"/>
  <c r="AY135" i="6"/>
  <c r="AZ135" i="6"/>
  <c r="BA135" i="6"/>
  <c r="BB135" i="6"/>
  <c r="BC135" i="6"/>
  <c r="BD135" i="6"/>
  <c r="BE135" i="6"/>
  <c r="BF135" i="6"/>
  <c r="BG135" i="6"/>
  <c r="BH135" i="6"/>
  <c r="BI135" i="6"/>
  <c r="BJ135" i="6"/>
  <c r="BK135" i="6"/>
  <c r="AM136" i="6"/>
  <c r="AN136" i="6"/>
  <c r="AO136" i="6"/>
  <c r="AP136" i="6"/>
  <c r="AQ136" i="6"/>
  <c r="AR136" i="6"/>
  <c r="AS136" i="6"/>
  <c r="AT136" i="6"/>
  <c r="AU136" i="6"/>
  <c r="AV136" i="6"/>
  <c r="AW136" i="6"/>
  <c r="AX136" i="6"/>
  <c r="AY136" i="6"/>
  <c r="AZ136" i="6"/>
  <c r="BA136" i="6"/>
  <c r="BB136" i="6"/>
  <c r="BC136" i="6"/>
  <c r="BD136" i="6"/>
  <c r="BE136" i="6"/>
  <c r="BF136" i="6"/>
  <c r="BG136" i="6"/>
  <c r="BH136" i="6"/>
  <c r="BI136" i="6"/>
  <c r="BJ136" i="6"/>
  <c r="BK136" i="6"/>
  <c r="AM137" i="6"/>
  <c r="AN137" i="6"/>
  <c r="AO137" i="6"/>
  <c r="AP137" i="6"/>
  <c r="AQ137" i="6"/>
  <c r="AR137" i="6"/>
  <c r="AS137" i="6"/>
  <c r="AT137" i="6"/>
  <c r="AU137" i="6"/>
  <c r="AV137" i="6"/>
  <c r="AW137" i="6"/>
  <c r="AX137" i="6"/>
  <c r="AY137" i="6"/>
  <c r="AZ137" i="6"/>
  <c r="BA137" i="6"/>
  <c r="BB137" i="6"/>
  <c r="BC137" i="6"/>
  <c r="BD137" i="6"/>
  <c r="BE137" i="6"/>
  <c r="BF137" i="6"/>
  <c r="BG137" i="6"/>
  <c r="BH137" i="6"/>
  <c r="BI137" i="6"/>
  <c r="BJ137" i="6"/>
  <c r="BK137" i="6"/>
  <c r="AM138" i="6"/>
  <c r="AN138" i="6"/>
  <c r="AO138" i="6"/>
  <c r="AP138" i="6"/>
  <c r="AQ138" i="6"/>
  <c r="AR138" i="6"/>
  <c r="AS138" i="6"/>
  <c r="AT138" i="6"/>
  <c r="AU138" i="6"/>
  <c r="AV138" i="6"/>
  <c r="AW138" i="6"/>
  <c r="AX138" i="6"/>
  <c r="AY138" i="6"/>
  <c r="AZ138" i="6"/>
  <c r="BA138" i="6"/>
  <c r="BB138" i="6"/>
  <c r="BC138" i="6"/>
  <c r="BD138" i="6"/>
  <c r="BE138" i="6"/>
  <c r="BF138" i="6"/>
  <c r="BG138" i="6"/>
  <c r="BH138" i="6"/>
  <c r="BI138" i="6"/>
  <c r="BJ138" i="6"/>
  <c r="BK138" i="6"/>
  <c r="AM139" i="6"/>
  <c r="AN139" i="6"/>
  <c r="AO139" i="6"/>
  <c r="AP139" i="6"/>
  <c r="AQ139" i="6"/>
  <c r="AR139" i="6"/>
  <c r="AS139" i="6"/>
  <c r="AT139" i="6"/>
  <c r="AU139" i="6"/>
  <c r="AV139" i="6"/>
  <c r="AW139" i="6"/>
  <c r="AX139" i="6"/>
  <c r="AY139" i="6"/>
  <c r="AZ139" i="6"/>
  <c r="BA139" i="6"/>
  <c r="BB139" i="6"/>
  <c r="BC139" i="6"/>
  <c r="BD139" i="6"/>
  <c r="BE139" i="6"/>
  <c r="BF139" i="6"/>
  <c r="BG139" i="6"/>
  <c r="BH139" i="6"/>
  <c r="BI139" i="6"/>
  <c r="BJ139" i="6"/>
  <c r="BK139" i="6"/>
  <c r="AM140" i="6"/>
  <c r="AN140" i="6"/>
  <c r="AO140" i="6"/>
  <c r="AP140" i="6"/>
  <c r="AQ140" i="6"/>
  <c r="AR140" i="6"/>
  <c r="AS140" i="6"/>
  <c r="AT140" i="6"/>
  <c r="AU140" i="6"/>
  <c r="AV140" i="6"/>
  <c r="AW140" i="6"/>
  <c r="AX140" i="6"/>
  <c r="AY140" i="6"/>
  <c r="AZ140" i="6"/>
  <c r="BA140" i="6"/>
  <c r="BB140" i="6"/>
  <c r="BC140" i="6"/>
  <c r="BD140" i="6"/>
  <c r="BE140" i="6"/>
  <c r="BF140" i="6"/>
  <c r="BG140" i="6"/>
  <c r="BH140" i="6"/>
  <c r="BI140" i="6"/>
  <c r="BJ140" i="6"/>
  <c r="BK140" i="6"/>
  <c r="AM141" i="6"/>
  <c r="AN141" i="6"/>
  <c r="AO141" i="6"/>
  <c r="AP141" i="6"/>
  <c r="AQ141" i="6"/>
  <c r="AR141" i="6"/>
  <c r="AS141" i="6"/>
  <c r="AT141" i="6"/>
  <c r="AU141" i="6"/>
  <c r="AV141" i="6"/>
  <c r="AW141" i="6"/>
  <c r="AX141" i="6"/>
  <c r="AY141" i="6"/>
  <c r="AZ141" i="6"/>
  <c r="BA141" i="6"/>
  <c r="BB141" i="6"/>
  <c r="BC141" i="6"/>
  <c r="BD141" i="6"/>
  <c r="BE141" i="6"/>
  <c r="BF141" i="6"/>
  <c r="BG141" i="6"/>
  <c r="BH141" i="6"/>
  <c r="BI141" i="6"/>
  <c r="BJ141" i="6"/>
  <c r="BK141" i="6"/>
  <c r="AM142" i="6"/>
  <c r="AN142" i="6"/>
  <c r="AO142" i="6"/>
  <c r="AP142" i="6"/>
  <c r="AQ142" i="6"/>
  <c r="AR142" i="6"/>
  <c r="AS142" i="6"/>
  <c r="AT142" i="6"/>
  <c r="AU142" i="6"/>
  <c r="AV142" i="6"/>
  <c r="AW142" i="6"/>
  <c r="AX142" i="6"/>
  <c r="AY142" i="6"/>
  <c r="AZ142" i="6"/>
  <c r="BA142" i="6"/>
  <c r="BB142" i="6"/>
  <c r="BC142" i="6"/>
  <c r="BD142" i="6"/>
  <c r="BE142" i="6"/>
  <c r="BF142" i="6"/>
  <c r="BG142" i="6"/>
  <c r="BH142" i="6"/>
  <c r="BI142" i="6"/>
  <c r="BJ142" i="6"/>
  <c r="BK142" i="6"/>
  <c r="AM143" i="6"/>
  <c r="AN143" i="6"/>
  <c r="AO143" i="6"/>
  <c r="AP143" i="6"/>
  <c r="AQ143" i="6"/>
  <c r="AR143" i="6"/>
  <c r="AS143" i="6"/>
  <c r="AT143" i="6"/>
  <c r="AU143" i="6"/>
  <c r="AV143" i="6"/>
  <c r="AW143" i="6"/>
  <c r="AX143" i="6"/>
  <c r="AY143" i="6"/>
  <c r="AZ143" i="6"/>
  <c r="BA143" i="6"/>
  <c r="BB143" i="6"/>
  <c r="BC143" i="6"/>
  <c r="BD143" i="6"/>
  <c r="BE143" i="6"/>
  <c r="BF143" i="6"/>
  <c r="BG143" i="6"/>
  <c r="BH143" i="6"/>
  <c r="BI143" i="6"/>
  <c r="BJ143" i="6"/>
  <c r="BK143" i="6"/>
  <c r="AM144" i="6"/>
  <c r="AN144" i="6"/>
  <c r="AO144" i="6"/>
  <c r="AP144" i="6"/>
  <c r="AQ144" i="6"/>
  <c r="AR144" i="6"/>
  <c r="AS144" i="6"/>
  <c r="AT144" i="6"/>
  <c r="AU144" i="6"/>
  <c r="AV144" i="6"/>
  <c r="AW144" i="6"/>
  <c r="AX144" i="6"/>
  <c r="AY144" i="6"/>
  <c r="AZ144" i="6"/>
  <c r="BA144" i="6"/>
  <c r="BB144" i="6"/>
  <c r="BC144" i="6"/>
  <c r="BD144" i="6"/>
  <c r="BE144" i="6"/>
  <c r="BF144" i="6"/>
  <c r="BG144" i="6"/>
  <c r="BH144" i="6"/>
  <c r="BI144" i="6"/>
  <c r="BJ144" i="6"/>
  <c r="BK144" i="6"/>
  <c r="AM145" i="6"/>
  <c r="AN145" i="6"/>
  <c r="AO145" i="6"/>
  <c r="AP145" i="6"/>
  <c r="AQ145" i="6"/>
  <c r="AR145" i="6"/>
  <c r="AS145" i="6"/>
  <c r="AT145" i="6"/>
  <c r="AU145" i="6"/>
  <c r="AV145" i="6"/>
  <c r="AW145" i="6"/>
  <c r="AX145" i="6"/>
  <c r="AY145" i="6"/>
  <c r="AZ145" i="6"/>
  <c r="BA145" i="6"/>
  <c r="BB145" i="6"/>
  <c r="BC145" i="6"/>
  <c r="BD145" i="6"/>
  <c r="BE145" i="6"/>
  <c r="BF145" i="6"/>
  <c r="BG145" i="6"/>
  <c r="BH145" i="6"/>
  <c r="BI145" i="6"/>
  <c r="BJ145" i="6"/>
  <c r="BK145" i="6"/>
  <c r="AM146" i="6"/>
  <c r="AN146" i="6"/>
  <c r="AO146" i="6"/>
  <c r="AP146" i="6"/>
  <c r="AQ146" i="6"/>
  <c r="AR146" i="6"/>
  <c r="AS146" i="6"/>
  <c r="AT146" i="6"/>
  <c r="AU146" i="6"/>
  <c r="AV146" i="6"/>
  <c r="AW146" i="6"/>
  <c r="AX146" i="6"/>
  <c r="AY146" i="6"/>
  <c r="AZ146" i="6"/>
  <c r="BA146" i="6"/>
  <c r="BB146" i="6"/>
  <c r="BC146" i="6"/>
  <c r="BD146" i="6"/>
  <c r="BE146" i="6"/>
  <c r="BF146" i="6"/>
  <c r="BG146" i="6"/>
  <c r="BH146" i="6"/>
  <c r="BI146" i="6"/>
  <c r="BJ146" i="6"/>
  <c r="BK146" i="6"/>
  <c r="AM147" i="6"/>
  <c r="AN147" i="6"/>
  <c r="AO147" i="6"/>
  <c r="AP147" i="6"/>
  <c r="AQ147" i="6"/>
  <c r="AR147" i="6"/>
  <c r="AS147" i="6"/>
  <c r="AT147" i="6"/>
  <c r="AU147" i="6"/>
  <c r="AV147" i="6"/>
  <c r="AW147" i="6"/>
  <c r="AX147" i="6"/>
  <c r="AY147" i="6"/>
  <c r="AZ147" i="6"/>
  <c r="BA147" i="6"/>
  <c r="BB147" i="6"/>
  <c r="BC147" i="6"/>
  <c r="BD147" i="6"/>
  <c r="BE147" i="6"/>
  <c r="BF147" i="6"/>
  <c r="BG147" i="6"/>
  <c r="BH147" i="6"/>
  <c r="BI147" i="6"/>
  <c r="BJ147" i="6"/>
  <c r="BK147" i="6"/>
  <c r="AM148" i="6"/>
  <c r="AN148" i="6"/>
  <c r="AO148" i="6"/>
  <c r="AP148" i="6"/>
  <c r="AQ148" i="6"/>
  <c r="AR148" i="6"/>
  <c r="AS148" i="6"/>
  <c r="AT148" i="6"/>
  <c r="AU148" i="6"/>
  <c r="AV148" i="6"/>
  <c r="AW148" i="6"/>
  <c r="AX148" i="6"/>
  <c r="AY148" i="6"/>
  <c r="AZ148" i="6"/>
  <c r="BA148" i="6"/>
  <c r="BB148" i="6"/>
  <c r="BC148" i="6"/>
  <c r="BD148" i="6"/>
  <c r="BE148" i="6"/>
  <c r="BF148" i="6"/>
  <c r="BG148" i="6"/>
  <c r="BH148" i="6"/>
  <c r="BI148" i="6"/>
  <c r="BJ148" i="6"/>
  <c r="BK148" i="6"/>
  <c r="AM149" i="6"/>
  <c r="AN149" i="6"/>
  <c r="AO149" i="6"/>
  <c r="AP149" i="6"/>
  <c r="AQ149" i="6"/>
  <c r="AR149" i="6"/>
  <c r="AS149" i="6"/>
  <c r="AT149" i="6"/>
  <c r="AU149" i="6"/>
  <c r="AV149" i="6"/>
  <c r="AW149" i="6"/>
  <c r="AX149" i="6"/>
  <c r="AY149" i="6"/>
  <c r="AZ149" i="6"/>
  <c r="BA149" i="6"/>
  <c r="BB149" i="6"/>
  <c r="BC149" i="6"/>
  <c r="BD149" i="6"/>
  <c r="BE149" i="6"/>
  <c r="BF149" i="6"/>
  <c r="BG149" i="6"/>
  <c r="BH149" i="6"/>
  <c r="BI149" i="6"/>
  <c r="BJ149" i="6"/>
  <c r="BK149" i="6"/>
  <c r="AM150" i="6"/>
  <c r="AN150" i="6"/>
  <c r="AO150" i="6"/>
  <c r="AP150" i="6"/>
  <c r="AQ150" i="6"/>
  <c r="AR150" i="6"/>
  <c r="AS150" i="6"/>
  <c r="AT150" i="6"/>
  <c r="AU150" i="6"/>
  <c r="AV150" i="6"/>
  <c r="AW150" i="6"/>
  <c r="AX150" i="6"/>
  <c r="AY150" i="6"/>
  <c r="AZ150" i="6"/>
  <c r="BA150" i="6"/>
  <c r="BB150" i="6"/>
  <c r="BC150" i="6"/>
  <c r="BD150" i="6"/>
  <c r="BE150" i="6"/>
  <c r="BF150" i="6"/>
  <c r="BG150" i="6"/>
  <c r="BH150" i="6"/>
  <c r="BI150" i="6"/>
  <c r="BJ150" i="6"/>
  <c r="BK150" i="6"/>
  <c r="AM151" i="6"/>
  <c r="AN151" i="6"/>
  <c r="AO151" i="6"/>
  <c r="AP151" i="6"/>
  <c r="AQ151" i="6"/>
  <c r="AR151" i="6"/>
  <c r="AS151" i="6"/>
  <c r="AT151" i="6"/>
  <c r="AU151" i="6"/>
  <c r="AV151" i="6"/>
  <c r="AW151" i="6"/>
  <c r="AX151" i="6"/>
  <c r="AY151" i="6"/>
  <c r="AZ151" i="6"/>
  <c r="BA151" i="6"/>
  <c r="BB151" i="6"/>
  <c r="BC151" i="6"/>
  <c r="BD151" i="6"/>
  <c r="BE151" i="6"/>
  <c r="BF151" i="6"/>
  <c r="BG151" i="6"/>
  <c r="BH151" i="6"/>
  <c r="BI151" i="6"/>
  <c r="BJ151" i="6"/>
  <c r="BK151" i="6"/>
  <c r="AM152" i="6"/>
  <c r="AN152" i="6"/>
  <c r="AO152" i="6"/>
  <c r="AP152" i="6"/>
  <c r="AQ152" i="6"/>
  <c r="AR152" i="6"/>
  <c r="AS152" i="6"/>
  <c r="AT152" i="6"/>
  <c r="AU152" i="6"/>
  <c r="AV152" i="6"/>
  <c r="AW152" i="6"/>
  <c r="AX152" i="6"/>
  <c r="AY152" i="6"/>
  <c r="AZ152" i="6"/>
  <c r="BA152" i="6"/>
  <c r="BB152" i="6"/>
  <c r="BC152" i="6"/>
  <c r="BD152" i="6"/>
  <c r="BE152" i="6"/>
  <c r="BF152" i="6"/>
  <c r="BG152" i="6"/>
  <c r="BH152" i="6"/>
  <c r="BI152" i="6"/>
  <c r="BJ152" i="6"/>
  <c r="BK152" i="6"/>
  <c r="AM153" i="6"/>
  <c r="AN153" i="6"/>
  <c r="AO153" i="6"/>
  <c r="AP153" i="6"/>
  <c r="AQ153" i="6"/>
  <c r="AR153" i="6"/>
  <c r="AS153" i="6"/>
  <c r="AT153" i="6"/>
  <c r="AU153" i="6"/>
  <c r="AV153" i="6"/>
  <c r="AW153" i="6"/>
  <c r="AX153" i="6"/>
  <c r="AY153" i="6"/>
  <c r="AZ153" i="6"/>
  <c r="BA153" i="6"/>
  <c r="BB153" i="6"/>
  <c r="BC153" i="6"/>
  <c r="BD153" i="6"/>
  <c r="BE153" i="6"/>
  <c r="BF153" i="6"/>
  <c r="BG153" i="6"/>
  <c r="BH153" i="6"/>
  <c r="BI153" i="6"/>
  <c r="BJ153" i="6"/>
  <c r="BK153" i="6"/>
  <c r="AM154" i="6"/>
  <c r="AN154" i="6"/>
  <c r="AO154" i="6"/>
  <c r="AP154" i="6"/>
  <c r="AQ154" i="6"/>
  <c r="AR154" i="6"/>
  <c r="AS154" i="6"/>
  <c r="AT154" i="6"/>
  <c r="AU154" i="6"/>
  <c r="AV154" i="6"/>
  <c r="AW154" i="6"/>
  <c r="AX154" i="6"/>
  <c r="AY154" i="6"/>
  <c r="AZ154" i="6"/>
  <c r="BA154" i="6"/>
  <c r="BB154" i="6"/>
  <c r="BC154" i="6"/>
  <c r="BD154" i="6"/>
  <c r="BE154" i="6"/>
  <c r="BF154" i="6"/>
  <c r="BG154" i="6"/>
  <c r="BH154" i="6"/>
  <c r="BI154" i="6"/>
  <c r="BJ154" i="6"/>
  <c r="BK154" i="6"/>
  <c r="AM155" i="6"/>
  <c r="AN155" i="6"/>
  <c r="AO155" i="6"/>
  <c r="AP155" i="6"/>
  <c r="AQ155" i="6"/>
  <c r="AR155" i="6"/>
  <c r="AS155" i="6"/>
  <c r="AT155" i="6"/>
  <c r="AU155" i="6"/>
  <c r="AV155" i="6"/>
  <c r="AW155" i="6"/>
  <c r="AX155" i="6"/>
  <c r="AY155" i="6"/>
  <c r="AZ155" i="6"/>
  <c r="BA155" i="6"/>
  <c r="BB155" i="6"/>
  <c r="BC155" i="6"/>
  <c r="BD155" i="6"/>
  <c r="BE155" i="6"/>
  <c r="BF155" i="6"/>
  <c r="BG155" i="6"/>
  <c r="BH155" i="6"/>
  <c r="BI155" i="6"/>
  <c r="BJ155" i="6"/>
  <c r="BK155" i="6"/>
  <c r="AM156" i="6"/>
  <c r="AN156" i="6"/>
  <c r="AO156" i="6"/>
  <c r="AP156" i="6"/>
  <c r="AQ156" i="6"/>
  <c r="AR156" i="6"/>
  <c r="AS156" i="6"/>
  <c r="AT156" i="6"/>
  <c r="AU156" i="6"/>
  <c r="AV156" i="6"/>
  <c r="AW156" i="6"/>
  <c r="AX156" i="6"/>
  <c r="AY156" i="6"/>
  <c r="AZ156" i="6"/>
  <c r="BA156" i="6"/>
  <c r="BB156" i="6"/>
  <c r="BC156" i="6"/>
  <c r="BD156" i="6"/>
  <c r="BE156" i="6"/>
  <c r="BF156" i="6"/>
  <c r="BG156" i="6"/>
  <c r="BH156" i="6"/>
  <c r="BI156" i="6"/>
  <c r="BJ156" i="6"/>
  <c r="BK156" i="6"/>
  <c r="AM157" i="6"/>
  <c r="AN157" i="6"/>
  <c r="AO157" i="6"/>
  <c r="AP157" i="6"/>
  <c r="AQ157" i="6"/>
  <c r="AR157" i="6"/>
  <c r="AS157" i="6"/>
  <c r="AT157" i="6"/>
  <c r="AU157" i="6"/>
  <c r="AV157" i="6"/>
  <c r="AW157" i="6"/>
  <c r="AX157" i="6"/>
  <c r="AY157" i="6"/>
  <c r="AZ157" i="6"/>
  <c r="BA157" i="6"/>
  <c r="BB157" i="6"/>
  <c r="BC157" i="6"/>
  <c r="BD157" i="6"/>
  <c r="BE157" i="6"/>
  <c r="BF157" i="6"/>
  <c r="BG157" i="6"/>
  <c r="BH157" i="6"/>
  <c r="BI157" i="6"/>
  <c r="BJ157" i="6"/>
  <c r="BK157" i="6"/>
  <c r="AM158" i="6"/>
  <c r="AN158" i="6"/>
  <c r="AO158" i="6"/>
  <c r="AP158" i="6"/>
  <c r="AQ158" i="6"/>
  <c r="AR158" i="6"/>
  <c r="AS158" i="6"/>
  <c r="AT158" i="6"/>
  <c r="AU158" i="6"/>
  <c r="AV158" i="6"/>
  <c r="AW158" i="6"/>
  <c r="AX158" i="6"/>
  <c r="AY158" i="6"/>
  <c r="AZ158" i="6"/>
  <c r="BA158" i="6"/>
  <c r="BB158" i="6"/>
  <c r="BC158" i="6"/>
  <c r="BD158" i="6"/>
  <c r="BE158" i="6"/>
  <c r="BF158" i="6"/>
  <c r="BG158" i="6"/>
  <c r="BH158" i="6"/>
  <c r="BI158" i="6"/>
  <c r="BJ158" i="6"/>
  <c r="BK158" i="6"/>
  <c r="AM159" i="6"/>
  <c r="AN159" i="6"/>
  <c r="AO159" i="6"/>
  <c r="AP159" i="6"/>
  <c r="AQ159" i="6"/>
  <c r="AR159" i="6"/>
  <c r="AS159" i="6"/>
  <c r="AT159" i="6"/>
  <c r="AU159" i="6"/>
  <c r="AV159" i="6"/>
  <c r="AW159" i="6"/>
  <c r="AX159" i="6"/>
  <c r="AY159" i="6"/>
  <c r="AZ159" i="6"/>
  <c r="BA159" i="6"/>
  <c r="BB159" i="6"/>
  <c r="BC159" i="6"/>
  <c r="BD159" i="6"/>
  <c r="BE159" i="6"/>
  <c r="BF159" i="6"/>
  <c r="BG159" i="6"/>
  <c r="BH159" i="6"/>
  <c r="BI159" i="6"/>
  <c r="BJ159" i="6"/>
  <c r="BK159" i="6"/>
  <c r="AM160" i="6"/>
  <c r="AN160" i="6"/>
  <c r="AO160" i="6"/>
  <c r="AP160" i="6"/>
  <c r="AQ160" i="6"/>
  <c r="AR160" i="6"/>
  <c r="AS160" i="6"/>
  <c r="AT160" i="6"/>
  <c r="AU160" i="6"/>
  <c r="AV160" i="6"/>
  <c r="AW160" i="6"/>
  <c r="AX160" i="6"/>
  <c r="AY160" i="6"/>
  <c r="AZ160" i="6"/>
  <c r="BA160" i="6"/>
  <c r="BB160" i="6"/>
  <c r="BC160" i="6"/>
  <c r="BD160" i="6"/>
  <c r="BE160" i="6"/>
  <c r="BF160" i="6"/>
  <c r="BG160" i="6"/>
  <c r="BH160" i="6"/>
  <c r="BI160" i="6"/>
  <c r="BJ160" i="6"/>
  <c r="BK160" i="6"/>
  <c r="AM161" i="6"/>
  <c r="AN161" i="6"/>
  <c r="AO161" i="6"/>
  <c r="AP161" i="6"/>
  <c r="AQ161" i="6"/>
  <c r="AR161" i="6"/>
  <c r="AS161" i="6"/>
  <c r="AT161" i="6"/>
  <c r="AU161" i="6"/>
  <c r="AV161" i="6"/>
  <c r="AW161" i="6"/>
  <c r="AX161" i="6"/>
  <c r="AY161" i="6"/>
  <c r="AZ161" i="6"/>
  <c r="BA161" i="6"/>
  <c r="BB161" i="6"/>
  <c r="BC161" i="6"/>
  <c r="BD161" i="6"/>
  <c r="BE161" i="6"/>
  <c r="BF161" i="6"/>
  <c r="BG161" i="6"/>
  <c r="BH161" i="6"/>
  <c r="BI161" i="6"/>
  <c r="BJ161" i="6"/>
  <c r="BK161" i="6"/>
  <c r="AM162" i="6"/>
  <c r="AN162" i="6"/>
  <c r="AO162" i="6"/>
  <c r="AP162" i="6"/>
  <c r="AQ162" i="6"/>
  <c r="AR162" i="6"/>
  <c r="AS162" i="6"/>
  <c r="AT162" i="6"/>
  <c r="AU162" i="6"/>
  <c r="AV162" i="6"/>
  <c r="AW162" i="6"/>
  <c r="AX162" i="6"/>
  <c r="AY162" i="6"/>
  <c r="AZ162" i="6"/>
  <c r="BA162" i="6"/>
  <c r="BB162" i="6"/>
  <c r="BC162" i="6"/>
  <c r="BD162" i="6"/>
  <c r="BE162" i="6"/>
  <c r="BF162" i="6"/>
  <c r="BG162" i="6"/>
  <c r="BH162" i="6"/>
  <c r="BI162" i="6"/>
  <c r="BJ162" i="6"/>
  <c r="BK162" i="6"/>
  <c r="AM163" i="6"/>
  <c r="AN163" i="6"/>
  <c r="AO163" i="6"/>
  <c r="AP163" i="6"/>
  <c r="AQ163" i="6"/>
  <c r="AR163" i="6"/>
  <c r="AS163" i="6"/>
  <c r="AT163" i="6"/>
  <c r="AU163" i="6"/>
  <c r="AV163" i="6"/>
  <c r="AW163" i="6"/>
  <c r="AX163" i="6"/>
  <c r="AY163" i="6"/>
  <c r="AZ163" i="6"/>
  <c r="BA163" i="6"/>
  <c r="BB163" i="6"/>
  <c r="BC163" i="6"/>
  <c r="BD163" i="6"/>
  <c r="BE163" i="6"/>
  <c r="BF163" i="6"/>
  <c r="BG163" i="6"/>
  <c r="BH163" i="6"/>
  <c r="BI163" i="6"/>
  <c r="BJ163" i="6"/>
  <c r="BK163" i="6"/>
  <c r="AM164" i="6"/>
  <c r="AN164" i="6"/>
  <c r="AO164" i="6"/>
  <c r="AP164" i="6"/>
  <c r="AQ164" i="6"/>
  <c r="AR164" i="6"/>
  <c r="AS164" i="6"/>
  <c r="AT164" i="6"/>
  <c r="AU164" i="6"/>
  <c r="AV164" i="6"/>
  <c r="AW164" i="6"/>
  <c r="AX164" i="6"/>
  <c r="AY164" i="6"/>
  <c r="AZ164" i="6"/>
  <c r="BA164" i="6"/>
  <c r="BB164" i="6"/>
  <c r="BC164" i="6"/>
  <c r="BD164" i="6"/>
  <c r="BE164" i="6"/>
  <c r="BF164" i="6"/>
  <c r="BG164" i="6"/>
  <c r="BH164" i="6"/>
  <c r="BI164" i="6"/>
  <c r="BJ164" i="6"/>
  <c r="BK164" i="6"/>
  <c r="AM165" i="6"/>
  <c r="AN165" i="6"/>
  <c r="AO165" i="6"/>
  <c r="AP165" i="6"/>
  <c r="AQ165" i="6"/>
  <c r="AR165" i="6"/>
  <c r="AS165" i="6"/>
  <c r="AT165" i="6"/>
  <c r="AU165" i="6"/>
  <c r="AV165" i="6"/>
  <c r="AW165" i="6"/>
  <c r="AX165" i="6"/>
  <c r="AY165" i="6"/>
  <c r="AZ165" i="6"/>
  <c r="BA165" i="6"/>
  <c r="BB165" i="6"/>
  <c r="BC165" i="6"/>
  <c r="BD165" i="6"/>
  <c r="BE165" i="6"/>
  <c r="BF165" i="6"/>
  <c r="BG165" i="6"/>
  <c r="BH165" i="6"/>
  <c r="BI165" i="6"/>
  <c r="BJ165" i="6"/>
  <c r="BK165" i="6"/>
  <c r="AM166" i="6"/>
  <c r="AN166" i="6"/>
  <c r="AO166" i="6"/>
  <c r="AP166" i="6"/>
  <c r="AQ166" i="6"/>
  <c r="AR166" i="6"/>
  <c r="AS166" i="6"/>
  <c r="AT166" i="6"/>
  <c r="AU166" i="6"/>
  <c r="AV166" i="6"/>
  <c r="AW166" i="6"/>
  <c r="AX166" i="6"/>
  <c r="AY166" i="6"/>
  <c r="AZ166" i="6"/>
  <c r="BA166" i="6"/>
  <c r="BB166" i="6"/>
  <c r="BC166" i="6"/>
  <c r="BD166" i="6"/>
  <c r="BE166" i="6"/>
  <c r="BF166" i="6"/>
  <c r="BG166" i="6"/>
  <c r="BH166" i="6"/>
  <c r="BI166" i="6"/>
  <c r="BJ166" i="6"/>
  <c r="BK166" i="6"/>
  <c r="AM167" i="6"/>
  <c r="AN167" i="6"/>
  <c r="AO167" i="6"/>
  <c r="AP167" i="6"/>
  <c r="AQ167" i="6"/>
  <c r="AR167" i="6"/>
  <c r="AS167" i="6"/>
  <c r="AT167" i="6"/>
  <c r="AU167" i="6"/>
  <c r="AV167" i="6"/>
  <c r="AW167" i="6"/>
  <c r="AX167" i="6"/>
  <c r="AY167" i="6"/>
  <c r="AZ167" i="6"/>
  <c r="BA167" i="6"/>
  <c r="BB167" i="6"/>
  <c r="BC167" i="6"/>
  <c r="BD167" i="6"/>
  <c r="BE167" i="6"/>
  <c r="BF167" i="6"/>
  <c r="BG167" i="6"/>
  <c r="BH167" i="6"/>
  <c r="BI167" i="6"/>
  <c r="BJ167" i="6"/>
  <c r="BK167" i="6"/>
  <c r="AM168" i="6"/>
  <c r="AN168" i="6"/>
  <c r="AO168" i="6"/>
  <c r="AP168" i="6"/>
  <c r="AQ168" i="6"/>
  <c r="AR168" i="6"/>
  <c r="AS168" i="6"/>
  <c r="AT168" i="6"/>
  <c r="AU168" i="6"/>
  <c r="AV168" i="6"/>
  <c r="AW168" i="6"/>
  <c r="AX168" i="6"/>
  <c r="AY168" i="6"/>
  <c r="AZ168" i="6"/>
  <c r="BA168" i="6"/>
  <c r="BB168" i="6"/>
  <c r="BC168" i="6"/>
  <c r="BD168" i="6"/>
  <c r="BE168" i="6"/>
  <c r="BF168" i="6"/>
  <c r="BG168" i="6"/>
  <c r="BH168" i="6"/>
  <c r="BI168" i="6"/>
  <c r="BJ168" i="6"/>
  <c r="BK168" i="6"/>
  <c r="AM169" i="6"/>
  <c r="AN169" i="6"/>
  <c r="AO169" i="6"/>
  <c r="AP169" i="6"/>
  <c r="AQ169" i="6"/>
  <c r="AR169" i="6"/>
  <c r="AS169" i="6"/>
  <c r="AT169" i="6"/>
  <c r="AU169" i="6"/>
  <c r="AV169" i="6"/>
  <c r="AW169" i="6"/>
  <c r="AX169" i="6"/>
  <c r="AY169" i="6"/>
  <c r="AZ169" i="6"/>
  <c r="BA169" i="6"/>
  <c r="BB169" i="6"/>
  <c r="BC169" i="6"/>
  <c r="BD169" i="6"/>
  <c r="BE169" i="6"/>
  <c r="BF169" i="6"/>
  <c r="BG169" i="6"/>
  <c r="BH169" i="6"/>
  <c r="BI169" i="6"/>
  <c r="BJ169" i="6"/>
  <c r="BK169" i="6"/>
  <c r="AM170" i="6"/>
  <c r="AN170" i="6"/>
  <c r="AO170" i="6"/>
  <c r="AP170" i="6"/>
  <c r="AQ170" i="6"/>
  <c r="AR170" i="6"/>
  <c r="AS170" i="6"/>
  <c r="AT170" i="6"/>
  <c r="AU170" i="6"/>
  <c r="AV170" i="6"/>
  <c r="AW170" i="6"/>
  <c r="AX170" i="6"/>
  <c r="AY170" i="6"/>
  <c r="AZ170" i="6"/>
  <c r="BA170" i="6"/>
  <c r="BB170" i="6"/>
  <c r="BC170" i="6"/>
  <c r="BD170" i="6"/>
  <c r="BE170" i="6"/>
  <c r="BF170" i="6"/>
  <c r="BG170" i="6"/>
  <c r="BH170" i="6"/>
  <c r="BI170" i="6"/>
  <c r="BJ170" i="6"/>
  <c r="BK170" i="6"/>
  <c r="AM171" i="6"/>
  <c r="AN171" i="6"/>
  <c r="AO171" i="6"/>
  <c r="AP171" i="6"/>
  <c r="AQ171" i="6"/>
  <c r="AR171" i="6"/>
  <c r="AS171" i="6"/>
  <c r="AT171" i="6"/>
  <c r="AU171" i="6"/>
  <c r="AV171" i="6"/>
  <c r="AW171" i="6"/>
  <c r="AX171" i="6"/>
  <c r="AY171" i="6"/>
  <c r="AZ171" i="6"/>
  <c r="BA171" i="6"/>
  <c r="BB171" i="6"/>
  <c r="BC171" i="6"/>
  <c r="BD171" i="6"/>
  <c r="BE171" i="6"/>
  <c r="BF171" i="6"/>
  <c r="BG171" i="6"/>
  <c r="BH171" i="6"/>
  <c r="BI171" i="6"/>
  <c r="BJ171" i="6"/>
  <c r="BK171" i="6"/>
  <c r="AM172" i="6"/>
  <c r="AN172" i="6"/>
  <c r="AO172" i="6"/>
  <c r="AP172" i="6"/>
  <c r="AQ172" i="6"/>
  <c r="AR172" i="6"/>
  <c r="AS172" i="6"/>
  <c r="AT172" i="6"/>
  <c r="AU172" i="6"/>
  <c r="AV172" i="6"/>
  <c r="AW172" i="6"/>
  <c r="AX172" i="6"/>
  <c r="AY172" i="6"/>
  <c r="AZ172" i="6"/>
  <c r="BA172" i="6"/>
  <c r="BB172" i="6"/>
  <c r="BC172" i="6"/>
  <c r="BD172" i="6"/>
  <c r="BE172" i="6"/>
  <c r="BF172" i="6"/>
  <c r="BG172" i="6"/>
  <c r="BH172" i="6"/>
  <c r="BI172" i="6"/>
  <c r="BJ172" i="6"/>
  <c r="BK172" i="6"/>
  <c r="AM173" i="6"/>
  <c r="AN173" i="6"/>
  <c r="AO173" i="6"/>
  <c r="AP173" i="6"/>
  <c r="AQ173" i="6"/>
  <c r="AR173" i="6"/>
  <c r="AS173" i="6"/>
  <c r="AT173" i="6"/>
  <c r="AU173" i="6"/>
  <c r="AV173" i="6"/>
  <c r="AW173" i="6"/>
  <c r="AX173" i="6"/>
  <c r="AY173" i="6"/>
  <c r="AZ173" i="6"/>
  <c r="BA173" i="6"/>
  <c r="BB173" i="6"/>
  <c r="BC173" i="6"/>
  <c r="BD173" i="6"/>
  <c r="BE173" i="6"/>
  <c r="BF173" i="6"/>
  <c r="BG173" i="6"/>
  <c r="BH173" i="6"/>
  <c r="BI173" i="6"/>
  <c r="BJ173" i="6"/>
  <c r="BK173" i="6"/>
  <c r="AM174" i="6"/>
  <c r="AN174" i="6"/>
  <c r="AO174" i="6"/>
  <c r="AP174" i="6"/>
  <c r="AQ174" i="6"/>
  <c r="AR174" i="6"/>
  <c r="AS174" i="6"/>
  <c r="AT174" i="6"/>
  <c r="AU174" i="6"/>
  <c r="AV174" i="6"/>
  <c r="AW174" i="6"/>
  <c r="AX174" i="6"/>
  <c r="AY174" i="6"/>
  <c r="AZ174" i="6"/>
  <c r="BA174" i="6"/>
  <c r="BB174" i="6"/>
  <c r="BC174" i="6"/>
  <c r="BD174" i="6"/>
  <c r="BE174" i="6"/>
  <c r="BF174" i="6"/>
  <c r="BG174" i="6"/>
  <c r="BH174" i="6"/>
  <c r="BI174" i="6"/>
  <c r="BJ174" i="6"/>
  <c r="BK174" i="6"/>
  <c r="AM175" i="6"/>
  <c r="AN175" i="6"/>
  <c r="AO175" i="6"/>
  <c r="AP175" i="6"/>
  <c r="AQ175" i="6"/>
  <c r="AR175" i="6"/>
  <c r="AS175" i="6"/>
  <c r="AT175" i="6"/>
  <c r="AU175" i="6"/>
  <c r="AV175" i="6"/>
  <c r="AW175" i="6"/>
  <c r="AX175" i="6"/>
  <c r="AY175" i="6"/>
  <c r="AZ175" i="6"/>
  <c r="BA175" i="6"/>
  <c r="BB175" i="6"/>
  <c r="BC175" i="6"/>
  <c r="BD175" i="6"/>
  <c r="BE175" i="6"/>
  <c r="BF175" i="6"/>
  <c r="BG175" i="6"/>
  <c r="BH175" i="6"/>
  <c r="BI175" i="6"/>
  <c r="BJ175" i="6"/>
  <c r="BK175" i="6"/>
  <c r="AM176" i="6"/>
  <c r="AN176" i="6"/>
  <c r="AO176" i="6"/>
  <c r="AP176" i="6"/>
  <c r="AQ176" i="6"/>
  <c r="AR176" i="6"/>
  <c r="AS176" i="6"/>
  <c r="AT176" i="6"/>
  <c r="AU176" i="6"/>
  <c r="AV176" i="6"/>
  <c r="AW176" i="6"/>
  <c r="AX176" i="6"/>
  <c r="AY176" i="6"/>
  <c r="AZ176" i="6"/>
  <c r="BA176" i="6"/>
  <c r="BB176" i="6"/>
  <c r="BC176" i="6"/>
  <c r="BD176" i="6"/>
  <c r="BE176" i="6"/>
  <c r="BF176" i="6"/>
  <c r="BG176" i="6"/>
  <c r="BH176" i="6"/>
  <c r="BI176" i="6"/>
  <c r="BJ176" i="6"/>
  <c r="BK176" i="6"/>
  <c r="AM177" i="6"/>
  <c r="AN177" i="6"/>
  <c r="AO177" i="6"/>
  <c r="AP177" i="6"/>
  <c r="AQ177" i="6"/>
  <c r="AR177" i="6"/>
  <c r="AS177" i="6"/>
  <c r="AT177" i="6"/>
  <c r="AU177" i="6"/>
  <c r="AV177" i="6"/>
  <c r="AW177" i="6"/>
  <c r="AX177" i="6"/>
  <c r="AY177" i="6"/>
  <c r="AZ177" i="6"/>
  <c r="BA177" i="6"/>
  <c r="BB177" i="6"/>
  <c r="BC177" i="6"/>
  <c r="BD177" i="6"/>
  <c r="BE177" i="6"/>
  <c r="BF177" i="6"/>
  <c r="BG177" i="6"/>
  <c r="BH177" i="6"/>
  <c r="BI177" i="6"/>
  <c r="BJ177" i="6"/>
  <c r="BK177" i="6"/>
  <c r="AM178" i="6"/>
  <c r="AN178" i="6"/>
  <c r="AO178" i="6"/>
  <c r="AP178" i="6"/>
  <c r="AQ178" i="6"/>
  <c r="AR178" i="6"/>
  <c r="AS178" i="6"/>
  <c r="AT178" i="6"/>
  <c r="AU178" i="6"/>
  <c r="AV178" i="6"/>
  <c r="AW178" i="6"/>
  <c r="AX178" i="6"/>
  <c r="AY178" i="6"/>
  <c r="AZ178" i="6"/>
  <c r="BA178" i="6"/>
  <c r="BB178" i="6"/>
  <c r="BC178" i="6"/>
  <c r="BD178" i="6"/>
  <c r="BE178" i="6"/>
  <c r="BF178" i="6"/>
  <c r="BG178" i="6"/>
  <c r="BH178" i="6"/>
  <c r="BI178" i="6"/>
  <c r="BJ178" i="6"/>
  <c r="BK178" i="6"/>
  <c r="AM179" i="6"/>
  <c r="AN179" i="6"/>
  <c r="AO179" i="6"/>
  <c r="AP179" i="6"/>
  <c r="AQ179" i="6"/>
  <c r="AR179" i="6"/>
  <c r="AS179" i="6"/>
  <c r="AT179" i="6"/>
  <c r="AU179" i="6"/>
  <c r="AV179" i="6"/>
  <c r="AW179" i="6"/>
  <c r="AX179" i="6"/>
  <c r="AY179" i="6"/>
  <c r="AZ179" i="6"/>
  <c r="BA179" i="6"/>
  <c r="BB179" i="6"/>
  <c r="BC179" i="6"/>
  <c r="BD179" i="6"/>
  <c r="BE179" i="6"/>
  <c r="BF179" i="6"/>
  <c r="BG179" i="6"/>
  <c r="BH179" i="6"/>
  <c r="BI179" i="6"/>
  <c r="BJ179" i="6"/>
  <c r="BK179" i="6"/>
  <c r="AM180" i="6"/>
  <c r="AN180" i="6"/>
  <c r="AO180" i="6"/>
  <c r="AP180" i="6"/>
  <c r="AQ180" i="6"/>
  <c r="AR180" i="6"/>
  <c r="AS180" i="6"/>
  <c r="AT180" i="6"/>
  <c r="AU180" i="6"/>
  <c r="AV180" i="6"/>
  <c r="AW180" i="6"/>
  <c r="AX180" i="6"/>
  <c r="AY180" i="6"/>
  <c r="AZ180" i="6"/>
  <c r="BA180" i="6"/>
  <c r="BB180" i="6"/>
  <c r="BC180" i="6"/>
  <c r="BD180" i="6"/>
  <c r="BE180" i="6"/>
  <c r="BF180" i="6"/>
  <c r="BG180" i="6"/>
  <c r="BH180" i="6"/>
  <c r="BI180" i="6"/>
  <c r="BJ180" i="6"/>
  <c r="BK180" i="6"/>
  <c r="AM181" i="6"/>
  <c r="AN181" i="6"/>
  <c r="AO181" i="6"/>
  <c r="AP181" i="6"/>
  <c r="AQ181" i="6"/>
  <c r="AR181" i="6"/>
  <c r="AS181" i="6"/>
  <c r="AT181" i="6"/>
  <c r="AU181" i="6"/>
  <c r="AV181" i="6"/>
  <c r="AW181" i="6"/>
  <c r="AX181" i="6"/>
  <c r="AY181" i="6"/>
  <c r="AZ181" i="6"/>
  <c r="BA181" i="6"/>
  <c r="BB181" i="6"/>
  <c r="BC181" i="6"/>
  <c r="BD181" i="6"/>
  <c r="BE181" i="6"/>
  <c r="BF181" i="6"/>
  <c r="BG181" i="6"/>
  <c r="BH181" i="6"/>
  <c r="BI181" i="6"/>
  <c r="BJ181" i="6"/>
  <c r="BK181" i="6"/>
  <c r="AM182" i="6"/>
  <c r="AN182" i="6"/>
  <c r="AO182" i="6"/>
  <c r="AP182" i="6"/>
  <c r="AQ182" i="6"/>
  <c r="AR182" i="6"/>
  <c r="AS182" i="6"/>
  <c r="AT182" i="6"/>
  <c r="AU182" i="6"/>
  <c r="AV182" i="6"/>
  <c r="AW182" i="6"/>
  <c r="AX182" i="6"/>
  <c r="AY182" i="6"/>
  <c r="AZ182" i="6"/>
  <c r="BA182" i="6"/>
  <c r="BB182" i="6"/>
  <c r="BC182" i="6"/>
  <c r="BD182" i="6"/>
  <c r="BE182" i="6"/>
  <c r="BF182" i="6"/>
  <c r="BG182" i="6"/>
  <c r="BH182" i="6"/>
  <c r="BI182" i="6"/>
  <c r="BJ182" i="6"/>
  <c r="BK182" i="6"/>
  <c r="AM183" i="6"/>
  <c r="AN183" i="6"/>
  <c r="AO183" i="6"/>
  <c r="AP183" i="6"/>
  <c r="AQ183" i="6"/>
  <c r="AR183" i="6"/>
  <c r="AS183" i="6"/>
  <c r="AT183" i="6"/>
  <c r="AU183" i="6"/>
  <c r="AV183" i="6"/>
  <c r="AW183" i="6"/>
  <c r="AX183" i="6"/>
  <c r="AY183" i="6"/>
  <c r="AZ183" i="6"/>
  <c r="BA183" i="6"/>
  <c r="BB183" i="6"/>
  <c r="BC183" i="6"/>
  <c r="BD183" i="6"/>
  <c r="BE183" i="6"/>
  <c r="BF183" i="6"/>
  <c r="BG183" i="6"/>
  <c r="BH183" i="6"/>
  <c r="BI183" i="6"/>
  <c r="BJ183" i="6"/>
  <c r="BK183" i="6"/>
  <c r="AM184" i="6"/>
  <c r="AN184" i="6"/>
  <c r="AO184" i="6"/>
  <c r="AP184" i="6"/>
  <c r="AQ184" i="6"/>
  <c r="AR184" i="6"/>
  <c r="AS184" i="6"/>
  <c r="AT184" i="6"/>
  <c r="AU184" i="6"/>
  <c r="AV184" i="6"/>
  <c r="AW184" i="6"/>
  <c r="AX184" i="6"/>
  <c r="AY184" i="6"/>
  <c r="AZ184" i="6"/>
  <c r="BA184" i="6"/>
  <c r="BB184" i="6"/>
  <c r="BC184" i="6"/>
  <c r="BD184" i="6"/>
  <c r="BE184" i="6"/>
  <c r="BF184" i="6"/>
  <c r="BG184" i="6"/>
  <c r="BH184" i="6"/>
  <c r="BI184" i="6"/>
  <c r="BJ184" i="6"/>
  <c r="BK184" i="6"/>
  <c r="AM185" i="6"/>
  <c r="AN185" i="6"/>
  <c r="AO185" i="6"/>
  <c r="AP185" i="6"/>
  <c r="AQ185" i="6"/>
  <c r="AR185" i="6"/>
  <c r="AS185" i="6"/>
  <c r="AT185" i="6"/>
  <c r="AU185" i="6"/>
  <c r="AV185" i="6"/>
  <c r="AW185" i="6"/>
  <c r="AX185" i="6"/>
  <c r="AY185" i="6"/>
  <c r="AZ185" i="6"/>
  <c r="BA185" i="6"/>
  <c r="BB185" i="6"/>
  <c r="BC185" i="6"/>
  <c r="BD185" i="6"/>
  <c r="BE185" i="6"/>
  <c r="BF185" i="6"/>
  <c r="BG185" i="6"/>
  <c r="BH185" i="6"/>
  <c r="BI185" i="6"/>
  <c r="BJ185" i="6"/>
  <c r="BK185" i="6"/>
  <c r="AM186" i="6"/>
  <c r="AN186" i="6"/>
  <c r="AO186" i="6"/>
  <c r="AP186" i="6"/>
  <c r="AQ186" i="6"/>
  <c r="AR186" i="6"/>
  <c r="AS186" i="6"/>
  <c r="AT186" i="6"/>
  <c r="AU186" i="6"/>
  <c r="AV186" i="6"/>
  <c r="AW186" i="6"/>
  <c r="AX186" i="6"/>
  <c r="AY186" i="6"/>
  <c r="AZ186" i="6"/>
  <c r="BA186" i="6"/>
  <c r="BB186" i="6"/>
  <c r="BC186" i="6"/>
  <c r="BD186" i="6"/>
  <c r="BE186" i="6"/>
  <c r="BF186" i="6"/>
  <c r="BG186" i="6"/>
  <c r="BH186" i="6"/>
  <c r="BI186" i="6"/>
  <c r="BJ186" i="6"/>
  <c r="BK186" i="6"/>
  <c r="AM187" i="6"/>
  <c r="AN187" i="6"/>
  <c r="AO187" i="6"/>
  <c r="AP187" i="6"/>
  <c r="AQ187" i="6"/>
  <c r="AR187" i="6"/>
  <c r="AS187" i="6"/>
  <c r="AT187" i="6"/>
  <c r="AU187" i="6"/>
  <c r="AV187" i="6"/>
  <c r="AW187" i="6"/>
  <c r="AX187" i="6"/>
  <c r="AY187" i="6"/>
  <c r="AZ187" i="6"/>
  <c r="BA187" i="6"/>
  <c r="BB187" i="6"/>
  <c r="BC187" i="6"/>
  <c r="BD187" i="6"/>
  <c r="BE187" i="6"/>
  <c r="BF187" i="6"/>
  <c r="BG187" i="6"/>
  <c r="BH187" i="6"/>
  <c r="BI187" i="6"/>
  <c r="BJ187" i="6"/>
  <c r="BK187" i="6"/>
  <c r="AM188" i="6"/>
  <c r="AN188" i="6"/>
  <c r="AO188" i="6"/>
  <c r="AP188" i="6"/>
  <c r="AQ188" i="6"/>
  <c r="AR188" i="6"/>
  <c r="AS188" i="6"/>
  <c r="AT188" i="6"/>
  <c r="AU188" i="6"/>
  <c r="AV188" i="6"/>
  <c r="AW188" i="6"/>
  <c r="AX188" i="6"/>
  <c r="AY188" i="6"/>
  <c r="AZ188" i="6"/>
  <c r="BA188" i="6"/>
  <c r="BB188" i="6"/>
  <c r="BC188" i="6"/>
  <c r="BD188" i="6"/>
  <c r="BE188" i="6"/>
  <c r="BF188" i="6"/>
  <c r="BG188" i="6"/>
  <c r="BH188" i="6"/>
  <c r="BI188" i="6"/>
  <c r="BJ188" i="6"/>
  <c r="BK188" i="6"/>
  <c r="AM189" i="6"/>
  <c r="AN189" i="6"/>
  <c r="AO189" i="6"/>
  <c r="AP189" i="6"/>
  <c r="AQ189" i="6"/>
  <c r="AR189" i="6"/>
  <c r="AS189" i="6"/>
  <c r="AT189" i="6"/>
  <c r="AU189" i="6"/>
  <c r="AV189" i="6"/>
  <c r="AW189" i="6"/>
  <c r="AX189" i="6"/>
  <c r="AY189" i="6"/>
  <c r="AZ189" i="6"/>
  <c r="BA189" i="6"/>
  <c r="BB189" i="6"/>
  <c r="BC189" i="6"/>
  <c r="BD189" i="6"/>
  <c r="BE189" i="6"/>
  <c r="BF189" i="6"/>
  <c r="BG189" i="6"/>
  <c r="BH189" i="6"/>
  <c r="BI189" i="6"/>
  <c r="BJ189" i="6"/>
  <c r="BK189" i="6"/>
  <c r="AM190" i="6"/>
  <c r="AN190" i="6"/>
  <c r="AO190" i="6"/>
  <c r="AP190" i="6"/>
  <c r="AQ190" i="6"/>
  <c r="AR190" i="6"/>
  <c r="AS190" i="6"/>
  <c r="AT190" i="6"/>
  <c r="AU190" i="6"/>
  <c r="AV190" i="6"/>
  <c r="AW190" i="6"/>
  <c r="AX190" i="6"/>
  <c r="AY190" i="6"/>
  <c r="AZ190" i="6"/>
  <c r="BA190" i="6"/>
  <c r="BB190" i="6"/>
  <c r="BC190" i="6"/>
  <c r="BD190" i="6"/>
  <c r="BE190" i="6"/>
  <c r="BF190" i="6"/>
  <c r="BG190" i="6"/>
  <c r="BH190" i="6"/>
  <c r="BI190" i="6"/>
  <c r="BJ190" i="6"/>
  <c r="BK190" i="6"/>
  <c r="AM191" i="6"/>
  <c r="AN191" i="6"/>
  <c r="AO191" i="6"/>
  <c r="AP191" i="6"/>
  <c r="AQ191" i="6"/>
  <c r="AR191" i="6"/>
  <c r="AS191" i="6"/>
  <c r="AT191" i="6"/>
  <c r="AU191" i="6"/>
  <c r="AV191" i="6"/>
  <c r="AW191" i="6"/>
  <c r="AX191" i="6"/>
  <c r="AY191" i="6"/>
  <c r="AZ191" i="6"/>
  <c r="BA191" i="6"/>
  <c r="BB191" i="6"/>
  <c r="BC191" i="6"/>
  <c r="BD191" i="6"/>
  <c r="BE191" i="6"/>
  <c r="BF191" i="6"/>
  <c r="BG191" i="6"/>
  <c r="BH191" i="6"/>
  <c r="BI191" i="6"/>
  <c r="BJ191" i="6"/>
  <c r="BK191" i="6"/>
  <c r="AM192" i="6"/>
  <c r="AN192" i="6"/>
  <c r="AO192" i="6"/>
  <c r="AP192" i="6"/>
  <c r="AQ192" i="6"/>
  <c r="AR192" i="6"/>
  <c r="AS192" i="6"/>
  <c r="AT192" i="6"/>
  <c r="AU192" i="6"/>
  <c r="AV192" i="6"/>
  <c r="AW192" i="6"/>
  <c r="AX192" i="6"/>
  <c r="AY192" i="6"/>
  <c r="AZ192" i="6"/>
  <c r="BA192" i="6"/>
  <c r="BB192" i="6"/>
  <c r="BC192" i="6"/>
  <c r="BD192" i="6"/>
  <c r="BE192" i="6"/>
  <c r="BF192" i="6"/>
  <c r="BG192" i="6"/>
  <c r="BH192" i="6"/>
  <c r="BI192" i="6"/>
  <c r="BJ192" i="6"/>
  <c r="BK192" i="6"/>
  <c r="AM193" i="6"/>
  <c r="AN193" i="6"/>
  <c r="AO193" i="6"/>
  <c r="AP193" i="6"/>
  <c r="AQ193" i="6"/>
  <c r="AR193" i="6"/>
  <c r="AS193" i="6"/>
  <c r="AT193" i="6"/>
  <c r="AU193" i="6"/>
  <c r="AV193" i="6"/>
  <c r="AW193" i="6"/>
  <c r="AX193" i="6"/>
  <c r="AY193" i="6"/>
  <c r="AZ193" i="6"/>
  <c r="BA193" i="6"/>
  <c r="BB193" i="6"/>
  <c r="BC193" i="6"/>
  <c r="BD193" i="6"/>
  <c r="BE193" i="6"/>
  <c r="BF193" i="6"/>
  <c r="BG193" i="6"/>
  <c r="BH193" i="6"/>
  <c r="BI193" i="6"/>
  <c r="BJ193" i="6"/>
  <c r="BK193" i="6"/>
  <c r="AM194" i="6"/>
  <c r="AN194" i="6"/>
  <c r="AO194" i="6"/>
  <c r="AP194" i="6"/>
  <c r="AQ194" i="6"/>
  <c r="AR194" i="6"/>
  <c r="AS194" i="6"/>
  <c r="AT194" i="6"/>
  <c r="AU194" i="6"/>
  <c r="AV194" i="6"/>
  <c r="AW194" i="6"/>
  <c r="AX194" i="6"/>
  <c r="AY194" i="6"/>
  <c r="AZ194" i="6"/>
  <c r="BA194" i="6"/>
  <c r="BB194" i="6"/>
  <c r="BC194" i="6"/>
  <c r="BD194" i="6"/>
  <c r="BE194" i="6"/>
  <c r="BF194" i="6"/>
  <c r="BG194" i="6"/>
  <c r="BH194" i="6"/>
  <c r="BI194" i="6"/>
  <c r="BJ194" i="6"/>
  <c r="BK194" i="6"/>
  <c r="AM195" i="6"/>
  <c r="AN195" i="6"/>
  <c r="AO195" i="6"/>
  <c r="AP195" i="6"/>
  <c r="AQ195" i="6"/>
  <c r="AR195" i="6"/>
  <c r="AS195" i="6"/>
  <c r="AT195" i="6"/>
  <c r="AU195" i="6"/>
  <c r="AV195" i="6"/>
  <c r="AW195" i="6"/>
  <c r="AX195" i="6"/>
  <c r="AY195" i="6"/>
  <c r="AZ195" i="6"/>
  <c r="BA195" i="6"/>
  <c r="BB195" i="6"/>
  <c r="BC195" i="6"/>
  <c r="BD195" i="6"/>
  <c r="BE195" i="6"/>
  <c r="BF195" i="6"/>
  <c r="BG195" i="6"/>
  <c r="BH195" i="6"/>
  <c r="BI195" i="6"/>
  <c r="BJ195" i="6"/>
  <c r="BK195" i="6"/>
  <c r="AM196" i="6"/>
  <c r="AN196" i="6"/>
  <c r="AO196" i="6"/>
  <c r="AP196" i="6"/>
  <c r="AQ196" i="6"/>
  <c r="AR196" i="6"/>
  <c r="AS196" i="6"/>
  <c r="AT196" i="6"/>
  <c r="AU196" i="6"/>
  <c r="AV196" i="6"/>
  <c r="AW196" i="6"/>
  <c r="AX196" i="6"/>
  <c r="AY196" i="6"/>
  <c r="AZ196" i="6"/>
  <c r="BA196" i="6"/>
  <c r="BB196" i="6"/>
  <c r="BC196" i="6"/>
  <c r="BD196" i="6"/>
  <c r="BE196" i="6"/>
  <c r="BF196" i="6"/>
  <c r="BG196" i="6"/>
  <c r="BH196" i="6"/>
  <c r="BI196" i="6"/>
  <c r="BJ196" i="6"/>
  <c r="BK196" i="6"/>
  <c r="AM197" i="6"/>
  <c r="AN197" i="6"/>
  <c r="AO197" i="6"/>
  <c r="AP197" i="6"/>
  <c r="AQ197" i="6"/>
  <c r="AR197" i="6"/>
  <c r="AS197" i="6"/>
  <c r="AT197" i="6"/>
  <c r="AU197" i="6"/>
  <c r="AV197" i="6"/>
  <c r="AW197" i="6"/>
  <c r="AX197" i="6"/>
  <c r="AY197" i="6"/>
  <c r="AZ197" i="6"/>
  <c r="BA197" i="6"/>
  <c r="BB197" i="6"/>
  <c r="BC197" i="6"/>
  <c r="BD197" i="6"/>
  <c r="BE197" i="6"/>
  <c r="BF197" i="6"/>
  <c r="BG197" i="6"/>
  <c r="BH197" i="6"/>
  <c r="BI197" i="6"/>
  <c r="BJ197" i="6"/>
  <c r="BK197" i="6"/>
  <c r="AM198" i="6"/>
  <c r="AN198" i="6"/>
  <c r="AO198" i="6"/>
  <c r="AP198" i="6"/>
  <c r="AQ198" i="6"/>
  <c r="AR198" i="6"/>
  <c r="AS198" i="6"/>
  <c r="AT198" i="6"/>
  <c r="AU198" i="6"/>
  <c r="AV198" i="6"/>
  <c r="AW198" i="6"/>
  <c r="AX198" i="6"/>
  <c r="AY198" i="6"/>
  <c r="AZ198" i="6"/>
  <c r="BA198" i="6"/>
  <c r="BB198" i="6"/>
  <c r="BC198" i="6"/>
  <c r="BD198" i="6"/>
  <c r="BE198" i="6"/>
  <c r="BF198" i="6"/>
  <c r="BG198" i="6"/>
  <c r="BH198" i="6"/>
  <c r="BI198" i="6"/>
  <c r="BJ198" i="6"/>
  <c r="BK198" i="6"/>
  <c r="AM199" i="6"/>
  <c r="AN199" i="6"/>
  <c r="AO199" i="6"/>
  <c r="AP199" i="6"/>
  <c r="AQ199" i="6"/>
  <c r="AR199" i="6"/>
  <c r="AS199" i="6"/>
  <c r="AT199" i="6"/>
  <c r="AU199" i="6"/>
  <c r="AV199" i="6"/>
  <c r="AW199" i="6"/>
  <c r="AX199" i="6"/>
  <c r="AY199" i="6"/>
  <c r="AZ199" i="6"/>
  <c r="BA199" i="6"/>
  <c r="BB199" i="6"/>
  <c r="BC199" i="6"/>
  <c r="BD199" i="6"/>
  <c r="BE199" i="6"/>
  <c r="BF199" i="6"/>
  <c r="BG199" i="6"/>
  <c r="BH199" i="6"/>
  <c r="BI199" i="6"/>
  <c r="BJ199" i="6"/>
  <c r="BK199" i="6"/>
  <c r="AM200" i="6"/>
  <c r="AN200" i="6"/>
  <c r="AO200" i="6"/>
  <c r="AP200" i="6"/>
  <c r="AQ200" i="6"/>
  <c r="AR200" i="6"/>
  <c r="AS200" i="6"/>
  <c r="AT200" i="6"/>
  <c r="AU200" i="6"/>
  <c r="AV200" i="6"/>
  <c r="AW200" i="6"/>
  <c r="AX200" i="6"/>
  <c r="AY200" i="6"/>
  <c r="AZ200" i="6"/>
  <c r="BA200" i="6"/>
  <c r="BB200" i="6"/>
  <c r="BC200" i="6"/>
  <c r="BD200" i="6"/>
  <c r="BE200" i="6"/>
  <c r="BF200" i="6"/>
  <c r="BG200" i="6"/>
  <c r="BH200" i="6"/>
  <c r="BI200" i="6"/>
  <c r="BJ200" i="6"/>
  <c r="BK200" i="6"/>
  <c r="AM201" i="6"/>
  <c r="AN201" i="6"/>
  <c r="AO201" i="6"/>
  <c r="AP201" i="6"/>
  <c r="AQ201" i="6"/>
  <c r="AR201" i="6"/>
  <c r="AS201" i="6"/>
  <c r="AT201" i="6"/>
  <c r="AU201" i="6"/>
  <c r="AV201" i="6"/>
  <c r="AW201" i="6"/>
  <c r="AX201" i="6"/>
  <c r="AY201" i="6"/>
  <c r="AZ201" i="6"/>
  <c r="BA201" i="6"/>
  <c r="BB201" i="6"/>
  <c r="BC201" i="6"/>
  <c r="BD201" i="6"/>
  <c r="BE201" i="6"/>
  <c r="BF201" i="6"/>
  <c r="BG201" i="6"/>
  <c r="BH201" i="6"/>
  <c r="BI201" i="6"/>
  <c r="BJ201" i="6"/>
  <c r="BK201" i="6"/>
  <c r="AM202" i="6"/>
  <c r="AN202" i="6"/>
  <c r="AO202" i="6"/>
  <c r="AP202" i="6"/>
  <c r="AQ202" i="6"/>
  <c r="AR202" i="6"/>
  <c r="AS202" i="6"/>
  <c r="AT202" i="6"/>
  <c r="AU202" i="6"/>
  <c r="AV202" i="6"/>
  <c r="AW202" i="6"/>
  <c r="AX202" i="6"/>
  <c r="AY202" i="6"/>
  <c r="AZ202" i="6"/>
  <c r="BA202" i="6"/>
  <c r="BB202" i="6"/>
  <c r="BC202" i="6"/>
  <c r="BD202" i="6"/>
  <c r="BE202" i="6"/>
  <c r="BF202" i="6"/>
  <c r="BG202" i="6"/>
  <c r="BH202" i="6"/>
  <c r="BI202" i="6"/>
  <c r="BJ202" i="6"/>
  <c r="BK202" i="6"/>
  <c r="AM203" i="6"/>
  <c r="AN203" i="6"/>
  <c r="AO203" i="6"/>
  <c r="AP203" i="6"/>
  <c r="AQ203" i="6"/>
  <c r="AR203" i="6"/>
  <c r="AS203" i="6"/>
  <c r="AT203" i="6"/>
  <c r="AU203" i="6"/>
  <c r="AV203" i="6"/>
  <c r="AW203" i="6"/>
  <c r="AX203" i="6"/>
  <c r="AY203" i="6"/>
  <c r="AZ203" i="6"/>
  <c r="BA203" i="6"/>
  <c r="BB203" i="6"/>
  <c r="BC203" i="6"/>
  <c r="BD203" i="6"/>
  <c r="BE203" i="6"/>
  <c r="BF203" i="6"/>
  <c r="BG203" i="6"/>
  <c r="BH203" i="6"/>
  <c r="BI203" i="6"/>
  <c r="BJ203" i="6"/>
  <c r="BK203" i="6"/>
  <c r="AM204" i="6"/>
  <c r="AN204" i="6"/>
  <c r="AO204" i="6"/>
  <c r="AP204" i="6"/>
  <c r="AQ204" i="6"/>
  <c r="AR204" i="6"/>
  <c r="AS204" i="6"/>
  <c r="AT204" i="6"/>
  <c r="AU204" i="6"/>
  <c r="AV204" i="6"/>
  <c r="AW204" i="6"/>
  <c r="AX204" i="6"/>
  <c r="AY204" i="6"/>
  <c r="AZ204" i="6"/>
  <c r="BA204" i="6"/>
  <c r="BB204" i="6"/>
  <c r="BC204" i="6"/>
  <c r="BD204" i="6"/>
  <c r="BE204" i="6"/>
  <c r="BF204" i="6"/>
  <c r="BG204" i="6"/>
  <c r="BH204" i="6"/>
  <c r="BI204" i="6"/>
  <c r="BJ204" i="6"/>
  <c r="BK204" i="6"/>
  <c r="AM205" i="6"/>
  <c r="AN205" i="6"/>
  <c r="AO205" i="6"/>
  <c r="AP205" i="6"/>
  <c r="AQ205" i="6"/>
  <c r="AR205" i="6"/>
  <c r="AS205" i="6"/>
  <c r="AT205" i="6"/>
  <c r="AU205" i="6"/>
  <c r="AV205" i="6"/>
  <c r="AW205" i="6"/>
  <c r="AX205" i="6"/>
  <c r="AY205" i="6"/>
  <c r="AZ205" i="6"/>
  <c r="BA205" i="6"/>
  <c r="BB205" i="6"/>
  <c r="BC205" i="6"/>
  <c r="BD205" i="6"/>
  <c r="BE205" i="6"/>
  <c r="BF205" i="6"/>
  <c r="BG205" i="6"/>
  <c r="BH205" i="6"/>
  <c r="BI205" i="6"/>
  <c r="BJ205" i="6"/>
  <c r="BK205" i="6"/>
  <c r="AM206" i="6"/>
  <c r="AN206" i="6"/>
  <c r="AO206" i="6"/>
  <c r="AP206" i="6"/>
  <c r="AQ206" i="6"/>
  <c r="AR206" i="6"/>
  <c r="AS206" i="6"/>
  <c r="AT206" i="6"/>
  <c r="AU206" i="6"/>
  <c r="AV206" i="6"/>
  <c r="AW206" i="6"/>
  <c r="AX206" i="6"/>
  <c r="AY206" i="6"/>
  <c r="AZ206" i="6"/>
  <c r="BA206" i="6"/>
  <c r="BB206" i="6"/>
  <c r="BC206" i="6"/>
  <c r="BD206" i="6"/>
  <c r="BE206" i="6"/>
  <c r="BF206" i="6"/>
  <c r="BG206" i="6"/>
  <c r="BH206" i="6"/>
  <c r="BI206" i="6"/>
  <c r="BJ206" i="6"/>
  <c r="BK206" i="6"/>
  <c r="AN6" i="6"/>
  <c r="AO6" i="6"/>
  <c r="AP6" i="6"/>
  <c r="AQ6" i="6"/>
  <c r="AR6" i="6"/>
  <c r="AS6" i="6"/>
  <c r="AT6" i="6"/>
  <c r="AU6" i="6"/>
  <c r="AV6" i="6"/>
  <c r="AW6" i="6"/>
  <c r="AX6" i="6"/>
  <c r="AY6" i="6"/>
  <c r="AZ6" i="6"/>
  <c r="BA6" i="6"/>
  <c r="BB6" i="6"/>
  <c r="BC6" i="6"/>
  <c r="BD6" i="6"/>
  <c r="BE6" i="6"/>
  <c r="BF6" i="6"/>
  <c r="BG6" i="6"/>
  <c r="BH6" i="6"/>
  <c r="BI6" i="6"/>
  <c r="BJ6" i="6"/>
  <c r="BK6" i="6"/>
  <c r="AM6" i="6"/>
  <c r="AL7" i="6"/>
  <c r="AL8" i="6"/>
  <c r="AL9" i="6"/>
  <c r="AL10" i="6"/>
  <c r="AL11" i="6"/>
  <c r="AL12" i="6"/>
  <c r="AL13" i="6"/>
  <c r="AL14" i="6"/>
  <c r="AL15" i="6"/>
  <c r="AL16" i="6"/>
  <c r="AL17" i="6"/>
  <c r="AL18" i="6"/>
  <c r="AL19" i="6"/>
  <c r="AL20" i="6"/>
  <c r="AL21" i="6"/>
  <c r="AL22" i="6"/>
  <c r="AL23" i="6"/>
  <c r="AL24" i="6"/>
  <c r="AL25" i="6"/>
  <c r="AL26" i="6"/>
  <c r="AL27" i="6"/>
  <c r="AL28" i="6"/>
  <c r="AL29" i="6"/>
  <c r="AL30" i="6"/>
  <c r="AL31" i="6"/>
  <c r="AL32" i="6"/>
  <c r="AL33" i="6"/>
  <c r="AL34" i="6"/>
  <c r="AL35" i="6"/>
  <c r="AL36" i="6"/>
  <c r="AL37" i="6"/>
  <c r="AL38" i="6"/>
  <c r="AL39" i="6"/>
  <c r="AL40" i="6"/>
  <c r="AL41" i="6"/>
  <c r="AL42" i="6"/>
  <c r="AL43" i="6"/>
  <c r="AL44" i="6"/>
  <c r="AL45" i="6"/>
  <c r="AL46" i="6"/>
  <c r="AL47" i="6"/>
  <c r="AL48" i="6"/>
  <c r="AL49" i="6"/>
  <c r="AL50" i="6"/>
  <c r="AL51" i="6"/>
  <c r="AL52" i="6"/>
  <c r="AL53" i="6"/>
  <c r="AL54" i="6"/>
  <c r="AL55" i="6"/>
  <c r="AL56" i="6"/>
  <c r="AL57" i="6"/>
  <c r="AL58" i="6"/>
  <c r="AL59" i="6"/>
  <c r="AL60" i="6"/>
  <c r="AL61" i="6"/>
  <c r="AL62" i="6"/>
  <c r="AL63" i="6"/>
  <c r="AL64" i="6"/>
  <c r="AL65" i="6"/>
  <c r="AL66" i="6"/>
  <c r="AL67" i="6"/>
  <c r="AL68" i="6"/>
  <c r="AL69" i="6"/>
  <c r="AL70" i="6"/>
  <c r="AL71" i="6"/>
  <c r="AL72" i="6"/>
  <c r="AL73" i="6"/>
  <c r="AL74" i="6"/>
  <c r="AL75" i="6"/>
  <c r="AL76" i="6"/>
  <c r="AL77" i="6"/>
  <c r="AL78" i="6"/>
  <c r="AL79" i="6"/>
  <c r="AL80" i="6"/>
  <c r="AL81" i="6"/>
  <c r="AL82" i="6"/>
  <c r="AL83" i="6"/>
  <c r="AL84" i="6"/>
  <c r="AL85" i="6"/>
  <c r="AL86" i="6"/>
  <c r="AL87" i="6"/>
  <c r="AL88" i="6"/>
  <c r="AL89" i="6"/>
  <c r="AL90" i="6"/>
  <c r="AL91" i="6"/>
  <c r="AL92" i="6"/>
  <c r="AL93" i="6"/>
  <c r="AL94" i="6"/>
  <c r="AL95" i="6"/>
  <c r="AL96" i="6"/>
  <c r="AL97" i="6"/>
  <c r="AL98" i="6"/>
  <c r="AL99" i="6"/>
  <c r="AL100" i="6"/>
  <c r="AL101" i="6"/>
  <c r="AL102" i="6"/>
  <c r="AL103" i="6"/>
  <c r="AL104" i="6"/>
  <c r="AL105" i="6"/>
  <c r="AL106" i="6"/>
  <c r="AL107" i="6"/>
  <c r="AL108" i="6"/>
  <c r="AL109" i="6"/>
  <c r="AL110" i="6"/>
  <c r="AL111" i="6"/>
  <c r="AL112" i="6"/>
  <c r="AL113" i="6"/>
  <c r="AL114" i="6"/>
  <c r="AL115" i="6"/>
  <c r="AL116" i="6"/>
  <c r="AL117" i="6"/>
  <c r="AL118" i="6"/>
  <c r="AL119" i="6"/>
  <c r="AL120" i="6"/>
  <c r="AL121" i="6"/>
  <c r="AL122" i="6"/>
  <c r="AL123" i="6"/>
  <c r="AL124" i="6"/>
  <c r="AL125" i="6"/>
  <c r="AL126" i="6"/>
  <c r="AL127" i="6"/>
  <c r="AL128" i="6"/>
  <c r="AL129" i="6"/>
  <c r="AL130" i="6"/>
  <c r="AL131" i="6"/>
  <c r="AL132" i="6"/>
  <c r="AL133" i="6"/>
  <c r="AL134" i="6"/>
  <c r="AL135" i="6"/>
  <c r="AL136" i="6"/>
  <c r="AL137" i="6"/>
  <c r="AL138" i="6"/>
  <c r="AL139" i="6"/>
  <c r="AL140" i="6"/>
  <c r="AL141" i="6"/>
  <c r="AL142" i="6"/>
  <c r="AL143" i="6"/>
  <c r="AL144" i="6"/>
  <c r="AL145" i="6"/>
  <c r="AL146" i="6"/>
  <c r="AL147" i="6"/>
  <c r="AL148" i="6"/>
  <c r="AL149" i="6"/>
  <c r="AL150" i="6"/>
  <c r="AL151" i="6"/>
  <c r="AL152" i="6"/>
  <c r="AL153" i="6"/>
  <c r="AL154" i="6"/>
  <c r="AL155" i="6"/>
  <c r="AL156" i="6"/>
  <c r="AL157" i="6"/>
  <c r="AL158" i="6"/>
  <c r="AL159" i="6"/>
  <c r="AL160" i="6"/>
  <c r="AL161" i="6"/>
  <c r="AL162" i="6"/>
  <c r="AL163" i="6"/>
  <c r="AL164" i="6"/>
  <c r="AL165" i="6"/>
  <c r="AL166" i="6"/>
  <c r="AL167" i="6"/>
  <c r="AL168" i="6"/>
  <c r="AL169" i="6"/>
  <c r="AL170" i="6"/>
  <c r="AL171" i="6"/>
  <c r="AL172" i="6"/>
  <c r="AL173" i="6"/>
  <c r="AL174" i="6"/>
  <c r="AL175" i="6"/>
  <c r="AL176" i="6"/>
  <c r="AL177" i="6"/>
  <c r="AL178" i="6"/>
  <c r="AL179" i="6"/>
  <c r="AL180" i="6"/>
  <c r="AL181" i="6"/>
  <c r="AL182" i="6"/>
  <c r="AL183" i="6"/>
  <c r="AL184" i="6"/>
  <c r="AL185" i="6"/>
  <c r="AL186" i="6"/>
  <c r="AL187" i="6"/>
  <c r="AL188" i="6"/>
  <c r="AL189" i="6"/>
  <c r="AL190" i="6"/>
  <c r="AL191" i="6"/>
  <c r="AL192" i="6"/>
  <c r="AL193" i="6"/>
  <c r="AL194" i="6"/>
  <c r="AL195" i="6"/>
  <c r="AL196" i="6"/>
  <c r="AL197" i="6"/>
  <c r="AL198" i="6"/>
  <c r="AL199" i="6"/>
  <c r="AL200" i="6"/>
  <c r="AL201" i="6"/>
  <c r="AL202" i="6"/>
  <c r="AL203" i="6"/>
  <c r="AL204" i="6"/>
  <c r="AL205" i="6"/>
  <c r="AL206" i="6"/>
  <c r="AL6" i="6"/>
  <c r="N4" i="6"/>
  <c r="N5" i="6"/>
  <c r="O5" i="6"/>
  <c r="P5" i="6"/>
  <c r="Q5" i="6"/>
  <c r="R5" i="6"/>
  <c r="S5" i="6"/>
  <c r="T5" i="6"/>
  <c r="U5" i="6"/>
  <c r="V5" i="6"/>
  <c r="W5" i="6"/>
  <c r="X5" i="6"/>
  <c r="Y5" i="6"/>
  <c r="Z5" i="6"/>
  <c r="AA5" i="6"/>
  <c r="AB5" i="6"/>
  <c r="AC5" i="6"/>
  <c r="AD5" i="6"/>
  <c r="AE5" i="6"/>
  <c r="AF5" i="6"/>
  <c r="AG5" i="6"/>
  <c r="N6" i="6"/>
  <c r="O6" i="6"/>
  <c r="P6" i="6"/>
  <c r="Q6" i="6"/>
  <c r="R6" i="6"/>
  <c r="S6" i="6"/>
  <c r="T6" i="6"/>
  <c r="U6" i="6"/>
  <c r="V6" i="6"/>
  <c r="W6" i="6"/>
  <c r="X6" i="6"/>
  <c r="Y6" i="6"/>
  <c r="Z6" i="6"/>
  <c r="AA6" i="6"/>
  <c r="AB6" i="6"/>
  <c r="AC6" i="6"/>
  <c r="AD6" i="6"/>
  <c r="AE6" i="6"/>
  <c r="AF6" i="6"/>
  <c r="AG6" i="6"/>
  <c r="N7" i="6"/>
  <c r="O7" i="6"/>
  <c r="P7" i="6"/>
  <c r="Q7" i="6"/>
  <c r="R7" i="6"/>
  <c r="S7" i="6"/>
  <c r="T7" i="6"/>
  <c r="U7" i="6"/>
  <c r="V7" i="6"/>
  <c r="W7" i="6"/>
  <c r="X7" i="6"/>
  <c r="Y7" i="6"/>
  <c r="Z7" i="6"/>
  <c r="AA7" i="6"/>
  <c r="AB7" i="6"/>
  <c r="AC7" i="6"/>
  <c r="AD7" i="6"/>
  <c r="AE7" i="6"/>
  <c r="AF7" i="6"/>
  <c r="AG7" i="6"/>
  <c r="N8" i="6"/>
  <c r="O8" i="6"/>
  <c r="P8" i="6"/>
  <c r="Q8" i="6"/>
  <c r="R8" i="6"/>
  <c r="S8" i="6"/>
  <c r="T8" i="6"/>
  <c r="U8" i="6"/>
  <c r="V8" i="6"/>
  <c r="W8" i="6"/>
  <c r="X8" i="6"/>
  <c r="Y8" i="6"/>
  <c r="Z8" i="6"/>
  <c r="AA8" i="6"/>
  <c r="AB8" i="6"/>
  <c r="AC8" i="6"/>
  <c r="AD8" i="6"/>
  <c r="AE8" i="6"/>
  <c r="AF8" i="6"/>
  <c r="AG8" i="6"/>
  <c r="N9" i="6"/>
  <c r="O9" i="6"/>
  <c r="P9" i="6"/>
  <c r="Q9" i="6"/>
  <c r="R9" i="6"/>
  <c r="S9" i="6"/>
  <c r="T9" i="6"/>
  <c r="U9" i="6"/>
  <c r="V9" i="6"/>
  <c r="W9" i="6"/>
  <c r="X9" i="6"/>
  <c r="Y9" i="6"/>
  <c r="Z9" i="6"/>
  <c r="AA9" i="6"/>
  <c r="AB9" i="6"/>
  <c r="AC9" i="6"/>
  <c r="AD9" i="6"/>
  <c r="AE9" i="6"/>
  <c r="AF9" i="6"/>
  <c r="AG9" i="6"/>
  <c r="N10" i="6"/>
  <c r="O10" i="6"/>
  <c r="P10" i="6"/>
  <c r="Q10" i="6"/>
  <c r="R10" i="6"/>
  <c r="S10" i="6"/>
  <c r="T10" i="6"/>
  <c r="U10" i="6"/>
  <c r="V10" i="6"/>
  <c r="W10" i="6"/>
  <c r="X10" i="6"/>
  <c r="Y10" i="6"/>
  <c r="Z10" i="6"/>
  <c r="AA10" i="6"/>
  <c r="AB10" i="6"/>
  <c r="AC10" i="6"/>
  <c r="AD10" i="6"/>
  <c r="AE10" i="6"/>
  <c r="AF10" i="6"/>
  <c r="AG10" i="6"/>
  <c r="N11" i="6"/>
  <c r="O11" i="6"/>
  <c r="P11" i="6"/>
  <c r="Q11" i="6"/>
  <c r="R11" i="6"/>
  <c r="S11" i="6"/>
  <c r="T11" i="6"/>
  <c r="U11" i="6"/>
  <c r="V11" i="6"/>
  <c r="W11" i="6"/>
  <c r="X11" i="6"/>
  <c r="Y11" i="6"/>
  <c r="Z11" i="6"/>
  <c r="AA11" i="6"/>
  <c r="AB11" i="6"/>
  <c r="AC11" i="6"/>
  <c r="AD11" i="6"/>
  <c r="AE11" i="6"/>
  <c r="AF11" i="6"/>
  <c r="AG11" i="6"/>
  <c r="N12" i="6"/>
  <c r="O12" i="6"/>
  <c r="P12" i="6"/>
  <c r="Q12" i="6"/>
  <c r="R12" i="6"/>
  <c r="S12" i="6"/>
  <c r="T12" i="6"/>
  <c r="U12" i="6"/>
  <c r="V12" i="6"/>
  <c r="W12" i="6"/>
  <c r="X12" i="6"/>
  <c r="Y12" i="6"/>
  <c r="Z12" i="6"/>
  <c r="AA12" i="6"/>
  <c r="AB12" i="6"/>
  <c r="AC12" i="6"/>
  <c r="AD12" i="6"/>
  <c r="AE12" i="6"/>
  <c r="AF12" i="6"/>
  <c r="AG12" i="6"/>
  <c r="N13" i="6"/>
  <c r="O13" i="6"/>
  <c r="P13" i="6"/>
  <c r="Q13" i="6"/>
  <c r="R13" i="6"/>
  <c r="S13" i="6"/>
  <c r="T13" i="6"/>
  <c r="U13" i="6"/>
  <c r="V13" i="6"/>
  <c r="W13" i="6"/>
  <c r="X13" i="6"/>
  <c r="Y13" i="6"/>
  <c r="Z13" i="6"/>
  <c r="AA13" i="6"/>
  <c r="AB13" i="6"/>
  <c r="AC13" i="6"/>
  <c r="AD13" i="6"/>
  <c r="AE13" i="6"/>
  <c r="AF13" i="6"/>
  <c r="AG13" i="6"/>
  <c r="N14" i="6"/>
  <c r="O14" i="6"/>
  <c r="P14" i="6"/>
  <c r="Q14" i="6"/>
  <c r="R14" i="6"/>
  <c r="S14" i="6"/>
  <c r="T14" i="6"/>
  <c r="U14" i="6"/>
  <c r="V14" i="6"/>
  <c r="W14" i="6"/>
  <c r="X14" i="6"/>
  <c r="Y14" i="6"/>
  <c r="Z14" i="6"/>
  <c r="AA14" i="6"/>
  <c r="AB14" i="6"/>
  <c r="AC14" i="6"/>
  <c r="AD14" i="6"/>
  <c r="AE14" i="6"/>
  <c r="AF14" i="6"/>
  <c r="AG14" i="6"/>
  <c r="N15" i="6"/>
  <c r="O15" i="6"/>
  <c r="P15" i="6"/>
  <c r="Q15" i="6"/>
  <c r="R15" i="6"/>
  <c r="S15" i="6"/>
  <c r="T15" i="6"/>
  <c r="U15" i="6"/>
  <c r="V15" i="6"/>
  <c r="W15" i="6"/>
  <c r="X15" i="6"/>
  <c r="Y15" i="6"/>
  <c r="Z15" i="6"/>
  <c r="AA15" i="6"/>
  <c r="AB15" i="6"/>
  <c r="AC15" i="6"/>
  <c r="AD15" i="6"/>
  <c r="AE15" i="6"/>
  <c r="AF15" i="6"/>
  <c r="AG15" i="6"/>
  <c r="N16" i="6"/>
  <c r="O16" i="6"/>
  <c r="P16" i="6"/>
  <c r="Q16" i="6"/>
  <c r="R16" i="6"/>
  <c r="S16" i="6"/>
  <c r="T16" i="6"/>
  <c r="U16" i="6"/>
  <c r="V16" i="6"/>
  <c r="W16" i="6"/>
  <c r="X16" i="6"/>
  <c r="Y16" i="6"/>
  <c r="Z16" i="6"/>
  <c r="AA16" i="6"/>
  <c r="AB16" i="6"/>
  <c r="AC16" i="6"/>
  <c r="AD16" i="6"/>
  <c r="AE16" i="6"/>
  <c r="AF16" i="6"/>
  <c r="AG16" i="6"/>
  <c r="N17" i="6"/>
  <c r="O17" i="6"/>
  <c r="P17" i="6"/>
  <c r="Q17" i="6"/>
  <c r="R17" i="6"/>
  <c r="S17" i="6"/>
  <c r="T17" i="6"/>
  <c r="U17" i="6"/>
  <c r="V17" i="6"/>
  <c r="W17" i="6"/>
  <c r="X17" i="6"/>
  <c r="Y17" i="6"/>
  <c r="Z17" i="6"/>
  <c r="AA17" i="6"/>
  <c r="AB17" i="6"/>
  <c r="AC17" i="6"/>
  <c r="AD17" i="6"/>
  <c r="AE17" i="6"/>
  <c r="AF17" i="6"/>
  <c r="AG17" i="6"/>
  <c r="N18" i="6"/>
  <c r="O18" i="6"/>
  <c r="P18" i="6"/>
  <c r="Q18" i="6"/>
  <c r="R18" i="6"/>
  <c r="S18" i="6"/>
  <c r="T18" i="6"/>
  <c r="U18" i="6"/>
  <c r="V18" i="6"/>
  <c r="W18" i="6"/>
  <c r="X18" i="6"/>
  <c r="Y18" i="6"/>
  <c r="Z18" i="6"/>
  <c r="AA18" i="6"/>
  <c r="AB18" i="6"/>
  <c r="AC18" i="6"/>
  <c r="AD18" i="6"/>
  <c r="AE18" i="6"/>
  <c r="AF18" i="6"/>
  <c r="AG18" i="6"/>
  <c r="N19" i="6"/>
  <c r="O19" i="6"/>
  <c r="P19" i="6"/>
  <c r="Q19" i="6"/>
  <c r="R19" i="6"/>
  <c r="S19" i="6"/>
  <c r="T19" i="6"/>
  <c r="U19" i="6"/>
  <c r="V19" i="6"/>
  <c r="W19" i="6"/>
  <c r="X19" i="6"/>
  <c r="Y19" i="6"/>
  <c r="Z19" i="6"/>
  <c r="AA19" i="6"/>
  <c r="AB19" i="6"/>
  <c r="AC19" i="6"/>
  <c r="AD19" i="6"/>
  <c r="AE19" i="6"/>
  <c r="AF19" i="6"/>
  <c r="AG19" i="6"/>
  <c r="N20" i="6"/>
  <c r="O20" i="6"/>
  <c r="P20" i="6"/>
  <c r="Q20" i="6"/>
  <c r="R20" i="6"/>
  <c r="S20" i="6"/>
  <c r="T20" i="6"/>
  <c r="U20" i="6"/>
  <c r="V20" i="6"/>
  <c r="W20" i="6"/>
  <c r="X20" i="6"/>
  <c r="Y20" i="6"/>
  <c r="Z20" i="6"/>
  <c r="AA20" i="6"/>
  <c r="AB20" i="6"/>
  <c r="AC20" i="6"/>
  <c r="AD20" i="6"/>
  <c r="AE20" i="6"/>
  <c r="AF20" i="6"/>
  <c r="AG20" i="6"/>
  <c r="N21" i="6"/>
  <c r="O21" i="6"/>
  <c r="P21" i="6"/>
  <c r="Q21" i="6"/>
  <c r="R21" i="6"/>
  <c r="S21" i="6"/>
  <c r="T21" i="6"/>
  <c r="U21" i="6"/>
  <c r="V21" i="6"/>
  <c r="W21" i="6"/>
  <c r="X21" i="6"/>
  <c r="Y21" i="6"/>
  <c r="Z21" i="6"/>
  <c r="AA21" i="6"/>
  <c r="AB21" i="6"/>
  <c r="AC21" i="6"/>
  <c r="AD21" i="6"/>
  <c r="AE21" i="6"/>
  <c r="AF21" i="6"/>
  <c r="AG21" i="6"/>
  <c r="N22" i="6"/>
  <c r="O22" i="6"/>
  <c r="P22" i="6"/>
  <c r="Q22" i="6"/>
  <c r="R22" i="6"/>
  <c r="S22" i="6"/>
  <c r="T22" i="6"/>
  <c r="U22" i="6"/>
  <c r="V22" i="6"/>
  <c r="W22" i="6"/>
  <c r="X22" i="6"/>
  <c r="Y22" i="6"/>
  <c r="Z22" i="6"/>
  <c r="AA22" i="6"/>
  <c r="AB22" i="6"/>
  <c r="AC22" i="6"/>
  <c r="AD22" i="6"/>
  <c r="AE22" i="6"/>
  <c r="AF22" i="6"/>
  <c r="AG22" i="6"/>
  <c r="N23" i="6"/>
  <c r="O23" i="6"/>
  <c r="P23" i="6"/>
  <c r="Q23" i="6"/>
  <c r="R23" i="6"/>
  <c r="S23" i="6"/>
  <c r="T23" i="6"/>
  <c r="U23" i="6"/>
  <c r="V23" i="6"/>
  <c r="W23" i="6"/>
  <c r="X23" i="6"/>
  <c r="Y23" i="6"/>
  <c r="Z23" i="6"/>
  <c r="AA23" i="6"/>
  <c r="AB23" i="6"/>
  <c r="AC23" i="6"/>
  <c r="AD23" i="6"/>
  <c r="AE23" i="6"/>
  <c r="AF23" i="6"/>
  <c r="AG23" i="6"/>
  <c r="N24" i="6"/>
  <c r="O24" i="6"/>
  <c r="P24" i="6"/>
  <c r="Q24" i="6"/>
  <c r="R24" i="6"/>
  <c r="S24" i="6"/>
  <c r="T24" i="6"/>
  <c r="U24" i="6"/>
  <c r="V24" i="6"/>
  <c r="W24" i="6"/>
  <c r="X24" i="6"/>
  <c r="Y24" i="6"/>
  <c r="Z24" i="6"/>
  <c r="AA24" i="6"/>
  <c r="AB24" i="6"/>
  <c r="AC24" i="6"/>
  <c r="AD24" i="6"/>
  <c r="AE24" i="6"/>
  <c r="AF24" i="6"/>
  <c r="AG24" i="6"/>
  <c r="N25" i="6"/>
  <c r="O25" i="6"/>
  <c r="P25" i="6"/>
  <c r="Q25" i="6"/>
  <c r="R25" i="6"/>
  <c r="S25" i="6"/>
  <c r="T25" i="6"/>
  <c r="U25" i="6"/>
  <c r="V25" i="6"/>
  <c r="W25" i="6"/>
  <c r="X25" i="6"/>
  <c r="Y25" i="6"/>
  <c r="Z25" i="6"/>
  <c r="AA25" i="6"/>
  <c r="AB25" i="6"/>
  <c r="AC25" i="6"/>
  <c r="AD25" i="6"/>
  <c r="AE25" i="6"/>
  <c r="AF25" i="6"/>
  <c r="AG25" i="6"/>
  <c r="N26" i="6"/>
  <c r="O26" i="6"/>
  <c r="P26" i="6"/>
  <c r="Q26" i="6"/>
  <c r="R26" i="6"/>
  <c r="S26" i="6"/>
  <c r="T26" i="6"/>
  <c r="U26" i="6"/>
  <c r="V26" i="6"/>
  <c r="W26" i="6"/>
  <c r="X26" i="6"/>
  <c r="Y26" i="6"/>
  <c r="Z26" i="6"/>
  <c r="AA26" i="6"/>
  <c r="AB26" i="6"/>
  <c r="AC26" i="6"/>
  <c r="AD26" i="6"/>
  <c r="AE26" i="6"/>
  <c r="AF26" i="6"/>
  <c r="AG26" i="6"/>
  <c r="N27" i="6"/>
  <c r="O27" i="6"/>
  <c r="P27" i="6"/>
  <c r="Q27" i="6"/>
  <c r="R27" i="6"/>
  <c r="S27" i="6"/>
  <c r="T27" i="6"/>
  <c r="U27" i="6"/>
  <c r="V27" i="6"/>
  <c r="W27" i="6"/>
  <c r="X27" i="6"/>
  <c r="Y27" i="6"/>
  <c r="Z27" i="6"/>
  <c r="AA27" i="6"/>
  <c r="AB27" i="6"/>
  <c r="AC27" i="6"/>
  <c r="AD27" i="6"/>
  <c r="AE27" i="6"/>
  <c r="AF27" i="6"/>
  <c r="AG27" i="6"/>
  <c r="N28" i="6"/>
  <c r="O28" i="6"/>
  <c r="P28" i="6"/>
  <c r="Q28" i="6"/>
  <c r="R28" i="6"/>
  <c r="S28" i="6"/>
  <c r="T28" i="6"/>
  <c r="U28" i="6"/>
  <c r="V28" i="6"/>
  <c r="W28" i="6"/>
  <c r="X28" i="6"/>
  <c r="Y28" i="6"/>
  <c r="Z28" i="6"/>
  <c r="AA28" i="6"/>
  <c r="AB28" i="6"/>
  <c r="AC28" i="6"/>
  <c r="AD28" i="6"/>
  <c r="AE28" i="6"/>
  <c r="AF28" i="6"/>
  <c r="AG28" i="6"/>
  <c r="N29" i="6"/>
  <c r="O29" i="6"/>
  <c r="P29" i="6"/>
  <c r="Q29" i="6"/>
  <c r="R29" i="6"/>
  <c r="S29" i="6"/>
  <c r="T29" i="6"/>
  <c r="U29" i="6"/>
  <c r="V29" i="6"/>
  <c r="W29" i="6"/>
  <c r="X29" i="6"/>
  <c r="Y29" i="6"/>
  <c r="Z29" i="6"/>
  <c r="AA29" i="6"/>
  <c r="AB29" i="6"/>
  <c r="AC29" i="6"/>
  <c r="AD29" i="6"/>
  <c r="AE29" i="6"/>
  <c r="AF29" i="6"/>
  <c r="AG29" i="6"/>
  <c r="N30" i="6"/>
  <c r="O30" i="6"/>
  <c r="P30" i="6"/>
  <c r="Q30" i="6"/>
  <c r="R30" i="6"/>
  <c r="S30" i="6"/>
  <c r="T30" i="6"/>
  <c r="U30" i="6"/>
  <c r="V30" i="6"/>
  <c r="W30" i="6"/>
  <c r="X30" i="6"/>
  <c r="Y30" i="6"/>
  <c r="Z30" i="6"/>
  <c r="AA30" i="6"/>
  <c r="AB30" i="6"/>
  <c r="AC30" i="6"/>
  <c r="AD30" i="6"/>
  <c r="AE30" i="6"/>
  <c r="AF30" i="6"/>
  <c r="AG30" i="6"/>
  <c r="N31" i="6"/>
  <c r="O31" i="6"/>
  <c r="P31" i="6"/>
  <c r="Q31" i="6"/>
  <c r="R31" i="6"/>
  <c r="S31" i="6"/>
  <c r="T31" i="6"/>
  <c r="U31" i="6"/>
  <c r="V31" i="6"/>
  <c r="W31" i="6"/>
  <c r="X31" i="6"/>
  <c r="Y31" i="6"/>
  <c r="Z31" i="6"/>
  <c r="AA31" i="6"/>
  <c r="AB31" i="6"/>
  <c r="AC31" i="6"/>
  <c r="AD31" i="6"/>
  <c r="AE31" i="6"/>
  <c r="AF31" i="6"/>
  <c r="AG31" i="6"/>
  <c r="N32" i="6"/>
  <c r="O32" i="6"/>
  <c r="P32" i="6"/>
  <c r="Q32" i="6"/>
  <c r="R32" i="6"/>
  <c r="S32" i="6"/>
  <c r="T32" i="6"/>
  <c r="U32" i="6"/>
  <c r="V32" i="6"/>
  <c r="W32" i="6"/>
  <c r="X32" i="6"/>
  <c r="Y32" i="6"/>
  <c r="Z32" i="6"/>
  <c r="AA32" i="6"/>
  <c r="AB32" i="6"/>
  <c r="AC32" i="6"/>
  <c r="AD32" i="6"/>
  <c r="AE32" i="6"/>
  <c r="AF32" i="6"/>
  <c r="AG32" i="6"/>
  <c r="N33" i="6"/>
  <c r="O33" i="6"/>
  <c r="P33" i="6"/>
  <c r="Q33" i="6"/>
  <c r="R33" i="6"/>
  <c r="S33" i="6"/>
  <c r="T33" i="6"/>
  <c r="U33" i="6"/>
  <c r="V33" i="6"/>
  <c r="W33" i="6"/>
  <c r="X33" i="6"/>
  <c r="Y33" i="6"/>
  <c r="Z33" i="6"/>
  <c r="AA33" i="6"/>
  <c r="AB33" i="6"/>
  <c r="AC33" i="6"/>
  <c r="AD33" i="6"/>
  <c r="AE33" i="6"/>
  <c r="AF33" i="6"/>
  <c r="AG33" i="6"/>
  <c r="N34" i="6"/>
  <c r="O34" i="6"/>
  <c r="P34" i="6"/>
  <c r="Q34" i="6"/>
  <c r="R34" i="6"/>
  <c r="S34" i="6"/>
  <c r="T34" i="6"/>
  <c r="U34" i="6"/>
  <c r="V34" i="6"/>
  <c r="W34" i="6"/>
  <c r="X34" i="6"/>
  <c r="Y34" i="6"/>
  <c r="Z34" i="6"/>
  <c r="AA34" i="6"/>
  <c r="AB34" i="6"/>
  <c r="AC34" i="6"/>
  <c r="AD34" i="6"/>
  <c r="AE34" i="6"/>
  <c r="AF34" i="6"/>
  <c r="AG34" i="6"/>
  <c r="N35" i="6"/>
  <c r="O35" i="6"/>
  <c r="P35" i="6"/>
  <c r="Q35" i="6"/>
  <c r="R35" i="6"/>
  <c r="S35" i="6"/>
  <c r="T35" i="6"/>
  <c r="U35" i="6"/>
  <c r="V35" i="6"/>
  <c r="W35" i="6"/>
  <c r="X35" i="6"/>
  <c r="Y35" i="6"/>
  <c r="Z35" i="6"/>
  <c r="AA35" i="6"/>
  <c r="AB35" i="6"/>
  <c r="AC35" i="6"/>
  <c r="AD35" i="6"/>
  <c r="AE35" i="6"/>
  <c r="AF35" i="6"/>
  <c r="AG35" i="6"/>
  <c r="N36" i="6"/>
  <c r="O36" i="6"/>
  <c r="P36" i="6"/>
  <c r="Q36" i="6"/>
  <c r="R36" i="6"/>
  <c r="S36" i="6"/>
  <c r="T36" i="6"/>
  <c r="U36" i="6"/>
  <c r="V36" i="6"/>
  <c r="W36" i="6"/>
  <c r="X36" i="6"/>
  <c r="Y36" i="6"/>
  <c r="Z36" i="6"/>
  <c r="AA36" i="6"/>
  <c r="AB36" i="6"/>
  <c r="AC36" i="6"/>
  <c r="AD36" i="6"/>
  <c r="AE36" i="6"/>
  <c r="AF36" i="6"/>
  <c r="AG36" i="6"/>
  <c r="N37" i="6"/>
  <c r="O37" i="6"/>
  <c r="P37" i="6"/>
  <c r="Q37" i="6"/>
  <c r="R37" i="6"/>
  <c r="S37" i="6"/>
  <c r="T37" i="6"/>
  <c r="U37" i="6"/>
  <c r="V37" i="6"/>
  <c r="W37" i="6"/>
  <c r="X37" i="6"/>
  <c r="Y37" i="6"/>
  <c r="Z37" i="6"/>
  <c r="AA37" i="6"/>
  <c r="AB37" i="6"/>
  <c r="AC37" i="6"/>
  <c r="AD37" i="6"/>
  <c r="AE37" i="6"/>
  <c r="AF37" i="6"/>
  <c r="AG37" i="6"/>
  <c r="N38" i="6"/>
  <c r="O38" i="6"/>
  <c r="P38" i="6"/>
  <c r="Q38" i="6"/>
  <c r="R38" i="6"/>
  <c r="S38" i="6"/>
  <c r="T38" i="6"/>
  <c r="U38" i="6"/>
  <c r="V38" i="6"/>
  <c r="W38" i="6"/>
  <c r="X38" i="6"/>
  <c r="Y38" i="6"/>
  <c r="Z38" i="6"/>
  <c r="AA38" i="6"/>
  <c r="AB38" i="6"/>
  <c r="AC38" i="6"/>
  <c r="AD38" i="6"/>
  <c r="AE38" i="6"/>
  <c r="AF38" i="6"/>
  <c r="AG38" i="6"/>
  <c r="N39" i="6"/>
  <c r="O39" i="6"/>
  <c r="P39" i="6"/>
  <c r="Q39" i="6"/>
  <c r="R39" i="6"/>
  <c r="S39" i="6"/>
  <c r="T39" i="6"/>
  <c r="U39" i="6"/>
  <c r="V39" i="6"/>
  <c r="W39" i="6"/>
  <c r="X39" i="6"/>
  <c r="Y39" i="6"/>
  <c r="Z39" i="6"/>
  <c r="AA39" i="6"/>
  <c r="AB39" i="6"/>
  <c r="AC39" i="6"/>
  <c r="AD39" i="6"/>
  <c r="AE39" i="6"/>
  <c r="AF39" i="6"/>
  <c r="AG39" i="6"/>
  <c r="N40" i="6"/>
  <c r="O40" i="6"/>
  <c r="P40" i="6"/>
  <c r="Q40" i="6"/>
  <c r="R40" i="6"/>
  <c r="S40" i="6"/>
  <c r="T40" i="6"/>
  <c r="U40" i="6"/>
  <c r="V40" i="6"/>
  <c r="W40" i="6"/>
  <c r="X40" i="6"/>
  <c r="Y40" i="6"/>
  <c r="Z40" i="6"/>
  <c r="AA40" i="6"/>
  <c r="AB40" i="6"/>
  <c r="AC40" i="6"/>
  <c r="AD40" i="6"/>
  <c r="AE40" i="6"/>
  <c r="AF40" i="6"/>
  <c r="AG40" i="6"/>
  <c r="N41" i="6"/>
  <c r="O41" i="6"/>
  <c r="P41" i="6"/>
  <c r="Q41" i="6"/>
  <c r="R41" i="6"/>
  <c r="S41" i="6"/>
  <c r="T41" i="6"/>
  <c r="U41" i="6"/>
  <c r="V41" i="6"/>
  <c r="W41" i="6"/>
  <c r="X41" i="6"/>
  <c r="Y41" i="6"/>
  <c r="Z41" i="6"/>
  <c r="AA41" i="6"/>
  <c r="AB41" i="6"/>
  <c r="AC41" i="6"/>
  <c r="AD41" i="6"/>
  <c r="AE41" i="6"/>
  <c r="AF41" i="6"/>
  <c r="AG41" i="6"/>
  <c r="N42" i="6"/>
  <c r="O42" i="6"/>
  <c r="P42" i="6"/>
  <c r="Q42" i="6"/>
  <c r="R42" i="6"/>
  <c r="S42" i="6"/>
  <c r="T42" i="6"/>
  <c r="U42" i="6"/>
  <c r="V42" i="6"/>
  <c r="W42" i="6"/>
  <c r="X42" i="6"/>
  <c r="Y42" i="6"/>
  <c r="Z42" i="6"/>
  <c r="AA42" i="6"/>
  <c r="AB42" i="6"/>
  <c r="AC42" i="6"/>
  <c r="AD42" i="6"/>
  <c r="AE42" i="6"/>
  <c r="AF42" i="6"/>
  <c r="AG42" i="6"/>
  <c r="N43" i="6"/>
  <c r="O43" i="6"/>
  <c r="P43" i="6"/>
  <c r="Q43" i="6"/>
  <c r="R43" i="6"/>
  <c r="S43" i="6"/>
  <c r="T43" i="6"/>
  <c r="U43" i="6"/>
  <c r="V43" i="6"/>
  <c r="W43" i="6"/>
  <c r="X43" i="6"/>
  <c r="Y43" i="6"/>
  <c r="Z43" i="6"/>
  <c r="AA43" i="6"/>
  <c r="AB43" i="6"/>
  <c r="AC43" i="6"/>
  <c r="AD43" i="6"/>
  <c r="AE43" i="6"/>
  <c r="AF43" i="6"/>
  <c r="AG43" i="6"/>
  <c r="N44" i="6"/>
  <c r="O44" i="6"/>
  <c r="P44" i="6"/>
  <c r="Q44" i="6"/>
  <c r="R44" i="6"/>
  <c r="S44" i="6"/>
  <c r="T44" i="6"/>
  <c r="U44" i="6"/>
  <c r="V44" i="6"/>
  <c r="W44" i="6"/>
  <c r="X44" i="6"/>
  <c r="Y44" i="6"/>
  <c r="Z44" i="6"/>
  <c r="AA44" i="6"/>
  <c r="AB44" i="6"/>
  <c r="AC44" i="6"/>
  <c r="AD44" i="6"/>
  <c r="AE44" i="6"/>
  <c r="AF44" i="6"/>
  <c r="AG44" i="6"/>
  <c r="N45" i="6"/>
  <c r="O45" i="6"/>
  <c r="P45" i="6"/>
  <c r="Q45" i="6"/>
  <c r="R45" i="6"/>
  <c r="S45" i="6"/>
  <c r="T45" i="6"/>
  <c r="U45" i="6"/>
  <c r="V45" i="6"/>
  <c r="W45" i="6"/>
  <c r="X45" i="6"/>
  <c r="Y45" i="6"/>
  <c r="Z45" i="6"/>
  <c r="AA45" i="6"/>
  <c r="AB45" i="6"/>
  <c r="AC45" i="6"/>
  <c r="AD45" i="6"/>
  <c r="AE45" i="6"/>
  <c r="AF45" i="6"/>
  <c r="AG45" i="6"/>
  <c r="N46" i="6"/>
  <c r="O46" i="6"/>
  <c r="P46" i="6"/>
  <c r="Q46" i="6"/>
  <c r="R46" i="6"/>
  <c r="S46" i="6"/>
  <c r="T46" i="6"/>
  <c r="U46" i="6"/>
  <c r="V46" i="6"/>
  <c r="W46" i="6"/>
  <c r="X46" i="6"/>
  <c r="Y46" i="6"/>
  <c r="Z46" i="6"/>
  <c r="AA46" i="6"/>
  <c r="AB46" i="6"/>
  <c r="AC46" i="6"/>
  <c r="AD46" i="6"/>
  <c r="AE46" i="6"/>
  <c r="AF46" i="6"/>
  <c r="AG46" i="6"/>
  <c r="N47" i="6"/>
  <c r="O47" i="6"/>
  <c r="P47" i="6"/>
  <c r="Q47" i="6"/>
  <c r="R47" i="6"/>
  <c r="S47" i="6"/>
  <c r="T47" i="6"/>
  <c r="U47" i="6"/>
  <c r="V47" i="6"/>
  <c r="W47" i="6"/>
  <c r="X47" i="6"/>
  <c r="Y47" i="6"/>
  <c r="Z47" i="6"/>
  <c r="AA47" i="6"/>
  <c r="AB47" i="6"/>
  <c r="AC47" i="6"/>
  <c r="AD47" i="6"/>
  <c r="AE47" i="6"/>
  <c r="AF47" i="6"/>
  <c r="AG47" i="6"/>
  <c r="N48" i="6"/>
  <c r="O48" i="6"/>
  <c r="P48" i="6"/>
  <c r="Q48" i="6"/>
  <c r="R48" i="6"/>
  <c r="S48" i="6"/>
  <c r="T48" i="6"/>
  <c r="U48" i="6"/>
  <c r="V48" i="6"/>
  <c r="W48" i="6"/>
  <c r="X48" i="6"/>
  <c r="Y48" i="6"/>
  <c r="Z48" i="6"/>
  <c r="AA48" i="6"/>
  <c r="AB48" i="6"/>
  <c r="AC48" i="6"/>
  <c r="AD48" i="6"/>
  <c r="AE48" i="6"/>
  <c r="AF48" i="6"/>
  <c r="AG48" i="6"/>
  <c r="N49" i="6"/>
  <c r="O49" i="6"/>
  <c r="P49" i="6"/>
  <c r="Q49" i="6"/>
  <c r="R49" i="6"/>
  <c r="S49" i="6"/>
  <c r="T49" i="6"/>
  <c r="U49" i="6"/>
  <c r="V49" i="6"/>
  <c r="W49" i="6"/>
  <c r="X49" i="6"/>
  <c r="Y49" i="6"/>
  <c r="Z49" i="6"/>
  <c r="AA49" i="6"/>
  <c r="AB49" i="6"/>
  <c r="AC49" i="6"/>
  <c r="AD49" i="6"/>
  <c r="AE49" i="6"/>
  <c r="AF49" i="6"/>
  <c r="AG49" i="6"/>
  <c r="N50" i="6"/>
  <c r="O50" i="6"/>
  <c r="P50" i="6"/>
  <c r="Q50" i="6"/>
  <c r="R50" i="6"/>
  <c r="S50" i="6"/>
  <c r="T50" i="6"/>
  <c r="U50" i="6"/>
  <c r="V50" i="6"/>
  <c r="W50" i="6"/>
  <c r="X50" i="6"/>
  <c r="Y50" i="6"/>
  <c r="Z50" i="6"/>
  <c r="AA50" i="6"/>
  <c r="AB50" i="6"/>
  <c r="AC50" i="6"/>
  <c r="AD50" i="6"/>
  <c r="AE50" i="6"/>
  <c r="AF50" i="6"/>
  <c r="AG50" i="6"/>
  <c r="N51" i="6"/>
  <c r="O51" i="6"/>
  <c r="P51" i="6"/>
  <c r="Q51" i="6"/>
  <c r="R51" i="6"/>
  <c r="S51" i="6"/>
  <c r="T51" i="6"/>
  <c r="U51" i="6"/>
  <c r="V51" i="6"/>
  <c r="W51" i="6"/>
  <c r="X51" i="6"/>
  <c r="Y51" i="6"/>
  <c r="Z51" i="6"/>
  <c r="AA51" i="6"/>
  <c r="AB51" i="6"/>
  <c r="AC51" i="6"/>
  <c r="AD51" i="6"/>
  <c r="AE51" i="6"/>
  <c r="AF51" i="6"/>
  <c r="AG51" i="6"/>
  <c r="N52" i="6"/>
  <c r="O52" i="6"/>
  <c r="P52" i="6"/>
  <c r="Q52" i="6"/>
  <c r="R52" i="6"/>
  <c r="S52" i="6"/>
  <c r="T52" i="6"/>
  <c r="U52" i="6"/>
  <c r="V52" i="6"/>
  <c r="W52" i="6"/>
  <c r="X52" i="6"/>
  <c r="Y52" i="6"/>
  <c r="Z52" i="6"/>
  <c r="AA52" i="6"/>
  <c r="AB52" i="6"/>
  <c r="AC52" i="6"/>
  <c r="AD52" i="6"/>
  <c r="AE52" i="6"/>
  <c r="AF52" i="6"/>
  <c r="AG52" i="6"/>
  <c r="N53" i="6"/>
  <c r="O53" i="6"/>
  <c r="P53" i="6"/>
  <c r="Q53" i="6"/>
  <c r="R53" i="6"/>
  <c r="S53" i="6"/>
  <c r="T53" i="6"/>
  <c r="U53" i="6"/>
  <c r="V53" i="6"/>
  <c r="W53" i="6"/>
  <c r="X53" i="6"/>
  <c r="Y53" i="6"/>
  <c r="Z53" i="6"/>
  <c r="AA53" i="6"/>
  <c r="AB53" i="6"/>
  <c r="AC53" i="6"/>
  <c r="AD53" i="6"/>
  <c r="AE53" i="6"/>
  <c r="AF53" i="6"/>
  <c r="AG53" i="6"/>
  <c r="N54" i="6"/>
  <c r="O54" i="6"/>
  <c r="P54" i="6"/>
  <c r="Q54" i="6"/>
  <c r="R54" i="6"/>
  <c r="S54" i="6"/>
  <c r="T54" i="6"/>
  <c r="U54" i="6"/>
  <c r="V54" i="6"/>
  <c r="W54" i="6"/>
  <c r="X54" i="6"/>
  <c r="Y54" i="6"/>
  <c r="Z54" i="6"/>
  <c r="AA54" i="6"/>
  <c r="AB54" i="6"/>
  <c r="AC54" i="6"/>
  <c r="AD54" i="6"/>
  <c r="AE54" i="6"/>
  <c r="AF54" i="6"/>
  <c r="AG54" i="6"/>
  <c r="N55" i="6"/>
  <c r="O55" i="6"/>
  <c r="P55" i="6"/>
  <c r="Q55" i="6"/>
  <c r="R55" i="6"/>
  <c r="S55" i="6"/>
  <c r="T55" i="6"/>
  <c r="U55" i="6"/>
  <c r="V55" i="6"/>
  <c r="W55" i="6"/>
  <c r="X55" i="6"/>
  <c r="Y55" i="6"/>
  <c r="Z55" i="6"/>
  <c r="AA55" i="6"/>
  <c r="AB55" i="6"/>
  <c r="AC55" i="6"/>
  <c r="AD55" i="6"/>
  <c r="AE55" i="6"/>
  <c r="AF55" i="6"/>
  <c r="AG55" i="6"/>
  <c r="N56" i="6"/>
  <c r="O56" i="6"/>
  <c r="P56" i="6"/>
  <c r="Q56" i="6"/>
  <c r="R56" i="6"/>
  <c r="S56" i="6"/>
  <c r="T56" i="6"/>
  <c r="U56" i="6"/>
  <c r="V56" i="6"/>
  <c r="W56" i="6"/>
  <c r="X56" i="6"/>
  <c r="Y56" i="6"/>
  <c r="Z56" i="6"/>
  <c r="AA56" i="6"/>
  <c r="AB56" i="6"/>
  <c r="AC56" i="6"/>
  <c r="AD56" i="6"/>
  <c r="AE56" i="6"/>
  <c r="AF56" i="6"/>
  <c r="AG56" i="6"/>
  <c r="N57" i="6"/>
  <c r="O57" i="6"/>
  <c r="P57" i="6"/>
  <c r="Q57" i="6"/>
  <c r="R57" i="6"/>
  <c r="S57" i="6"/>
  <c r="T57" i="6"/>
  <c r="U57" i="6"/>
  <c r="V57" i="6"/>
  <c r="W57" i="6"/>
  <c r="X57" i="6"/>
  <c r="Y57" i="6"/>
  <c r="Z57" i="6"/>
  <c r="AA57" i="6"/>
  <c r="AB57" i="6"/>
  <c r="AC57" i="6"/>
  <c r="AD57" i="6"/>
  <c r="AE57" i="6"/>
  <c r="AF57" i="6"/>
  <c r="AG57" i="6"/>
  <c r="N58" i="6"/>
  <c r="O58" i="6"/>
  <c r="P58" i="6"/>
  <c r="Q58" i="6"/>
  <c r="R58" i="6"/>
  <c r="S58" i="6"/>
  <c r="T58" i="6"/>
  <c r="U58" i="6"/>
  <c r="V58" i="6"/>
  <c r="W58" i="6"/>
  <c r="X58" i="6"/>
  <c r="Y58" i="6"/>
  <c r="Z58" i="6"/>
  <c r="AA58" i="6"/>
  <c r="AB58" i="6"/>
  <c r="AC58" i="6"/>
  <c r="AD58" i="6"/>
  <c r="AE58" i="6"/>
  <c r="AF58" i="6"/>
  <c r="AG58" i="6"/>
  <c r="N59" i="6"/>
  <c r="O59" i="6"/>
  <c r="P59" i="6"/>
  <c r="Q59" i="6"/>
  <c r="R59" i="6"/>
  <c r="S59" i="6"/>
  <c r="T59" i="6"/>
  <c r="U59" i="6"/>
  <c r="V59" i="6"/>
  <c r="W59" i="6"/>
  <c r="X59" i="6"/>
  <c r="Y59" i="6"/>
  <c r="Z59" i="6"/>
  <c r="AA59" i="6"/>
  <c r="AB59" i="6"/>
  <c r="AC59" i="6"/>
  <c r="AD59" i="6"/>
  <c r="AE59" i="6"/>
  <c r="AF59" i="6"/>
  <c r="AG59" i="6"/>
  <c r="N60" i="6"/>
  <c r="O60" i="6"/>
  <c r="P60" i="6"/>
  <c r="Q60" i="6"/>
  <c r="R60" i="6"/>
  <c r="S60" i="6"/>
  <c r="T60" i="6"/>
  <c r="U60" i="6"/>
  <c r="V60" i="6"/>
  <c r="W60" i="6"/>
  <c r="X60" i="6"/>
  <c r="Y60" i="6"/>
  <c r="Z60" i="6"/>
  <c r="AA60" i="6"/>
  <c r="AB60" i="6"/>
  <c r="AC60" i="6"/>
  <c r="AD60" i="6"/>
  <c r="AE60" i="6"/>
  <c r="AF60" i="6"/>
  <c r="AG60" i="6"/>
  <c r="N61" i="6"/>
  <c r="O61" i="6"/>
  <c r="P61" i="6"/>
  <c r="Q61" i="6"/>
  <c r="R61" i="6"/>
  <c r="S61" i="6"/>
  <c r="T61" i="6"/>
  <c r="U61" i="6"/>
  <c r="V61" i="6"/>
  <c r="W61" i="6"/>
  <c r="X61" i="6"/>
  <c r="Y61" i="6"/>
  <c r="Z61" i="6"/>
  <c r="AA61" i="6"/>
  <c r="AB61" i="6"/>
  <c r="AC61" i="6"/>
  <c r="AD61" i="6"/>
  <c r="AE61" i="6"/>
  <c r="AF61" i="6"/>
  <c r="AG61" i="6"/>
  <c r="N62" i="6"/>
  <c r="O62" i="6"/>
  <c r="P62" i="6"/>
  <c r="Q62" i="6"/>
  <c r="R62" i="6"/>
  <c r="S62" i="6"/>
  <c r="T62" i="6"/>
  <c r="U62" i="6"/>
  <c r="V62" i="6"/>
  <c r="W62" i="6"/>
  <c r="X62" i="6"/>
  <c r="Y62" i="6"/>
  <c r="Z62" i="6"/>
  <c r="AA62" i="6"/>
  <c r="AB62" i="6"/>
  <c r="AC62" i="6"/>
  <c r="AD62" i="6"/>
  <c r="AE62" i="6"/>
  <c r="AF62" i="6"/>
  <c r="AG62" i="6"/>
  <c r="N63" i="6"/>
  <c r="O63" i="6"/>
  <c r="P63" i="6"/>
  <c r="Q63" i="6"/>
  <c r="R63" i="6"/>
  <c r="S63" i="6"/>
  <c r="T63" i="6"/>
  <c r="U63" i="6"/>
  <c r="V63" i="6"/>
  <c r="W63" i="6"/>
  <c r="X63" i="6"/>
  <c r="Y63" i="6"/>
  <c r="Z63" i="6"/>
  <c r="AA63" i="6"/>
  <c r="AB63" i="6"/>
  <c r="AC63" i="6"/>
  <c r="AD63" i="6"/>
  <c r="AE63" i="6"/>
  <c r="AF63" i="6"/>
  <c r="AG63" i="6"/>
  <c r="N64" i="6"/>
  <c r="O64" i="6"/>
  <c r="P64" i="6"/>
  <c r="Q64" i="6"/>
  <c r="R64" i="6"/>
  <c r="S64" i="6"/>
  <c r="T64" i="6"/>
  <c r="U64" i="6"/>
  <c r="V64" i="6"/>
  <c r="W64" i="6"/>
  <c r="X64" i="6"/>
  <c r="Y64" i="6"/>
  <c r="Z64" i="6"/>
  <c r="AA64" i="6"/>
  <c r="AB64" i="6"/>
  <c r="AC64" i="6"/>
  <c r="AD64" i="6"/>
  <c r="AE64" i="6"/>
  <c r="AF64" i="6"/>
  <c r="AG64" i="6"/>
  <c r="N65" i="6"/>
  <c r="O65" i="6"/>
  <c r="P65" i="6"/>
  <c r="Q65" i="6"/>
  <c r="R65" i="6"/>
  <c r="S65" i="6"/>
  <c r="T65" i="6"/>
  <c r="U65" i="6"/>
  <c r="V65" i="6"/>
  <c r="W65" i="6"/>
  <c r="X65" i="6"/>
  <c r="Y65" i="6"/>
  <c r="Z65" i="6"/>
  <c r="AA65" i="6"/>
  <c r="AB65" i="6"/>
  <c r="AC65" i="6"/>
  <c r="AD65" i="6"/>
  <c r="AE65" i="6"/>
  <c r="AF65" i="6"/>
  <c r="AG65" i="6"/>
  <c r="N66" i="6"/>
  <c r="O66" i="6"/>
  <c r="P66" i="6"/>
  <c r="Q66" i="6"/>
  <c r="R66" i="6"/>
  <c r="S66" i="6"/>
  <c r="T66" i="6"/>
  <c r="U66" i="6"/>
  <c r="V66" i="6"/>
  <c r="W66" i="6"/>
  <c r="X66" i="6"/>
  <c r="Y66" i="6"/>
  <c r="Z66" i="6"/>
  <c r="AA66" i="6"/>
  <c r="AB66" i="6"/>
  <c r="AC66" i="6"/>
  <c r="AD66" i="6"/>
  <c r="AE66" i="6"/>
  <c r="AF66" i="6"/>
  <c r="AG66" i="6"/>
  <c r="N67" i="6"/>
  <c r="O67" i="6"/>
  <c r="P67" i="6"/>
  <c r="Q67" i="6"/>
  <c r="R67" i="6"/>
  <c r="S67" i="6"/>
  <c r="T67" i="6"/>
  <c r="U67" i="6"/>
  <c r="V67" i="6"/>
  <c r="W67" i="6"/>
  <c r="X67" i="6"/>
  <c r="Y67" i="6"/>
  <c r="Z67" i="6"/>
  <c r="AA67" i="6"/>
  <c r="AB67" i="6"/>
  <c r="AC67" i="6"/>
  <c r="AD67" i="6"/>
  <c r="AE67" i="6"/>
  <c r="AF67" i="6"/>
  <c r="AG67" i="6"/>
  <c r="N68" i="6"/>
  <c r="O68" i="6"/>
  <c r="P68" i="6"/>
  <c r="Q68" i="6"/>
  <c r="R68" i="6"/>
  <c r="S68" i="6"/>
  <c r="T68" i="6"/>
  <c r="U68" i="6"/>
  <c r="V68" i="6"/>
  <c r="W68" i="6"/>
  <c r="X68" i="6"/>
  <c r="Y68" i="6"/>
  <c r="Z68" i="6"/>
  <c r="AA68" i="6"/>
  <c r="AB68" i="6"/>
  <c r="AC68" i="6"/>
  <c r="AD68" i="6"/>
  <c r="AE68" i="6"/>
  <c r="AF68" i="6"/>
  <c r="AG68" i="6"/>
  <c r="N69" i="6"/>
  <c r="O69" i="6"/>
  <c r="P69" i="6"/>
  <c r="Q69" i="6"/>
  <c r="R69" i="6"/>
  <c r="S69" i="6"/>
  <c r="T69" i="6"/>
  <c r="U69" i="6"/>
  <c r="V69" i="6"/>
  <c r="W69" i="6"/>
  <c r="X69" i="6"/>
  <c r="Y69" i="6"/>
  <c r="Z69" i="6"/>
  <c r="AA69" i="6"/>
  <c r="AB69" i="6"/>
  <c r="AC69" i="6"/>
  <c r="AD69" i="6"/>
  <c r="AE69" i="6"/>
  <c r="AF69" i="6"/>
  <c r="AG69" i="6"/>
  <c r="N70" i="6"/>
  <c r="O70" i="6"/>
  <c r="P70" i="6"/>
  <c r="Q70" i="6"/>
  <c r="R70" i="6"/>
  <c r="S70" i="6"/>
  <c r="T70" i="6"/>
  <c r="U70" i="6"/>
  <c r="V70" i="6"/>
  <c r="W70" i="6"/>
  <c r="X70" i="6"/>
  <c r="Y70" i="6"/>
  <c r="Z70" i="6"/>
  <c r="AA70" i="6"/>
  <c r="AB70" i="6"/>
  <c r="AC70" i="6"/>
  <c r="AD70" i="6"/>
  <c r="AE70" i="6"/>
  <c r="AF70" i="6"/>
  <c r="AG70" i="6"/>
  <c r="N71" i="6"/>
  <c r="O71" i="6"/>
  <c r="P71" i="6"/>
  <c r="Q71" i="6"/>
  <c r="R71" i="6"/>
  <c r="S71" i="6"/>
  <c r="T71" i="6"/>
  <c r="U71" i="6"/>
  <c r="V71" i="6"/>
  <c r="W71" i="6"/>
  <c r="X71" i="6"/>
  <c r="Y71" i="6"/>
  <c r="Z71" i="6"/>
  <c r="AA71" i="6"/>
  <c r="AB71" i="6"/>
  <c r="AC71" i="6"/>
  <c r="AD71" i="6"/>
  <c r="AE71" i="6"/>
  <c r="AF71" i="6"/>
  <c r="AG71" i="6"/>
  <c r="N72" i="6"/>
  <c r="O72" i="6"/>
  <c r="P72" i="6"/>
  <c r="Q72" i="6"/>
  <c r="R72" i="6"/>
  <c r="S72" i="6"/>
  <c r="T72" i="6"/>
  <c r="U72" i="6"/>
  <c r="V72" i="6"/>
  <c r="W72" i="6"/>
  <c r="X72" i="6"/>
  <c r="Y72" i="6"/>
  <c r="Z72" i="6"/>
  <c r="AA72" i="6"/>
  <c r="AB72" i="6"/>
  <c r="AC72" i="6"/>
  <c r="AD72" i="6"/>
  <c r="AE72" i="6"/>
  <c r="AF72" i="6"/>
  <c r="AG72" i="6"/>
  <c r="N73" i="6"/>
  <c r="O73" i="6"/>
  <c r="P73" i="6"/>
  <c r="Q73" i="6"/>
  <c r="R73" i="6"/>
  <c r="S73" i="6"/>
  <c r="T73" i="6"/>
  <c r="U73" i="6"/>
  <c r="V73" i="6"/>
  <c r="W73" i="6"/>
  <c r="X73" i="6"/>
  <c r="Y73" i="6"/>
  <c r="Z73" i="6"/>
  <c r="AA73" i="6"/>
  <c r="AB73" i="6"/>
  <c r="AC73" i="6"/>
  <c r="AD73" i="6"/>
  <c r="AE73" i="6"/>
  <c r="AF73" i="6"/>
  <c r="AG73" i="6"/>
  <c r="N74" i="6"/>
  <c r="O74" i="6"/>
  <c r="P74" i="6"/>
  <c r="Q74" i="6"/>
  <c r="R74" i="6"/>
  <c r="S74" i="6"/>
  <c r="T74" i="6"/>
  <c r="U74" i="6"/>
  <c r="V74" i="6"/>
  <c r="W74" i="6"/>
  <c r="X74" i="6"/>
  <c r="Y74" i="6"/>
  <c r="Z74" i="6"/>
  <c r="AA74" i="6"/>
  <c r="AB74" i="6"/>
  <c r="AC74" i="6"/>
  <c r="AD74" i="6"/>
  <c r="AE74" i="6"/>
  <c r="AF74" i="6"/>
  <c r="AG74" i="6"/>
  <c r="N75" i="6"/>
  <c r="O75" i="6"/>
  <c r="P75" i="6"/>
  <c r="Q75" i="6"/>
  <c r="R75" i="6"/>
  <c r="S75" i="6"/>
  <c r="T75" i="6"/>
  <c r="U75" i="6"/>
  <c r="V75" i="6"/>
  <c r="W75" i="6"/>
  <c r="X75" i="6"/>
  <c r="Y75" i="6"/>
  <c r="Z75" i="6"/>
  <c r="AA75" i="6"/>
  <c r="AB75" i="6"/>
  <c r="AC75" i="6"/>
  <c r="AD75" i="6"/>
  <c r="AE75" i="6"/>
  <c r="AF75" i="6"/>
  <c r="AG75" i="6"/>
  <c r="N76" i="6"/>
  <c r="O76" i="6"/>
  <c r="P76" i="6"/>
  <c r="Q76" i="6"/>
  <c r="R76" i="6"/>
  <c r="S76" i="6"/>
  <c r="T76" i="6"/>
  <c r="U76" i="6"/>
  <c r="V76" i="6"/>
  <c r="W76" i="6"/>
  <c r="X76" i="6"/>
  <c r="Y76" i="6"/>
  <c r="Z76" i="6"/>
  <c r="AA76" i="6"/>
  <c r="AB76" i="6"/>
  <c r="AC76" i="6"/>
  <c r="AD76" i="6"/>
  <c r="AE76" i="6"/>
  <c r="AF76" i="6"/>
  <c r="AG76" i="6"/>
  <c r="N77" i="6"/>
  <c r="O77" i="6"/>
  <c r="P77" i="6"/>
  <c r="Q77" i="6"/>
  <c r="R77" i="6"/>
  <c r="S77" i="6"/>
  <c r="T77" i="6"/>
  <c r="U77" i="6"/>
  <c r="V77" i="6"/>
  <c r="W77" i="6"/>
  <c r="X77" i="6"/>
  <c r="Y77" i="6"/>
  <c r="Z77" i="6"/>
  <c r="AA77" i="6"/>
  <c r="AB77" i="6"/>
  <c r="AC77" i="6"/>
  <c r="AD77" i="6"/>
  <c r="AE77" i="6"/>
  <c r="AF77" i="6"/>
  <c r="AG77" i="6"/>
  <c r="N78" i="6"/>
  <c r="O78" i="6"/>
  <c r="P78" i="6"/>
  <c r="Q78" i="6"/>
  <c r="R78" i="6"/>
  <c r="S78" i="6"/>
  <c r="T78" i="6"/>
  <c r="U78" i="6"/>
  <c r="V78" i="6"/>
  <c r="W78" i="6"/>
  <c r="X78" i="6"/>
  <c r="Y78" i="6"/>
  <c r="Z78" i="6"/>
  <c r="AA78" i="6"/>
  <c r="AB78" i="6"/>
  <c r="AC78" i="6"/>
  <c r="AD78" i="6"/>
  <c r="AE78" i="6"/>
  <c r="AF78" i="6"/>
  <c r="AG78" i="6"/>
  <c r="N79" i="6"/>
  <c r="O79" i="6"/>
  <c r="P79" i="6"/>
  <c r="Q79" i="6"/>
  <c r="R79" i="6"/>
  <c r="S79" i="6"/>
  <c r="T79" i="6"/>
  <c r="U79" i="6"/>
  <c r="V79" i="6"/>
  <c r="W79" i="6"/>
  <c r="X79" i="6"/>
  <c r="Y79" i="6"/>
  <c r="Z79" i="6"/>
  <c r="AA79" i="6"/>
  <c r="AB79" i="6"/>
  <c r="AC79" i="6"/>
  <c r="AD79" i="6"/>
  <c r="AE79" i="6"/>
  <c r="AF79" i="6"/>
  <c r="AG79" i="6"/>
  <c r="N80" i="6"/>
  <c r="O80" i="6"/>
  <c r="P80" i="6"/>
  <c r="Q80" i="6"/>
  <c r="R80" i="6"/>
  <c r="S80" i="6"/>
  <c r="T80" i="6"/>
  <c r="U80" i="6"/>
  <c r="V80" i="6"/>
  <c r="W80" i="6"/>
  <c r="X80" i="6"/>
  <c r="Y80" i="6"/>
  <c r="Z80" i="6"/>
  <c r="AA80" i="6"/>
  <c r="AB80" i="6"/>
  <c r="AC80" i="6"/>
  <c r="AD80" i="6"/>
  <c r="AE80" i="6"/>
  <c r="AF80" i="6"/>
  <c r="AG80" i="6"/>
  <c r="N81" i="6"/>
  <c r="O81" i="6"/>
  <c r="P81" i="6"/>
  <c r="Q81" i="6"/>
  <c r="R81" i="6"/>
  <c r="S81" i="6"/>
  <c r="T81" i="6"/>
  <c r="U81" i="6"/>
  <c r="V81" i="6"/>
  <c r="W81" i="6"/>
  <c r="X81" i="6"/>
  <c r="Y81" i="6"/>
  <c r="Z81" i="6"/>
  <c r="AA81" i="6"/>
  <c r="AB81" i="6"/>
  <c r="AC81" i="6"/>
  <c r="AD81" i="6"/>
  <c r="AE81" i="6"/>
  <c r="AF81" i="6"/>
  <c r="AG81" i="6"/>
  <c r="N82" i="6"/>
  <c r="O82" i="6"/>
  <c r="P82" i="6"/>
  <c r="Q82" i="6"/>
  <c r="R82" i="6"/>
  <c r="S82" i="6"/>
  <c r="T82" i="6"/>
  <c r="U82" i="6"/>
  <c r="V82" i="6"/>
  <c r="W82" i="6"/>
  <c r="X82" i="6"/>
  <c r="Y82" i="6"/>
  <c r="Z82" i="6"/>
  <c r="AA82" i="6"/>
  <c r="AB82" i="6"/>
  <c r="AC82" i="6"/>
  <c r="AD82" i="6"/>
  <c r="AE82" i="6"/>
  <c r="AF82" i="6"/>
  <c r="AG82" i="6"/>
  <c r="N83" i="6"/>
  <c r="O83" i="6"/>
  <c r="P83" i="6"/>
  <c r="Q83" i="6"/>
  <c r="R83" i="6"/>
  <c r="S83" i="6"/>
  <c r="T83" i="6"/>
  <c r="U83" i="6"/>
  <c r="V83" i="6"/>
  <c r="W83" i="6"/>
  <c r="X83" i="6"/>
  <c r="Y83" i="6"/>
  <c r="Z83" i="6"/>
  <c r="AA83" i="6"/>
  <c r="AB83" i="6"/>
  <c r="AC83" i="6"/>
  <c r="AD83" i="6"/>
  <c r="AE83" i="6"/>
  <c r="AF83" i="6"/>
  <c r="AG83" i="6"/>
  <c r="N84" i="6"/>
  <c r="O84" i="6"/>
  <c r="P84" i="6"/>
  <c r="Q84" i="6"/>
  <c r="R84" i="6"/>
  <c r="S84" i="6"/>
  <c r="T84" i="6"/>
  <c r="U84" i="6"/>
  <c r="V84" i="6"/>
  <c r="W84" i="6"/>
  <c r="X84" i="6"/>
  <c r="Y84" i="6"/>
  <c r="Z84" i="6"/>
  <c r="AA84" i="6"/>
  <c r="AB84" i="6"/>
  <c r="AC84" i="6"/>
  <c r="AD84" i="6"/>
  <c r="AE84" i="6"/>
  <c r="AF84" i="6"/>
  <c r="AG84" i="6"/>
  <c r="N85" i="6"/>
  <c r="O85" i="6"/>
  <c r="P85" i="6"/>
  <c r="Q85" i="6"/>
  <c r="R85" i="6"/>
  <c r="S85" i="6"/>
  <c r="T85" i="6"/>
  <c r="U85" i="6"/>
  <c r="V85" i="6"/>
  <c r="W85" i="6"/>
  <c r="X85" i="6"/>
  <c r="Y85" i="6"/>
  <c r="Z85" i="6"/>
  <c r="AA85" i="6"/>
  <c r="AB85" i="6"/>
  <c r="AC85" i="6"/>
  <c r="AD85" i="6"/>
  <c r="AE85" i="6"/>
  <c r="AF85" i="6"/>
  <c r="AG85" i="6"/>
  <c r="N86" i="6"/>
  <c r="O86" i="6"/>
  <c r="P86" i="6"/>
  <c r="Q86" i="6"/>
  <c r="R86" i="6"/>
  <c r="S86" i="6"/>
  <c r="T86" i="6"/>
  <c r="U86" i="6"/>
  <c r="V86" i="6"/>
  <c r="W86" i="6"/>
  <c r="X86" i="6"/>
  <c r="Y86" i="6"/>
  <c r="Z86" i="6"/>
  <c r="AA86" i="6"/>
  <c r="AB86" i="6"/>
  <c r="AC86" i="6"/>
  <c r="AD86" i="6"/>
  <c r="AE86" i="6"/>
  <c r="AF86" i="6"/>
  <c r="AG86" i="6"/>
  <c r="N87" i="6"/>
  <c r="O87" i="6"/>
  <c r="P87" i="6"/>
  <c r="Q87" i="6"/>
  <c r="R87" i="6"/>
  <c r="S87" i="6"/>
  <c r="T87" i="6"/>
  <c r="U87" i="6"/>
  <c r="V87" i="6"/>
  <c r="W87" i="6"/>
  <c r="X87" i="6"/>
  <c r="Y87" i="6"/>
  <c r="Z87" i="6"/>
  <c r="AA87" i="6"/>
  <c r="AB87" i="6"/>
  <c r="AC87" i="6"/>
  <c r="AD87" i="6"/>
  <c r="AE87" i="6"/>
  <c r="AF87" i="6"/>
  <c r="AG87" i="6"/>
  <c r="N88" i="6"/>
  <c r="O88" i="6"/>
  <c r="P88" i="6"/>
  <c r="Q88" i="6"/>
  <c r="R88" i="6"/>
  <c r="S88" i="6"/>
  <c r="T88" i="6"/>
  <c r="U88" i="6"/>
  <c r="V88" i="6"/>
  <c r="W88" i="6"/>
  <c r="X88" i="6"/>
  <c r="Y88" i="6"/>
  <c r="Z88" i="6"/>
  <c r="AA88" i="6"/>
  <c r="AB88" i="6"/>
  <c r="AC88" i="6"/>
  <c r="AD88" i="6"/>
  <c r="AE88" i="6"/>
  <c r="AF88" i="6"/>
  <c r="AG88" i="6"/>
  <c r="N89" i="6"/>
  <c r="O89" i="6"/>
  <c r="P89" i="6"/>
  <c r="Q89" i="6"/>
  <c r="R89" i="6"/>
  <c r="S89" i="6"/>
  <c r="T89" i="6"/>
  <c r="U89" i="6"/>
  <c r="V89" i="6"/>
  <c r="W89" i="6"/>
  <c r="X89" i="6"/>
  <c r="Y89" i="6"/>
  <c r="Z89" i="6"/>
  <c r="AA89" i="6"/>
  <c r="AB89" i="6"/>
  <c r="AC89" i="6"/>
  <c r="AD89" i="6"/>
  <c r="AE89" i="6"/>
  <c r="AF89" i="6"/>
  <c r="AG89" i="6"/>
  <c r="N90" i="6"/>
  <c r="O90" i="6"/>
  <c r="P90" i="6"/>
  <c r="Q90" i="6"/>
  <c r="R90" i="6"/>
  <c r="S90" i="6"/>
  <c r="T90" i="6"/>
  <c r="U90" i="6"/>
  <c r="V90" i="6"/>
  <c r="W90" i="6"/>
  <c r="X90" i="6"/>
  <c r="Y90" i="6"/>
  <c r="Z90" i="6"/>
  <c r="AA90" i="6"/>
  <c r="AB90" i="6"/>
  <c r="AC90" i="6"/>
  <c r="AD90" i="6"/>
  <c r="AE90" i="6"/>
  <c r="AF90" i="6"/>
  <c r="AG90" i="6"/>
  <c r="N91" i="6"/>
  <c r="O91" i="6"/>
  <c r="P91" i="6"/>
  <c r="Q91" i="6"/>
  <c r="R91" i="6"/>
  <c r="S91" i="6"/>
  <c r="T91" i="6"/>
  <c r="U91" i="6"/>
  <c r="V91" i="6"/>
  <c r="W91" i="6"/>
  <c r="X91" i="6"/>
  <c r="Y91" i="6"/>
  <c r="Z91" i="6"/>
  <c r="AA91" i="6"/>
  <c r="AB91" i="6"/>
  <c r="AC91" i="6"/>
  <c r="AD91" i="6"/>
  <c r="AE91" i="6"/>
  <c r="AF91" i="6"/>
  <c r="AG91" i="6"/>
  <c r="N92" i="6"/>
  <c r="O92" i="6"/>
  <c r="P92" i="6"/>
  <c r="Q92" i="6"/>
  <c r="R92" i="6"/>
  <c r="S92" i="6"/>
  <c r="T92" i="6"/>
  <c r="U92" i="6"/>
  <c r="V92" i="6"/>
  <c r="W92" i="6"/>
  <c r="X92" i="6"/>
  <c r="Y92" i="6"/>
  <c r="Z92" i="6"/>
  <c r="AA92" i="6"/>
  <c r="AB92" i="6"/>
  <c r="AC92" i="6"/>
  <c r="AD92" i="6"/>
  <c r="AE92" i="6"/>
  <c r="AF92" i="6"/>
  <c r="AG92" i="6"/>
  <c r="N93" i="6"/>
  <c r="O93" i="6"/>
  <c r="P93" i="6"/>
  <c r="Q93" i="6"/>
  <c r="R93" i="6"/>
  <c r="S93" i="6"/>
  <c r="T93" i="6"/>
  <c r="U93" i="6"/>
  <c r="V93" i="6"/>
  <c r="W93" i="6"/>
  <c r="X93" i="6"/>
  <c r="Y93" i="6"/>
  <c r="Z93" i="6"/>
  <c r="AA93" i="6"/>
  <c r="AB93" i="6"/>
  <c r="AC93" i="6"/>
  <c r="AD93" i="6"/>
  <c r="AE93" i="6"/>
  <c r="AF93" i="6"/>
  <c r="AG93" i="6"/>
  <c r="N94" i="6"/>
  <c r="O94" i="6"/>
  <c r="P94" i="6"/>
  <c r="Q94" i="6"/>
  <c r="R94" i="6"/>
  <c r="S94" i="6"/>
  <c r="T94" i="6"/>
  <c r="U94" i="6"/>
  <c r="V94" i="6"/>
  <c r="W94" i="6"/>
  <c r="X94" i="6"/>
  <c r="Y94" i="6"/>
  <c r="Z94" i="6"/>
  <c r="AA94" i="6"/>
  <c r="AB94" i="6"/>
  <c r="AC94" i="6"/>
  <c r="AD94" i="6"/>
  <c r="AE94" i="6"/>
  <c r="AF94" i="6"/>
  <c r="AG94" i="6"/>
  <c r="N95" i="6"/>
  <c r="O95" i="6"/>
  <c r="P95" i="6"/>
  <c r="Q95" i="6"/>
  <c r="R95" i="6"/>
  <c r="S95" i="6"/>
  <c r="T95" i="6"/>
  <c r="U95" i="6"/>
  <c r="V95" i="6"/>
  <c r="W95" i="6"/>
  <c r="X95" i="6"/>
  <c r="Y95" i="6"/>
  <c r="Z95" i="6"/>
  <c r="AA95" i="6"/>
  <c r="AB95" i="6"/>
  <c r="AC95" i="6"/>
  <c r="AD95" i="6"/>
  <c r="AE95" i="6"/>
  <c r="AF95" i="6"/>
  <c r="AG95" i="6"/>
  <c r="N96" i="6"/>
  <c r="O96" i="6"/>
  <c r="P96" i="6"/>
  <c r="Q96" i="6"/>
  <c r="R96" i="6"/>
  <c r="S96" i="6"/>
  <c r="T96" i="6"/>
  <c r="U96" i="6"/>
  <c r="V96" i="6"/>
  <c r="W96" i="6"/>
  <c r="X96" i="6"/>
  <c r="Y96" i="6"/>
  <c r="Z96" i="6"/>
  <c r="AA96" i="6"/>
  <c r="AB96" i="6"/>
  <c r="AC96" i="6"/>
  <c r="AD96" i="6"/>
  <c r="AE96" i="6"/>
  <c r="AF96" i="6"/>
  <c r="AG96" i="6"/>
  <c r="N97" i="6"/>
  <c r="O97" i="6"/>
  <c r="P97" i="6"/>
  <c r="Q97" i="6"/>
  <c r="R97" i="6"/>
  <c r="S97" i="6"/>
  <c r="T97" i="6"/>
  <c r="U97" i="6"/>
  <c r="V97" i="6"/>
  <c r="W97" i="6"/>
  <c r="X97" i="6"/>
  <c r="Y97" i="6"/>
  <c r="Z97" i="6"/>
  <c r="AA97" i="6"/>
  <c r="AB97" i="6"/>
  <c r="AC97" i="6"/>
  <c r="AD97" i="6"/>
  <c r="AE97" i="6"/>
  <c r="AF97" i="6"/>
  <c r="AG97" i="6"/>
  <c r="N98" i="6"/>
  <c r="O98" i="6"/>
  <c r="P98" i="6"/>
  <c r="Q98" i="6"/>
  <c r="R98" i="6"/>
  <c r="S98" i="6"/>
  <c r="T98" i="6"/>
  <c r="U98" i="6"/>
  <c r="V98" i="6"/>
  <c r="W98" i="6"/>
  <c r="X98" i="6"/>
  <c r="Y98" i="6"/>
  <c r="Z98" i="6"/>
  <c r="AA98" i="6"/>
  <c r="AB98" i="6"/>
  <c r="AC98" i="6"/>
  <c r="AD98" i="6"/>
  <c r="AE98" i="6"/>
  <c r="AF98" i="6"/>
  <c r="AG98" i="6"/>
  <c r="N99" i="6"/>
  <c r="O99" i="6"/>
  <c r="P99" i="6"/>
  <c r="Q99" i="6"/>
  <c r="R99" i="6"/>
  <c r="S99" i="6"/>
  <c r="T99" i="6"/>
  <c r="U99" i="6"/>
  <c r="V99" i="6"/>
  <c r="W99" i="6"/>
  <c r="X99" i="6"/>
  <c r="Y99" i="6"/>
  <c r="Z99" i="6"/>
  <c r="AA99" i="6"/>
  <c r="AB99" i="6"/>
  <c r="AC99" i="6"/>
  <c r="AD99" i="6"/>
  <c r="AE99" i="6"/>
  <c r="AF99" i="6"/>
  <c r="AG99" i="6"/>
  <c r="N100" i="6"/>
  <c r="O100" i="6"/>
  <c r="P100" i="6"/>
  <c r="Q100" i="6"/>
  <c r="R100" i="6"/>
  <c r="S100" i="6"/>
  <c r="T100" i="6"/>
  <c r="U100" i="6"/>
  <c r="V100" i="6"/>
  <c r="W100" i="6"/>
  <c r="X100" i="6"/>
  <c r="Y100" i="6"/>
  <c r="Z100" i="6"/>
  <c r="AA100" i="6"/>
  <c r="AB100" i="6"/>
  <c r="AC100" i="6"/>
  <c r="AD100" i="6"/>
  <c r="AE100" i="6"/>
  <c r="AF100" i="6"/>
  <c r="AG100" i="6"/>
  <c r="N101" i="6"/>
  <c r="O101" i="6"/>
  <c r="P101" i="6"/>
  <c r="Q101" i="6"/>
  <c r="R101" i="6"/>
  <c r="S101" i="6"/>
  <c r="T101" i="6"/>
  <c r="U101" i="6"/>
  <c r="V101" i="6"/>
  <c r="W101" i="6"/>
  <c r="X101" i="6"/>
  <c r="Y101" i="6"/>
  <c r="Z101" i="6"/>
  <c r="AA101" i="6"/>
  <c r="AB101" i="6"/>
  <c r="AC101" i="6"/>
  <c r="AD101" i="6"/>
  <c r="AE101" i="6"/>
  <c r="AF101" i="6"/>
  <c r="AG101" i="6"/>
  <c r="N102" i="6"/>
  <c r="O102" i="6"/>
  <c r="P102" i="6"/>
  <c r="Q102" i="6"/>
  <c r="R102" i="6"/>
  <c r="S102" i="6"/>
  <c r="T102" i="6"/>
  <c r="U102" i="6"/>
  <c r="V102" i="6"/>
  <c r="W102" i="6"/>
  <c r="X102" i="6"/>
  <c r="Y102" i="6"/>
  <c r="Z102" i="6"/>
  <c r="AA102" i="6"/>
  <c r="AB102" i="6"/>
  <c r="AC102" i="6"/>
  <c r="AD102" i="6"/>
  <c r="AE102" i="6"/>
  <c r="AF102" i="6"/>
  <c r="AG102" i="6"/>
  <c r="N103" i="6"/>
  <c r="O103" i="6"/>
  <c r="P103" i="6"/>
  <c r="Q103" i="6"/>
  <c r="R103" i="6"/>
  <c r="S103" i="6"/>
  <c r="T103" i="6"/>
  <c r="U103" i="6"/>
  <c r="V103" i="6"/>
  <c r="W103" i="6"/>
  <c r="X103" i="6"/>
  <c r="Y103" i="6"/>
  <c r="Z103" i="6"/>
  <c r="AA103" i="6"/>
  <c r="AB103" i="6"/>
  <c r="AC103" i="6"/>
  <c r="AD103" i="6"/>
  <c r="AE103" i="6"/>
  <c r="AF103" i="6"/>
  <c r="AG103" i="6"/>
  <c r="N104" i="6"/>
  <c r="O104" i="6"/>
  <c r="P104" i="6"/>
  <c r="Q104" i="6"/>
  <c r="R104" i="6"/>
  <c r="S104" i="6"/>
  <c r="T104" i="6"/>
  <c r="U104" i="6"/>
  <c r="V104" i="6"/>
  <c r="W104" i="6"/>
  <c r="X104" i="6"/>
  <c r="Y104" i="6"/>
  <c r="Z104" i="6"/>
  <c r="AA104" i="6"/>
  <c r="AB104" i="6"/>
  <c r="AC104" i="6"/>
  <c r="AD104" i="6"/>
  <c r="AE104" i="6"/>
  <c r="AF104" i="6"/>
  <c r="AG104" i="6"/>
  <c r="N105" i="6"/>
  <c r="O105" i="6"/>
  <c r="P105" i="6"/>
  <c r="Q105" i="6"/>
  <c r="R105" i="6"/>
  <c r="S105" i="6"/>
  <c r="T105" i="6"/>
  <c r="U105" i="6"/>
  <c r="V105" i="6"/>
  <c r="W105" i="6"/>
  <c r="X105" i="6"/>
  <c r="Y105" i="6"/>
  <c r="Z105" i="6"/>
  <c r="AA105" i="6"/>
  <c r="AB105" i="6"/>
  <c r="AC105" i="6"/>
  <c r="AD105" i="6"/>
  <c r="AE105" i="6"/>
  <c r="AF105" i="6"/>
  <c r="AG105" i="6"/>
  <c r="N106" i="6"/>
  <c r="O106" i="6"/>
  <c r="P106" i="6"/>
  <c r="Q106" i="6"/>
  <c r="R106" i="6"/>
  <c r="S106" i="6"/>
  <c r="T106" i="6"/>
  <c r="U106" i="6"/>
  <c r="V106" i="6"/>
  <c r="W106" i="6"/>
  <c r="X106" i="6"/>
  <c r="Y106" i="6"/>
  <c r="Z106" i="6"/>
  <c r="AA106" i="6"/>
  <c r="AB106" i="6"/>
  <c r="AC106" i="6"/>
  <c r="AD106" i="6"/>
  <c r="AE106" i="6"/>
  <c r="AF106" i="6"/>
  <c r="AG106" i="6"/>
  <c r="N107" i="6"/>
  <c r="O107" i="6"/>
  <c r="P107" i="6"/>
  <c r="Q107" i="6"/>
  <c r="R107" i="6"/>
  <c r="S107" i="6"/>
  <c r="T107" i="6"/>
  <c r="U107" i="6"/>
  <c r="V107" i="6"/>
  <c r="W107" i="6"/>
  <c r="X107" i="6"/>
  <c r="Y107" i="6"/>
  <c r="Z107" i="6"/>
  <c r="AA107" i="6"/>
  <c r="AB107" i="6"/>
  <c r="AC107" i="6"/>
  <c r="AD107" i="6"/>
  <c r="AE107" i="6"/>
  <c r="AF107" i="6"/>
  <c r="AG107" i="6"/>
  <c r="N108" i="6"/>
  <c r="O108" i="6"/>
  <c r="P108" i="6"/>
  <c r="Q108" i="6"/>
  <c r="R108" i="6"/>
  <c r="S108" i="6"/>
  <c r="T108" i="6"/>
  <c r="U108" i="6"/>
  <c r="V108" i="6"/>
  <c r="W108" i="6"/>
  <c r="X108" i="6"/>
  <c r="Y108" i="6"/>
  <c r="Z108" i="6"/>
  <c r="AA108" i="6"/>
  <c r="AB108" i="6"/>
  <c r="AC108" i="6"/>
  <c r="AD108" i="6"/>
  <c r="AE108" i="6"/>
  <c r="AF108" i="6"/>
  <c r="AG108" i="6"/>
  <c r="N109" i="6"/>
  <c r="O109" i="6"/>
  <c r="P109" i="6"/>
  <c r="Q109" i="6"/>
  <c r="R109" i="6"/>
  <c r="S109" i="6"/>
  <c r="T109" i="6"/>
  <c r="U109" i="6"/>
  <c r="V109" i="6"/>
  <c r="W109" i="6"/>
  <c r="X109" i="6"/>
  <c r="Y109" i="6"/>
  <c r="Z109" i="6"/>
  <c r="AA109" i="6"/>
  <c r="AB109" i="6"/>
  <c r="AC109" i="6"/>
  <c r="AD109" i="6"/>
  <c r="AE109" i="6"/>
  <c r="AF109" i="6"/>
  <c r="AG109" i="6"/>
  <c r="N110" i="6"/>
  <c r="O110" i="6"/>
  <c r="P110" i="6"/>
  <c r="Q110" i="6"/>
  <c r="R110" i="6"/>
  <c r="S110" i="6"/>
  <c r="T110" i="6"/>
  <c r="U110" i="6"/>
  <c r="V110" i="6"/>
  <c r="W110" i="6"/>
  <c r="X110" i="6"/>
  <c r="Y110" i="6"/>
  <c r="Z110" i="6"/>
  <c r="AA110" i="6"/>
  <c r="AB110" i="6"/>
  <c r="AC110" i="6"/>
  <c r="AD110" i="6"/>
  <c r="AE110" i="6"/>
  <c r="AF110" i="6"/>
  <c r="AG110" i="6"/>
  <c r="N111" i="6"/>
  <c r="O111" i="6"/>
  <c r="P111" i="6"/>
  <c r="Q111" i="6"/>
  <c r="R111" i="6"/>
  <c r="S111" i="6"/>
  <c r="T111" i="6"/>
  <c r="U111" i="6"/>
  <c r="V111" i="6"/>
  <c r="W111" i="6"/>
  <c r="X111" i="6"/>
  <c r="Y111" i="6"/>
  <c r="Z111" i="6"/>
  <c r="AA111" i="6"/>
  <c r="AB111" i="6"/>
  <c r="AC111" i="6"/>
  <c r="AD111" i="6"/>
  <c r="AE111" i="6"/>
  <c r="AF111" i="6"/>
  <c r="AG111" i="6"/>
  <c r="N112" i="6"/>
  <c r="O112" i="6"/>
  <c r="P112" i="6"/>
  <c r="Q112" i="6"/>
  <c r="R112" i="6"/>
  <c r="S112" i="6"/>
  <c r="T112" i="6"/>
  <c r="U112" i="6"/>
  <c r="V112" i="6"/>
  <c r="W112" i="6"/>
  <c r="X112" i="6"/>
  <c r="Y112" i="6"/>
  <c r="Z112" i="6"/>
  <c r="AA112" i="6"/>
  <c r="AB112" i="6"/>
  <c r="AC112" i="6"/>
  <c r="AD112" i="6"/>
  <c r="AE112" i="6"/>
  <c r="AF112" i="6"/>
  <c r="AG112" i="6"/>
  <c r="N113" i="6"/>
  <c r="O113" i="6"/>
  <c r="P113" i="6"/>
  <c r="Q113" i="6"/>
  <c r="R113" i="6"/>
  <c r="S113" i="6"/>
  <c r="T113" i="6"/>
  <c r="U113" i="6"/>
  <c r="V113" i="6"/>
  <c r="W113" i="6"/>
  <c r="X113" i="6"/>
  <c r="Y113" i="6"/>
  <c r="Z113" i="6"/>
  <c r="AA113" i="6"/>
  <c r="AB113" i="6"/>
  <c r="AC113" i="6"/>
  <c r="AD113" i="6"/>
  <c r="AE113" i="6"/>
  <c r="AF113" i="6"/>
  <c r="AG113" i="6"/>
  <c r="N114" i="6"/>
  <c r="O114" i="6"/>
  <c r="P114" i="6"/>
  <c r="Q114" i="6"/>
  <c r="R114" i="6"/>
  <c r="S114" i="6"/>
  <c r="T114" i="6"/>
  <c r="U114" i="6"/>
  <c r="V114" i="6"/>
  <c r="W114" i="6"/>
  <c r="X114" i="6"/>
  <c r="Y114" i="6"/>
  <c r="Z114" i="6"/>
  <c r="AA114" i="6"/>
  <c r="AB114" i="6"/>
  <c r="AC114" i="6"/>
  <c r="AD114" i="6"/>
  <c r="AE114" i="6"/>
  <c r="AF114" i="6"/>
  <c r="AG114" i="6"/>
  <c r="N115" i="6"/>
  <c r="O115" i="6"/>
  <c r="P115" i="6"/>
  <c r="Q115" i="6"/>
  <c r="R115" i="6"/>
  <c r="S115" i="6"/>
  <c r="T115" i="6"/>
  <c r="U115" i="6"/>
  <c r="V115" i="6"/>
  <c r="W115" i="6"/>
  <c r="X115" i="6"/>
  <c r="Y115" i="6"/>
  <c r="Z115" i="6"/>
  <c r="AA115" i="6"/>
  <c r="AB115" i="6"/>
  <c r="AC115" i="6"/>
  <c r="AD115" i="6"/>
  <c r="AE115" i="6"/>
  <c r="AF115" i="6"/>
  <c r="AG115" i="6"/>
  <c r="N116" i="6"/>
  <c r="O116" i="6"/>
  <c r="P116" i="6"/>
  <c r="Q116" i="6"/>
  <c r="R116" i="6"/>
  <c r="S116" i="6"/>
  <c r="T116" i="6"/>
  <c r="U116" i="6"/>
  <c r="V116" i="6"/>
  <c r="W116" i="6"/>
  <c r="X116" i="6"/>
  <c r="Y116" i="6"/>
  <c r="Z116" i="6"/>
  <c r="AA116" i="6"/>
  <c r="AB116" i="6"/>
  <c r="AC116" i="6"/>
  <c r="AD116" i="6"/>
  <c r="AE116" i="6"/>
  <c r="AF116" i="6"/>
  <c r="AG116" i="6"/>
  <c r="N117" i="6"/>
  <c r="O117" i="6"/>
  <c r="P117" i="6"/>
  <c r="Q117" i="6"/>
  <c r="R117" i="6"/>
  <c r="S117" i="6"/>
  <c r="T117" i="6"/>
  <c r="U117" i="6"/>
  <c r="V117" i="6"/>
  <c r="W117" i="6"/>
  <c r="X117" i="6"/>
  <c r="Y117" i="6"/>
  <c r="Z117" i="6"/>
  <c r="AA117" i="6"/>
  <c r="AB117" i="6"/>
  <c r="AC117" i="6"/>
  <c r="AD117" i="6"/>
  <c r="AE117" i="6"/>
  <c r="AF117" i="6"/>
  <c r="AG117" i="6"/>
  <c r="N118" i="6"/>
  <c r="O118" i="6"/>
  <c r="P118" i="6"/>
  <c r="Q118" i="6"/>
  <c r="R118" i="6"/>
  <c r="S118" i="6"/>
  <c r="T118" i="6"/>
  <c r="U118" i="6"/>
  <c r="V118" i="6"/>
  <c r="W118" i="6"/>
  <c r="X118" i="6"/>
  <c r="Y118" i="6"/>
  <c r="Z118" i="6"/>
  <c r="AA118" i="6"/>
  <c r="AB118" i="6"/>
  <c r="AC118" i="6"/>
  <c r="AD118" i="6"/>
  <c r="AE118" i="6"/>
  <c r="AF118" i="6"/>
  <c r="AG118" i="6"/>
  <c r="N119" i="6"/>
  <c r="O119" i="6"/>
  <c r="P119" i="6"/>
  <c r="Q119" i="6"/>
  <c r="R119" i="6"/>
  <c r="S119" i="6"/>
  <c r="T119" i="6"/>
  <c r="U119" i="6"/>
  <c r="V119" i="6"/>
  <c r="W119" i="6"/>
  <c r="X119" i="6"/>
  <c r="Y119" i="6"/>
  <c r="Z119" i="6"/>
  <c r="AA119" i="6"/>
  <c r="AB119" i="6"/>
  <c r="AC119" i="6"/>
  <c r="AD119" i="6"/>
  <c r="AE119" i="6"/>
  <c r="AF119" i="6"/>
  <c r="AG119" i="6"/>
  <c r="N120" i="6"/>
  <c r="O120" i="6"/>
  <c r="P120" i="6"/>
  <c r="Q120" i="6"/>
  <c r="R120" i="6"/>
  <c r="S120" i="6"/>
  <c r="T120" i="6"/>
  <c r="U120" i="6"/>
  <c r="V120" i="6"/>
  <c r="W120" i="6"/>
  <c r="X120" i="6"/>
  <c r="Y120" i="6"/>
  <c r="Z120" i="6"/>
  <c r="AA120" i="6"/>
  <c r="AB120" i="6"/>
  <c r="AC120" i="6"/>
  <c r="AD120" i="6"/>
  <c r="AE120" i="6"/>
  <c r="AF120" i="6"/>
  <c r="AG120" i="6"/>
  <c r="N121" i="6"/>
  <c r="O121" i="6"/>
  <c r="P121" i="6"/>
  <c r="Q121" i="6"/>
  <c r="R121" i="6"/>
  <c r="S121" i="6"/>
  <c r="T121" i="6"/>
  <c r="U121" i="6"/>
  <c r="V121" i="6"/>
  <c r="W121" i="6"/>
  <c r="X121" i="6"/>
  <c r="Y121" i="6"/>
  <c r="Z121" i="6"/>
  <c r="AA121" i="6"/>
  <c r="AB121" i="6"/>
  <c r="AC121" i="6"/>
  <c r="AD121" i="6"/>
  <c r="AE121" i="6"/>
  <c r="AF121" i="6"/>
  <c r="AG121" i="6"/>
  <c r="N122" i="6"/>
  <c r="O122" i="6"/>
  <c r="P122" i="6"/>
  <c r="Q122" i="6"/>
  <c r="R122" i="6"/>
  <c r="S122" i="6"/>
  <c r="T122" i="6"/>
  <c r="U122" i="6"/>
  <c r="V122" i="6"/>
  <c r="W122" i="6"/>
  <c r="X122" i="6"/>
  <c r="Y122" i="6"/>
  <c r="Z122" i="6"/>
  <c r="AA122" i="6"/>
  <c r="AB122" i="6"/>
  <c r="AC122" i="6"/>
  <c r="AD122" i="6"/>
  <c r="AE122" i="6"/>
  <c r="AF122" i="6"/>
  <c r="AG122" i="6"/>
  <c r="N123" i="6"/>
  <c r="O123" i="6"/>
  <c r="P123" i="6"/>
  <c r="Q123" i="6"/>
  <c r="R123" i="6"/>
  <c r="S123" i="6"/>
  <c r="T123" i="6"/>
  <c r="U123" i="6"/>
  <c r="V123" i="6"/>
  <c r="W123" i="6"/>
  <c r="X123" i="6"/>
  <c r="Y123" i="6"/>
  <c r="Z123" i="6"/>
  <c r="AA123" i="6"/>
  <c r="AB123" i="6"/>
  <c r="AC123" i="6"/>
  <c r="AD123" i="6"/>
  <c r="AE123" i="6"/>
  <c r="AF123" i="6"/>
  <c r="AG123" i="6"/>
  <c r="N124" i="6"/>
  <c r="O124" i="6"/>
  <c r="P124" i="6"/>
  <c r="Q124" i="6"/>
  <c r="R124" i="6"/>
  <c r="S124" i="6"/>
  <c r="T124" i="6"/>
  <c r="U124" i="6"/>
  <c r="V124" i="6"/>
  <c r="W124" i="6"/>
  <c r="X124" i="6"/>
  <c r="Y124" i="6"/>
  <c r="Z124" i="6"/>
  <c r="AA124" i="6"/>
  <c r="AB124" i="6"/>
  <c r="AC124" i="6"/>
  <c r="AD124" i="6"/>
  <c r="AE124" i="6"/>
  <c r="AF124" i="6"/>
  <c r="AG124" i="6"/>
  <c r="N125" i="6"/>
  <c r="O125" i="6"/>
  <c r="P125" i="6"/>
  <c r="Q125" i="6"/>
  <c r="R125" i="6"/>
  <c r="S125" i="6"/>
  <c r="T125" i="6"/>
  <c r="U125" i="6"/>
  <c r="V125" i="6"/>
  <c r="W125" i="6"/>
  <c r="X125" i="6"/>
  <c r="Y125" i="6"/>
  <c r="Z125" i="6"/>
  <c r="AA125" i="6"/>
  <c r="AB125" i="6"/>
  <c r="AC125" i="6"/>
  <c r="AD125" i="6"/>
  <c r="AE125" i="6"/>
  <c r="AF125" i="6"/>
  <c r="AG125" i="6"/>
  <c r="N126" i="6"/>
  <c r="O126" i="6"/>
  <c r="P126" i="6"/>
  <c r="Q126" i="6"/>
  <c r="R126" i="6"/>
  <c r="S126" i="6"/>
  <c r="T126" i="6"/>
  <c r="U126" i="6"/>
  <c r="V126" i="6"/>
  <c r="W126" i="6"/>
  <c r="X126" i="6"/>
  <c r="Y126" i="6"/>
  <c r="Z126" i="6"/>
  <c r="AA126" i="6"/>
  <c r="AB126" i="6"/>
  <c r="AC126" i="6"/>
  <c r="AD126" i="6"/>
  <c r="AE126" i="6"/>
  <c r="AF126" i="6"/>
  <c r="AG126" i="6"/>
  <c r="N127" i="6"/>
  <c r="O127" i="6"/>
  <c r="P127" i="6"/>
  <c r="Q127" i="6"/>
  <c r="R127" i="6"/>
  <c r="S127" i="6"/>
  <c r="T127" i="6"/>
  <c r="U127" i="6"/>
  <c r="V127" i="6"/>
  <c r="W127" i="6"/>
  <c r="X127" i="6"/>
  <c r="Y127" i="6"/>
  <c r="Z127" i="6"/>
  <c r="AA127" i="6"/>
  <c r="AB127" i="6"/>
  <c r="AC127" i="6"/>
  <c r="AD127" i="6"/>
  <c r="AE127" i="6"/>
  <c r="AF127" i="6"/>
  <c r="AG127" i="6"/>
  <c r="N128" i="6"/>
  <c r="O128" i="6"/>
  <c r="P128" i="6"/>
  <c r="Q128" i="6"/>
  <c r="R128" i="6"/>
  <c r="S128" i="6"/>
  <c r="T128" i="6"/>
  <c r="U128" i="6"/>
  <c r="V128" i="6"/>
  <c r="W128" i="6"/>
  <c r="X128" i="6"/>
  <c r="Y128" i="6"/>
  <c r="Z128" i="6"/>
  <c r="AA128" i="6"/>
  <c r="AB128" i="6"/>
  <c r="AC128" i="6"/>
  <c r="AD128" i="6"/>
  <c r="AE128" i="6"/>
  <c r="AF128" i="6"/>
  <c r="AG128" i="6"/>
  <c r="N129" i="6"/>
  <c r="O129" i="6"/>
  <c r="P129" i="6"/>
  <c r="Q129" i="6"/>
  <c r="R129" i="6"/>
  <c r="S129" i="6"/>
  <c r="T129" i="6"/>
  <c r="U129" i="6"/>
  <c r="V129" i="6"/>
  <c r="W129" i="6"/>
  <c r="X129" i="6"/>
  <c r="Y129" i="6"/>
  <c r="Z129" i="6"/>
  <c r="AA129" i="6"/>
  <c r="AB129" i="6"/>
  <c r="AC129" i="6"/>
  <c r="AD129" i="6"/>
  <c r="AE129" i="6"/>
  <c r="AF129" i="6"/>
  <c r="AG129" i="6"/>
  <c r="N130" i="6"/>
  <c r="O130" i="6"/>
  <c r="P130" i="6"/>
  <c r="Q130" i="6"/>
  <c r="R130" i="6"/>
  <c r="S130" i="6"/>
  <c r="T130" i="6"/>
  <c r="U130" i="6"/>
  <c r="V130" i="6"/>
  <c r="W130" i="6"/>
  <c r="X130" i="6"/>
  <c r="Y130" i="6"/>
  <c r="Z130" i="6"/>
  <c r="AA130" i="6"/>
  <c r="AB130" i="6"/>
  <c r="AC130" i="6"/>
  <c r="AD130" i="6"/>
  <c r="AE130" i="6"/>
  <c r="AF130" i="6"/>
  <c r="AG130" i="6"/>
  <c r="N131" i="6"/>
  <c r="O131" i="6"/>
  <c r="P131" i="6"/>
  <c r="Q131" i="6"/>
  <c r="R131" i="6"/>
  <c r="S131" i="6"/>
  <c r="T131" i="6"/>
  <c r="U131" i="6"/>
  <c r="V131" i="6"/>
  <c r="W131" i="6"/>
  <c r="X131" i="6"/>
  <c r="Y131" i="6"/>
  <c r="Z131" i="6"/>
  <c r="AA131" i="6"/>
  <c r="AB131" i="6"/>
  <c r="AC131" i="6"/>
  <c r="AD131" i="6"/>
  <c r="AE131" i="6"/>
  <c r="AF131" i="6"/>
  <c r="AG131" i="6"/>
  <c r="N132" i="6"/>
  <c r="O132" i="6"/>
  <c r="P132" i="6"/>
  <c r="Q132" i="6"/>
  <c r="R132" i="6"/>
  <c r="S132" i="6"/>
  <c r="T132" i="6"/>
  <c r="U132" i="6"/>
  <c r="V132" i="6"/>
  <c r="W132" i="6"/>
  <c r="X132" i="6"/>
  <c r="Y132" i="6"/>
  <c r="Z132" i="6"/>
  <c r="AA132" i="6"/>
  <c r="AB132" i="6"/>
  <c r="AC132" i="6"/>
  <c r="AD132" i="6"/>
  <c r="AE132" i="6"/>
  <c r="AF132" i="6"/>
  <c r="AG132" i="6"/>
  <c r="N133" i="6"/>
  <c r="O133" i="6"/>
  <c r="P133" i="6"/>
  <c r="Q133" i="6"/>
  <c r="R133" i="6"/>
  <c r="S133" i="6"/>
  <c r="T133" i="6"/>
  <c r="U133" i="6"/>
  <c r="V133" i="6"/>
  <c r="W133" i="6"/>
  <c r="X133" i="6"/>
  <c r="Y133" i="6"/>
  <c r="Z133" i="6"/>
  <c r="AA133" i="6"/>
  <c r="AB133" i="6"/>
  <c r="AC133" i="6"/>
  <c r="AD133" i="6"/>
  <c r="AE133" i="6"/>
  <c r="AF133" i="6"/>
  <c r="AG133" i="6"/>
  <c r="N134" i="6"/>
  <c r="O134" i="6"/>
  <c r="P134" i="6"/>
  <c r="Q134" i="6"/>
  <c r="R134" i="6"/>
  <c r="S134" i="6"/>
  <c r="T134" i="6"/>
  <c r="U134" i="6"/>
  <c r="V134" i="6"/>
  <c r="W134" i="6"/>
  <c r="X134" i="6"/>
  <c r="Y134" i="6"/>
  <c r="Z134" i="6"/>
  <c r="AA134" i="6"/>
  <c r="AB134" i="6"/>
  <c r="AC134" i="6"/>
  <c r="AD134" i="6"/>
  <c r="AE134" i="6"/>
  <c r="AF134" i="6"/>
  <c r="AG134" i="6"/>
  <c r="N135" i="6"/>
  <c r="O135" i="6"/>
  <c r="P135" i="6"/>
  <c r="Q135" i="6"/>
  <c r="R135" i="6"/>
  <c r="S135" i="6"/>
  <c r="T135" i="6"/>
  <c r="U135" i="6"/>
  <c r="V135" i="6"/>
  <c r="W135" i="6"/>
  <c r="X135" i="6"/>
  <c r="Y135" i="6"/>
  <c r="Z135" i="6"/>
  <c r="AA135" i="6"/>
  <c r="AB135" i="6"/>
  <c r="AC135" i="6"/>
  <c r="AD135" i="6"/>
  <c r="AE135" i="6"/>
  <c r="AF135" i="6"/>
  <c r="AG135" i="6"/>
  <c r="N136" i="6"/>
  <c r="O136" i="6"/>
  <c r="P136" i="6"/>
  <c r="Q136" i="6"/>
  <c r="R136" i="6"/>
  <c r="S136" i="6"/>
  <c r="T136" i="6"/>
  <c r="U136" i="6"/>
  <c r="V136" i="6"/>
  <c r="W136" i="6"/>
  <c r="X136" i="6"/>
  <c r="Y136" i="6"/>
  <c r="Z136" i="6"/>
  <c r="AA136" i="6"/>
  <c r="AB136" i="6"/>
  <c r="AC136" i="6"/>
  <c r="AD136" i="6"/>
  <c r="AE136" i="6"/>
  <c r="AF136" i="6"/>
  <c r="AG136" i="6"/>
  <c r="N137" i="6"/>
  <c r="O137" i="6"/>
  <c r="P137" i="6"/>
  <c r="Q137" i="6"/>
  <c r="R137" i="6"/>
  <c r="S137" i="6"/>
  <c r="T137" i="6"/>
  <c r="U137" i="6"/>
  <c r="V137" i="6"/>
  <c r="W137" i="6"/>
  <c r="X137" i="6"/>
  <c r="Y137" i="6"/>
  <c r="Z137" i="6"/>
  <c r="AA137" i="6"/>
  <c r="AB137" i="6"/>
  <c r="AC137" i="6"/>
  <c r="AD137" i="6"/>
  <c r="AE137" i="6"/>
  <c r="AF137" i="6"/>
  <c r="AG137" i="6"/>
  <c r="N138" i="6"/>
  <c r="O138" i="6"/>
  <c r="P138" i="6"/>
  <c r="Q138" i="6"/>
  <c r="R138" i="6"/>
  <c r="S138" i="6"/>
  <c r="T138" i="6"/>
  <c r="U138" i="6"/>
  <c r="V138" i="6"/>
  <c r="W138" i="6"/>
  <c r="X138" i="6"/>
  <c r="Y138" i="6"/>
  <c r="Z138" i="6"/>
  <c r="AA138" i="6"/>
  <c r="AB138" i="6"/>
  <c r="AC138" i="6"/>
  <c r="AD138" i="6"/>
  <c r="AE138" i="6"/>
  <c r="AF138" i="6"/>
  <c r="AG138" i="6"/>
  <c r="N139" i="6"/>
  <c r="O139" i="6"/>
  <c r="P139" i="6"/>
  <c r="Q139" i="6"/>
  <c r="R139" i="6"/>
  <c r="S139" i="6"/>
  <c r="T139" i="6"/>
  <c r="U139" i="6"/>
  <c r="V139" i="6"/>
  <c r="W139" i="6"/>
  <c r="X139" i="6"/>
  <c r="Y139" i="6"/>
  <c r="Z139" i="6"/>
  <c r="AA139" i="6"/>
  <c r="AB139" i="6"/>
  <c r="AC139" i="6"/>
  <c r="AD139" i="6"/>
  <c r="AE139" i="6"/>
  <c r="AF139" i="6"/>
  <c r="AG139" i="6"/>
  <c r="N140" i="6"/>
  <c r="O140" i="6"/>
  <c r="P140" i="6"/>
  <c r="Q140" i="6"/>
  <c r="R140" i="6"/>
  <c r="S140" i="6"/>
  <c r="T140" i="6"/>
  <c r="U140" i="6"/>
  <c r="V140" i="6"/>
  <c r="W140" i="6"/>
  <c r="X140" i="6"/>
  <c r="Y140" i="6"/>
  <c r="Z140" i="6"/>
  <c r="AA140" i="6"/>
  <c r="AB140" i="6"/>
  <c r="AC140" i="6"/>
  <c r="AD140" i="6"/>
  <c r="AE140" i="6"/>
  <c r="AF140" i="6"/>
  <c r="AG140" i="6"/>
  <c r="N141" i="6"/>
  <c r="O141" i="6"/>
  <c r="P141" i="6"/>
  <c r="Q141" i="6"/>
  <c r="R141" i="6"/>
  <c r="S141" i="6"/>
  <c r="T141" i="6"/>
  <c r="U141" i="6"/>
  <c r="V141" i="6"/>
  <c r="W141" i="6"/>
  <c r="X141" i="6"/>
  <c r="Y141" i="6"/>
  <c r="Z141" i="6"/>
  <c r="AA141" i="6"/>
  <c r="AB141" i="6"/>
  <c r="AC141" i="6"/>
  <c r="AD141" i="6"/>
  <c r="AE141" i="6"/>
  <c r="AF141" i="6"/>
  <c r="AG141" i="6"/>
  <c r="N142" i="6"/>
  <c r="O142" i="6"/>
  <c r="P142" i="6"/>
  <c r="Q142" i="6"/>
  <c r="R142" i="6"/>
  <c r="S142" i="6"/>
  <c r="T142" i="6"/>
  <c r="U142" i="6"/>
  <c r="V142" i="6"/>
  <c r="W142" i="6"/>
  <c r="X142" i="6"/>
  <c r="Y142" i="6"/>
  <c r="Z142" i="6"/>
  <c r="AA142" i="6"/>
  <c r="AB142" i="6"/>
  <c r="AC142" i="6"/>
  <c r="AD142" i="6"/>
  <c r="AE142" i="6"/>
  <c r="AF142" i="6"/>
  <c r="AG142" i="6"/>
  <c r="N143" i="6"/>
  <c r="O143" i="6"/>
  <c r="P143" i="6"/>
  <c r="Q143" i="6"/>
  <c r="R143" i="6"/>
  <c r="S143" i="6"/>
  <c r="T143" i="6"/>
  <c r="U143" i="6"/>
  <c r="V143" i="6"/>
  <c r="W143" i="6"/>
  <c r="X143" i="6"/>
  <c r="Y143" i="6"/>
  <c r="Z143" i="6"/>
  <c r="AA143" i="6"/>
  <c r="AB143" i="6"/>
  <c r="AC143" i="6"/>
  <c r="AD143" i="6"/>
  <c r="AE143" i="6"/>
  <c r="AF143" i="6"/>
  <c r="AG143" i="6"/>
  <c r="N144" i="6"/>
  <c r="O144" i="6"/>
  <c r="P144" i="6"/>
  <c r="Q144" i="6"/>
  <c r="R144" i="6"/>
  <c r="S144" i="6"/>
  <c r="T144" i="6"/>
  <c r="U144" i="6"/>
  <c r="V144" i="6"/>
  <c r="W144" i="6"/>
  <c r="X144" i="6"/>
  <c r="Y144" i="6"/>
  <c r="Z144" i="6"/>
  <c r="AA144" i="6"/>
  <c r="AB144" i="6"/>
  <c r="AC144" i="6"/>
  <c r="AD144" i="6"/>
  <c r="AE144" i="6"/>
  <c r="AF144" i="6"/>
  <c r="AG144" i="6"/>
  <c r="N145" i="6"/>
  <c r="O145" i="6"/>
  <c r="P145" i="6"/>
  <c r="Q145" i="6"/>
  <c r="R145" i="6"/>
  <c r="S145" i="6"/>
  <c r="T145" i="6"/>
  <c r="U145" i="6"/>
  <c r="V145" i="6"/>
  <c r="W145" i="6"/>
  <c r="X145" i="6"/>
  <c r="Y145" i="6"/>
  <c r="Z145" i="6"/>
  <c r="AA145" i="6"/>
  <c r="AB145" i="6"/>
  <c r="AC145" i="6"/>
  <c r="AD145" i="6"/>
  <c r="AE145" i="6"/>
  <c r="AF145" i="6"/>
  <c r="AG145" i="6"/>
  <c r="N146" i="6"/>
  <c r="O146" i="6"/>
  <c r="P146" i="6"/>
  <c r="Q146" i="6"/>
  <c r="R146" i="6"/>
  <c r="S146" i="6"/>
  <c r="T146" i="6"/>
  <c r="U146" i="6"/>
  <c r="V146" i="6"/>
  <c r="W146" i="6"/>
  <c r="X146" i="6"/>
  <c r="Y146" i="6"/>
  <c r="Z146" i="6"/>
  <c r="AA146" i="6"/>
  <c r="AB146" i="6"/>
  <c r="AC146" i="6"/>
  <c r="AD146" i="6"/>
  <c r="AE146" i="6"/>
  <c r="AF146" i="6"/>
  <c r="AG146" i="6"/>
  <c r="N147" i="6"/>
  <c r="O147" i="6"/>
  <c r="P147" i="6"/>
  <c r="Q147" i="6"/>
  <c r="R147" i="6"/>
  <c r="S147" i="6"/>
  <c r="T147" i="6"/>
  <c r="U147" i="6"/>
  <c r="V147" i="6"/>
  <c r="W147" i="6"/>
  <c r="X147" i="6"/>
  <c r="Y147" i="6"/>
  <c r="Z147" i="6"/>
  <c r="AA147" i="6"/>
  <c r="AB147" i="6"/>
  <c r="AC147" i="6"/>
  <c r="AD147" i="6"/>
  <c r="AE147" i="6"/>
  <c r="AF147" i="6"/>
  <c r="AG147" i="6"/>
  <c r="N148" i="6"/>
  <c r="O148" i="6"/>
  <c r="P148" i="6"/>
  <c r="Q148" i="6"/>
  <c r="R148" i="6"/>
  <c r="S148" i="6"/>
  <c r="T148" i="6"/>
  <c r="U148" i="6"/>
  <c r="V148" i="6"/>
  <c r="W148" i="6"/>
  <c r="X148" i="6"/>
  <c r="Y148" i="6"/>
  <c r="Z148" i="6"/>
  <c r="AA148" i="6"/>
  <c r="AB148" i="6"/>
  <c r="AC148" i="6"/>
  <c r="AD148" i="6"/>
  <c r="AE148" i="6"/>
  <c r="AF148" i="6"/>
  <c r="AG148" i="6"/>
  <c r="N149" i="6"/>
  <c r="O149" i="6"/>
  <c r="P149" i="6"/>
  <c r="Q149" i="6"/>
  <c r="R149" i="6"/>
  <c r="S149" i="6"/>
  <c r="T149" i="6"/>
  <c r="U149" i="6"/>
  <c r="V149" i="6"/>
  <c r="W149" i="6"/>
  <c r="X149" i="6"/>
  <c r="Y149" i="6"/>
  <c r="Z149" i="6"/>
  <c r="AA149" i="6"/>
  <c r="AB149" i="6"/>
  <c r="AC149" i="6"/>
  <c r="AD149" i="6"/>
  <c r="AE149" i="6"/>
  <c r="AF149" i="6"/>
  <c r="AG149" i="6"/>
  <c r="N150" i="6"/>
  <c r="O150" i="6"/>
  <c r="P150" i="6"/>
  <c r="Q150" i="6"/>
  <c r="R150" i="6"/>
  <c r="S150" i="6"/>
  <c r="T150" i="6"/>
  <c r="U150" i="6"/>
  <c r="V150" i="6"/>
  <c r="W150" i="6"/>
  <c r="X150" i="6"/>
  <c r="Y150" i="6"/>
  <c r="Z150" i="6"/>
  <c r="AA150" i="6"/>
  <c r="AB150" i="6"/>
  <c r="AC150" i="6"/>
  <c r="AD150" i="6"/>
  <c r="AE150" i="6"/>
  <c r="AF150" i="6"/>
  <c r="AG150" i="6"/>
  <c r="N151" i="6"/>
  <c r="O151" i="6"/>
  <c r="P151" i="6"/>
  <c r="Q151" i="6"/>
  <c r="R151" i="6"/>
  <c r="S151" i="6"/>
  <c r="T151" i="6"/>
  <c r="U151" i="6"/>
  <c r="V151" i="6"/>
  <c r="W151" i="6"/>
  <c r="X151" i="6"/>
  <c r="Y151" i="6"/>
  <c r="Z151" i="6"/>
  <c r="AA151" i="6"/>
  <c r="AB151" i="6"/>
  <c r="AC151" i="6"/>
  <c r="AD151" i="6"/>
  <c r="AE151" i="6"/>
  <c r="AF151" i="6"/>
  <c r="AG151" i="6"/>
  <c r="N152" i="6"/>
  <c r="O152" i="6"/>
  <c r="P152" i="6"/>
  <c r="Q152" i="6"/>
  <c r="R152" i="6"/>
  <c r="S152" i="6"/>
  <c r="T152" i="6"/>
  <c r="U152" i="6"/>
  <c r="V152" i="6"/>
  <c r="W152" i="6"/>
  <c r="X152" i="6"/>
  <c r="Y152" i="6"/>
  <c r="Z152" i="6"/>
  <c r="AA152" i="6"/>
  <c r="AB152" i="6"/>
  <c r="AC152" i="6"/>
  <c r="AD152" i="6"/>
  <c r="AE152" i="6"/>
  <c r="AF152" i="6"/>
  <c r="AG152" i="6"/>
  <c r="N153" i="6"/>
  <c r="O153" i="6"/>
  <c r="P153" i="6"/>
  <c r="Q153" i="6"/>
  <c r="R153" i="6"/>
  <c r="S153" i="6"/>
  <c r="T153" i="6"/>
  <c r="U153" i="6"/>
  <c r="V153" i="6"/>
  <c r="W153" i="6"/>
  <c r="X153" i="6"/>
  <c r="Y153" i="6"/>
  <c r="Z153" i="6"/>
  <c r="AA153" i="6"/>
  <c r="AB153" i="6"/>
  <c r="AC153" i="6"/>
  <c r="AD153" i="6"/>
  <c r="AE153" i="6"/>
  <c r="AF153" i="6"/>
  <c r="AG153" i="6"/>
  <c r="N154" i="6"/>
  <c r="O154" i="6"/>
  <c r="P154" i="6"/>
  <c r="Q154" i="6"/>
  <c r="R154" i="6"/>
  <c r="S154" i="6"/>
  <c r="T154" i="6"/>
  <c r="U154" i="6"/>
  <c r="V154" i="6"/>
  <c r="W154" i="6"/>
  <c r="X154" i="6"/>
  <c r="Y154" i="6"/>
  <c r="Z154" i="6"/>
  <c r="AA154" i="6"/>
  <c r="AB154" i="6"/>
  <c r="AC154" i="6"/>
  <c r="AD154" i="6"/>
  <c r="AE154" i="6"/>
  <c r="AF154" i="6"/>
  <c r="AG154" i="6"/>
  <c r="N155" i="6"/>
  <c r="O155" i="6"/>
  <c r="P155" i="6"/>
  <c r="Q155" i="6"/>
  <c r="R155" i="6"/>
  <c r="S155" i="6"/>
  <c r="T155" i="6"/>
  <c r="U155" i="6"/>
  <c r="V155" i="6"/>
  <c r="W155" i="6"/>
  <c r="X155" i="6"/>
  <c r="Y155" i="6"/>
  <c r="Z155" i="6"/>
  <c r="AA155" i="6"/>
  <c r="AB155" i="6"/>
  <c r="AC155" i="6"/>
  <c r="AD155" i="6"/>
  <c r="AE155" i="6"/>
  <c r="AF155" i="6"/>
  <c r="AG155" i="6"/>
  <c r="N156" i="6"/>
  <c r="O156" i="6"/>
  <c r="P156" i="6"/>
  <c r="Q156" i="6"/>
  <c r="R156" i="6"/>
  <c r="S156" i="6"/>
  <c r="T156" i="6"/>
  <c r="U156" i="6"/>
  <c r="V156" i="6"/>
  <c r="W156" i="6"/>
  <c r="X156" i="6"/>
  <c r="Y156" i="6"/>
  <c r="Z156" i="6"/>
  <c r="AA156" i="6"/>
  <c r="AB156" i="6"/>
  <c r="AC156" i="6"/>
  <c r="AD156" i="6"/>
  <c r="AE156" i="6"/>
  <c r="AF156" i="6"/>
  <c r="AG156" i="6"/>
  <c r="N157" i="6"/>
  <c r="O157" i="6"/>
  <c r="P157" i="6"/>
  <c r="Q157" i="6"/>
  <c r="R157" i="6"/>
  <c r="S157" i="6"/>
  <c r="T157" i="6"/>
  <c r="U157" i="6"/>
  <c r="V157" i="6"/>
  <c r="W157" i="6"/>
  <c r="X157" i="6"/>
  <c r="Y157" i="6"/>
  <c r="Z157" i="6"/>
  <c r="AA157" i="6"/>
  <c r="AB157" i="6"/>
  <c r="AC157" i="6"/>
  <c r="AD157" i="6"/>
  <c r="AE157" i="6"/>
  <c r="AF157" i="6"/>
  <c r="AG157" i="6"/>
  <c r="N158" i="6"/>
  <c r="O158" i="6"/>
  <c r="P158" i="6"/>
  <c r="Q158" i="6"/>
  <c r="R158" i="6"/>
  <c r="S158" i="6"/>
  <c r="T158" i="6"/>
  <c r="U158" i="6"/>
  <c r="V158" i="6"/>
  <c r="W158" i="6"/>
  <c r="X158" i="6"/>
  <c r="Y158" i="6"/>
  <c r="Z158" i="6"/>
  <c r="AA158" i="6"/>
  <c r="AB158" i="6"/>
  <c r="AC158" i="6"/>
  <c r="AD158" i="6"/>
  <c r="AE158" i="6"/>
  <c r="AF158" i="6"/>
  <c r="AG158" i="6"/>
  <c r="N159" i="6"/>
  <c r="O159" i="6"/>
  <c r="P159" i="6"/>
  <c r="Q159" i="6"/>
  <c r="R159" i="6"/>
  <c r="S159" i="6"/>
  <c r="T159" i="6"/>
  <c r="U159" i="6"/>
  <c r="V159" i="6"/>
  <c r="W159" i="6"/>
  <c r="X159" i="6"/>
  <c r="Y159" i="6"/>
  <c r="Z159" i="6"/>
  <c r="AA159" i="6"/>
  <c r="AB159" i="6"/>
  <c r="AC159" i="6"/>
  <c r="AD159" i="6"/>
  <c r="AE159" i="6"/>
  <c r="AF159" i="6"/>
  <c r="AG159" i="6"/>
  <c r="N160" i="6"/>
  <c r="O160" i="6"/>
  <c r="P160" i="6"/>
  <c r="Q160" i="6"/>
  <c r="R160" i="6"/>
  <c r="S160" i="6"/>
  <c r="T160" i="6"/>
  <c r="U160" i="6"/>
  <c r="V160" i="6"/>
  <c r="W160" i="6"/>
  <c r="X160" i="6"/>
  <c r="Y160" i="6"/>
  <c r="Z160" i="6"/>
  <c r="AA160" i="6"/>
  <c r="AB160" i="6"/>
  <c r="AC160" i="6"/>
  <c r="AD160" i="6"/>
  <c r="AE160" i="6"/>
  <c r="AF160" i="6"/>
  <c r="AG160" i="6"/>
  <c r="N161" i="6"/>
  <c r="O161" i="6"/>
  <c r="P161" i="6"/>
  <c r="Q161" i="6"/>
  <c r="R161" i="6"/>
  <c r="S161" i="6"/>
  <c r="T161" i="6"/>
  <c r="U161" i="6"/>
  <c r="V161" i="6"/>
  <c r="W161" i="6"/>
  <c r="X161" i="6"/>
  <c r="Y161" i="6"/>
  <c r="Z161" i="6"/>
  <c r="AA161" i="6"/>
  <c r="AB161" i="6"/>
  <c r="AC161" i="6"/>
  <c r="AD161" i="6"/>
  <c r="AE161" i="6"/>
  <c r="AF161" i="6"/>
  <c r="AG161" i="6"/>
  <c r="N162" i="6"/>
  <c r="O162" i="6"/>
  <c r="P162" i="6"/>
  <c r="Q162" i="6"/>
  <c r="R162" i="6"/>
  <c r="S162" i="6"/>
  <c r="T162" i="6"/>
  <c r="U162" i="6"/>
  <c r="V162" i="6"/>
  <c r="W162" i="6"/>
  <c r="X162" i="6"/>
  <c r="Y162" i="6"/>
  <c r="Z162" i="6"/>
  <c r="AA162" i="6"/>
  <c r="AB162" i="6"/>
  <c r="AC162" i="6"/>
  <c r="AD162" i="6"/>
  <c r="AE162" i="6"/>
  <c r="AF162" i="6"/>
  <c r="AG162" i="6"/>
  <c r="N163" i="6"/>
  <c r="O163" i="6"/>
  <c r="P163" i="6"/>
  <c r="Q163" i="6"/>
  <c r="R163" i="6"/>
  <c r="S163" i="6"/>
  <c r="T163" i="6"/>
  <c r="U163" i="6"/>
  <c r="V163" i="6"/>
  <c r="W163" i="6"/>
  <c r="X163" i="6"/>
  <c r="Y163" i="6"/>
  <c r="Z163" i="6"/>
  <c r="AA163" i="6"/>
  <c r="AB163" i="6"/>
  <c r="AC163" i="6"/>
  <c r="AD163" i="6"/>
  <c r="AE163" i="6"/>
  <c r="AF163" i="6"/>
  <c r="AG163" i="6"/>
  <c r="N164" i="6"/>
  <c r="O164" i="6"/>
  <c r="P164" i="6"/>
  <c r="Q164" i="6"/>
  <c r="R164" i="6"/>
  <c r="S164" i="6"/>
  <c r="T164" i="6"/>
  <c r="U164" i="6"/>
  <c r="V164" i="6"/>
  <c r="W164" i="6"/>
  <c r="X164" i="6"/>
  <c r="Y164" i="6"/>
  <c r="Z164" i="6"/>
  <c r="AA164" i="6"/>
  <c r="AB164" i="6"/>
  <c r="AC164" i="6"/>
  <c r="AD164" i="6"/>
  <c r="AE164" i="6"/>
  <c r="AF164" i="6"/>
  <c r="AG164" i="6"/>
  <c r="N165" i="6"/>
  <c r="O165" i="6"/>
  <c r="P165" i="6"/>
  <c r="Q165" i="6"/>
  <c r="R165" i="6"/>
  <c r="S165" i="6"/>
  <c r="T165" i="6"/>
  <c r="U165" i="6"/>
  <c r="V165" i="6"/>
  <c r="W165" i="6"/>
  <c r="X165" i="6"/>
  <c r="Y165" i="6"/>
  <c r="Z165" i="6"/>
  <c r="AA165" i="6"/>
  <c r="AB165" i="6"/>
  <c r="AC165" i="6"/>
  <c r="AD165" i="6"/>
  <c r="AE165" i="6"/>
  <c r="AF165" i="6"/>
  <c r="AG165" i="6"/>
  <c r="N166" i="6"/>
  <c r="O166" i="6"/>
  <c r="P166" i="6"/>
  <c r="Q166" i="6"/>
  <c r="R166" i="6"/>
  <c r="S166" i="6"/>
  <c r="T166" i="6"/>
  <c r="U166" i="6"/>
  <c r="V166" i="6"/>
  <c r="W166" i="6"/>
  <c r="X166" i="6"/>
  <c r="Y166" i="6"/>
  <c r="Z166" i="6"/>
  <c r="AA166" i="6"/>
  <c r="AB166" i="6"/>
  <c r="AC166" i="6"/>
  <c r="AD166" i="6"/>
  <c r="AE166" i="6"/>
  <c r="AF166" i="6"/>
  <c r="AG166" i="6"/>
  <c r="N167" i="6"/>
  <c r="O167" i="6"/>
  <c r="P167" i="6"/>
  <c r="Q167" i="6"/>
  <c r="R167" i="6"/>
  <c r="S167" i="6"/>
  <c r="T167" i="6"/>
  <c r="U167" i="6"/>
  <c r="V167" i="6"/>
  <c r="W167" i="6"/>
  <c r="X167" i="6"/>
  <c r="Y167" i="6"/>
  <c r="Z167" i="6"/>
  <c r="AA167" i="6"/>
  <c r="AB167" i="6"/>
  <c r="AC167" i="6"/>
  <c r="AD167" i="6"/>
  <c r="AE167" i="6"/>
  <c r="AF167" i="6"/>
  <c r="AG167" i="6"/>
  <c r="N168" i="6"/>
  <c r="O168" i="6"/>
  <c r="P168" i="6"/>
  <c r="Q168" i="6"/>
  <c r="R168" i="6"/>
  <c r="S168" i="6"/>
  <c r="T168" i="6"/>
  <c r="U168" i="6"/>
  <c r="V168" i="6"/>
  <c r="W168" i="6"/>
  <c r="X168" i="6"/>
  <c r="Y168" i="6"/>
  <c r="Z168" i="6"/>
  <c r="AA168" i="6"/>
  <c r="AB168" i="6"/>
  <c r="AC168" i="6"/>
  <c r="AD168" i="6"/>
  <c r="AE168" i="6"/>
  <c r="AF168" i="6"/>
  <c r="AG168" i="6"/>
  <c r="N169" i="6"/>
  <c r="O169" i="6"/>
  <c r="P169" i="6"/>
  <c r="Q169" i="6"/>
  <c r="R169" i="6"/>
  <c r="S169" i="6"/>
  <c r="T169" i="6"/>
  <c r="U169" i="6"/>
  <c r="V169" i="6"/>
  <c r="W169" i="6"/>
  <c r="X169" i="6"/>
  <c r="Y169" i="6"/>
  <c r="Z169" i="6"/>
  <c r="AA169" i="6"/>
  <c r="AB169" i="6"/>
  <c r="AC169" i="6"/>
  <c r="AD169" i="6"/>
  <c r="AE169" i="6"/>
  <c r="AF169" i="6"/>
  <c r="AG169" i="6"/>
  <c r="N170" i="6"/>
  <c r="O170" i="6"/>
  <c r="P170" i="6"/>
  <c r="Q170" i="6"/>
  <c r="R170" i="6"/>
  <c r="S170" i="6"/>
  <c r="T170" i="6"/>
  <c r="U170" i="6"/>
  <c r="V170" i="6"/>
  <c r="W170" i="6"/>
  <c r="X170" i="6"/>
  <c r="Y170" i="6"/>
  <c r="Z170" i="6"/>
  <c r="AA170" i="6"/>
  <c r="AB170" i="6"/>
  <c r="AC170" i="6"/>
  <c r="AD170" i="6"/>
  <c r="AE170" i="6"/>
  <c r="AF170" i="6"/>
  <c r="AG170" i="6"/>
  <c r="N171" i="6"/>
  <c r="O171" i="6"/>
  <c r="P171" i="6"/>
  <c r="Q171" i="6"/>
  <c r="R171" i="6"/>
  <c r="S171" i="6"/>
  <c r="T171" i="6"/>
  <c r="U171" i="6"/>
  <c r="V171" i="6"/>
  <c r="W171" i="6"/>
  <c r="X171" i="6"/>
  <c r="Y171" i="6"/>
  <c r="Z171" i="6"/>
  <c r="AA171" i="6"/>
  <c r="AB171" i="6"/>
  <c r="AC171" i="6"/>
  <c r="AD171" i="6"/>
  <c r="AE171" i="6"/>
  <c r="AF171" i="6"/>
  <c r="AG171" i="6"/>
  <c r="N172" i="6"/>
  <c r="O172" i="6"/>
  <c r="P172" i="6"/>
  <c r="Q172" i="6"/>
  <c r="R172" i="6"/>
  <c r="S172" i="6"/>
  <c r="T172" i="6"/>
  <c r="U172" i="6"/>
  <c r="V172" i="6"/>
  <c r="W172" i="6"/>
  <c r="X172" i="6"/>
  <c r="Y172" i="6"/>
  <c r="Z172" i="6"/>
  <c r="AA172" i="6"/>
  <c r="AB172" i="6"/>
  <c r="AC172" i="6"/>
  <c r="AD172" i="6"/>
  <c r="AE172" i="6"/>
  <c r="AF172" i="6"/>
  <c r="AG172" i="6"/>
  <c r="N173" i="6"/>
  <c r="O173" i="6"/>
  <c r="P173" i="6"/>
  <c r="Q173" i="6"/>
  <c r="R173" i="6"/>
  <c r="S173" i="6"/>
  <c r="T173" i="6"/>
  <c r="U173" i="6"/>
  <c r="V173" i="6"/>
  <c r="W173" i="6"/>
  <c r="X173" i="6"/>
  <c r="Y173" i="6"/>
  <c r="Z173" i="6"/>
  <c r="AA173" i="6"/>
  <c r="AB173" i="6"/>
  <c r="AC173" i="6"/>
  <c r="AD173" i="6"/>
  <c r="AE173" i="6"/>
  <c r="AF173" i="6"/>
  <c r="AG173" i="6"/>
  <c r="N174" i="6"/>
  <c r="O174" i="6"/>
  <c r="P174" i="6"/>
  <c r="Q174" i="6"/>
  <c r="R174" i="6"/>
  <c r="S174" i="6"/>
  <c r="T174" i="6"/>
  <c r="U174" i="6"/>
  <c r="V174" i="6"/>
  <c r="W174" i="6"/>
  <c r="X174" i="6"/>
  <c r="Y174" i="6"/>
  <c r="Z174" i="6"/>
  <c r="AA174" i="6"/>
  <c r="AB174" i="6"/>
  <c r="AC174" i="6"/>
  <c r="AD174" i="6"/>
  <c r="AE174" i="6"/>
  <c r="AF174" i="6"/>
  <c r="AG174" i="6"/>
  <c r="N175" i="6"/>
  <c r="O175" i="6"/>
  <c r="P175" i="6"/>
  <c r="Q175" i="6"/>
  <c r="R175" i="6"/>
  <c r="S175" i="6"/>
  <c r="T175" i="6"/>
  <c r="U175" i="6"/>
  <c r="V175" i="6"/>
  <c r="W175" i="6"/>
  <c r="X175" i="6"/>
  <c r="Y175" i="6"/>
  <c r="Z175" i="6"/>
  <c r="AA175" i="6"/>
  <c r="AB175" i="6"/>
  <c r="AC175" i="6"/>
  <c r="AD175" i="6"/>
  <c r="AE175" i="6"/>
  <c r="AF175" i="6"/>
  <c r="AG175" i="6"/>
  <c r="N176" i="6"/>
  <c r="O176" i="6"/>
  <c r="P176" i="6"/>
  <c r="Q176" i="6"/>
  <c r="R176" i="6"/>
  <c r="S176" i="6"/>
  <c r="T176" i="6"/>
  <c r="U176" i="6"/>
  <c r="V176" i="6"/>
  <c r="W176" i="6"/>
  <c r="X176" i="6"/>
  <c r="Y176" i="6"/>
  <c r="Z176" i="6"/>
  <c r="AA176" i="6"/>
  <c r="AB176" i="6"/>
  <c r="AC176" i="6"/>
  <c r="AD176" i="6"/>
  <c r="AE176" i="6"/>
  <c r="AF176" i="6"/>
  <c r="AG176" i="6"/>
  <c r="N177" i="6"/>
  <c r="O177" i="6"/>
  <c r="P177" i="6"/>
  <c r="Q177" i="6"/>
  <c r="R177" i="6"/>
  <c r="S177" i="6"/>
  <c r="T177" i="6"/>
  <c r="U177" i="6"/>
  <c r="V177" i="6"/>
  <c r="W177" i="6"/>
  <c r="X177" i="6"/>
  <c r="Y177" i="6"/>
  <c r="Z177" i="6"/>
  <c r="AA177" i="6"/>
  <c r="AB177" i="6"/>
  <c r="AC177" i="6"/>
  <c r="AD177" i="6"/>
  <c r="AE177" i="6"/>
  <c r="AF177" i="6"/>
  <c r="AG177" i="6"/>
  <c r="N178" i="6"/>
  <c r="O178" i="6"/>
  <c r="P178" i="6"/>
  <c r="Q178" i="6"/>
  <c r="R178" i="6"/>
  <c r="S178" i="6"/>
  <c r="T178" i="6"/>
  <c r="U178" i="6"/>
  <c r="V178" i="6"/>
  <c r="W178" i="6"/>
  <c r="X178" i="6"/>
  <c r="Y178" i="6"/>
  <c r="Z178" i="6"/>
  <c r="AA178" i="6"/>
  <c r="AB178" i="6"/>
  <c r="AC178" i="6"/>
  <c r="AD178" i="6"/>
  <c r="AE178" i="6"/>
  <c r="AF178" i="6"/>
  <c r="AG178" i="6"/>
  <c r="N179" i="6"/>
  <c r="O179" i="6"/>
  <c r="P179" i="6"/>
  <c r="Q179" i="6"/>
  <c r="R179" i="6"/>
  <c r="S179" i="6"/>
  <c r="T179" i="6"/>
  <c r="U179" i="6"/>
  <c r="V179" i="6"/>
  <c r="W179" i="6"/>
  <c r="X179" i="6"/>
  <c r="Y179" i="6"/>
  <c r="Z179" i="6"/>
  <c r="AA179" i="6"/>
  <c r="AB179" i="6"/>
  <c r="AC179" i="6"/>
  <c r="AD179" i="6"/>
  <c r="AE179" i="6"/>
  <c r="AF179" i="6"/>
  <c r="AG179" i="6"/>
  <c r="N180" i="6"/>
  <c r="O180" i="6"/>
  <c r="P180" i="6"/>
  <c r="Q180" i="6"/>
  <c r="R180" i="6"/>
  <c r="S180" i="6"/>
  <c r="T180" i="6"/>
  <c r="U180" i="6"/>
  <c r="V180" i="6"/>
  <c r="W180" i="6"/>
  <c r="X180" i="6"/>
  <c r="Y180" i="6"/>
  <c r="Z180" i="6"/>
  <c r="AA180" i="6"/>
  <c r="AB180" i="6"/>
  <c r="AC180" i="6"/>
  <c r="AD180" i="6"/>
  <c r="AE180" i="6"/>
  <c r="AF180" i="6"/>
  <c r="AG180" i="6"/>
  <c r="N181" i="6"/>
  <c r="O181" i="6"/>
  <c r="P181" i="6"/>
  <c r="Q181" i="6"/>
  <c r="R181" i="6"/>
  <c r="S181" i="6"/>
  <c r="T181" i="6"/>
  <c r="U181" i="6"/>
  <c r="V181" i="6"/>
  <c r="W181" i="6"/>
  <c r="X181" i="6"/>
  <c r="Y181" i="6"/>
  <c r="Z181" i="6"/>
  <c r="AA181" i="6"/>
  <c r="AB181" i="6"/>
  <c r="AC181" i="6"/>
  <c r="AD181" i="6"/>
  <c r="AE181" i="6"/>
  <c r="AF181" i="6"/>
  <c r="AG181" i="6"/>
  <c r="N182" i="6"/>
  <c r="O182" i="6"/>
  <c r="P182" i="6"/>
  <c r="Q182" i="6"/>
  <c r="R182" i="6"/>
  <c r="S182" i="6"/>
  <c r="T182" i="6"/>
  <c r="U182" i="6"/>
  <c r="V182" i="6"/>
  <c r="W182" i="6"/>
  <c r="X182" i="6"/>
  <c r="Y182" i="6"/>
  <c r="Z182" i="6"/>
  <c r="AA182" i="6"/>
  <c r="AB182" i="6"/>
  <c r="AC182" i="6"/>
  <c r="AD182" i="6"/>
  <c r="AE182" i="6"/>
  <c r="AF182" i="6"/>
  <c r="AG182" i="6"/>
  <c r="N183" i="6"/>
  <c r="O183" i="6"/>
  <c r="P183" i="6"/>
  <c r="Q183" i="6"/>
  <c r="R183" i="6"/>
  <c r="S183" i="6"/>
  <c r="T183" i="6"/>
  <c r="U183" i="6"/>
  <c r="V183" i="6"/>
  <c r="W183" i="6"/>
  <c r="X183" i="6"/>
  <c r="Y183" i="6"/>
  <c r="Z183" i="6"/>
  <c r="AA183" i="6"/>
  <c r="AB183" i="6"/>
  <c r="AC183" i="6"/>
  <c r="AD183" i="6"/>
  <c r="AE183" i="6"/>
  <c r="AF183" i="6"/>
  <c r="AG183" i="6"/>
  <c r="N184" i="6"/>
  <c r="O184" i="6"/>
  <c r="P184" i="6"/>
  <c r="Q184" i="6"/>
  <c r="R184" i="6"/>
  <c r="S184" i="6"/>
  <c r="T184" i="6"/>
  <c r="U184" i="6"/>
  <c r="V184" i="6"/>
  <c r="W184" i="6"/>
  <c r="X184" i="6"/>
  <c r="Y184" i="6"/>
  <c r="Z184" i="6"/>
  <c r="AA184" i="6"/>
  <c r="AB184" i="6"/>
  <c r="AC184" i="6"/>
  <c r="AD184" i="6"/>
  <c r="AE184" i="6"/>
  <c r="AF184" i="6"/>
  <c r="AG184" i="6"/>
  <c r="N185" i="6"/>
  <c r="O185" i="6"/>
  <c r="P185" i="6"/>
  <c r="Q185" i="6"/>
  <c r="R185" i="6"/>
  <c r="S185" i="6"/>
  <c r="T185" i="6"/>
  <c r="U185" i="6"/>
  <c r="V185" i="6"/>
  <c r="W185" i="6"/>
  <c r="X185" i="6"/>
  <c r="Y185" i="6"/>
  <c r="Z185" i="6"/>
  <c r="AA185" i="6"/>
  <c r="AB185" i="6"/>
  <c r="AC185" i="6"/>
  <c r="AD185" i="6"/>
  <c r="AE185" i="6"/>
  <c r="AF185" i="6"/>
  <c r="AG185" i="6"/>
  <c r="N186" i="6"/>
  <c r="O186" i="6"/>
  <c r="P186" i="6"/>
  <c r="Q186" i="6"/>
  <c r="R186" i="6"/>
  <c r="S186" i="6"/>
  <c r="T186" i="6"/>
  <c r="U186" i="6"/>
  <c r="V186" i="6"/>
  <c r="W186" i="6"/>
  <c r="X186" i="6"/>
  <c r="Y186" i="6"/>
  <c r="Z186" i="6"/>
  <c r="AA186" i="6"/>
  <c r="AB186" i="6"/>
  <c r="AC186" i="6"/>
  <c r="AD186" i="6"/>
  <c r="AE186" i="6"/>
  <c r="AF186" i="6"/>
  <c r="AG186" i="6"/>
  <c r="N187" i="6"/>
  <c r="O187" i="6"/>
  <c r="P187" i="6"/>
  <c r="Q187" i="6"/>
  <c r="R187" i="6"/>
  <c r="S187" i="6"/>
  <c r="T187" i="6"/>
  <c r="U187" i="6"/>
  <c r="V187" i="6"/>
  <c r="W187" i="6"/>
  <c r="X187" i="6"/>
  <c r="Y187" i="6"/>
  <c r="Z187" i="6"/>
  <c r="AA187" i="6"/>
  <c r="AB187" i="6"/>
  <c r="AC187" i="6"/>
  <c r="AD187" i="6"/>
  <c r="AE187" i="6"/>
  <c r="AF187" i="6"/>
  <c r="AG187" i="6"/>
  <c r="N188" i="6"/>
  <c r="O188" i="6"/>
  <c r="P188" i="6"/>
  <c r="Q188" i="6"/>
  <c r="R188" i="6"/>
  <c r="S188" i="6"/>
  <c r="T188" i="6"/>
  <c r="U188" i="6"/>
  <c r="V188" i="6"/>
  <c r="W188" i="6"/>
  <c r="X188" i="6"/>
  <c r="Y188" i="6"/>
  <c r="Z188" i="6"/>
  <c r="AA188" i="6"/>
  <c r="AB188" i="6"/>
  <c r="AC188" i="6"/>
  <c r="AD188" i="6"/>
  <c r="AE188" i="6"/>
  <c r="AF188" i="6"/>
  <c r="AG188" i="6"/>
  <c r="N189" i="6"/>
  <c r="O189" i="6"/>
  <c r="P189" i="6"/>
  <c r="Q189" i="6"/>
  <c r="R189" i="6"/>
  <c r="S189" i="6"/>
  <c r="T189" i="6"/>
  <c r="U189" i="6"/>
  <c r="V189" i="6"/>
  <c r="W189" i="6"/>
  <c r="X189" i="6"/>
  <c r="Y189" i="6"/>
  <c r="Z189" i="6"/>
  <c r="AA189" i="6"/>
  <c r="AB189" i="6"/>
  <c r="AC189" i="6"/>
  <c r="AD189" i="6"/>
  <c r="AE189" i="6"/>
  <c r="AF189" i="6"/>
  <c r="AG189" i="6"/>
  <c r="N190" i="6"/>
  <c r="O190" i="6"/>
  <c r="P190" i="6"/>
  <c r="Q190" i="6"/>
  <c r="R190" i="6"/>
  <c r="S190" i="6"/>
  <c r="T190" i="6"/>
  <c r="U190" i="6"/>
  <c r="V190" i="6"/>
  <c r="W190" i="6"/>
  <c r="X190" i="6"/>
  <c r="Y190" i="6"/>
  <c r="Z190" i="6"/>
  <c r="AA190" i="6"/>
  <c r="AB190" i="6"/>
  <c r="AC190" i="6"/>
  <c r="AD190" i="6"/>
  <c r="AE190" i="6"/>
  <c r="AF190" i="6"/>
  <c r="AG190" i="6"/>
  <c r="N191" i="6"/>
  <c r="O191" i="6"/>
  <c r="P191" i="6"/>
  <c r="Q191" i="6"/>
  <c r="R191" i="6"/>
  <c r="S191" i="6"/>
  <c r="T191" i="6"/>
  <c r="U191" i="6"/>
  <c r="V191" i="6"/>
  <c r="W191" i="6"/>
  <c r="X191" i="6"/>
  <c r="Y191" i="6"/>
  <c r="Z191" i="6"/>
  <c r="AA191" i="6"/>
  <c r="AB191" i="6"/>
  <c r="AC191" i="6"/>
  <c r="AD191" i="6"/>
  <c r="AE191" i="6"/>
  <c r="AF191" i="6"/>
  <c r="AG191" i="6"/>
  <c r="N192" i="6"/>
  <c r="O192" i="6"/>
  <c r="P192" i="6"/>
  <c r="Q192" i="6"/>
  <c r="R192" i="6"/>
  <c r="S192" i="6"/>
  <c r="T192" i="6"/>
  <c r="U192" i="6"/>
  <c r="V192" i="6"/>
  <c r="W192" i="6"/>
  <c r="X192" i="6"/>
  <c r="Y192" i="6"/>
  <c r="Z192" i="6"/>
  <c r="AA192" i="6"/>
  <c r="AB192" i="6"/>
  <c r="AC192" i="6"/>
  <c r="AD192" i="6"/>
  <c r="AE192" i="6"/>
  <c r="AF192" i="6"/>
  <c r="AG192" i="6"/>
  <c r="N193" i="6"/>
  <c r="O193" i="6"/>
  <c r="P193" i="6"/>
  <c r="Q193" i="6"/>
  <c r="R193" i="6"/>
  <c r="S193" i="6"/>
  <c r="T193" i="6"/>
  <c r="U193" i="6"/>
  <c r="V193" i="6"/>
  <c r="W193" i="6"/>
  <c r="X193" i="6"/>
  <c r="Y193" i="6"/>
  <c r="Z193" i="6"/>
  <c r="AA193" i="6"/>
  <c r="AB193" i="6"/>
  <c r="AC193" i="6"/>
  <c r="AD193" i="6"/>
  <c r="AE193" i="6"/>
  <c r="AF193" i="6"/>
  <c r="AG193" i="6"/>
  <c r="N194" i="6"/>
  <c r="O194" i="6"/>
  <c r="P194" i="6"/>
  <c r="Q194" i="6"/>
  <c r="R194" i="6"/>
  <c r="S194" i="6"/>
  <c r="T194" i="6"/>
  <c r="U194" i="6"/>
  <c r="V194" i="6"/>
  <c r="W194" i="6"/>
  <c r="X194" i="6"/>
  <c r="Y194" i="6"/>
  <c r="Z194" i="6"/>
  <c r="AA194" i="6"/>
  <c r="AB194" i="6"/>
  <c r="AC194" i="6"/>
  <c r="AD194" i="6"/>
  <c r="AE194" i="6"/>
  <c r="AF194" i="6"/>
  <c r="AG194" i="6"/>
  <c r="N195" i="6"/>
  <c r="O195" i="6"/>
  <c r="P195" i="6"/>
  <c r="Q195" i="6"/>
  <c r="R195" i="6"/>
  <c r="S195" i="6"/>
  <c r="T195" i="6"/>
  <c r="U195" i="6"/>
  <c r="V195" i="6"/>
  <c r="W195" i="6"/>
  <c r="X195" i="6"/>
  <c r="Y195" i="6"/>
  <c r="Z195" i="6"/>
  <c r="AA195" i="6"/>
  <c r="AB195" i="6"/>
  <c r="AC195" i="6"/>
  <c r="AD195" i="6"/>
  <c r="AE195" i="6"/>
  <c r="AF195" i="6"/>
  <c r="AG195" i="6"/>
  <c r="N196" i="6"/>
  <c r="O196" i="6"/>
  <c r="P196" i="6"/>
  <c r="Q196" i="6"/>
  <c r="R196" i="6"/>
  <c r="S196" i="6"/>
  <c r="T196" i="6"/>
  <c r="U196" i="6"/>
  <c r="V196" i="6"/>
  <c r="W196" i="6"/>
  <c r="X196" i="6"/>
  <c r="Y196" i="6"/>
  <c r="Z196" i="6"/>
  <c r="AA196" i="6"/>
  <c r="AB196" i="6"/>
  <c r="AC196" i="6"/>
  <c r="AD196" i="6"/>
  <c r="AE196" i="6"/>
  <c r="AF196" i="6"/>
  <c r="AG196" i="6"/>
  <c r="N197" i="6"/>
  <c r="O197" i="6"/>
  <c r="P197" i="6"/>
  <c r="Q197" i="6"/>
  <c r="R197" i="6"/>
  <c r="S197" i="6"/>
  <c r="T197" i="6"/>
  <c r="U197" i="6"/>
  <c r="V197" i="6"/>
  <c r="W197" i="6"/>
  <c r="X197" i="6"/>
  <c r="Y197" i="6"/>
  <c r="Z197" i="6"/>
  <c r="AA197" i="6"/>
  <c r="AB197" i="6"/>
  <c r="AC197" i="6"/>
  <c r="AD197" i="6"/>
  <c r="AE197" i="6"/>
  <c r="AF197" i="6"/>
  <c r="AG197" i="6"/>
  <c r="N198" i="6"/>
  <c r="O198" i="6"/>
  <c r="P198" i="6"/>
  <c r="Q198" i="6"/>
  <c r="R198" i="6"/>
  <c r="S198" i="6"/>
  <c r="T198" i="6"/>
  <c r="U198" i="6"/>
  <c r="V198" i="6"/>
  <c r="W198" i="6"/>
  <c r="X198" i="6"/>
  <c r="Y198" i="6"/>
  <c r="Z198" i="6"/>
  <c r="AA198" i="6"/>
  <c r="AB198" i="6"/>
  <c r="AC198" i="6"/>
  <c r="AD198" i="6"/>
  <c r="AE198" i="6"/>
  <c r="AF198" i="6"/>
  <c r="AG198" i="6"/>
  <c r="N199" i="6"/>
  <c r="O199" i="6"/>
  <c r="P199" i="6"/>
  <c r="Q199" i="6"/>
  <c r="R199" i="6"/>
  <c r="S199" i="6"/>
  <c r="T199" i="6"/>
  <c r="U199" i="6"/>
  <c r="V199" i="6"/>
  <c r="W199" i="6"/>
  <c r="X199" i="6"/>
  <c r="Y199" i="6"/>
  <c r="Z199" i="6"/>
  <c r="AA199" i="6"/>
  <c r="AB199" i="6"/>
  <c r="AC199" i="6"/>
  <c r="AD199" i="6"/>
  <c r="AE199" i="6"/>
  <c r="AF199" i="6"/>
  <c r="AG199" i="6"/>
  <c r="N200" i="6"/>
  <c r="O200" i="6"/>
  <c r="P200" i="6"/>
  <c r="Q200" i="6"/>
  <c r="R200" i="6"/>
  <c r="S200" i="6"/>
  <c r="T200" i="6"/>
  <c r="U200" i="6"/>
  <c r="V200" i="6"/>
  <c r="W200" i="6"/>
  <c r="X200" i="6"/>
  <c r="Y200" i="6"/>
  <c r="Z200" i="6"/>
  <c r="AA200" i="6"/>
  <c r="AB200" i="6"/>
  <c r="AC200" i="6"/>
  <c r="AD200" i="6"/>
  <c r="AE200" i="6"/>
  <c r="AF200" i="6"/>
  <c r="AG200" i="6"/>
  <c r="N201" i="6"/>
  <c r="O201" i="6"/>
  <c r="P201" i="6"/>
  <c r="Q201" i="6"/>
  <c r="R201" i="6"/>
  <c r="S201" i="6"/>
  <c r="T201" i="6"/>
  <c r="U201" i="6"/>
  <c r="V201" i="6"/>
  <c r="W201" i="6"/>
  <c r="X201" i="6"/>
  <c r="Y201" i="6"/>
  <c r="Z201" i="6"/>
  <c r="AA201" i="6"/>
  <c r="AB201" i="6"/>
  <c r="AC201" i="6"/>
  <c r="AD201" i="6"/>
  <c r="AE201" i="6"/>
  <c r="AF201" i="6"/>
  <c r="AG201" i="6"/>
  <c r="N202" i="6"/>
  <c r="O202" i="6"/>
  <c r="P202" i="6"/>
  <c r="Q202" i="6"/>
  <c r="R202" i="6"/>
  <c r="S202" i="6"/>
  <c r="T202" i="6"/>
  <c r="U202" i="6"/>
  <c r="V202" i="6"/>
  <c r="W202" i="6"/>
  <c r="X202" i="6"/>
  <c r="Y202" i="6"/>
  <c r="Z202" i="6"/>
  <c r="AA202" i="6"/>
  <c r="AB202" i="6"/>
  <c r="AC202" i="6"/>
  <c r="AD202" i="6"/>
  <c r="AE202" i="6"/>
  <c r="AF202" i="6"/>
  <c r="AG202" i="6"/>
  <c r="N203" i="6"/>
  <c r="O203" i="6"/>
  <c r="P203" i="6"/>
  <c r="Q203" i="6"/>
  <c r="R203" i="6"/>
  <c r="S203" i="6"/>
  <c r="T203" i="6"/>
  <c r="U203" i="6"/>
  <c r="V203" i="6"/>
  <c r="W203" i="6"/>
  <c r="X203" i="6"/>
  <c r="Y203" i="6"/>
  <c r="Z203" i="6"/>
  <c r="AA203" i="6"/>
  <c r="AB203" i="6"/>
  <c r="AC203" i="6"/>
  <c r="AD203" i="6"/>
  <c r="AE203" i="6"/>
  <c r="AF203" i="6"/>
  <c r="AG203" i="6"/>
  <c r="N204" i="6"/>
  <c r="O204" i="6"/>
  <c r="P204" i="6"/>
  <c r="Q204" i="6"/>
  <c r="R204" i="6"/>
  <c r="S204" i="6"/>
  <c r="T204" i="6"/>
  <c r="U204" i="6"/>
  <c r="V204" i="6"/>
  <c r="W204" i="6"/>
  <c r="X204" i="6"/>
  <c r="Y204" i="6"/>
  <c r="Z204" i="6"/>
  <c r="AA204" i="6"/>
  <c r="AB204" i="6"/>
  <c r="AC204" i="6"/>
  <c r="AD204" i="6"/>
  <c r="AE204" i="6"/>
  <c r="AF204" i="6"/>
  <c r="AG204" i="6"/>
  <c r="Q4" i="6"/>
  <c r="R4" i="6"/>
  <c r="S4" i="6"/>
  <c r="T4" i="6"/>
  <c r="U4" i="6"/>
  <c r="V4" i="6"/>
  <c r="W4" i="6"/>
  <c r="X4" i="6"/>
  <c r="Y4" i="6"/>
  <c r="Z4" i="6"/>
  <c r="AA4" i="6"/>
  <c r="AB4" i="6"/>
  <c r="AC4" i="6"/>
  <c r="AD4" i="6"/>
  <c r="AE4" i="6"/>
  <c r="AF4" i="6"/>
  <c r="AG4" i="6"/>
  <c r="O4" i="6"/>
  <c r="P4" i="6"/>
  <c r="AE48" i="3"/>
  <c r="AK31" i="3"/>
  <c r="AK32" i="3"/>
  <c r="AK33" i="3"/>
  <c r="AK30" i="3"/>
  <c r="AL27" i="3"/>
  <c r="AL28" i="3"/>
  <c r="AL29" i="3"/>
  <c r="AL26" i="3"/>
  <c r="F75" i="3"/>
  <c r="F76" i="3" s="1"/>
  <c r="H76" i="3" s="1"/>
  <c r="F79" i="3"/>
  <c r="H79" i="3" s="1"/>
  <c r="F80" i="3"/>
  <c r="H80" i="3" s="1"/>
  <c r="AF48" i="3"/>
  <c r="AG48" i="3"/>
  <c r="AN52" i="3"/>
  <c r="AD48" i="3"/>
  <c r="F98" i="3"/>
  <c r="I98" i="3" s="1"/>
  <c r="F97" i="3"/>
  <c r="I97" i="3" s="1"/>
  <c r="F96" i="3"/>
  <c r="I96" i="3" s="1"/>
  <c r="F95" i="3"/>
  <c r="I95" i="3" s="1"/>
  <c r="F94" i="3"/>
  <c r="I94" i="3" s="1"/>
  <c r="F93" i="3"/>
  <c r="I93" i="3" s="1"/>
  <c r="F92" i="3"/>
  <c r="I92" i="3" s="1"/>
  <c r="F91" i="3"/>
  <c r="I91" i="3" s="1"/>
  <c r="F90" i="3"/>
  <c r="I90" i="3" s="1"/>
  <c r="F89" i="3"/>
  <c r="I89" i="3" s="1"/>
  <c r="F88" i="3"/>
  <c r="I88" i="3" s="1"/>
  <c r="F87" i="3"/>
  <c r="I87" i="3" s="1"/>
  <c r="F86" i="3"/>
  <c r="I86" i="3" s="1"/>
  <c r="F85" i="3"/>
  <c r="I85" i="3" s="1"/>
  <c r="F84" i="3"/>
  <c r="I84" i="3" s="1"/>
  <c r="F83" i="3"/>
  <c r="I83" i="3" s="1"/>
  <c r="F82" i="3"/>
  <c r="I82" i="3" s="1"/>
  <c r="F81" i="3"/>
  <c r="I81" i="3" s="1"/>
  <c r="J37" i="3" a="1"/>
  <c r="J37" i="3" s="1"/>
  <c r="J39" i="3"/>
  <c r="V44" i="3"/>
  <c r="L37" i="3" s="1"/>
  <c r="H47" i="3"/>
  <c r="J47" i="3" s="1"/>
  <c r="H48" i="3"/>
  <c r="J48" i="3" s="1"/>
  <c r="H49" i="3"/>
  <c r="J49" i="3" s="1"/>
  <c r="H50" i="3"/>
  <c r="J50" i="3" s="1"/>
  <c r="H51" i="3"/>
  <c r="J51" i="3" s="1"/>
  <c r="H52" i="3"/>
  <c r="J52" i="3" s="1"/>
  <c r="H53" i="3"/>
  <c r="H54" i="3"/>
  <c r="H55" i="3"/>
  <c r="J55" i="3" s="1"/>
  <c r="H56" i="3"/>
  <c r="J56" i="3" s="1"/>
  <c r="H57" i="3"/>
  <c r="J57" i="3" s="1"/>
  <c r="H58" i="3"/>
  <c r="J58" i="3" s="1"/>
  <c r="H59" i="3"/>
  <c r="J59" i="3" s="1"/>
  <c r="H60" i="3"/>
  <c r="J60" i="3" s="1"/>
  <c r="H61" i="3"/>
  <c r="J61" i="3" s="1"/>
  <c r="H62" i="3"/>
  <c r="J62" i="3" s="1"/>
  <c r="H63" i="3"/>
  <c r="J63" i="3" s="1"/>
  <c r="H64" i="3"/>
  <c r="J64" i="3" s="1"/>
  <c r="H65" i="3"/>
  <c r="H46" i="3"/>
  <c r="P5" i="3"/>
  <c r="Q5" i="3" s="1"/>
  <c r="P6" i="3"/>
  <c r="Q6" i="3" s="1"/>
  <c r="P7" i="3"/>
  <c r="Q7" i="3" s="1"/>
  <c r="P8" i="3"/>
  <c r="Q8" i="3" s="1"/>
  <c r="P9" i="3"/>
  <c r="Q9" i="3" s="1"/>
  <c r="P10" i="3"/>
  <c r="Q10" i="3" s="1"/>
  <c r="P11" i="3"/>
  <c r="Q11" i="3" s="1"/>
  <c r="P12" i="3"/>
  <c r="Q12" i="3" s="1"/>
  <c r="P13" i="3"/>
  <c r="Q13" i="3" s="1"/>
  <c r="P14" i="3"/>
  <c r="Q14" i="3" s="1"/>
  <c r="P15" i="3"/>
  <c r="Q15" i="3" s="1"/>
  <c r="P16" i="3"/>
  <c r="Q16" i="3" s="1"/>
  <c r="P17" i="3"/>
  <c r="Q17" i="3" s="1"/>
  <c r="P18" i="3"/>
  <c r="Q18" i="3" s="1"/>
  <c r="P19" i="3"/>
  <c r="Q19" i="3" s="1"/>
  <c r="P20" i="3"/>
  <c r="Q20" i="3" s="1"/>
  <c r="P21" i="3"/>
  <c r="Q21" i="3" s="1"/>
  <c r="P22" i="3"/>
  <c r="Q22" i="3" s="1"/>
  <c r="P23" i="3"/>
  <c r="Q23" i="3" s="1"/>
  <c r="P24" i="3"/>
  <c r="Q24" i="3" s="1"/>
  <c r="H30" i="3"/>
  <c r="E30" i="3"/>
  <c r="D30" i="3"/>
  <c r="H29" i="3"/>
  <c r="F29" i="3" s="1"/>
  <c r="E29" i="3"/>
  <c r="D29" i="3"/>
  <c r="H28" i="3"/>
  <c r="F28" i="3" s="1"/>
  <c r="E28" i="3"/>
  <c r="D28" i="3"/>
  <c r="H27" i="3"/>
  <c r="E27" i="3"/>
  <c r="D27" i="3"/>
  <c r="H5" i="3"/>
  <c r="H6" i="3"/>
  <c r="F6" i="3" s="1"/>
  <c r="H7" i="3"/>
  <c r="H8" i="3"/>
  <c r="H9" i="3"/>
  <c r="H10" i="3"/>
  <c r="F10" i="3" s="1"/>
  <c r="H11" i="3"/>
  <c r="F11" i="3" s="1"/>
  <c r="H12" i="3"/>
  <c r="H13" i="3"/>
  <c r="H14" i="3"/>
  <c r="F14" i="3" s="1"/>
  <c r="H15" i="3"/>
  <c r="H16" i="3"/>
  <c r="H17" i="3"/>
  <c r="H18" i="3"/>
  <c r="H19" i="3"/>
  <c r="F19" i="3" s="1"/>
  <c r="H20" i="3"/>
  <c r="F20" i="3" s="1"/>
  <c r="H21" i="3"/>
  <c r="F21" i="3" s="1"/>
  <c r="H22" i="3"/>
  <c r="F22" i="3" s="1"/>
  <c r="H23" i="3"/>
  <c r="F23" i="3" s="1"/>
  <c r="H24" i="3"/>
  <c r="D6" i="3"/>
  <c r="D5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V42" i="3"/>
  <c r="R42" i="3" s="1"/>
  <c r="J44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5" i="3"/>
  <c r="G4" i="3"/>
  <c r="S3" i="3"/>
  <c r="S2" i="3"/>
  <c r="AC57" i="3"/>
  <c r="AC56" i="3"/>
  <c r="I80" i="3" l="1"/>
  <c r="F77" i="3"/>
  <c r="H77" i="3" s="1"/>
  <c r="I75" i="3"/>
  <c r="H87" i="3"/>
  <c r="F78" i="3"/>
  <c r="H78" i="3" s="1"/>
  <c r="I79" i="3"/>
  <c r="P205" i="6"/>
  <c r="AB205" i="6"/>
  <c r="S205" i="6"/>
  <c r="AE205" i="6"/>
  <c r="AC205" i="6"/>
  <c r="Q205" i="6"/>
  <c r="AD205" i="6"/>
  <c r="R205" i="6"/>
  <c r="AA205" i="6"/>
  <c r="Z205" i="6"/>
  <c r="Y205" i="6"/>
  <c r="X205" i="6"/>
  <c r="O205" i="6"/>
  <c r="W205" i="6"/>
  <c r="V205" i="6"/>
  <c r="AG205" i="6"/>
  <c r="U205" i="6"/>
  <c r="N205" i="6"/>
  <c r="AF205" i="6"/>
  <c r="T205" i="6"/>
  <c r="H82" i="3"/>
  <c r="H94" i="3"/>
  <c r="H75" i="3"/>
  <c r="H89" i="3"/>
  <c r="H91" i="3"/>
  <c r="H90" i="3"/>
  <c r="H88" i="3"/>
  <c r="H98" i="3"/>
  <c r="H86" i="3"/>
  <c r="H97" i="3"/>
  <c r="H85" i="3"/>
  <c r="H96" i="3"/>
  <c r="H84" i="3"/>
  <c r="H95" i="3"/>
  <c r="H83" i="3"/>
  <c r="H93" i="3"/>
  <c r="H81" i="3"/>
  <c r="H92" i="3"/>
  <c r="AE49" i="3"/>
  <c r="G63" i="3"/>
  <c r="G51" i="3"/>
  <c r="G62" i="3"/>
  <c r="G50" i="3"/>
  <c r="G61" i="3"/>
  <c r="G60" i="3"/>
  <c r="G58" i="3"/>
  <c r="G59" i="3"/>
  <c r="G47" i="3"/>
  <c r="AF49" i="3"/>
  <c r="G57" i="3"/>
  <c r="G56" i="3"/>
  <c r="G49" i="3"/>
  <c r="G48" i="3"/>
  <c r="G55" i="3"/>
  <c r="G46" i="3"/>
  <c r="G54" i="3"/>
  <c r="G65" i="3"/>
  <c r="G53" i="3"/>
  <c r="G64" i="3"/>
  <c r="G52" i="3"/>
  <c r="I65" i="3"/>
  <c r="K65" i="3"/>
  <c r="L44" i="3"/>
  <c r="R43" i="3"/>
  <c r="R44" i="3"/>
  <c r="AG49" i="3"/>
  <c r="N71" i="3"/>
  <c r="N72" i="3"/>
  <c r="M96" i="3"/>
  <c r="N96" i="3" s="1"/>
  <c r="O96" i="3" s="1"/>
  <c r="L39" i="3"/>
  <c r="I76" i="3"/>
  <c r="M76" i="3" s="1"/>
  <c r="N76" i="3" s="1"/>
  <c r="O76" i="3" s="1"/>
  <c r="I77" i="3"/>
  <c r="L77" i="3" s="1"/>
  <c r="K37" i="3"/>
  <c r="K39" i="3"/>
  <c r="L94" i="3"/>
  <c r="M94" i="3"/>
  <c r="N94" i="3" s="1"/>
  <c r="O94" i="3" s="1"/>
  <c r="M85" i="3"/>
  <c r="N85" i="3" s="1"/>
  <c r="O85" i="3" s="1"/>
  <c r="L85" i="3"/>
  <c r="M75" i="3"/>
  <c r="N75" i="3" s="1"/>
  <c r="O75" i="3" s="1"/>
  <c r="L75" i="3"/>
  <c r="M95" i="3"/>
  <c r="N95" i="3" s="1"/>
  <c r="O95" i="3" s="1"/>
  <c r="L95" i="3"/>
  <c r="M87" i="3"/>
  <c r="N87" i="3" s="1"/>
  <c r="O87" i="3" s="1"/>
  <c r="L87" i="3"/>
  <c r="M88" i="3"/>
  <c r="N88" i="3" s="1"/>
  <c r="O88" i="3" s="1"/>
  <c r="L88" i="3"/>
  <c r="M84" i="3"/>
  <c r="N84" i="3" s="1"/>
  <c r="O84" i="3" s="1"/>
  <c r="L84" i="3"/>
  <c r="M89" i="3"/>
  <c r="N89" i="3" s="1"/>
  <c r="O89" i="3" s="1"/>
  <c r="L89" i="3"/>
  <c r="M83" i="3"/>
  <c r="N83" i="3" s="1"/>
  <c r="O83" i="3" s="1"/>
  <c r="L83" i="3"/>
  <c r="M92" i="3"/>
  <c r="N92" i="3" s="1"/>
  <c r="O92" i="3" s="1"/>
  <c r="L92" i="3"/>
  <c r="M98" i="3"/>
  <c r="N98" i="3" s="1"/>
  <c r="O98" i="3" s="1"/>
  <c r="L98" i="3"/>
  <c r="M82" i="3"/>
  <c r="N82" i="3" s="1"/>
  <c r="O82" i="3" s="1"/>
  <c r="L82" i="3"/>
  <c r="M86" i="3"/>
  <c r="N86" i="3" s="1"/>
  <c r="O86" i="3" s="1"/>
  <c r="L86" i="3"/>
  <c r="M90" i="3"/>
  <c r="N90" i="3" s="1"/>
  <c r="O90" i="3" s="1"/>
  <c r="L90" i="3"/>
  <c r="M97" i="3"/>
  <c r="N97" i="3" s="1"/>
  <c r="O97" i="3" s="1"/>
  <c r="L97" i="3"/>
  <c r="M79" i="3"/>
  <c r="N79" i="3" s="1"/>
  <c r="O79" i="3" s="1"/>
  <c r="L79" i="3"/>
  <c r="M91" i="3"/>
  <c r="N91" i="3" s="1"/>
  <c r="O91" i="3" s="1"/>
  <c r="L91" i="3"/>
  <c r="M80" i="3"/>
  <c r="N80" i="3" s="1"/>
  <c r="O80" i="3" s="1"/>
  <c r="L80" i="3"/>
  <c r="M81" i="3"/>
  <c r="N81" i="3" s="1"/>
  <c r="O81" i="3" s="1"/>
  <c r="L81" i="3"/>
  <c r="M93" i="3"/>
  <c r="N93" i="3" s="1"/>
  <c r="O93" i="3" s="1"/>
  <c r="L93" i="3"/>
  <c r="L96" i="3"/>
  <c r="J46" i="3"/>
  <c r="I46" i="3"/>
  <c r="J54" i="3"/>
  <c r="K54" i="3"/>
  <c r="J53" i="3"/>
  <c r="K53" i="3"/>
  <c r="G17" i="3"/>
  <c r="L17" i="3" s="1"/>
  <c r="E25" i="3"/>
  <c r="K56" i="3"/>
  <c r="K55" i="3"/>
  <c r="K52" i="3"/>
  <c r="K63" i="3"/>
  <c r="K51" i="3"/>
  <c r="K62" i="3"/>
  <c r="K50" i="3"/>
  <c r="K61" i="3"/>
  <c r="K49" i="3"/>
  <c r="K60" i="3"/>
  <c r="K48" i="3"/>
  <c r="K59" i="3"/>
  <c r="K47" i="3"/>
  <c r="K58" i="3"/>
  <c r="K46" i="3"/>
  <c r="K57" i="3"/>
  <c r="K64" i="3"/>
  <c r="G30" i="3"/>
  <c r="L30" i="3" s="1"/>
  <c r="G27" i="3"/>
  <c r="L27" i="3" s="1"/>
  <c r="G24" i="3"/>
  <c r="L24" i="3" s="1"/>
  <c r="G12" i="3"/>
  <c r="L12" i="3" s="1"/>
  <c r="J11" i="3"/>
  <c r="G18" i="3"/>
  <c r="L18" i="3" s="1"/>
  <c r="J29" i="3"/>
  <c r="K29" i="3" s="1"/>
  <c r="J28" i="3"/>
  <c r="K28" i="3" s="1"/>
  <c r="F30" i="3"/>
  <c r="G29" i="3"/>
  <c r="G28" i="3"/>
  <c r="F27" i="3"/>
  <c r="J14" i="3"/>
  <c r="J10" i="3"/>
  <c r="J23" i="3"/>
  <c r="J22" i="3"/>
  <c r="J21" i="3"/>
  <c r="K44" i="3"/>
  <c r="J20" i="3"/>
  <c r="J19" i="3"/>
  <c r="G16" i="3"/>
  <c r="J6" i="3"/>
  <c r="G15" i="3"/>
  <c r="G5" i="3"/>
  <c r="G13" i="3"/>
  <c r="G9" i="3"/>
  <c r="G8" i="3"/>
  <c r="G7" i="3"/>
  <c r="F18" i="3"/>
  <c r="G6" i="3"/>
  <c r="F15" i="3"/>
  <c r="F16" i="3"/>
  <c r="J16" i="3" s="1"/>
  <c r="F13" i="3"/>
  <c r="F9" i="3"/>
  <c r="J9" i="3" s="1"/>
  <c r="F5" i="3"/>
  <c r="J5" i="3" s="1"/>
  <c r="G14" i="3"/>
  <c r="G11" i="3"/>
  <c r="F8" i="3"/>
  <c r="J8" i="3" s="1"/>
  <c r="F17" i="3"/>
  <c r="F7" i="3"/>
  <c r="F24" i="3"/>
  <c r="F12" i="3"/>
  <c r="G22" i="3"/>
  <c r="G10" i="3"/>
  <c r="G23" i="3"/>
  <c r="G21" i="3"/>
  <c r="R41" i="3"/>
  <c r="G20" i="3"/>
  <c r="G19" i="3"/>
  <c r="I78" i="3" l="1"/>
  <c r="M78" i="3" s="1"/>
  <c r="N78" i="3" s="1"/>
  <c r="O78" i="3" s="1"/>
  <c r="AH205" i="6"/>
  <c r="S206" i="6" s="1"/>
  <c r="X206" i="6"/>
  <c r="Q206" i="6"/>
  <c r="AE206" i="6"/>
  <c r="AB206" i="6"/>
  <c r="T206" i="6"/>
  <c r="AC206" i="6"/>
  <c r="AF206" i="6"/>
  <c r="W206" i="6"/>
  <c r="V206" i="6"/>
  <c r="Y206" i="6"/>
  <c r="Z206" i="6"/>
  <c r="AA206" i="6"/>
  <c r="R206" i="6"/>
  <c r="N206" i="6"/>
  <c r="AG206" i="6"/>
  <c r="AD206" i="6"/>
  <c r="U206" i="6"/>
  <c r="O206" i="6"/>
  <c r="M77" i="3"/>
  <c r="N77" i="3" s="1"/>
  <c r="O77" i="3" s="1"/>
  <c r="N99" i="3" s="1"/>
  <c r="M64" i="3"/>
  <c r="H99" i="3"/>
  <c r="L76" i="3"/>
  <c r="L78" i="3"/>
  <c r="M18" i="3"/>
  <c r="U18" i="3" s="1"/>
  <c r="K11" i="3"/>
  <c r="T11" i="3" s="1"/>
  <c r="M24" i="3"/>
  <c r="U24" i="3" s="1"/>
  <c r="K19" i="3"/>
  <c r="T19" i="3" s="1"/>
  <c r="K21" i="3"/>
  <c r="T21" i="3" s="1"/>
  <c r="M17" i="3"/>
  <c r="U17" i="3" s="1"/>
  <c r="K22" i="3"/>
  <c r="T22" i="3" s="1"/>
  <c r="K6" i="3"/>
  <c r="T6" i="3" s="1"/>
  <c r="K20" i="3"/>
  <c r="T20" i="3" s="1"/>
  <c r="K23" i="3"/>
  <c r="T23" i="3" s="1"/>
  <c r="M12" i="3"/>
  <c r="U12" i="3" s="1"/>
  <c r="K14" i="3"/>
  <c r="T14" i="3" s="1"/>
  <c r="K10" i="3"/>
  <c r="T10" i="3" s="1"/>
  <c r="J27" i="3"/>
  <c r="K27" i="3" s="1"/>
  <c r="L28" i="3"/>
  <c r="L29" i="3"/>
  <c r="M29" i="3" s="1"/>
  <c r="J30" i="3"/>
  <c r="K30" i="3" s="1"/>
  <c r="M30" i="3"/>
  <c r="N30" i="3" s="1"/>
  <c r="M27" i="3"/>
  <c r="N27" i="3" s="1"/>
  <c r="F25" i="3"/>
  <c r="J24" i="3"/>
  <c r="L7" i="3"/>
  <c r="K8" i="3"/>
  <c r="T8" i="3" s="1"/>
  <c r="L9" i="3"/>
  <c r="L19" i="3"/>
  <c r="L11" i="3"/>
  <c r="L13" i="3"/>
  <c r="L14" i="3"/>
  <c r="L5" i="3"/>
  <c r="L20" i="3"/>
  <c r="K5" i="3"/>
  <c r="T5" i="3" s="1"/>
  <c r="L15" i="3"/>
  <c r="L21" i="3"/>
  <c r="K9" i="3"/>
  <c r="T9" i="3" s="1"/>
  <c r="L23" i="3"/>
  <c r="J13" i="3"/>
  <c r="L16" i="3"/>
  <c r="K16" i="3"/>
  <c r="T16" i="3" s="1"/>
  <c r="L22" i="3"/>
  <c r="J7" i="3"/>
  <c r="L8" i="3"/>
  <c r="L10" i="3"/>
  <c r="J12" i="3"/>
  <c r="L6" i="3"/>
  <c r="J15" i="3"/>
  <c r="J17" i="3"/>
  <c r="J18" i="3"/>
  <c r="G25" i="3"/>
  <c r="M99" i="3" l="1"/>
  <c r="M101" i="3" s="1"/>
  <c r="P206" i="6"/>
  <c r="M47" i="3"/>
  <c r="M59" i="3"/>
  <c r="M48" i="3"/>
  <c r="M60" i="3"/>
  <c r="M49" i="3"/>
  <c r="M50" i="3"/>
  <c r="M62" i="3"/>
  <c r="M51" i="3"/>
  <c r="M63" i="3"/>
  <c r="M52" i="3"/>
  <c r="M56" i="3"/>
  <c r="M53" i="3"/>
  <c r="M46" i="3"/>
  <c r="M54" i="3"/>
  <c r="M55" i="3"/>
  <c r="M57" i="3"/>
  <c r="M58" i="3"/>
  <c r="M61" i="3"/>
  <c r="K99" i="3"/>
  <c r="K101" i="3" s="1"/>
  <c r="K17" i="3"/>
  <c r="V17" i="3" s="1"/>
  <c r="W17" i="3" s="1"/>
  <c r="M7" i="3"/>
  <c r="U7" i="3" s="1"/>
  <c r="K15" i="3"/>
  <c r="M21" i="3"/>
  <c r="V21" i="3" s="1"/>
  <c r="W21" i="3" s="1"/>
  <c r="K24" i="3"/>
  <c r="V24" i="3" s="1"/>
  <c r="W24" i="3" s="1"/>
  <c r="M6" i="3"/>
  <c r="V6" i="3" s="1"/>
  <c r="W6" i="3" s="1"/>
  <c r="M15" i="3"/>
  <c r="U15" i="3" s="1"/>
  <c r="K12" i="3"/>
  <c r="V12" i="3" s="1"/>
  <c r="W12" i="3" s="1"/>
  <c r="M10" i="3"/>
  <c r="V10" i="3" s="1"/>
  <c r="W10" i="3" s="1"/>
  <c r="M20" i="3"/>
  <c r="V20" i="3" s="1"/>
  <c r="W20" i="3" s="1"/>
  <c r="M5" i="3"/>
  <c r="K7" i="3"/>
  <c r="M14" i="3"/>
  <c r="U14" i="3" s="1"/>
  <c r="M22" i="3"/>
  <c r="V22" i="3" s="1"/>
  <c r="W22" i="3" s="1"/>
  <c r="M13" i="3"/>
  <c r="U13" i="3" s="1"/>
  <c r="M11" i="3"/>
  <c r="V11" i="3" s="1"/>
  <c r="W11" i="3" s="1"/>
  <c r="M16" i="3"/>
  <c r="V16" i="3" s="1"/>
  <c r="W16" i="3" s="1"/>
  <c r="K13" i="3"/>
  <c r="T13" i="3" s="1"/>
  <c r="M9" i="3"/>
  <c r="V9" i="3" s="1"/>
  <c r="W9" i="3" s="1"/>
  <c r="K18" i="3"/>
  <c r="T18" i="3" s="1"/>
  <c r="N29" i="3"/>
  <c r="M28" i="3"/>
  <c r="N28" i="3" s="1"/>
  <c r="M19" i="3"/>
  <c r="U19" i="3" s="1"/>
  <c r="M23" i="3"/>
  <c r="V23" i="3" s="1"/>
  <c r="W23" i="3" s="1"/>
  <c r="M8" i="3"/>
  <c r="U8" i="3" s="1"/>
  <c r="U6" i="3" l="1"/>
  <c r="V15" i="3"/>
  <c r="W15" i="3" s="1"/>
  <c r="V19" i="3"/>
  <c r="W19" i="3" s="1"/>
  <c r="V7" i="3"/>
  <c r="W7" i="3" s="1"/>
  <c r="U16" i="3"/>
  <c r="T24" i="3"/>
  <c r="R35" i="3" s="1"/>
  <c r="V13" i="3"/>
  <c r="W13" i="3" s="1"/>
  <c r="V14" i="3"/>
  <c r="W14" i="3" s="1"/>
  <c r="T17" i="3"/>
  <c r="T7" i="3"/>
  <c r="T12" i="3"/>
  <c r="T15" i="3"/>
  <c r="U10" i="3"/>
  <c r="V5" i="3"/>
  <c r="W5" i="3" s="1"/>
  <c r="U21" i="3"/>
  <c r="U11" i="3"/>
  <c r="U20" i="3"/>
  <c r="U22" i="3"/>
  <c r="V8" i="3"/>
  <c r="W8" i="3" s="1"/>
  <c r="U23" i="3"/>
  <c r="V18" i="3"/>
  <c r="W18" i="3" s="1"/>
  <c r="U5" i="3"/>
  <c r="U9" i="3"/>
  <c r="U28" i="3" l="1"/>
  <c r="R23" i="3" s="1"/>
  <c r="R20" i="3" l="1"/>
  <c r="R22" i="3"/>
  <c r="R36" i="3"/>
  <c r="R33" i="3" s="1"/>
  <c r="S33" i="3" s="1"/>
  <c r="R12" i="3"/>
  <c r="R17" i="3"/>
  <c r="R24" i="3"/>
  <c r="R18" i="3"/>
  <c r="R14" i="3"/>
  <c r="R15" i="3"/>
  <c r="R13" i="3"/>
  <c r="R6" i="3"/>
  <c r="R8" i="3"/>
  <c r="R7" i="3"/>
  <c r="R19" i="3"/>
  <c r="R16" i="3"/>
  <c r="R5" i="3"/>
  <c r="R9" i="3"/>
  <c r="R10" i="3"/>
  <c r="R21" i="3"/>
  <c r="R11" i="3"/>
  <c r="P49" i="4" l="1"/>
  <c r="I55" i="4"/>
  <c r="J55" i="4" s="1"/>
  <c r="J16" i="5"/>
  <c r="I16" i="5"/>
  <c r="J15" i="5"/>
  <c r="N10" i="5"/>
  <c r="O10" i="5" s="1"/>
  <c r="L9" i="5"/>
  <c r="J9" i="5"/>
  <c r="L8" i="5"/>
  <c r="L7" i="5"/>
  <c r="L6" i="5"/>
  <c r="L5" i="5"/>
  <c r="L4" i="5"/>
  <c r="L3" i="5"/>
  <c r="L2" i="5"/>
  <c r="L1" i="5"/>
  <c r="D1003" i="5"/>
  <c r="D1002" i="5"/>
  <c r="D1001" i="5"/>
  <c r="D1000" i="5"/>
  <c r="D999" i="5"/>
  <c r="D998" i="5"/>
  <c r="D997" i="5"/>
  <c r="D996" i="5"/>
  <c r="D995" i="5"/>
  <c r="D994" i="5"/>
  <c r="D993" i="5"/>
  <c r="D992" i="5"/>
  <c r="D991" i="5"/>
  <c r="D990" i="5"/>
  <c r="D989" i="5"/>
  <c r="D988" i="5"/>
  <c r="D987" i="5"/>
  <c r="D986" i="5"/>
  <c r="D985" i="5"/>
  <c r="D984" i="5"/>
  <c r="D983" i="5"/>
  <c r="D982" i="5"/>
  <c r="D981" i="5"/>
  <c r="D980" i="5"/>
  <c r="D979" i="5"/>
  <c r="D978" i="5"/>
  <c r="D977" i="5"/>
  <c r="D976" i="5"/>
  <c r="D975" i="5"/>
  <c r="D974" i="5"/>
  <c r="D973" i="5"/>
  <c r="D972" i="5"/>
  <c r="D971" i="5"/>
  <c r="D970" i="5"/>
  <c r="D969" i="5"/>
  <c r="D968" i="5"/>
  <c r="D967" i="5"/>
  <c r="D966" i="5"/>
  <c r="D965" i="5"/>
  <c r="D964" i="5"/>
  <c r="D963" i="5"/>
  <c r="D962" i="5"/>
  <c r="D961" i="5"/>
  <c r="D960" i="5"/>
  <c r="D959" i="5"/>
  <c r="D958" i="5"/>
  <c r="D957" i="5"/>
  <c r="D956" i="5"/>
  <c r="D955" i="5"/>
  <c r="D954" i="5"/>
  <c r="D953" i="5"/>
  <c r="D952" i="5"/>
  <c r="D951" i="5"/>
  <c r="D950" i="5"/>
  <c r="D949" i="5"/>
  <c r="D948" i="5"/>
  <c r="D947" i="5"/>
  <c r="D946" i="5"/>
  <c r="D945" i="5"/>
  <c r="D944" i="5"/>
  <c r="D943" i="5"/>
  <c r="D942" i="5"/>
  <c r="D941" i="5"/>
  <c r="D940" i="5"/>
  <c r="D939" i="5"/>
  <c r="D938" i="5"/>
  <c r="D937" i="5"/>
  <c r="D936" i="5"/>
  <c r="D935" i="5"/>
  <c r="D934" i="5"/>
  <c r="D933" i="5"/>
  <c r="D932" i="5"/>
  <c r="D931" i="5"/>
  <c r="D930" i="5"/>
  <c r="D929" i="5"/>
  <c r="D928" i="5"/>
  <c r="D927" i="5"/>
  <c r="D926" i="5"/>
  <c r="D925" i="5"/>
  <c r="D924" i="5"/>
  <c r="D923" i="5"/>
  <c r="D922" i="5"/>
  <c r="D921" i="5"/>
  <c r="D920" i="5"/>
  <c r="D919" i="5"/>
  <c r="D918" i="5"/>
  <c r="D917" i="5"/>
  <c r="D916" i="5"/>
  <c r="D915" i="5"/>
  <c r="D914" i="5"/>
  <c r="D913" i="5"/>
  <c r="D912" i="5"/>
  <c r="D911" i="5"/>
  <c r="D910" i="5"/>
  <c r="D909" i="5"/>
  <c r="D908" i="5"/>
  <c r="D907" i="5"/>
  <c r="D906" i="5"/>
  <c r="D905" i="5"/>
  <c r="D904" i="5"/>
  <c r="D903" i="5"/>
  <c r="D902" i="5"/>
  <c r="D901" i="5"/>
  <c r="D900" i="5"/>
  <c r="D899" i="5"/>
  <c r="D898" i="5"/>
  <c r="D897" i="5"/>
  <c r="D896" i="5"/>
  <c r="D895" i="5"/>
  <c r="D894" i="5"/>
  <c r="D893" i="5"/>
  <c r="D892" i="5"/>
  <c r="D891" i="5"/>
  <c r="D890" i="5"/>
  <c r="D889" i="5"/>
  <c r="D888" i="5"/>
  <c r="D887" i="5"/>
  <c r="D886" i="5"/>
  <c r="D885" i="5"/>
  <c r="D884" i="5"/>
  <c r="D883" i="5"/>
  <c r="D882" i="5"/>
  <c r="D881" i="5"/>
  <c r="D880" i="5"/>
  <c r="D879" i="5"/>
  <c r="D878" i="5"/>
  <c r="D877" i="5"/>
  <c r="D876" i="5"/>
  <c r="D875" i="5"/>
  <c r="D874" i="5"/>
  <c r="D873" i="5"/>
  <c r="D872" i="5"/>
  <c r="D871" i="5"/>
  <c r="D870" i="5"/>
  <c r="D869" i="5"/>
  <c r="D868" i="5"/>
  <c r="D867" i="5"/>
  <c r="D866" i="5"/>
  <c r="D865" i="5"/>
  <c r="D864" i="5"/>
  <c r="D863" i="5"/>
  <c r="D862" i="5"/>
  <c r="D861" i="5"/>
  <c r="D860" i="5"/>
  <c r="D859" i="5"/>
  <c r="D858" i="5"/>
  <c r="D857" i="5"/>
  <c r="D856" i="5"/>
  <c r="D855" i="5"/>
  <c r="D854" i="5"/>
  <c r="D853" i="5"/>
  <c r="D852" i="5"/>
  <c r="D851" i="5"/>
  <c r="D850" i="5"/>
  <c r="D849" i="5"/>
  <c r="D848" i="5"/>
  <c r="D847" i="5"/>
  <c r="D846" i="5"/>
  <c r="D845" i="5"/>
  <c r="D844" i="5"/>
  <c r="D843" i="5"/>
  <c r="D842" i="5"/>
  <c r="D841" i="5"/>
  <c r="D840" i="5"/>
  <c r="D839" i="5"/>
  <c r="D838" i="5"/>
  <c r="D837" i="5"/>
  <c r="D836" i="5"/>
  <c r="D835" i="5"/>
  <c r="D834" i="5"/>
  <c r="D833" i="5"/>
  <c r="D832" i="5"/>
  <c r="D831" i="5"/>
  <c r="D830" i="5"/>
  <c r="D829" i="5"/>
  <c r="D828" i="5"/>
  <c r="D827" i="5"/>
  <c r="D826" i="5"/>
  <c r="D825" i="5"/>
  <c r="D824" i="5"/>
  <c r="D823" i="5"/>
  <c r="D822" i="5"/>
  <c r="D821" i="5"/>
  <c r="D820" i="5"/>
  <c r="D819" i="5"/>
  <c r="D818" i="5"/>
  <c r="D817" i="5"/>
  <c r="D816" i="5"/>
  <c r="D815" i="5"/>
  <c r="D814" i="5"/>
  <c r="D813" i="5"/>
  <c r="D812" i="5"/>
  <c r="D811" i="5"/>
  <c r="D810" i="5"/>
  <c r="D809" i="5"/>
  <c r="D808" i="5"/>
  <c r="D807" i="5"/>
  <c r="D806" i="5"/>
  <c r="D805" i="5"/>
  <c r="D804" i="5"/>
  <c r="D803" i="5"/>
  <c r="D802" i="5"/>
  <c r="D801" i="5"/>
  <c r="D800" i="5"/>
  <c r="D799" i="5"/>
  <c r="D798" i="5"/>
  <c r="D797" i="5"/>
  <c r="D796" i="5"/>
  <c r="D795" i="5"/>
  <c r="D794" i="5"/>
  <c r="D793" i="5"/>
  <c r="D792" i="5"/>
  <c r="D791" i="5"/>
  <c r="D790" i="5"/>
  <c r="D789" i="5"/>
  <c r="D788" i="5"/>
  <c r="D787" i="5"/>
  <c r="D786" i="5"/>
  <c r="D785" i="5"/>
  <c r="D784" i="5"/>
  <c r="D783" i="5"/>
  <c r="D782" i="5"/>
  <c r="D781" i="5"/>
  <c r="D780" i="5"/>
  <c r="D779" i="5"/>
  <c r="D778" i="5"/>
  <c r="D777" i="5"/>
  <c r="D776" i="5"/>
  <c r="D775" i="5"/>
  <c r="D774" i="5"/>
  <c r="D773" i="5"/>
  <c r="D772" i="5"/>
  <c r="D771" i="5"/>
  <c r="D770" i="5"/>
  <c r="D769" i="5"/>
  <c r="D768" i="5"/>
  <c r="D767" i="5"/>
  <c r="D766" i="5"/>
  <c r="D765" i="5"/>
  <c r="D764" i="5"/>
  <c r="D763" i="5"/>
  <c r="D762" i="5"/>
  <c r="D761" i="5"/>
  <c r="D760" i="5"/>
  <c r="D759" i="5"/>
  <c r="D758" i="5"/>
  <c r="D757" i="5"/>
  <c r="D756" i="5"/>
  <c r="D755" i="5"/>
  <c r="D754" i="5"/>
  <c r="D753" i="5"/>
  <c r="D752" i="5"/>
  <c r="D751" i="5"/>
  <c r="D750" i="5"/>
  <c r="D749" i="5"/>
  <c r="D748" i="5"/>
  <c r="D747" i="5"/>
  <c r="D746" i="5"/>
  <c r="D745" i="5"/>
  <c r="D744" i="5"/>
  <c r="D743" i="5"/>
  <c r="D742" i="5"/>
  <c r="D741" i="5"/>
  <c r="D740" i="5"/>
  <c r="D739" i="5"/>
  <c r="D738" i="5"/>
  <c r="D737" i="5"/>
  <c r="D736" i="5"/>
  <c r="D735" i="5"/>
  <c r="D734" i="5"/>
  <c r="D733" i="5"/>
  <c r="D732" i="5"/>
  <c r="D731" i="5"/>
  <c r="D730" i="5"/>
  <c r="D729" i="5"/>
  <c r="D728" i="5"/>
  <c r="D727" i="5"/>
  <c r="D726" i="5"/>
  <c r="D725" i="5"/>
  <c r="D724" i="5"/>
  <c r="D723" i="5"/>
  <c r="D722" i="5"/>
  <c r="D721" i="5"/>
  <c r="D720" i="5"/>
  <c r="D719" i="5"/>
  <c r="D718" i="5"/>
  <c r="D717" i="5"/>
  <c r="D716" i="5"/>
  <c r="D715" i="5"/>
  <c r="D714" i="5"/>
  <c r="D713" i="5"/>
  <c r="D712" i="5"/>
  <c r="D711" i="5"/>
  <c r="D710" i="5"/>
  <c r="D709" i="5"/>
  <c r="D708" i="5"/>
  <c r="D707" i="5"/>
  <c r="D706" i="5"/>
  <c r="D705" i="5"/>
  <c r="D704" i="5"/>
  <c r="D703" i="5"/>
  <c r="D702" i="5"/>
  <c r="D701" i="5"/>
  <c r="D700" i="5"/>
  <c r="D699" i="5"/>
  <c r="D698" i="5"/>
  <c r="D697" i="5"/>
  <c r="D696" i="5"/>
  <c r="D695" i="5"/>
  <c r="D694" i="5"/>
  <c r="D693" i="5"/>
  <c r="D692" i="5"/>
  <c r="D691" i="5"/>
  <c r="D690" i="5"/>
  <c r="D689" i="5"/>
  <c r="D688" i="5"/>
  <c r="D687" i="5"/>
  <c r="D686" i="5"/>
  <c r="D685" i="5"/>
  <c r="D684" i="5"/>
  <c r="D683" i="5"/>
  <c r="D682" i="5"/>
  <c r="D681" i="5"/>
  <c r="D680" i="5"/>
  <c r="D679" i="5"/>
  <c r="D678" i="5"/>
  <c r="D677" i="5"/>
  <c r="D676" i="5"/>
  <c r="D675" i="5"/>
  <c r="D674" i="5"/>
  <c r="D673" i="5"/>
  <c r="D672" i="5"/>
  <c r="D671" i="5"/>
  <c r="D670" i="5"/>
  <c r="D669" i="5"/>
  <c r="D668" i="5"/>
  <c r="D667" i="5"/>
  <c r="D666" i="5"/>
  <c r="D665" i="5"/>
  <c r="D664" i="5"/>
  <c r="D663" i="5"/>
  <c r="D662" i="5"/>
  <c r="D661" i="5"/>
  <c r="D660" i="5"/>
  <c r="D659" i="5"/>
  <c r="D658" i="5"/>
  <c r="D657" i="5"/>
  <c r="D656" i="5"/>
  <c r="D655" i="5"/>
  <c r="D654" i="5"/>
  <c r="D653" i="5"/>
  <c r="D652" i="5"/>
  <c r="D651" i="5"/>
  <c r="D650" i="5"/>
  <c r="D649" i="5"/>
  <c r="D648" i="5"/>
  <c r="D647" i="5"/>
  <c r="D646" i="5"/>
  <c r="D645" i="5"/>
  <c r="D644" i="5"/>
  <c r="D643" i="5"/>
  <c r="D642" i="5"/>
  <c r="D641" i="5"/>
  <c r="D640" i="5"/>
  <c r="D639" i="5"/>
  <c r="D638" i="5"/>
  <c r="D637" i="5"/>
  <c r="D636" i="5"/>
  <c r="D635" i="5"/>
  <c r="D634" i="5"/>
  <c r="D633" i="5"/>
  <c r="D632" i="5"/>
  <c r="D631" i="5"/>
  <c r="D630" i="5"/>
  <c r="D629" i="5"/>
  <c r="D628" i="5"/>
  <c r="D627" i="5"/>
  <c r="D626" i="5"/>
  <c r="D625" i="5"/>
  <c r="D624" i="5"/>
  <c r="D623" i="5"/>
  <c r="D622" i="5"/>
  <c r="D621" i="5"/>
  <c r="D620" i="5"/>
  <c r="D619" i="5"/>
  <c r="D618" i="5"/>
  <c r="D617" i="5"/>
  <c r="D616" i="5"/>
  <c r="D615" i="5"/>
  <c r="D614" i="5"/>
  <c r="D613" i="5"/>
  <c r="D612" i="5"/>
  <c r="D611" i="5"/>
  <c r="D610" i="5"/>
  <c r="D609" i="5"/>
  <c r="D608" i="5"/>
  <c r="D607" i="5"/>
  <c r="D606" i="5"/>
  <c r="D605" i="5"/>
  <c r="D604" i="5"/>
  <c r="D603" i="5"/>
  <c r="D602" i="5"/>
  <c r="D601" i="5"/>
  <c r="D600" i="5"/>
  <c r="D599" i="5"/>
  <c r="D598" i="5"/>
  <c r="D597" i="5"/>
  <c r="D596" i="5"/>
  <c r="D595" i="5"/>
  <c r="D594" i="5"/>
  <c r="D593" i="5"/>
  <c r="D592" i="5"/>
  <c r="D591" i="5"/>
  <c r="D590" i="5"/>
  <c r="D589" i="5"/>
  <c r="D588" i="5"/>
  <c r="D587" i="5"/>
  <c r="D586" i="5"/>
  <c r="D585" i="5"/>
  <c r="D584" i="5"/>
  <c r="D583" i="5"/>
  <c r="D582" i="5"/>
  <c r="D581" i="5"/>
  <c r="D580" i="5"/>
  <c r="D579" i="5"/>
  <c r="D578" i="5"/>
  <c r="D577" i="5"/>
  <c r="D576" i="5"/>
  <c r="D575" i="5"/>
  <c r="D574" i="5"/>
  <c r="D573" i="5"/>
  <c r="D572" i="5"/>
  <c r="D571" i="5"/>
  <c r="D570" i="5"/>
  <c r="D569" i="5"/>
  <c r="D568" i="5"/>
  <c r="D567" i="5"/>
  <c r="D566" i="5"/>
  <c r="D565" i="5"/>
  <c r="D564" i="5"/>
  <c r="D563" i="5"/>
  <c r="D562" i="5"/>
  <c r="D561" i="5"/>
  <c r="D560" i="5"/>
  <c r="D559" i="5"/>
  <c r="D558" i="5"/>
  <c r="D557" i="5"/>
  <c r="D556" i="5"/>
  <c r="D555" i="5"/>
  <c r="D554" i="5"/>
  <c r="D553" i="5"/>
  <c r="D552" i="5"/>
  <c r="D551" i="5"/>
  <c r="D550" i="5"/>
  <c r="D549" i="5"/>
  <c r="D548" i="5"/>
  <c r="D547" i="5"/>
  <c r="D546" i="5"/>
  <c r="D545" i="5"/>
  <c r="D544" i="5"/>
  <c r="D543" i="5"/>
  <c r="D542" i="5"/>
  <c r="D541" i="5"/>
  <c r="D540" i="5"/>
  <c r="D539" i="5"/>
  <c r="D538" i="5"/>
  <c r="D537" i="5"/>
  <c r="D536" i="5"/>
  <c r="D535" i="5"/>
  <c r="D534" i="5"/>
  <c r="D533" i="5"/>
  <c r="D532" i="5"/>
  <c r="D531" i="5"/>
  <c r="D530" i="5"/>
  <c r="D529" i="5"/>
  <c r="D528" i="5"/>
  <c r="D527" i="5"/>
  <c r="D526" i="5"/>
  <c r="D525" i="5"/>
  <c r="D524" i="5"/>
  <c r="D523" i="5"/>
  <c r="D522" i="5"/>
  <c r="D521" i="5"/>
  <c r="D520" i="5"/>
  <c r="D519" i="5"/>
  <c r="D518" i="5"/>
  <c r="D517" i="5"/>
  <c r="D516" i="5"/>
  <c r="D515" i="5"/>
  <c r="D514" i="5"/>
  <c r="D513" i="5"/>
  <c r="D512" i="5"/>
  <c r="D511" i="5"/>
  <c r="D510" i="5"/>
  <c r="D509" i="5"/>
  <c r="D508" i="5"/>
  <c r="D507" i="5"/>
  <c r="D506" i="5"/>
  <c r="D505" i="5"/>
  <c r="D504" i="5"/>
  <c r="D503" i="5"/>
  <c r="D502" i="5"/>
  <c r="D501" i="5"/>
  <c r="D500" i="5"/>
  <c r="D499" i="5"/>
  <c r="D498" i="5"/>
  <c r="D497" i="5"/>
  <c r="D496" i="5"/>
  <c r="D495" i="5"/>
  <c r="D494" i="5"/>
  <c r="D493" i="5"/>
  <c r="D492" i="5"/>
  <c r="D491" i="5"/>
  <c r="D490" i="5"/>
  <c r="D489" i="5"/>
  <c r="D488" i="5"/>
  <c r="D487" i="5"/>
  <c r="D486" i="5"/>
  <c r="D485" i="5"/>
  <c r="D484" i="5"/>
  <c r="D483" i="5"/>
  <c r="D482" i="5"/>
  <c r="D481" i="5"/>
  <c r="D480" i="5"/>
  <c r="D479" i="5"/>
  <c r="D478" i="5"/>
  <c r="D477" i="5"/>
  <c r="D476" i="5"/>
  <c r="D475" i="5"/>
  <c r="D474" i="5"/>
  <c r="D473" i="5"/>
  <c r="D472" i="5"/>
  <c r="D471" i="5"/>
  <c r="D470" i="5"/>
  <c r="D469" i="5"/>
  <c r="D468" i="5"/>
  <c r="D467" i="5"/>
  <c r="D466" i="5"/>
  <c r="D465" i="5"/>
  <c r="D464" i="5"/>
  <c r="D463" i="5"/>
  <c r="D462" i="5"/>
  <c r="D461" i="5"/>
  <c r="D460" i="5"/>
  <c r="D459" i="5"/>
  <c r="D458" i="5"/>
  <c r="D457" i="5"/>
  <c r="D456" i="5"/>
  <c r="D455" i="5"/>
  <c r="D454" i="5"/>
  <c r="D453" i="5"/>
  <c r="D452" i="5"/>
  <c r="D451" i="5"/>
  <c r="D450" i="5"/>
  <c r="D449" i="5"/>
  <c r="D448" i="5"/>
  <c r="D447" i="5"/>
  <c r="D446" i="5"/>
  <c r="D445" i="5"/>
  <c r="D444" i="5"/>
  <c r="D443" i="5"/>
  <c r="D442" i="5"/>
  <c r="D441" i="5"/>
  <c r="D440" i="5"/>
  <c r="D439" i="5"/>
  <c r="D438" i="5"/>
  <c r="D437" i="5"/>
  <c r="D436" i="5"/>
  <c r="D435" i="5"/>
  <c r="D434" i="5"/>
  <c r="D433" i="5"/>
  <c r="D432" i="5"/>
  <c r="D431" i="5"/>
  <c r="D430" i="5"/>
  <c r="D429" i="5"/>
  <c r="D428" i="5"/>
  <c r="D427" i="5"/>
  <c r="D426" i="5"/>
  <c r="D425" i="5"/>
  <c r="D424" i="5"/>
  <c r="D423" i="5"/>
  <c r="D422" i="5"/>
  <c r="D421" i="5"/>
  <c r="D420" i="5"/>
  <c r="D419" i="5"/>
  <c r="D418" i="5"/>
  <c r="D417" i="5"/>
  <c r="D416" i="5"/>
  <c r="D415" i="5"/>
  <c r="D414" i="5"/>
  <c r="D413" i="5"/>
  <c r="D412" i="5"/>
  <c r="D411" i="5"/>
  <c r="D410" i="5"/>
  <c r="D409" i="5"/>
  <c r="D408" i="5"/>
  <c r="D407" i="5"/>
  <c r="D406" i="5"/>
  <c r="D405" i="5"/>
  <c r="D404" i="5"/>
  <c r="D403" i="5"/>
  <c r="D402" i="5"/>
  <c r="D401" i="5"/>
  <c r="D400" i="5"/>
  <c r="D399" i="5"/>
  <c r="D398" i="5"/>
  <c r="D397" i="5"/>
  <c r="D396" i="5"/>
  <c r="D395" i="5"/>
  <c r="D394" i="5"/>
  <c r="D393" i="5"/>
  <c r="D392" i="5"/>
  <c r="D391" i="5"/>
  <c r="D390" i="5"/>
  <c r="D389" i="5"/>
  <c r="D388" i="5"/>
  <c r="D387" i="5"/>
  <c r="D386" i="5"/>
  <c r="D385" i="5"/>
  <c r="D384" i="5"/>
  <c r="D383" i="5"/>
  <c r="D382" i="5"/>
  <c r="D381" i="5"/>
  <c r="D380" i="5"/>
  <c r="D379" i="5"/>
  <c r="D378" i="5"/>
  <c r="D377" i="5"/>
  <c r="D376" i="5"/>
  <c r="D375" i="5"/>
  <c r="D374" i="5"/>
  <c r="D373" i="5"/>
  <c r="D372" i="5"/>
  <c r="D371" i="5"/>
  <c r="D370" i="5"/>
  <c r="D369" i="5"/>
  <c r="D368" i="5"/>
  <c r="D367" i="5"/>
  <c r="D366" i="5"/>
  <c r="D365" i="5"/>
  <c r="D364" i="5"/>
  <c r="D363" i="5"/>
  <c r="D362" i="5"/>
  <c r="D361" i="5"/>
  <c r="D360" i="5"/>
  <c r="D359" i="5"/>
  <c r="D358" i="5"/>
  <c r="D357" i="5"/>
  <c r="D356" i="5"/>
  <c r="D355" i="5"/>
  <c r="D354" i="5"/>
  <c r="D353" i="5"/>
  <c r="D352" i="5"/>
  <c r="D351" i="5"/>
  <c r="D350" i="5"/>
  <c r="D349" i="5"/>
  <c r="D348" i="5"/>
  <c r="D347" i="5"/>
  <c r="D346" i="5"/>
  <c r="D345" i="5"/>
  <c r="D344" i="5"/>
  <c r="D343" i="5"/>
  <c r="D342" i="5"/>
  <c r="D341" i="5"/>
  <c r="D340" i="5"/>
  <c r="D339" i="5"/>
  <c r="D338" i="5"/>
  <c r="D337" i="5"/>
  <c r="D336" i="5"/>
  <c r="D335" i="5"/>
  <c r="D334" i="5"/>
  <c r="D333" i="5"/>
  <c r="D332" i="5"/>
  <c r="D331" i="5"/>
  <c r="D330" i="5"/>
  <c r="D329" i="5"/>
  <c r="D328" i="5"/>
  <c r="D327" i="5"/>
  <c r="D326" i="5"/>
  <c r="D325" i="5"/>
  <c r="D324" i="5"/>
  <c r="D323" i="5"/>
  <c r="D322" i="5"/>
  <c r="D321" i="5"/>
  <c r="D320" i="5"/>
  <c r="D319" i="5"/>
  <c r="D318" i="5"/>
  <c r="D317" i="5"/>
  <c r="D316" i="5"/>
  <c r="D315" i="5"/>
  <c r="D314" i="5"/>
  <c r="D313" i="5"/>
  <c r="D312" i="5"/>
  <c r="D311" i="5"/>
  <c r="D310" i="5"/>
  <c r="D309" i="5"/>
  <c r="D308" i="5"/>
  <c r="D307" i="5"/>
  <c r="D306" i="5"/>
  <c r="D305" i="5"/>
  <c r="D304" i="5"/>
  <c r="D303" i="5"/>
  <c r="D302" i="5"/>
  <c r="D301" i="5"/>
  <c r="D300" i="5"/>
  <c r="D299" i="5"/>
  <c r="D298" i="5"/>
  <c r="D297" i="5"/>
  <c r="D296" i="5"/>
  <c r="D295" i="5"/>
  <c r="D294" i="5"/>
  <c r="D293" i="5"/>
  <c r="D292" i="5"/>
  <c r="D291" i="5"/>
  <c r="D290" i="5"/>
  <c r="D289" i="5"/>
  <c r="D288" i="5"/>
  <c r="D287" i="5"/>
  <c r="D286" i="5"/>
  <c r="D285" i="5"/>
  <c r="D284" i="5"/>
  <c r="D283" i="5"/>
  <c r="D282" i="5"/>
  <c r="D281" i="5"/>
  <c r="D280" i="5"/>
  <c r="D279" i="5"/>
  <c r="D278" i="5"/>
  <c r="D277" i="5"/>
  <c r="D276" i="5"/>
  <c r="D275" i="5"/>
  <c r="D274" i="5"/>
  <c r="D273" i="5"/>
  <c r="D272" i="5"/>
  <c r="D271" i="5"/>
  <c r="D270" i="5"/>
  <c r="D269" i="5"/>
  <c r="D268" i="5"/>
  <c r="D267" i="5"/>
  <c r="D266" i="5"/>
  <c r="D265" i="5"/>
  <c r="D264" i="5"/>
  <c r="D263" i="5"/>
  <c r="D262" i="5"/>
  <c r="D261" i="5"/>
  <c r="D260" i="5"/>
  <c r="D259" i="5"/>
  <c r="D258" i="5"/>
  <c r="D257" i="5"/>
  <c r="D256" i="5"/>
  <c r="D255" i="5"/>
  <c r="D254" i="5"/>
  <c r="D253" i="5"/>
  <c r="D252" i="5"/>
  <c r="D251" i="5"/>
  <c r="D250" i="5"/>
  <c r="D249" i="5"/>
  <c r="D248" i="5"/>
  <c r="D247" i="5"/>
  <c r="D246" i="5"/>
  <c r="D245" i="5"/>
  <c r="D244" i="5"/>
  <c r="D243" i="5"/>
  <c r="D242" i="5"/>
  <c r="D241" i="5"/>
  <c r="D240" i="5"/>
  <c r="D239" i="5"/>
  <c r="D238" i="5"/>
  <c r="D237" i="5"/>
  <c r="D236" i="5"/>
  <c r="D235" i="5"/>
  <c r="D234" i="5"/>
  <c r="D233" i="5"/>
  <c r="D232" i="5"/>
  <c r="D231" i="5"/>
  <c r="D230" i="5"/>
  <c r="D229" i="5"/>
  <c r="D228" i="5"/>
  <c r="D227" i="5"/>
  <c r="D226" i="5"/>
  <c r="D225" i="5"/>
  <c r="D224" i="5"/>
  <c r="D223" i="5"/>
  <c r="D222" i="5"/>
  <c r="D221" i="5"/>
  <c r="D220" i="5"/>
  <c r="D219" i="5"/>
  <c r="D218" i="5"/>
  <c r="D217" i="5"/>
  <c r="D216" i="5"/>
  <c r="D215" i="5"/>
  <c r="D214" i="5"/>
  <c r="D213" i="5"/>
  <c r="D212" i="5"/>
  <c r="D211" i="5"/>
  <c r="D210" i="5"/>
  <c r="D209" i="5"/>
  <c r="D208" i="5"/>
  <c r="D207" i="5"/>
  <c r="D206" i="5"/>
  <c r="D205" i="5"/>
  <c r="D204" i="5"/>
  <c r="D203" i="5"/>
  <c r="D202" i="5"/>
  <c r="D201" i="5"/>
  <c r="D200" i="5"/>
  <c r="D199" i="5"/>
  <c r="D198" i="5"/>
  <c r="D197" i="5"/>
  <c r="D196" i="5"/>
  <c r="D195" i="5"/>
  <c r="D194" i="5"/>
  <c r="D193" i="5"/>
  <c r="D192" i="5"/>
  <c r="D191" i="5"/>
  <c r="D190" i="5"/>
  <c r="D189" i="5"/>
  <c r="D188" i="5"/>
  <c r="D187" i="5"/>
  <c r="D186" i="5"/>
  <c r="D185" i="5"/>
  <c r="D184" i="5"/>
  <c r="D183" i="5"/>
  <c r="D182" i="5"/>
  <c r="D181" i="5"/>
  <c r="D180" i="5"/>
  <c r="D179" i="5"/>
  <c r="D178" i="5"/>
  <c r="D177" i="5"/>
  <c r="D176" i="5"/>
  <c r="D175" i="5"/>
  <c r="D174" i="5"/>
  <c r="D173" i="5"/>
  <c r="D172" i="5"/>
  <c r="D171" i="5"/>
  <c r="D170" i="5"/>
  <c r="D169" i="5"/>
  <c r="D168" i="5"/>
  <c r="D167" i="5"/>
  <c r="D166" i="5"/>
  <c r="D165" i="5"/>
  <c r="D164" i="5"/>
  <c r="D163" i="5"/>
  <c r="D162" i="5"/>
  <c r="D161" i="5"/>
  <c r="D160" i="5"/>
  <c r="D159" i="5"/>
  <c r="D158" i="5"/>
  <c r="D157" i="5"/>
  <c r="D156" i="5"/>
  <c r="D155" i="5"/>
  <c r="D154" i="5"/>
  <c r="D153" i="5"/>
  <c r="D152" i="5"/>
  <c r="D151" i="5"/>
  <c r="D150" i="5"/>
  <c r="D149" i="5"/>
  <c r="D148" i="5"/>
  <c r="D147" i="5"/>
  <c r="D146" i="5"/>
  <c r="D145" i="5"/>
  <c r="D144" i="5"/>
  <c r="D143" i="5"/>
  <c r="D142" i="5"/>
  <c r="D141" i="5"/>
  <c r="D140" i="5"/>
  <c r="D139" i="5"/>
  <c r="D138" i="5"/>
  <c r="D137" i="5"/>
  <c r="D136" i="5"/>
  <c r="D135" i="5"/>
  <c r="D134" i="5"/>
  <c r="D133" i="5"/>
  <c r="D132" i="5"/>
  <c r="D131" i="5"/>
  <c r="D130" i="5"/>
  <c r="D129" i="5"/>
  <c r="D128" i="5"/>
  <c r="D127" i="5"/>
  <c r="D126" i="5"/>
  <c r="D125" i="5"/>
  <c r="D124" i="5"/>
  <c r="D123" i="5"/>
  <c r="D122" i="5"/>
  <c r="D121" i="5"/>
  <c r="D120" i="5"/>
  <c r="D119" i="5"/>
  <c r="D118" i="5"/>
  <c r="D117" i="5"/>
  <c r="D116" i="5"/>
  <c r="D115" i="5"/>
  <c r="D114" i="5"/>
  <c r="D113" i="5"/>
  <c r="D112" i="5"/>
  <c r="D111" i="5"/>
  <c r="D110" i="5"/>
  <c r="D109" i="5"/>
  <c r="D108" i="5"/>
  <c r="D107" i="5"/>
  <c r="D106" i="5"/>
  <c r="D105" i="5"/>
  <c r="D104" i="5"/>
  <c r="D103" i="5"/>
  <c r="D102" i="5"/>
  <c r="D101" i="5"/>
  <c r="D100" i="5"/>
  <c r="D99" i="5"/>
  <c r="D98" i="5"/>
  <c r="D97" i="5"/>
  <c r="D96" i="5"/>
  <c r="D95" i="5"/>
  <c r="D94" i="5"/>
  <c r="D93" i="5"/>
  <c r="D92" i="5"/>
  <c r="D91" i="5"/>
  <c r="D90" i="5"/>
  <c r="D89" i="5"/>
  <c r="D88" i="5"/>
  <c r="D87" i="5"/>
  <c r="D86" i="5"/>
  <c r="D85" i="5"/>
  <c r="D84" i="5"/>
  <c r="D83" i="5"/>
  <c r="D82" i="5"/>
  <c r="D81" i="5"/>
  <c r="D80" i="5"/>
  <c r="D79" i="5"/>
  <c r="D78" i="5"/>
  <c r="D77" i="5"/>
  <c r="D76" i="5"/>
  <c r="D75" i="5"/>
  <c r="D74" i="5"/>
  <c r="D73" i="5"/>
  <c r="D72" i="5"/>
  <c r="D71" i="5"/>
  <c r="D70" i="5"/>
  <c r="D69" i="5"/>
  <c r="D68" i="5"/>
  <c r="D67" i="5"/>
  <c r="D66" i="5"/>
  <c r="D65" i="5"/>
  <c r="D64" i="5"/>
  <c r="D63" i="5"/>
  <c r="D62" i="5"/>
  <c r="D61" i="5"/>
  <c r="D60" i="5"/>
  <c r="D59" i="5"/>
  <c r="D58" i="5"/>
  <c r="D57" i="5"/>
  <c r="D56" i="5"/>
  <c r="D55" i="5"/>
  <c r="D54" i="5"/>
  <c r="D53" i="5"/>
  <c r="D52" i="5"/>
  <c r="D51" i="5"/>
  <c r="D50" i="5"/>
  <c r="D49" i="5"/>
  <c r="D48" i="5"/>
  <c r="D47" i="5"/>
  <c r="D46" i="5"/>
  <c r="D45" i="5"/>
  <c r="D44" i="5"/>
  <c r="D43" i="5"/>
  <c r="D42" i="5"/>
  <c r="D41" i="5"/>
  <c r="D40" i="5"/>
  <c r="D39" i="5"/>
  <c r="D38" i="5"/>
  <c r="D37" i="5"/>
  <c r="D36" i="5"/>
  <c r="D35" i="5"/>
  <c r="D34" i="5"/>
  <c r="D33" i="5"/>
  <c r="D32" i="5"/>
  <c r="D31" i="5"/>
  <c r="D30" i="5"/>
  <c r="D29" i="5"/>
  <c r="D28" i="5"/>
  <c r="D27" i="5"/>
  <c r="D26" i="5"/>
  <c r="D25" i="5"/>
  <c r="D24" i="5"/>
  <c r="D23" i="5"/>
  <c r="D22" i="5"/>
  <c r="D21" i="5"/>
  <c r="D20" i="5"/>
  <c r="D19" i="5"/>
  <c r="D18" i="5"/>
  <c r="D17" i="5"/>
  <c r="D16" i="5"/>
  <c r="D15" i="5"/>
  <c r="D14" i="5"/>
  <c r="D13" i="5"/>
  <c r="D12" i="5"/>
  <c r="D11" i="5"/>
  <c r="D10" i="5"/>
  <c r="D9" i="5"/>
  <c r="D8" i="5"/>
  <c r="D7" i="5"/>
  <c r="D6" i="5"/>
  <c r="D5" i="5"/>
  <c r="D4" i="5"/>
  <c r="D3" i="5"/>
  <c r="D2" i="5"/>
  <c r="D1" i="5"/>
  <c r="C1" i="5"/>
  <c r="C2" i="5" s="1"/>
  <c r="C3" i="5" s="1"/>
  <c r="C4" i="5" s="1"/>
  <c r="C5" i="5" s="1"/>
  <c r="C6" i="5" s="1"/>
  <c r="C7" i="5" s="1"/>
  <c r="C8" i="5" s="1"/>
  <c r="C9" i="5" s="1"/>
  <c r="C10" i="5" s="1"/>
  <c r="C11" i="5" s="1"/>
  <c r="C12" i="5" s="1"/>
  <c r="C13" i="5" s="1"/>
  <c r="C14" i="5" s="1"/>
  <c r="C15" i="5" s="1"/>
  <c r="C16" i="5" s="1"/>
  <c r="C17" i="5" s="1"/>
  <c r="C18" i="5" s="1"/>
  <c r="C19" i="5" s="1"/>
  <c r="C20" i="5" s="1"/>
  <c r="C21" i="5" s="1"/>
  <c r="C22" i="5" s="1"/>
  <c r="C23" i="5" s="1"/>
  <c r="C24" i="5" s="1"/>
  <c r="C25" i="5" s="1"/>
  <c r="C26" i="5" s="1"/>
  <c r="C27" i="5" s="1"/>
  <c r="C28" i="5" s="1"/>
  <c r="C29" i="5" s="1"/>
  <c r="C30" i="5" s="1"/>
  <c r="C31" i="5" s="1"/>
  <c r="C32" i="5" s="1"/>
  <c r="C33" i="5" s="1"/>
  <c r="C34" i="5" s="1"/>
  <c r="C35" i="5" s="1"/>
  <c r="C36" i="5" s="1"/>
  <c r="C37" i="5" s="1"/>
  <c r="C38" i="5" s="1"/>
  <c r="C39" i="5" s="1"/>
  <c r="C40" i="5" s="1"/>
  <c r="C41" i="5" s="1"/>
  <c r="C42" i="5" s="1"/>
  <c r="C43" i="5" s="1"/>
  <c r="C44" i="5" s="1"/>
  <c r="C45" i="5" s="1"/>
  <c r="C46" i="5" s="1"/>
  <c r="C47" i="5" s="1"/>
  <c r="C48" i="5" s="1"/>
  <c r="C49" i="5" s="1"/>
  <c r="C50" i="5" s="1"/>
  <c r="C51" i="5" s="1"/>
  <c r="C52" i="5" s="1"/>
  <c r="C53" i="5" s="1"/>
  <c r="C54" i="5" s="1"/>
  <c r="C55" i="5" s="1"/>
  <c r="C56" i="5" s="1"/>
  <c r="C57" i="5" s="1"/>
  <c r="C58" i="5" s="1"/>
  <c r="C59" i="5" s="1"/>
  <c r="C60" i="5" s="1"/>
  <c r="C61" i="5" s="1"/>
  <c r="C62" i="5" s="1"/>
  <c r="C63" i="5" s="1"/>
  <c r="C64" i="5" s="1"/>
  <c r="C65" i="5" s="1"/>
  <c r="C66" i="5" s="1"/>
  <c r="C67" i="5" s="1"/>
  <c r="C68" i="5" s="1"/>
  <c r="C69" i="5" s="1"/>
  <c r="C70" i="5" s="1"/>
  <c r="C71" i="5" s="1"/>
  <c r="C72" i="5" s="1"/>
  <c r="C73" i="5" s="1"/>
  <c r="C74" i="5" s="1"/>
  <c r="C75" i="5" s="1"/>
  <c r="C76" i="5" s="1"/>
  <c r="C77" i="5" s="1"/>
  <c r="C78" i="5" s="1"/>
  <c r="C79" i="5" s="1"/>
  <c r="C80" i="5" s="1"/>
  <c r="C81" i="5" s="1"/>
  <c r="C82" i="5" s="1"/>
  <c r="C83" i="5" s="1"/>
  <c r="C84" i="5" s="1"/>
  <c r="C85" i="5" s="1"/>
  <c r="C86" i="5" s="1"/>
  <c r="C87" i="5" s="1"/>
  <c r="C88" i="5" s="1"/>
  <c r="C89" i="5" s="1"/>
  <c r="C90" i="5" s="1"/>
  <c r="C91" i="5" s="1"/>
  <c r="C92" i="5" s="1"/>
  <c r="C93" i="5" s="1"/>
  <c r="C94" i="5" s="1"/>
  <c r="C95" i="5" s="1"/>
  <c r="C96" i="5" s="1"/>
  <c r="C97" i="5" s="1"/>
  <c r="C98" i="5" s="1"/>
  <c r="C99" i="5" s="1"/>
  <c r="C100" i="5" s="1"/>
  <c r="C101" i="5" s="1"/>
  <c r="C102" i="5" s="1"/>
  <c r="C103" i="5" s="1"/>
  <c r="C104" i="5" s="1"/>
  <c r="C105" i="5" s="1"/>
  <c r="C106" i="5" s="1"/>
  <c r="C107" i="5" s="1"/>
  <c r="C108" i="5" s="1"/>
  <c r="C109" i="5" s="1"/>
  <c r="C110" i="5" s="1"/>
  <c r="C111" i="5" s="1"/>
  <c r="C112" i="5" s="1"/>
  <c r="C113" i="5" s="1"/>
  <c r="C114" i="5" s="1"/>
  <c r="C115" i="5" s="1"/>
  <c r="C116" i="5" s="1"/>
  <c r="C117" i="5" s="1"/>
  <c r="C118" i="5" s="1"/>
  <c r="C119" i="5" s="1"/>
  <c r="C120" i="5" s="1"/>
  <c r="C121" i="5" s="1"/>
  <c r="C122" i="5" s="1"/>
  <c r="C123" i="5" s="1"/>
  <c r="C124" i="5" s="1"/>
  <c r="C125" i="5" s="1"/>
  <c r="C126" i="5" s="1"/>
  <c r="C127" i="5" s="1"/>
  <c r="C128" i="5" s="1"/>
  <c r="C129" i="5" s="1"/>
  <c r="C130" i="5" s="1"/>
  <c r="C131" i="5" s="1"/>
  <c r="C132" i="5" s="1"/>
  <c r="C133" i="5" s="1"/>
  <c r="C134" i="5" s="1"/>
  <c r="C135" i="5" s="1"/>
  <c r="C136" i="5" s="1"/>
  <c r="C137" i="5" s="1"/>
  <c r="C138" i="5" s="1"/>
  <c r="C139" i="5" s="1"/>
  <c r="C140" i="5" s="1"/>
  <c r="C141" i="5" s="1"/>
  <c r="C142" i="5" s="1"/>
  <c r="C143" i="5" s="1"/>
  <c r="C144" i="5" s="1"/>
  <c r="C145" i="5" s="1"/>
  <c r="C146" i="5" s="1"/>
  <c r="C147" i="5" s="1"/>
  <c r="C148" i="5" s="1"/>
  <c r="C149" i="5" s="1"/>
  <c r="C150" i="5" s="1"/>
  <c r="C151" i="5" s="1"/>
  <c r="C152" i="5" s="1"/>
  <c r="C153" i="5" s="1"/>
  <c r="C154" i="5" s="1"/>
  <c r="C155" i="5" s="1"/>
  <c r="C156" i="5" s="1"/>
  <c r="C157" i="5" s="1"/>
  <c r="C158" i="5" s="1"/>
  <c r="C159" i="5" s="1"/>
  <c r="C160" i="5" s="1"/>
  <c r="C161" i="5" s="1"/>
  <c r="C162" i="5" s="1"/>
  <c r="C163" i="5" s="1"/>
  <c r="C164" i="5" s="1"/>
  <c r="C165" i="5" s="1"/>
  <c r="C166" i="5" s="1"/>
  <c r="C167" i="5" s="1"/>
  <c r="C168" i="5" s="1"/>
  <c r="C169" i="5" s="1"/>
  <c r="C170" i="5" s="1"/>
  <c r="C171" i="5" s="1"/>
  <c r="C172" i="5" s="1"/>
  <c r="C173" i="5" s="1"/>
  <c r="C174" i="5" s="1"/>
  <c r="C175" i="5" s="1"/>
  <c r="C176" i="5" s="1"/>
  <c r="C177" i="5" s="1"/>
  <c r="C178" i="5" s="1"/>
  <c r="C179" i="5" s="1"/>
  <c r="C180" i="5" s="1"/>
  <c r="C181" i="5" s="1"/>
  <c r="C182" i="5" s="1"/>
  <c r="C183" i="5" s="1"/>
  <c r="C184" i="5" s="1"/>
  <c r="C185" i="5" s="1"/>
  <c r="C186" i="5" s="1"/>
  <c r="C187" i="5" s="1"/>
  <c r="C188" i="5" s="1"/>
  <c r="C189" i="5" s="1"/>
  <c r="C190" i="5" s="1"/>
  <c r="C191" i="5" s="1"/>
  <c r="C192" i="5" s="1"/>
  <c r="C193" i="5" s="1"/>
  <c r="C194" i="5" s="1"/>
  <c r="C195" i="5" s="1"/>
  <c r="C196" i="5" s="1"/>
  <c r="C197" i="5" s="1"/>
  <c r="C198" i="5" s="1"/>
  <c r="C199" i="5" s="1"/>
  <c r="C200" i="5" s="1"/>
  <c r="C201" i="5" s="1"/>
  <c r="C202" i="5" s="1"/>
  <c r="C203" i="5" s="1"/>
  <c r="C204" i="5" s="1"/>
  <c r="C205" i="5" s="1"/>
  <c r="C206" i="5" s="1"/>
  <c r="C207" i="5" s="1"/>
  <c r="C208" i="5" s="1"/>
  <c r="C209" i="5" s="1"/>
  <c r="C210" i="5" s="1"/>
  <c r="C211" i="5" s="1"/>
  <c r="C212" i="5" s="1"/>
  <c r="C213" i="5" s="1"/>
  <c r="C214" i="5" s="1"/>
  <c r="C215" i="5" s="1"/>
  <c r="C216" i="5" s="1"/>
  <c r="C217" i="5" s="1"/>
  <c r="C218" i="5" s="1"/>
  <c r="C219" i="5" s="1"/>
  <c r="C220" i="5" s="1"/>
  <c r="C221" i="5" s="1"/>
  <c r="C222" i="5" s="1"/>
  <c r="C223" i="5" s="1"/>
  <c r="C224" i="5" s="1"/>
  <c r="C225" i="5" s="1"/>
  <c r="C226" i="5" s="1"/>
  <c r="C227" i="5" s="1"/>
  <c r="C228" i="5" s="1"/>
  <c r="C229" i="5" s="1"/>
  <c r="C230" i="5" s="1"/>
  <c r="C231" i="5" s="1"/>
  <c r="C232" i="5" s="1"/>
  <c r="C233" i="5" s="1"/>
  <c r="C234" i="5" s="1"/>
  <c r="C235" i="5" s="1"/>
  <c r="C236" i="5" s="1"/>
  <c r="C237" i="5" s="1"/>
  <c r="C238" i="5" s="1"/>
  <c r="C239" i="5" s="1"/>
  <c r="C240" i="5" s="1"/>
  <c r="C241" i="5" s="1"/>
  <c r="C242" i="5" s="1"/>
  <c r="C243" i="5" s="1"/>
  <c r="C244" i="5" s="1"/>
  <c r="C245" i="5" s="1"/>
  <c r="C246" i="5" s="1"/>
  <c r="C247" i="5" s="1"/>
  <c r="C248" i="5" s="1"/>
  <c r="C249" i="5" s="1"/>
  <c r="C250" i="5" s="1"/>
  <c r="C251" i="5" s="1"/>
  <c r="C252" i="5" s="1"/>
  <c r="C253" i="5" s="1"/>
  <c r="C254" i="5" s="1"/>
  <c r="C255" i="5" s="1"/>
  <c r="C256" i="5" s="1"/>
  <c r="C257" i="5" s="1"/>
  <c r="C258" i="5" s="1"/>
  <c r="C259" i="5" s="1"/>
  <c r="C260" i="5" s="1"/>
  <c r="C261" i="5" s="1"/>
  <c r="C262" i="5" s="1"/>
  <c r="C263" i="5" s="1"/>
  <c r="C264" i="5" s="1"/>
  <c r="C265" i="5" s="1"/>
  <c r="C266" i="5" s="1"/>
  <c r="C267" i="5" s="1"/>
  <c r="C268" i="5" s="1"/>
  <c r="C269" i="5" s="1"/>
  <c r="C270" i="5" s="1"/>
  <c r="C271" i="5" s="1"/>
  <c r="C272" i="5" s="1"/>
  <c r="C273" i="5" s="1"/>
  <c r="C274" i="5" s="1"/>
  <c r="C275" i="5" s="1"/>
  <c r="C276" i="5" s="1"/>
  <c r="C277" i="5" s="1"/>
  <c r="C278" i="5" s="1"/>
  <c r="C279" i="5" s="1"/>
  <c r="C280" i="5" s="1"/>
  <c r="C281" i="5" s="1"/>
  <c r="C282" i="5" s="1"/>
  <c r="C283" i="5" s="1"/>
  <c r="C284" i="5" s="1"/>
  <c r="C285" i="5" s="1"/>
  <c r="C286" i="5" s="1"/>
  <c r="C287" i="5" s="1"/>
  <c r="C288" i="5" s="1"/>
  <c r="C289" i="5" s="1"/>
  <c r="C290" i="5" s="1"/>
  <c r="C291" i="5" s="1"/>
  <c r="C292" i="5" s="1"/>
  <c r="C293" i="5" s="1"/>
  <c r="C294" i="5" s="1"/>
  <c r="C295" i="5" s="1"/>
  <c r="C296" i="5" s="1"/>
  <c r="C297" i="5" s="1"/>
  <c r="C298" i="5" s="1"/>
  <c r="C299" i="5" s="1"/>
  <c r="C300" i="5" s="1"/>
  <c r="C301" i="5" s="1"/>
  <c r="C302" i="5" s="1"/>
  <c r="C303" i="5" s="1"/>
  <c r="C304" i="5" s="1"/>
  <c r="C305" i="5" s="1"/>
  <c r="C306" i="5" s="1"/>
  <c r="C307" i="5" s="1"/>
  <c r="C308" i="5" s="1"/>
  <c r="C309" i="5" s="1"/>
  <c r="C310" i="5" s="1"/>
  <c r="C311" i="5" s="1"/>
  <c r="C312" i="5" s="1"/>
  <c r="C313" i="5" s="1"/>
  <c r="C314" i="5" s="1"/>
  <c r="C315" i="5" s="1"/>
  <c r="C316" i="5" s="1"/>
  <c r="C317" i="5" s="1"/>
  <c r="C318" i="5" s="1"/>
  <c r="C319" i="5" s="1"/>
  <c r="C320" i="5" s="1"/>
  <c r="C321" i="5" s="1"/>
  <c r="C322" i="5" s="1"/>
  <c r="C323" i="5" s="1"/>
  <c r="C324" i="5" s="1"/>
  <c r="C325" i="5" s="1"/>
  <c r="C326" i="5" s="1"/>
  <c r="C327" i="5" s="1"/>
  <c r="C328" i="5" s="1"/>
  <c r="C329" i="5" s="1"/>
  <c r="C330" i="5" s="1"/>
  <c r="C331" i="5" s="1"/>
  <c r="C332" i="5" s="1"/>
  <c r="C333" i="5" s="1"/>
  <c r="C334" i="5" s="1"/>
  <c r="C335" i="5" s="1"/>
  <c r="C336" i="5" s="1"/>
  <c r="C337" i="5" s="1"/>
  <c r="C338" i="5" s="1"/>
  <c r="C339" i="5" s="1"/>
  <c r="C340" i="5" s="1"/>
  <c r="C341" i="5" s="1"/>
  <c r="C342" i="5" s="1"/>
  <c r="C343" i="5" s="1"/>
  <c r="C344" i="5" s="1"/>
  <c r="C345" i="5" s="1"/>
  <c r="C346" i="5" s="1"/>
  <c r="C347" i="5" s="1"/>
  <c r="C348" i="5" s="1"/>
  <c r="C349" i="5" s="1"/>
  <c r="C350" i="5" s="1"/>
  <c r="C351" i="5" s="1"/>
  <c r="C352" i="5" s="1"/>
  <c r="C353" i="5" s="1"/>
  <c r="C354" i="5" s="1"/>
  <c r="C355" i="5" s="1"/>
  <c r="C356" i="5" s="1"/>
  <c r="C357" i="5" s="1"/>
  <c r="C358" i="5" s="1"/>
  <c r="C359" i="5" s="1"/>
  <c r="C360" i="5" s="1"/>
  <c r="C361" i="5" s="1"/>
  <c r="C362" i="5" s="1"/>
  <c r="C363" i="5" s="1"/>
  <c r="C364" i="5" s="1"/>
  <c r="C365" i="5" s="1"/>
  <c r="C366" i="5" s="1"/>
  <c r="C367" i="5" s="1"/>
  <c r="C368" i="5" s="1"/>
  <c r="C369" i="5" s="1"/>
  <c r="C370" i="5" s="1"/>
  <c r="C371" i="5" s="1"/>
  <c r="C372" i="5" s="1"/>
  <c r="C373" i="5" s="1"/>
  <c r="C374" i="5" s="1"/>
  <c r="C375" i="5" s="1"/>
  <c r="C376" i="5" s="1"/>
  <c r="C377" i="5" s="1"/>
  <c r="C378" i="5" s="1"/>
  <c r="C379" i="5" s="1"/>
  <c r="C380" i="5" s="1"/>
  <c r="C381" i="5" s="1"/>
  <c r="C382" i="5" s="1"/>
  <c r="C383" i="5" s="1"/>
  <c r="C384" i="5" s="1"/>
  <c r="C385" i="5" s="1"/>
  <c r="C386" i="5" s="1"/>
  <c r="C387" i="5" s="1"/>
  <c r="C388" i="5" s="1"/>
  <c r="C389" i="5" s="1"/>
  <c r="C390" i="5" s="1"/>
  <c r="C391" i="5" s="1"/>
  <c r="C392" i="5" s="1"/>
  <c r="C393" i="5" s="1"/>
  <c r="C394" i="5" s="1"/>
  <c r="C395" i="5" s="1"/>
  <c r="C396" i="5" s="1"/>
  <c r="C397" i="5" s="1"/>
  <c r="C398" i="5" s="1"/>
  <c r="C399" i="5" s="1"/>
  <c r="C400" i="5" s="1"/>
  <c r="C401" i="5" s="1"/>
  <c r="C402" i="5" s="1"/>
  <c r="C403" i="5" s="1"/>
  <c r="C404" i="5" s="1"/>
  <c r="C405" i="5" s="1"/>
  <c r="C406" i="5" s="1"/>
  <c r="C407" i="5" s="1"/>
  <c r="C408" i="5" s="1"/>
  <c r="C409" i="5" s="1"/>
  <c r="C410" i="5" s="1"/>
  <c r="C411" i="5" s="1"/>
  <c r="C412" i="5" s="1"/>
  <c r="C413" i="5" s="1"/>
  <c r="C414" i="5" s="1"/>
  <c r="C415" i="5" s="1"/>
  <c r="C416" i="5" s="1"/>
  <c r="C417" i="5" s="1"/>
  <c r="C418" i="5" s="1"/>
  <c r="C419" i="5" s="1"/>
  <c r="C420" i="5" s="1"/>
  <c r="C421" i="5" s="1"/>
  <c r="C422" i="5" s="1"/>
  <c r="C423" i="5" s="1"/>
  <c r="C424" i="5" s="1"/>
  <c r="C425" i="5" s="1"/>
  <c r="C426" i="5" s="1"/>
  <c r="C427" i="5" s="1"/>
  <c r="C428" i="5" s="1"/>
  <c r="C429" i="5" s="1"/>
  <c r="C430" i="5" s="1"/>
  <c r="C431" i="5" s="1"/>
  <c r="C432" i="5" s="1"/>
  <c r="C433" i="5" s="1"/>
  <c r="C434" i="5" s="1"/>
  <c r="C435" i="5" s="1"/>
  <c r="C436" i="5" s="1"/>
  <c r="C437" i="5" s="1"/>
  <c r="C438" i="5" s="1"/>
  <c r="C439" i="5" s="1"/>
  <c r="C440" i="5" s="1"/>
  <c r="C441" i="5" s="1"/>
  <c r="C442" i="5" s="1"/>
  <c r="C443" i="5" s="1"/>
  <c r="C444" i="5" s="1"/>
  <c r="C445" i="5" s="1"/>
  <c r="C446" i="5" s="1"/>
  <c r="C447" i="5" s="1"/>
  <c r="C448" i="5" s="1"/>
  <c r="C449" i="5" s="1"/>
  <c r="C450" i="5" s="1"/>
  <c r="C451" i="5" s="1"/>
  <c r="C452" i="5" s="1"/>
  <c r="C453" i="5" s="1"/>
  <c r="C454" i="5" s="1"/>
  <c r="C455" i="5" s="1"/>
  <c r="C456" i="5" s="1"/>
  <c r="C457" i="5" s="1"/>
  <c r="C458" i="5" s="1"/>
  <c r="C459" i="5" s="1"/>
  <c r="C460" i="5" s="1"/>
  <c r="C461" i="5" s="1"/>
  <c r="C462" i="5" s="1"/>
  <c r="C463" i="5" s="1"/>
  <c r="C464" i="5" s="1"/>
  <c r="C465" i="5" s="1"/>
  <c r="C466" i="5" s="1"/>
  <c r="C467" i="5" s="1"/>
  <c r="C468" i="5" s="1"/>
  <c r="C469" i="5" s="1"/>
  <c r="C470" i="5" s="1"/>
  <c r="C471" i="5" s="1"/>
  <c r="C472" i="5" s="1"/>
  <c r="C473" i="5" s="1"/>
  <c r="C474" i="5" s="1"/>
  <c r="C475" i="5" s="1"/>
  <c r="C476" i="5" s="1"/>
  <c r="C477" i="5" s="1"/>
  <c r="C478" i="5" s="1"/>
  <c r="C479" i="5" s="1"/>
  <c r="C480" i="5" s="1"/>
  <c r="C481" i="5" s="1"/>
  <c r="C482" i="5" s="1"/>
  <c r="C483" i="5" s="1"/>
  <c r="C484" i="5" s="1"/>
  <c r="C485" i="5" s="1"/>
  <c r="C486" i="5" s="1"/>
  <c r="C487" i="5" s="1"/>
  <c r="C488" i="5" s="1"/>
  <c r="C489" i="5" s="1"/>
  <c r="C490" i="5" s="1"/>
  <c r="C491" i="5" s="1"/>
  <c r="C492" i="5" s="1"/>
  <c r="C493" i="5" s="1"/>
  <c r="C494" i="5" s="1"/>
  <c r="C495" i="5" s="1"/>
  <c r="C496" i="5" s="1"/>
  <c r="C497" i="5" s="1"/>
  <c r="C498" i="5" s="1"/>
  <c r="C499" i="5" s="1"/>
  <c r="C500" i="5" s="1"/>
  <c r="C501" i="5" s="1"/>
  <c r="C502" i="5" s="1"/>
  <c r="C503" i="5" s="1"/>
  <c r="C504" i="5" s="1"/>
  <c r="C505" i="5" s="1"/>
  <c r="C506" i="5" s="1"/>
  <c r="C507" i="5" s="1"/>
  <c r="C508" i="5" s="1"/>
  <c r="C509" i="5" s="1"/>
  <c r="C510" i="5" s="1"/>
  <c r="C511" i="5" s="1"/>
  <c r="C512" i="5" s="1"/>
  <c r="C513" i="5" s="1"/>
  <c r="C514" i="5" s="1"/>
  <c r="C515" i="5" s="1"/>
  <c r="C516" i="5" s="1"/>
  <c r="C517" i="5" s="1"/>
  <c r="C518" i="5" s="1"/>
  <c r="C519" i="5" s="1"/>
  <c r="C520" i="5" s="1"/>
  <c r="C521" i="5" s="1"/>
  <c r="C522" i="5" s="1"/>
  <c r="C523" i="5" s="1"/>
  <c r="C524" i="5" s="1"/>
  <c r="C525" i="5" s="1"/>
  <c r="C526" i="5" s="1"/>
  <c r="C527" i="5" s="1"/>
  <c r="C528" i="5" s="1"/>
  <c r="C529" i="5" s="1"/>
  <c r="C530" i="5" s="1"/>
  <c r="C531" i="5" s="1"/>
  <c r="C532" i="5" s="1"/>
  <c r="C533" i="5" s="1"/>
  <c r="C534" i="5" s="1"/>
  <c r="C535" i="5" s="1"/>
  <c r="C536" i="5" s="1"/>
  <c r="C537" i="5" s="1"/>
  <c r="C538" i="5" s="1"/>
  <c r="C539" i="5" s="1"/>
  <c r="C540" i="5" s="1"/>
  <c r="C541" i="5" s="1"/>
  <c r="C542" i="5" s="1"/>
  <c r="C543" i="5" s="1"/>
  <c r="C544" i="5" s="1"/>
  <c r="C545" i="5" s="1"/>
  <c r="C546" i="5" s="1"/>
  <c r="C547" i="5" s="1"/>
  <c r="C548" i="5" s="1"/>
  <c r="C549" i="5" s="1"/>
  <c r="C550" i="5" s="1"/>
  <c r="C551" i="5" s="1"/>
  <c r="C552" i="5" s="1"/>
  <c r="C553" i="5" s="1"/>
  <c r="C554" i="5" s="1"/>
  <c r="C555" i="5" s="1"/>
  <c r="C556" i="5" s="1"/>
  <c r="C557" i="5" s="1"/>
  <c r="C558" i="5" s="1"/>
  <c r="C559" i="5" s="1"/>
  <c r="C560" i="5" s="1"/>
  <c r="C561" i="5" s="1"/>
  <c r="C562" i="5" s="1"/>
  <c r="C563" i="5" s="1"/>
  <c r="C564" i="5" s="1"/>
  <c r="C565" i="5" s="1"/>
  <c r="C566" i="5" s="1"/>
  <c r="C567" i="5" s="1"/>
  <c r="C568" i="5" s="1"/>
  <c r="C569" i="5" s="1"/>
  <c r="C570" i="5" s="1"/>
  <c r="C571" i="5" s="1"/>
  <c r="C572" i="5" s="1"/>
  <c r="C573" i="5" s="1"/>
  <c r="C574" i="5" s="1"/>
  <c r="C575" i="5" s="1"/>
  <c r="C576" i="5" s="1"/>
  <c r="C577" i="5" s="1"/>
  <c r="C578" i="5" s="1"/>
  <c r="C579" i="5" s="1"/>
  <c r="C580" i="5" s="1"/>
  <c r="C581" i="5" s="1"/>
  <c r="C582" i="5" s="1"/>
  <c r="C583" i="5" s="1"/>
  <c r="C584" i="5" s="1"/>
  <c r="C585" i="5" s="1"/>
  <c r="C586" i="5" s="1"/>
  <c r="C587" i="5" s="1"/>
  <c r="C588" i="5" s="1"/>
  <c r="C589" i="5" s="1"/>
  <c r="C590" i="5" s="1"/>
  <c r="C591" i="5" s="1"/>
  <c r="C592" i="5" s="1"/>
  <c r="C593" i="5" s="1"/>
  <c r="C594" i="5" s="1"/>
  <c r="C595" i="5" s="1"/>
  <c r="C596" i="5" s="1"/>
  <c r="C597" i="5" s="1"/>
  <c r="C598" i="5" s="1"/>
  <c r="C599" i="5" s="1"/>
  <c r="C600" i="5" s="1"/>
  <c r="C601" i="5" s="1"/>
  <c r="C602" i="5" s="1"/>
  <c r="C603" i="5" s="1"/>
  <c r="C604" i="5" s="1"/>
  <c r="C605" i="5" s="1"/>
  <c r="C606" i="5" s="1"/>
  <c r="C607" i="5" s="1"/>
  <c r="C608" i="5" s="1"/>
  <c r="C609" i="5" s="1"/>
  <c r="C610" i="5" s="1"/>
  <c r="C611" i="5" s="1"/>
  <c r="C612" i="5" s="1"/>
  <c r="C613" i="5" s="1"/>
  <c r="C614" i="5" s="1"/>
  <c r="C615" i="5" s="1"/>
  <c r="C616" i="5" s="1"/>
  <c r="C617" i="5" s="1"/>
  <c r="C618" i="5" s="1"/>
  <c r="C619" i="5" s="1"/>
  <c r="C620" i="5" s="1"/>
  <c r="C621" i="5" s="1"/>
  <c r="C622" i="5" s="1"/>
  <c r="C623" i="5" s="1"/>
  <c r="C624" i="5" s="1"/>
  <c r="C625" i="5" s="1"/>
  <c r="C626" i="5" s="1"/>
  <c r="C627" i="5" s="1"/>
  <c r="C628" i="5" s="1"/>
  <c r="C629" i="5" s="1"/>
  <c r="C630" i="5" s="1"/>
  <c r="C631" i="5" s="1"/>
  <c r="C632" i="5" s="1"/>
  <c r="C633" i="5" s="1"/>
  <c r="C634" i="5" s="1"/>
  <c r="C635" i="5" s="1"/>
  <c r="C636" i="5" s="1"/>
  <c r="C637" i="5" s="1"/>
  <c r="C638" i="5" s="1"/>
  <c r="C639" i="5" s="1"/>
  <c r="C640" i="5" s="1"/>
  <c r="C641" i="5" s="1"/>
  <c r="C642" i="5" s="1"/>
  <c r="C643" i="5" s="1"/>
  <c r="C644" i="5" s="1"/>
  <c r="C645" i="5" s="1"/>
  <c r="C646" i="5" s="1"/>
  <c r="C647" i="5" s="1"/>
  <c r="C648" i="5" s="1"/>
  <c r="C649" i="5" s="1"/>
  <c r="C650" i="5" s="1"/>
  <c r="C651" i="5" s="1"/>
  <c r="C652" i="5" s="1"/>
  <c r="C653" i="5" s="1"/>
  <c r="C654" i="5" s="1"/>
  <c r="C655" i="5" s="1"/>
  <c r="C656" i="5" s="1"/>
  <c r="C657" i="5" s="1"/>
  <c r="C658" i="5" s="1"/>
  <c r="C659" i="5" s="1"/>
  <c r="C660" i="5" s="1"/>
  <c r="C661" i="5" s="1"/>
  <c r="C662" i="5" s="1"/>
  <c r="C663" i="5" s="1"/>
  <c r="C664" i="5" s="1"/>
  <c r="C665" i="5" s="1"/>
  <c r="C666" i="5" s="1"/>
  <c r="C667" i="5" s="1"/>
  <c r="C668" i="5" s="1"/>
  <c r="C669" i="5" s="1"/>
  <c r="C670" i="5" s="1"/>
  <c r="C671" i="5" s="1"/>
  <c r="C672" i="5" s="1"/>
  <c r="C673" i="5" s="1"/>
  <c r="C674" i="5" s="1"/>
  <c r="C675" i="5" s="1"/>
  <c r="C676" i="5" s="1"/>
  <c r="C677" i="5" s="1"/>
  <c r="C678" i="5" s="1"/>
  <c r="C679" i="5" s="1"/>
  <c r="C680" i="5" s="1"/>
  <c r="C681" i="5" s="1"/>
  <c r="C682" i="5" s="1"/>
  <c r="C683" i="5" s="1"/>
  <c r="C684" i="5" s="1"/>
  <c r="C685" i="5" s="1"/>
  <c r="C686" i="5" s="1"/>
  <c r="C687" i="5" s="1"/>
  <c r="C688" i="5" s="1"/>
  <c r="C689" i="5" s="1"/>
  <c r="C690" i="5" s="1"/>
  <c r="C691" i="5" s="1"/>
  <c r="C692" i="5" s="1"/>
  <c r="C693" i="5" s="1"/>
  <c r="C694" i="5" s="1"/>
  <c r="C695" i="5" s="1"/>
  <c r="C696" i="5" s="1"/>
  <c r="C697" i="5" s="1"/>
  <c r="C698" i="5" s="1"/>
  <c r="C699" i="5" s="1"/>
  <c r="C700" i="5" s="1"/>
  <c r="C701" i="5" s="1"/>
  <c r="C702" i="5" s="1"/>
  <c r="C703" i="5" s="1"/>
  <c r="C704" i="5" s="1"/>
  <c r="C705" i="5" s="1"/>
  <c r="C706" i="5" s="1"/>
  <c r="C707" i="5" s="1"/>
  <c r="C708" i="5" s="1"/>
  <c r="C709" i="5" s="1"/>
  <c r="C710" i="5" s="1"/>
  <c r="C711" i="5" s="1"/>
  <c r="C712" i="5" s="1"/>
  <c r="C713" i="5" s="1"/>
  <c r="C714" i="5" s="1"/>
  <c r="C715" i="5" s="1"/>
  <c r="C716" i="5" s="1"/>
  <c r="C717" i="5" s="1"/>
  <c r="C718" i="5" s="1"/>
  <c r="C719" i="5" s="1"/>
  <c r="C720" i="5" s="1"/>
  <c r="C721" i="5" s="1"/>
  <c r="C722" i="5" s="1"/>
  <c r="C723" i="5" s="1"/>
  <c r="C724" i="5" s="1"/>
  <c r="C725" i="5" s="1"/>
  <c r="C726" i="5" s="1"/>
  <c r="C727" i="5" s="1"/>
  <c r="C728" i="5" s="1"/>
  <c r="C729" i="5" s="1"/>
  <c r="C730" i="5" s="1"/>
  <c r="C731" i="5" s="1"/>
  <c r="C732" i="5" s="1"/>
  <c r="C733" i="5" s="1"/>
  <c r="C734" i="5" s="1"/>
  <c r="C735" i="5" s="1"/>
  <c r="C736" i="5" s="1"/>
  <c r="C737" i="5" s="1"/>
  <c r="C738" i="5" s="1"/>
  <c r="C739" i="5" s="1"/>
  <c r="C740" i="5" s="1"/>
  <c r="C741" i="5" s="1"/>
  <c r="C742" i="5" s="1"/>
  <c r="C743" i="5" s="1"/>
  <c r="C744" i="5" s="1"/>
  <c r="C745" i="5" s="1"/>
  <c r="C746" i="5" s="1"/>
  <c r="C747" i="5" s="1"/>
  <c r="C748" i="5" s="1"/>
  <c r="C749" i="5" s="1"/>
  <c r="C750" i="5" s="1"/>
  <c r="C751" i="5" s="1"/>
  <c r="C752" i="5" s="1"/>
  <c r="C753" i="5" s="1"/>
  <c r="C754" i="5" s="1"/>
  <c r="C755" i="5" s="1"/>
  <c r="C756" i="5" s="1"/>
  <c r="C757" i="5" s="1"/>
  <c r="C758" i="5" s="1"/>
  <c r="C759" i="5" s="1"/>
  <c r="C760" i="5" s="1"/>
  <c r="C761" i="5" s="1"/>
  <c r="C762" i="5" s="1"/>
  <c r="C763" i="5" s="1"/>
  <c r="C764" i="5" s="1"/>
  <c r="C765" i="5" s="1"/>
  <c r="C766" i="5" s="1"/>
  <c r="C767" i="5" s="1"/>
  <c r="C768" i="5" s="1"/>
  <c r="C769" i="5" s="1"/>
  <c r="C770" i="5" s="1"/>
  <c r="C771" i="5" s="1"/>
  <c r="C772" i="5" s="1"/>
  <c r="C773" i="5" s="1"/>
  <c r="C774" i="5" s="1"/>
  <c r="C775" i="5" s="1"/>
  <c r="C776" i="5" s="1"/>
  <c r="C777" i="5" s="1"/>
  <c r="C778" i="5" s="1"/>
  <c r="C779" i="5" s="1"/>
  <c r="C780" i="5" s="1"/>
  <c r="C781" i="5" s="1"/>
  <c r="C782" i="5" s="1"/>
  <c r="C783" i="5" s="1"/>
  <c r="C784" i="5" s="1"/>
  <c r="C785" i="5" s="1"/>
  <c r="C786" i="5" s="1"/>
  <c r="C787" i="5" s="1"/>
  <c r="C788" i="5" s="1"/>
  <c r="C789" i="5" s="1"/>
  <c r="C790" i="5" s="1"/>
  <c r="C791" i="5" s="1"/>
  <c r="C792" i="5" s="1"/>
  <c r="C793" i="5" s="1"/>
  <c r="C794" i="5" s="1"/>
  <c r="C795" i="5" s="1"/>
  <c r="C796" i="5" s="1"/>
  <c r="C797" i="5" s="1"/>
  <c r="C798" i="5" s="1"/>
  <c r="C799" i="5" s="1"/>
  <c r="C800" i="5" s="1"/>
  <c r="C801" i="5" s="1"/>
  <c r="C802" i="5" s="1"/>
  <c r="C803" i="5" s="1"/>
  <c r="C804" i="5" s="1"/>
  <c r="C805" i="5" s="1"/>
  <c r="C806" i="5" s="1"/>
  <c r="C807" i="5" s="1"/>
  <c r="C808" i="5" s="1"/>
  <c r="C809" i="5" s="1"/>
  <c r="C810" i="5" s="1"/>
  <c r="C811" i="5" s="1"/>
  <c r="C812" i="5" s="1"/>
  <c r="C813" i="5" s="1"/>
  <c r="C814" i="5" s="1"/>
  <c r="C815" i="5" s="1"/>
  <c r="C816" i="5" s="1"/>
  <c r="C817" i="5" s="1"/>
  <c r="C818" i="5" s="1"/>
  <c r="C819" i="5" s="1"/>
  <c r="C820" i="5" s="1"/>
  <c r="C821" i="5" s="1"/>
  <c r="C822" i="5" s="1"/>
  <c r="C823" i="5" s="1"/>
  <c r="C824" i="5" s="1"/>
  <c r="C825" i="5" s="1"/>
  <c r="C826" i="5" s="1"/>
  <c r="C827" i="5" s="1"/>
  <c r="C828" i="5" s="1"/>
  <c r="C829" i="5" s="1"/>
  <c r="C830" i="5" s="1"/>
  <c r="C831" i="5" s="1"/>
  <c r="C832" i="5" s="1"/>
  <c r="C833" i="5" s="1"/>
  <c r="C834" i="5" s="1"/>
  <c r="C835" i="5" s="1"/>
  <c r="C836" i="5" s="1"/>
  <c r="C837" i="5" s="1"/>
  <c r="C838" i="5" s="1"/>
  <c r="C839" i="5" s="1"/>
  <c r="C840" i="5" s="1"/>
  <c r="C841" i="5" s="1"/>
  <c r="C842" i="5" s="1"/>
  <c r="C843" i="5" s="1"/>
  <c r="C844" i="5" s="1"/>
  <c r="C845" i="5" s="1"/>
  <c r="C846" i="5" s="1"/>
  <c r="C847" i="5" s="1"/>
  <c r="C848" i="5" s="1"/>
  <c r="C849" i="5" s="1"/>
  <c r="C850" i="5" s="1"/>
  <c r="C851" i="5" s="1"/>
  <c r="C852" i="5" s="1"/>
  <c r="C853" i="5" s="1"/>
  <c r="C854" i="5" s="1"/>
  <c r="C855" i="5" s="1"/>
  <c r="C856" i="5" s="1"/>
  <c r="C857" i="5" s="1"/>
  <c r="C858" i="5" s="1"/>
  <c r="C859" i="5" s="1"/>
  <c r="C860" i="5" s="1"/>
  <c r="C861" i="5" s="1"/>
  <c r="C862" i="5" s="1"/>
  <c r="C863" i="5" s="1"/>
  <c r="C864" i="5" s="1"/>
  <c r="C865" i="5" s="1"/>
  <c r="C866" i="5" s="1"/>
  <c r="C867" i="5" s="1"/>
  <c r="C868" i="5" s="1"/>
  <c r="C869" i="5" s="1"/>
  <c r="C870" i="5" s="1"/>
  <c r="C871" i="5" s="1"/>
  <c r="C872" i="5" s="1"/>
  <c r="C873" i="5" s="1"/>
  <c r="C874" i="5" s="1"/>
  <c r="C875" i="5" s="1"/>
  <c r="C876" i="5" s="1"/>
  <c r="C877" i="5" s="1"/>
  <c r="C878" i="5" s="1"/>
  <c r="C879" i="5" s="1"/>
  <c r="C880" i="5" s="1"/>
  <c r="C881" i="5" s="1"/>
  <c r="C882" i="5" s="1"/>
  <c r="C883" i="5" s="1"/>
  <c r="C884" i="5" s="1"/>
  <c r="C885" i="5" s="1"/>
  <c r="C886" i="5" s="1"/>
  <c r="C887" i="5" s="1"/>
  <c r="C888" i="5" s="1"/>
  <c r="C889" i="5" s="1"/>
  <c r="C890" i="5" s="1"/>
  <c r="C891" i="5" s="1"/>
  <c r="C892" i="5" s="1"/>
  <c r="C893" i="5" s="1"/>
  <c r="C894" i="5" s="1"/>
  <c r="C895" i="5" s="1"/>
  <c r="C896" i="5" s="1"/>
  <c r="C897" i="5" s="1"/>
  <c r="C898" i="5" s="1"/>
  <c r="C899" i="5" s="1"/>
  <c r="C900" i="5" s="1"/>
  <c r="C901" i="5" s="1"/>
  <c r="C902" i="5" s="1"/>
  <c r="C903" i="5" s="1"/>
  <c r="C904" i="5" s="1"/>
  <c r="C905" i="5" s="1"/>
  <c r="C906" i="5" s="1"/>
  <c r="C907" i="5" s="1"/>
  <c r="C908" i="5" s="1"/>
  <c r="C909" i="5" s="1"/>
  <c r="C910" i="5" s="1"/>
  <c r="C911" i="5" s="1"/>
  <c r="C912" i="5" s="1"/>
  <c r="C913" i="5" s="1"/>
  <c r="C914" i="5" s="1"/>
  <c r="C915" i="5" s="1"/>
  <c r="C916" i="5" s="1"/>
  <c r="C917" i="5" s="1"/>
  <c r="C918" i="5" s="1"/>
  <c r="C919" i="5" s="1"/>
  <c r="C920" i="5" s="1"/>
  <c r="C921" i="5" s="1"/>
  <c r="C922" i="5" s="1"/>
  <c r="C923" i="5" s="1"/>
  <c r="C924" i="5" s="1"/>
  <c r="C925" i="5" s="1"/>
  <c r="C926" i="5" s="1"/>
  <c r="C927" i="5" s="1"/>
  <c r="C928" i="5" s="1"/>
  <c r="C929" i="5" s="1"/>
  <c r="C930" i="5" s="1"/>
  <c r="C931" i="5" s="1"/>
  <c r="C932" i="5" s="1"/>
  <c r="C933" i="5" s="1"/>
  <c r="C934" i="5" s="1"/>
  <c r="C935" i="5" s="1"/>
  <c r="C936" i="5" s="1"/>
  <c r="C937" i="5" s="1"/>
  <c r="C938" i="5" s="1"/>
  <c r="C939" i="5" s="1"/>
  <c r="C940" i="5" s="1"/>
  <c r="C941" i="5" s="1"/>
  <c r="C942" i="5" s="1"/>
  <c r="C943" i="5" s="1"/>
  <c r="C944" i="5" s="1"/>
  <c r="C945" i="5" s="1"/>
  <c r="C946" i="5" s="1"/>
  <c r="C947" i="5" s="1"/>
  <c r="C948" i="5" s="1"/>
  <c r="C949" i="5" s="1"/>
  <c r="C950" i="5" s="1"/>
  <c r="C951" i="5" s="1"/>
  <c r="C952" i="5" s="1"/>
  <c r="C953" i="5" s="1"/>
  <c r="C954" i="5" s="1"/>
  <c r="C955" i="5" s="1"/>
  <c r="C956" i="5" s="1"/>
  <c r="C957" i="5" s="1"/>
  <c r="C958" i="5" s="1"/>
  <c r="C959" i="5" s="1"/>
  <c r="C960" i="5" s="1"/>
  <c r="C961" i="5" s="1"/>
  <c r="C962" i="5" s="1"/>
  <c r="C963" i="5" s="1"/>
  <c r="C964" i="5" s="1"/>
  <c r="C965" i="5" s="1"/>
  <c r="C966" i="5" s="1"/>
  <c r="C967" i="5" s="1"/>
  <c r="C968" i="5" s="1"/>
  <c r="C969" i="5" s="1"/>
  <c r="C970" i="5" s="1"/>
  <c r="C971" i="5" s="1"/>
  <c r="C972" i="5" s="1"/>
  <c r="C973" i="5" s="1"/>
  <c r="C974" i="5" s="1"/>
  <c r="C975" i="5" s="1"/>
  <c r="C976" i="5" s="1"/>
  <c r="C977" i="5" s="1"/>
  <c r="C978" i="5" s="1"/>
  <c r="C979" i="5" s="1"/>
  <c r="C980" i="5" s="1"/>
  <c r="C981" i="5" s="1"/>
  <c r="C982" i="5" s="1"/>
  <c r="C983" i="5" s="1"/>
  <c r="C984" i="5" s="1"/>
  <c r="C985" i="5" s="1"/>
  <c r="C986" i="5" s="1"/>
  <c r="C987" i="5" s="1"/>
  <c r="C988" i="5" s="1"/>
  <c r="C989" i="5" s="1"/>
  <c r="C990" i="5" s="1"/>
  <c r="C991" i="5" s="1"/>
  <c r="C992" i="5" s="1"/>
  <c r="C993" i="5" s="1"/>
  <c r="C994" i="5" s="1"/>
  <c r="C995" i="5" s="1"/>
  <c r="C996" i="5" s="1"/>
  <c r="C997" i="5" s="1"/>
  <c r="C998" i="5" s="1"/>
  <c r="C999" i="5" s="1"/>
  <c r="C1000" i="5" s="1"/>
  <c r="C1001" i="5" s="1"/>
  <c r="C1002" i="5" s="1"/>
  <c r="C1003" i="5" s="1"/>
  <c r="O70" i="4"/>
  <c r="O65" i="4" s="1"/>
  <c r="N71" i="4"/>
  <c r="N72" i="4"/>
  <c r="O72" i="4" s="1"/>
  <c r="I71" i="4"/>
  <c r="F44" i="4"/>
  <c r="F26" i="4"/>
  <c r="I26" i="4" s="1"/>
  <c r="F27" i="4"/>
  <c r="I27" i="4" s="1"/>
  <c r="F28" i="4"/>
  <c r="I28" i="4" s="1"/>
  <c r="F29" i="4"/>
  <c r="I29" i="4" s="1"/>
  <c r="F30" i="4"/>
  <c r="I30" i="4" s="1"/>
  <c r="F31" i="4"/>
  <c r="I31" i="4" s="1"/>
  <c r="F32" i="4"/>
  <c r="I32" i="4" s="1"/>
  <c r="F33" i="4"/>
  <c r="I33" i="4" s="1"/>
  <c r="F34" i="4"/>
  <c r="I34" i="4" s="1"/>
  <c r="F35" i="4"/>
  <c r="I35" i="4" s="1"/>
  <c r="F36" i="4"/>
  <c r="I36" i="4" s="1"/>
  <c r="F37" i="4"/>
  <c r="I37" i="4" s="1"/>
  <c r="F38" i="4"/>
  <c r="I38" i="4" s="1"/>
  <c r="F39" i="4"/>
  <c r="I39" i="4" s="1"/>
  <c r="F40" i="4"/>
  <c r="I40" i="4" s="1"/>
  <c r="F41" i="4"/>
  <c r="I41" i="4" s="1"/>
  <c r="F42" i="4"/>
  <c r="I42" i="4" s="1"/>
  <c r="F43" i="4"/>
  <c r="I43" i="4" s="1"/>
  <c r="F24" i="4"/>
  <c r="I24" i="4" s="1"/>
  <c r="F25" i="4"/>
  <c r="I25" i="4" s="1"/>
  <c r="M46" i="4" l="1"/>
  <c r="O66" i="4"/>
  <c r="K55" i="4"/>
  <c r="I53" i="4"/>
  <c r="J53" i="4" s="1"/>
  <c r="K53" i="4" s="1"/>
  <c r="I52" i="4"/>
  <c r="J52" i="4" s="1"/>
  <c r="K52" i="4" s="1"/>
  <c r="I51" i="4"/>
  <c r="J51" i="4" s="1"/>
  <c r="K51" i="4" s="1"/>
  <c r="K49" i="4"/>
  <c r="L49" i="4" s="1"/>
  <c r="I60" i="4"/>
  <c r="J60" i="4" s="1"/>
  <c r="K60" i="4" s="1"/>
  <c r="I59" i="4"/>
  <c r="J59" i="4" s="1"/>
  <c r="K59" i="4" s="1"/>
  <c r="I58" i="4"/>
  <c r="J58" i="4" s="1"/>
  <c r="K58" i="4" s="1"/>
  <c r="I57" i="4"/>
  <c r="J57" i="4" s="1"/>
  <c r="K57" i="4" s="1"/>
  <c r="I67" i="4"/>
  <c r="J67" i="4" s="1"/>
  <c r="K67" i="4" s="1"/>
  <c r="I66" i="4"/>
  <c r="J66" i="4" s="1"/>
  <c r="K66" i="4" s="1"/>
  <c r="I54" i="4"/>
  <c r="J54" i="4" s="1"/>
  <c r="K54" i="4" s="1"/>
  <c r="I65" i="4"/>
  <c r="J65" i="4" s="1"/>
  <c r="K65" i="4" s="1"/>
  <c r="I64" i="4"/>
  <c r="J64" i="4" s="1"/>
  <c r="K64" i="4" s="1"/>
  <c r="I63" i="4"/>
  <c r="J63" i="4" s="1"/>
  <c r="K63" i="4" s="1"/>
  <c r="I62" i="4"/>
  <c r="J62" i="4" s="1"/>
  <c r="K62" i="4" s="1"/>
  <c r="I50" i="4"/>
  <c r="J50" i="4" s="1"/>
  <c r="K50" i="4" s="1"/>
  <c r="I61" i="4"/>
  <c r="J61" i="4" s="1"/>
  <c r="K61" i="4" s="1"/>
  <c r="I68" i="4"/>
  <c r="J68" i="4" s="1"/>
  <c r="K68" i="4" s="1"/>
  <c r="I56" i="4"/>
  <c r="J56" i="4" s="1"/>
  <c r="K56" i="4" s="1"/>
  <c r="O14" i="4"/>
  <c r="O5" i="4"/>
  <c r="E9" i="4"/>
  <c r="F9" i="4"/>
  <c r="G9" i="4"/>
  <c r="H9" i="4"/>
  <c r="I9" i="4"/>
  <c r="J9" i="4"/>
  <c r="K9" i="4"/>
  <c r="L9" i="4"/>
  <c r="M9" i="4"/>
  <c r="D9" i="4"/>
  <c r="E19" i="4"/>
  <c r="F19" i="4"/>
  <c r="G19" i="4"/>
  <c r="H19" i="4"/>
  <c r="I19" i="4"/>
  <c r="J19" i="4"/>
  <c r="K19" i="4"/>
  <c r="L19" i="4"/>
  <c r="M19" i="4"/>
  <c r="D19" i="4"/>
  <c r="D44" i="4"/>
  <c r="K69" i="4" l="1"/>
  <c r="I64" i="3"/>
  <c r="I54" i="3" l="1"/>
  <c r="I59" i="3"/>
  <c r="I48" i="3"/>
  <c r="I57" i="3"/>
  <c r="I63" i="3"/>
  <c r="I62" i="3"/>
  <c r="I55" i="3"/>
  <c r="I49" i="3"/>
  <c r="I53" i="3"/>
  <c r="I56" i="3"/>
  <c r="I58" i="3"/>
  <c r="I50" i="3"/>
  <c r="I52" i="3"/>
  <c r="I61" i="3"/>
  <c r="I51" i="3"/>
  <c r="I60" i="3"/>
  <c r="I47" i="3"/>
  <c r="I66" i="3" l="1"/>
  <c r="I67" i="3" s="1"/>
  <c r="J65" i="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<sst xmlns="http://schemas.openxmlformats.org/spreadsheetml/2006/main" count="238" uniqueCount="130">
  <si>
    <t>필드공격력 증가 200000</t>
    <phoneticPr fontId="2" type="noConversion"/>
  </si>
  <si>
    <t>캐릭터 공격력</t>
    <phoneticPr fontId="2" type="noConversion"/>
  </si>
  <si>
    <t>치뎀</t>
    <phoneticPr fontId="2" type="noConversion"/>
  </si>
  <si>
    <t>치확</t>
    <phoneticPr fontId="2" type="noConversion"/>
  </si>
  <si>
    <t>단계</t>
    <phoneticPr fontId="2" type="noConversion"/>
  </si>
  <si>
    <t>장착</t>
    <phoneticPr fontId="2" type="noConversion"/>
  </si>
  <si>
    <t>보유</t>
    <phoneticPr fontId="2" type="noConversion"/>
  </si>
  <si>
    <t>일반</t>
    <phoneticPr fontId="2" type="noConversion"/>
  </si>
  <si>
    <t>고급</t>
  </si>
  <si>
    <t>고급</t>
    <phoneticPr fontId="2" type="noConversion"/>
  </si>
  <si>
    <t>레어</t>
    <phoneticPr fontId="2" type="noConversion"/>
  </si>
  <si>
    <t>영웅</t>
  </si>
  <si>
    <t>영웅</t>
    <phoneticPr fontId="2" type="noConversion"/>
  </si>
  <si>
    <t>전설</t>
  </si>
  <si>
    <t>전설</t>
    <phoneticPr fontId="2" type="noConversion"/>
  </si>
  <si>
    <t>신화</t>
  </si>
  <si>
    <t>신화</t>
    <phoneticPr fontId="2" type="noConversion"/>
  </si>
  <si>
    <t>4등급 40% 3둥급 30% 2둥급 20% 1등급 10 %</t>
    <phoneticPr fontId="2" type="noConversion"/>
  </si>
  <si>
    <t>무기</t>
    <phoneticPr fontId="2" type="noConversion"/>
  </si>
  <si>
    <t>아우라</t>
    <phoneticPr fontId="2" type="noConversion"/>
  </si>
  <si>
    <t>1단계</t>
    <phoneticPr fontId="2" type="noConversion"/>
  </si>
  <si>
    <t>2단계</t>
  </si>
  <si>
    <t>3단계</t>
  </si>
  <si>
    <t>4단계</t>
  </si>
  <si>
    <t>5단계</t>
  </si>
  <si>
    <t>6단계</t>
  </si>
  <si>
    <t>7단계</t>
  </si>
  <si>
    <t>8단계</t>
  </si>
  <si>
    <t>9단계</t>
  </si>
  <si>
    <t>10단계</t>
  </si>
  <si>
    <t>11단계</t>
  </si>
  <si>
    <t>12단계</t>
  </si>
  <si>
    <t>13단계</t>
  </si>
  <si>
    <t>14단계</t>
  </si>
  <si>
    <t>15단계</t>
  </si>
  <si>
    <t>16단계</t>
  </si>
  <si>
    <t>17단계</t>
  </si>
  <si>
    <t>18단계</t>
  </si>
  <si>
    <t>19단계</t>
  </si>
  <si>
    <t>20단계</t>
  </si>
  <si>
    <t>Id(40/30/20/10)</t>
  </si>
  <si>
    <t>노말</t>
  </si>
  <si>
    <t>희귀</t>
  </si>
  <si>
    <t>슬키</t>
    <phoneticPr fontId="2" type="noConversion"/>
  </si>
  <si>
    <t>우리</t>
    <phoneticPr fontId="2" type="noConversion"/>
  </si>
  <si>
    <t>보너스</t>
    <phoneticPr fontId="2" type="noConversion"/>
  </si>
  <si>
    <t>단계</t>
  </si>
  <si>
    <t>확률(%)</t>
  </si>
  <si>
    <t>확률(소수)</t>
  </si>
  <si>
    <t>보상(원)</t>
  </si>
  <si>
    <t>기댓값 항</t>
  </si>
  <si>
    <t xml:space="preserve"> </t>
    <phoneticPr fontId="2" type="noConversion"/>
  </si>
  <si>
    <t>확률</t>
    <phoneticPr fontId="2" type="noConversion"/>
  </si>
  <si>
    <t>값</t>
    <phoneticPr fontId="2" type="noConversion"/>
  </si>
  <si>
    <t>기댓값</t>
    <phoneticPr fontId="2" type="noConversion"/>
  </si>
  <si>
    <t>노말</t>
    <phoneticPr fontId="2" type="noConversion"/>
  </si>
  <si>
    <t>확률*값</t>
    <phoneticPr fontId="2" type="noConversion"/>
  </si>
  <si>
    <t>값치환</t>
    <phoneticPr fontId="2" type="noConversion"/>
  </si>
  <si>
    <t>번뽑음</t>
    <phoneticPr fontId="2" type="noConversion"/>
  </si>
  <si>
    <t>다이아</t>
    <phoneticPr fontId="2" type="noConversion"/>
  </si>
  <si>
    <t>현금</t>
    <phoneticPr fontId="2" type="noConversion"/>
  </si>
  <si>
    <t>2500?</t>
    <phoneticPr fontId="2" type="noConversion"/>
  </si>
  <si>
    <t>횟수</t>
    <phoneticPr fontId="2" type="noConversion"/>
  </si>
  <si>
    <t>장착효과</t>
    <phoneticPr fontId="2" type="noConversion"/>
  </si>
  <si>
    <t>뚫는 스테이지</t>
    <phoneticPr fontId="2" type="noConversion"/>
  </si>
  <si>
    <t>세짐</t>
    <phoneticPr fontId="2" type="noConversion"/>
  </si>
  <si>
    <t>a</t>
    <phoneticPr fontId="2" type="noConversion"/>
  </si>
  <si>
    <t>n</t>
    <phoneticPr fontId="2" type="noConversion"/>
  </si>
  <si>
    <t>s</t>
    <phoneticPr fontId="2" type="noConversion"/>
  </si>
  <si>
    <t>d</t>
    <phoneticPr fontId="2" type="noConversion"/>
  </si>
  <si>
    <t>스테이지</t>
    <phoneticPr fontId="2" type="noConversion"/>
  </si>
  <si>
    <t>보스체력</t>
    <phoneticPr fontId="2" type="noConversion"/>
  </si>
  <si>
    <t>1안</t>
    <phoneticPr fontId="2" type="noConversion"/>
  </si>
  <si>
    <t>2안</t>
  </si>
  <si>
    <t>3안</t>
  </si>
  <si>
    <t>돈</t>
    <phoneticPr fontId="2" type="noConversion"/>
  </si>
  <si>
    <t>썌짐비율</t>
    <phoneticPr fontId="2" type="noConversion"/>
  </si>
  <si>
    <t>보유효과</t>
    <phoneticPr fontId="2" type="noConversion"/>
  </si>
  <si>
    <t>강화횟수</t>
    <phoneticPr fontId="2" type="noConversion"/>
  </si>
  <si>
    <t>확율선택</t>
    <phoneticPr fontId="2" type="noConversion"/>
  </si>
  <si>
    <t>A1</t>
    <phoneticPr fontId="2" type="noConversion"/>
  </si>
  <si>
    <t>D1</t>
    <phoneticPr fontId="2" type="noConversion"/>
  </si>
  <si>
    <t>A2</t>
    <phoneticPr fontId="2" type="noConversion"/>
  </si>
  <si>
    <t>D2</t>
    <phoneticPr fontId="2" type="noConversion"/>
  </si>
  <si>
    <t xml:space="preserve">초기항 </t>
    <phoneticPr fontId="2" type="noConversion"/>
  </si>
  <si>
    <t>총강화석비용</t>
    <phoneticPr fontId="2" type="noConversion"/>
  </si>
  <si>
    <t>보유+장착</t>
    <phoneticPr fontId="2" type="noConversion"/>
  </si>
  <si>
    <t>장착공격력</t>
    <phoneticPr fontId="2" type="noConversion"/>
  </si>
  <si>
    <t>보유공격력</t>
    <phoneticPr fontId="2" type="noConversion"/>
  </si>
  <si>
    <t>각성공격력</t>
    <phoneticPr fontId="2" type="noConversion"/>
  </si>
  <si>
    <t>장착 무기번호</t>
    <phoneticPr fontId="2" type="noConversion"/>
  </si>
  <si>
    <t>200 장착 고정</t>
    <phoneticPr fontId="2" type="noConversion"/>
  </si>
  <si>
    <t>토탈공격력</t>
    <phoneticPr fontId="2" type="noConversion"/>
  </si>
  <si>
    <t>선택</t>
    <phoneticPr fontId="2" type="noConversion"/>
  </si>
  <si>
    <t>가격</t>
    <phoneticPr fontId="2" type="noConversion"/>
  </si>
  <si>
    <t>처음</t>
    <phoneticPr fontId="2" type="noConversion"/>
  </si>
  <si>
    <t>나중</t>
    <phoneticPr fontId="2" type="noConversion"/>
  </si>
  <si>
    <t>뽑음횟수</t>
    <phoneticPr fontId="2" type="noConversion"/>
  </si>
  <si>
    <t>현금슬키</t>
    <phoneticPr fontId="2" type="noConversion"/>
  </si>
  <si>
    <t>현금우리</t>
    <phoneticPr fontId="2" type="noConversion"/>
  </si>
  <si>
    <t>단계치환</t>
    <phoneticPr fontId="2" type="noConversion"/>
  </si>
  <si>
    <t>1회비용</t>
    <phoneticPr fontId="2" type="noConversion"/>
  </si>
  <si>
    <t>24번 뽑을횟수</t>
    <phoneticPr fontId="2" type="noConversion"/>
  </si>
  <si>
    <t>24번 뽑음 개수</t>
    <phoneticPr fontId="2" type="noConversion"/>
  </si>
  <si>
    <t>목표무기</t>
    <phoneticPr fontId="2" type="noConversion"/>
  </si>
  <si>
    <t>19강 뽑을횟수</t>
    <phoneticPr fontId="2" type="noConversion"/>
  </si>
  <si>
    <t>19강 뽑을개수</t>
    <phoneticPr fontId="2" type="noConversion"/>
  </si>
  <si>
    <t>값 치환</t>
    <phoneticPr fontId="2" type="noConversion"/>
  </si>
  <si>
    <t>목표치환</t>
    <phoneticPr fontId="2" type="noConversion"/>
  </si>
  <si>
    <t>무기 강</t>
    <phoneticPr fontId="2" type="noConversion"/>
  </si>
  <si>
    <t>뽑음 횟수</t>
    <phoneticPr fontId="2" type="noConversion"/>
  </si>
  <si>
    <t>1회 가격</t>
    <phoneticPr fontId="2" type="noConversion"/>
  </si>
  <si>
    <t>뽑을 횟 수</t>
    <phoneticPr fontId="2" type="noConversion"/>
  </si>
  <si>
    <t>뽑은  갯수</t>
    <phoneticPr fontId="2" type="noConversion"/>
  </si>
  <si>
    <t>Class Cost Factor</t>
  </si>
  <si>
    <t>Grade</t>
  </si>
  <si>
    <t>Factor</t>
  </si>
  <si>
    <t>QUIPMENT DATA'!$U$3:$V$22,2,0</t>
  </si>
  <si>
    <t>Orr Cost</t>
  </si>
  <si>
    <t>Level</t>
  </si>
  <si>
    <t>Cost</t>
  </si>
  <si>
    <t>(P50+1,'EQUIPMENT DATA'!$O$3:$P$1403,2,0)</t>
  </si>
  <si>
    <t>P50 = j1</t>
    <phoneticPr fontId="2" type="noConversion"/>
  </si>
  <si>
    <t>o50=i</t>
    <phoneticPr fontId="2" type="noConversion"/>
  </si>
  <si>
    <t>IF(B59=TRUE,C59*VLOOKUP(D59,$L$3:$M$1403,2,FALSE),0)</t>
    <phoneticPr fontId="2" type="noConversion"/>
  </si>
  <si>
    <t>d 59 강화횟수</t>
    <phoneticPr fontId="2" type="noConversion"/>
  </si>
  <si>
    <t>Equip ATK factor</t>
  </si>
  <si>
    <t>Stage</t>
  </si>
  <si>
    <t>공격력 계수</t>
    <phoneticPr fontId="2" type="noConversion"/>
  </si>
  <si>
    <t>C59가 배율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</si>
</sst>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1" formatCode="_-* #,##0_-;\-* #,##0_-;_-* &quot;-&quot;_-;_-@_-"/>
    <numFmt numFmtId="43" formatCode="_-* #,##0.00_-;\-* #,##0.00_-;_-* &quot;-&quot;??_-;_-@_-"/>
    <numFmt numFmtId="176" formatCode="_-* #,##0_-;\-* #,##0_-;_-* &quot;-&quot;??_-;_-@_-"/>
    <numFmt numFmtId="177" formatCode="0.000"/>
    <numFmt numFmtId="178" formatCode="0.0"/>
    <numFmt numFmtId="179" formatCode="0.0000"/>
    <numFmt numFmtId="180" formatCode="0.00_ "/>
    <numFmt numFmtId="181" formatCode="0.0000000"/>
    <numFmt numFmtId="182" formatCode="0.00_);[Red]\(0.00\)"/>
  </numFmts>
  <fonts count="8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0"/>
      <color rgb="FFB5CEA8"/>
      <name val="Consolas"/>
      <family val="3"/>
    </font>
    <font>
      <sz val="10"/>
      <color rgb="FF000000"/>
      <name val="Courier New"/>
      <family val="3"/>
    </font>
    <font>
      <b/>
      <sz val="10"/>
      <color theme="1"/>
      <name val="Calibri"/>
      <family val="2"/>
    </font>
    <font>
      <sz val="10"/>
      <color theme="1"/>
      <name val="Calibri"/>
      <family val="2"/>
    </font>
  </fonts>
  <fills count="3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DADA26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C6E0B4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CE5CD"/>
        <bgColor indexed="64"/>
      </patternFill>
    </fill>
    <fill>
      <patternFill patternType="solid">
        <fgColor rgb="FFF4CCCC"/>
        <bgColor indexed="64"/>
      </patternFill>
    </fill>
    <fill>
      <patternFill patternType="solid">
        <fgColor rgb="FFFFE599"/>
        <bgColor indexed="64"/>
      </patternFill>
    </fill>
    <fill>
      <patternFill patternType="solid">
        <fgColor rgb="FFCCCCCC"/>
        <bgColor indexed="64"/>
      </patternFill>
    </fill>
    <fill>
      <patternFill patternType="solid">
        <fgColor rgb="FFB6D7A8"/>
        <bgColor indexed="64"/>
      </patternFill>
    </fill>
    <fill>
      <patternFill patternType="solid">
        <fgColor rgb="FFB4A7D6"/>
        <bgColor indexed="64"/>
      </patternFill>
    </fill>
    <fill>
      <patternFill patternType="solid">
        <fgColor rgb="FFCFE2F3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ck">
        <color rgb="FF000000"/>
      </left>
      <right/>
      <top style="thick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thick">
        <color rgb="FF000000"/>
      </right>
      <top/>
      <bottom style="medium">
        <color rgb="FF000000"/>
      </bottom>
      <diagonal/>
    </border>
    <border>
      <left style="thick">
        <color rgb="FF000000"/>
      </left>
      <right style="medium">
        <color rgb="FF000000"/>
      </right>
      <top/>
      <bottom style="thick">
        <color rgb="FF000000"/>
      </bottom>
      <diagonal/>
    </border>
    <border>
      <left/>
      <right style="thick">
        <color rgb="FF000000"/>
      </right>
      <top/>
      <bottom style="thick">
        <color rgb="FF000000"/>
      </bottom>
      <diagonal/>
    </border>
    <border>
      <left style="medium">
        <color rgb="FF000000"/>
      </left>
      <right style="medium">
        <color rgb="FF000000"/>
      </right>
      <top style="thick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ck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thick">
        <color rgb="FF000000"/>
      </left>
      <right style="medium">
        <color rgb="FF000000"/>
      </right>
      <top/>
      <bottom/>
      <diagonal/>
    </border>
  </borders>
  <cellStyleXfs count="3">
    <xf numFmtId="0" fontId="0" fillId="0" borderId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</cellStyleXfs>
  <cellXfs count="161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3" borderId="0" xfId="0" applyFill="1">
      <alignment vertical="center"/>
    </xf>
    <xf numFmtId="0" fontId="0" fillId="4" borderId="0" xfId="0" applyFill="1">
      <alignment vertical="center"/>
    </xf>
    <xf numFmtId="0" fontId="0" fillId="2" borderId="0" xfId="1" applyNumberFormat="1" applyFont="1" applyFill="1">
      <alignment vertical="center"/>
    </xf>
    <xf numFmtId="0" fontId="0" fillId="5" borderId="0" xfId="0" applyFill="1">
      <alignment vertical="center"/>
    </xf>
    <xf numFmtId="2" fontId="0" fillId="5" borderId="0" xfId="0" applyNumberFormat="1" applyFill="1">
      <alignment vertical="center"/>
    </xf>
    <xf numFmtId="0" fontId="3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4" fontId="0" fillId="0" borderId="0" xfId="0" applyNumberFormat="1" applyAlignment="1">
      <alignment vertical="center" wrapText="1"/>
    </xf>
    <xf numFmtId="3" fontId="0" fillId="0" borderId="0" xfId="0" applyNumberFormat="1" applyAlignment="1">
      <alignment vertical="center" wrapText="1"/>
    </xf>
    <xf numFmtId="0" fontId="0" fillId="0" borderId="0" xfId="1" applyNumberFormat="1" applyFont="1">
      <alignment vertical="center"/>
    </xf>
    <xf numFmtId="41" fontId="0" fillId="0" borderId="0" xfId="2" applyFont="1">
      <alignment vertical="center"/>
    </xf>
    <xf numFmtId="43" fontId="0" fillId="0" borderId="0" xfId="0" applyNumberFormat="1">
      <alignment vertical="center"/>
    </xf>
    <xf numFmtId="176" fontId="0" fillId="0" borderId="0" xfId="0" applyNumberFormat="1">
      <alignment vertical="center"/>
    </xf>
    <xf numFmtId="177" fontId="0" fillId="0" borderId="0" xfId="0" applyNumberFormat="1">
      <alignment vertical="center"/>
    </xf>
    <xf numFmtId="178" fontId="0" fillId="0" borderId="0" xfId="0" applyNumberFormat="1">
      <alignment vertical="center"/>
    </xf>
    <xf numFmtId="1" fontId="0" fillId="0" borderId="0" xfId="0" applyNumberFormat="1">
      <alignment vertical="center"/>
    </xf>
    <xf numFmtId="0" fontId="0" fillId="7" borderId="0" xfId="0" applyFill="1">
      <alignment vertical="center"/>
    </xf>
    <xf numFmtId="0" fontId="0" fillId="8" borderId="0" xfId="0" applyFill="1">
      <alignment vertical="center"/>
    </xf>
    <xf numFmtId="0" fontId="0" fillId="9" borderId="0" xfId="0" applyFill="1">
      <alignment vertical="center"/>
    </xf>
    <xf numFmtId="2" fontId="0" fillId="9" borderId="0" xfId="0" applyNumberFormat="1" applyFill="1">
      <alignment vertical="center"/>
    </xf>
    <xf numFmtId="9" fontId="0" fillId="0" borderId="0" xfId="0" applyNumberFormat="1">
      <alignment vertical="center"/>
    </xf>
    <xf numFmtId="178" fontId="0" fillId="9" borderId="0" xfId="0" applyNumberFormat="1" applyFill="1">
      <alignment vertical="center"/>
    </xf>
    <xf numFmtId="2" fontId="0" fillId="0" borderId="0" xfId="0" applyNumberFormat="1">
      <alignment vertical="center"/>
    </xf>
    <xf numFmtId="9" fontId="0" fillId="0" borderId="0" xfId="1" applyFont="1">
      <alignment vertical="center"/>
    </xf>
    <xf numFmtId="180" fontId="0" fillId="0" borderId="0" xfId="0" applyNumberFormat="1">
      <alignment vertical="center"/>
    </xf>
    <xf numFmtId="0" fontId="0" fillId="0" borderId="0" xfId="0" applyAlignment="1">
      <alignment horizontal="center" vertical="center"/>
    </xf>
    <xf numFmtId="0" fontId="0" fillId="10" borderId="0" xfId="0" applyFill="1">
      <alignment vertical="center"/>
    </xf>
    <xf numFmtId="0" fontId="0" fillId="11" borderId="0" xfId="0" applyFill="1">
      <alignment vertical="center"/>
    </xf>
    <xf numFmtId="2" fontId="0" fillId="10" borderId="0" xfId="0" applyNumberFormat="1" applyFill="1">
      <alignment vertical="center"/>
    </xf>
    <xf numFmtId="178" fontId="0" fillId="10" borderId="0" xfId="0" applyNumberFormat="1" applyFill="1">
      <alignment vertical="center"/>
    </xf>
    <xf numFmtId="0" fontId="0" fillId="12" borderId="0" xfId="0" applyFill="1">
      <alignment vertical="center"/>
    </xf>
    <xf numFmtId="2" fontId="0" fillId="12" borderId="0" xfId="0" applyNumberFormat="1" applyFill="1">
      <alignment vertical="center"/>
    </xf>
    <xf numFmtId="178" fontId="0" fillId="12" borderId="0" xfId="0" applyNumberFormat="1" applyFill="1">
      <alignment vertical="center"/>
    </xf>
    <xf numFmtId="0" fontId="0" fillId="13" borderId="0" xfId="0" applyFill="1">
      <alignment vertical="center"/>
    </xf>
    <xf numFmtId="2" fontId="0" fillId="13" borderId="0" xfId="0" applyNumberFormat="1" applyFill="1">
      <alignment vertical="center"/>
    </xf>
    <xf numFmtId="178" fontId="0" fillId="13" borderId="0" xfId="0" applyNumberFormat="1" applyFill="1">
      <alignment vertical="center"/>
    </xf>
    <xf numFmtId="180" fontId="0" fillId="10" borderId="0" xfId="0" applyNumberFormat="1" applyFill="1">
      <alignment vertical="center"/>
    </xf>
    <xf numFmtId="0" fontId="0" fillId="14" borderId="0" xfId="0" applyFill="1">
      <alignment vertical="center"/>
    </xf>
    <xf numFmtId="180" fontId="0" fillId="14" borderId="0" xfId="0" applyNumberFormat="1" applyFill="1">
      <alignment vertical="center"/>
    </xf>
    <xf numFmtId="180" fontId="0" fillId="9" borderId="0" xfId="0" applyNumberFormat="1" applyFill="1">
      <alignment vertical="center"/>
    </xf>
    <xf numFmtId="180" fontId="0" fillId="13" borderId="0" xfId="0" applyNumberFormat="1" applyFill="1">
      <alignment vertical="center"/>
    </xf>
    <xf numFmtId="2" fontId="0" fillId="15" borderId="0" xfId="0" applyNumberFormat="1" applyFill="1">
      <alignment vertical="center"/>
    </xf>
    <xf numFmtId="0" fontId="0" fillId="13" borderId="0" xfId="1" applyNumberFormat="1" applyFont="1" applyFill="1">
      <alignment vertical="center"/>
    </xf>
    <xf numFmtId="0" fontId="0" fillId="10" borderId="0" xfId="1" applyNumberFormat="1" applyFont="1" applyFill="1">
      <alignment vertical="center"/>
    </xf>
    <xf numFmtId="0" fontId="0" fillId="14" borderId="0" xfId="1" applyNumberFormat="1" applyFont="1" applyFill="1">
      <alignment vertical="center"/>
    </xf>
    <xf numFmtId="0" fontId="0" fillId="9" borderId="0" xfId="1" applyNumberFormat="1" applyFont="1" applyFill="1">
      <alignment vertical="center"/>
    </xf>
    <xf numFmtId="0" fontId="0" fillId="16" borderId="0" xfId="0" applyFill="1">
      <alignment vertical="center"/>
    </xf>
    <xf numFmtId="2" fontId="0" fillId="16" borderId="0" xfId="0" applyNumberFormat="1" applyFill="1">
      <alignment vertical="center"/>
    </xf>
    <xf numFmtId="178" fontId="0" fillId="16" borderId="0" xfId="0" applyNumberFormat="1" applyFill="1">
      <alignment vertical="center"/>
    </xf>
    <xf numFmtId="0" fontId="0" fillId="16" borderId="0" xfId="1" applyNumberFormat="1" applyFont="1" applyFill="1">
      <alignment vertical="center"/>
    </xf>
    <xf numFmtId="180" fontId="0" fillId="16" borderId="0" xfId="0" applyNumberFormat="1" applyFill="1">
      <alignment vertical="center"/>
    </xf>
    <xf numFmtId="179" fontId="0" fillId="10" borderId="0" xfId="0" applyNumberFormat="1" applyFill="1">
      <alignment vertical="center"/>
    </xf>
    <xf numFmtId="179" fontId="0" fillId="14" borderId="0" xfId="0" applyNumberFormat="1" applyFill="1">
      <alignment vertical="center"/>
    </xf>
    <xf numFmtId="179" fontId="0" fillId="9" borderId="0" xfId="0" applyNumberFormat="1" applyFill="1">
      <alignment vertical="center"/>
    </xf>
    <xf numFmtId="179" fontId="0" fillId="16" borderId="0" xfId="0" applyNumberFormat="1" applyFill="1">
      <alignment vertical="center"/>
    </xf>
    <xf numFmtId="179" fontId="0" fillId="13" borderId="0" xfId="0" applyNumberFormat="1" applyFill="1">
      <alignment vertical="center"/>
    </xf>
    <xf numFmtId="9" fontId="0" fillId="0" borderId="0" xfId="1" applyFont="1" applyAlignment="1">
      <alignment horizontal="center" vertical="center"/>
    </xf>
    <xf numFmtId="0" fontId="0" fillId="17" borderId="0" xfId="0" applyFill="1">
      <alignment vertical="center"/>
    </xf>
    <xf numFmtId="0" fontId="0" fillId="17" borderId="0" xfId="1" applyNumberFormat="1" applyFont="1" applyFill="1">
      <alignment vertical="center"/>
    </xf>
    <xf numFmtId="0" fontId="0" fillId="18" borderId="0" xfId="0" applyFill="1">
      <alignment vertical="center"/>
    </xf>
    <xf numFmtId="2" fontId="0" fillId="18" borderId="0" xfId="0" applyNumberFormat="1" applyFill="1">
      <alignment vertical="center"/>
    </xf>
    <xf numFmtId="178" fontId="0" fillId="18" borderId="0" xfId="0" applyNumberFormat="1" applyFill="1">
      <alignment vertical="center"/>
    </xf>
    <xf numFmtId="0" fontId="0" fillId="18" borderId="0" xfId="1" applyNumberFormat="1" applyFont="1" applyFill="1">
      <alignment vertical="center"/>
    </xf>
    <xf numFmtId="179" fontId="0" fillId="18" borderId="0" xfId="0" applyNumberFormat="1" applyFill="1">
      <alignment vertical="center"/>
    </xf>
    <xf numFmtId="180" fontId="0" fillId="18" borderId="0" xfId="0" applyNumberFormat="1" applyFill="1">
      <alignment vertical="center"/>
    </xf>
    <xf numFmtId="179" fontId="0" fillId="15" borderId="0" xfId="0" applyNumberFormat="1" applyFill="1">
      <alignment vertical="center"/>
    </xf>
    <xf numFmtId="0" fontId="0" fillId="5" borderId="1" xfId="0" applyFill="1" applyBorder="1">
      <alignment vertical="center"/>
    </xf>
    <xf numFmtId="41" fontId="0" fillId="5" borderId="1" xfId="2" applyFont="1" applyFill="1" applyBorder="1">
      <alignment vertical="center"/>
    </xf>
    <xf numFmtId="0" fontId="0" fillId="5" borderId="0" xfId="0" applyFill="1" applyAlignment="1">
      <alignment horizontal="left" vertical="center"/>
    </xf>
    <xf numFmtId="0" fontId="0" fillId="5" borderId="0" xfId="1" applyNumberFormat="1" applyFont="1" applyFill="1">
      <alignment vertical="center"/>
    </xf>
    <xf numFmtId="0" fontId="0" fillId="19" borderId="0" xfId="0" applyFill="1">
      <alignment vertical="center"/>
    </xf>
    <xf numFmtId="0" fontId="0" fillId="20" borderId="0" xfId="0" applyFill="1">
      <alignment vertical="center"/>
    </xf>
    <xf numFmtId="1" fontId="0" fillId="17" borderId="0" xfId="0" applyNumberFormat="1" applyFill="1">
      <alignment vertical="center"/>
    </xf>
    <xf numFmtId="43" fontId="0" fillId="17" borderId="0" xfId="0" applyNumberFormat="1" applyFill="1">
      <alignment vertical="center"/>
    </xf>
    <xf numFmtId="181" fontId="0" fillId="0" borderId="0" xfId="0" applyNumberFormat="1">
      <alignment vertical="center"/>
    </xf>
    <xf numFmtId="0" fontId="0" fillId="10" borderId="3" xfId="0" applyFill="1" applyBorder="1">
      <alignment vertical="center"/>
    </xf>
    <xf numFmtId="0" fontId="0" fillId="10" borderId="4" xfId="0" applyFill="1" applyBorder="1">
      <alignment vertical="center"/>
    </xf>
    <xf numFmtId="0" fontId="0" fillId="10" borderId="7" xfId="0" applyFill="1" applyBorder="1">
      <alignment vertical="center"/>
    </xf>
    <xf numFmtId="0" fontId="0" fillId="10" borderId="8" xfId="0" applyFill="1" applyBorder="1">
      <alignment vertical="center"/>
    </xf>
    <xf numFmtId="0" fontId="0" fillId="5" borderId="7" xfId="0" applyFill="1" applyBorder="1">
      <alignment vertical="center"/>
    </xf>
    <xf numFmtId="0" fontId="0" fillId="5" borderId="8" xfId="0" applyFill="1" applyBorder="1">
      <alignment vertical="center"/>
    </xf>
    <xf numFmtId="0" fontId="0" fillId="9" borderId="7" xfId="0" applyFill="1" applyBorder="1">
      <alignment vertical="center"/>
    </xf>
    <xf numFmtId="0" fontId="0" fillId="9" borderId="8" xfId="0" applyFill="1" applyBorder="1">
      <alignment vertical="center"/>
    </xf>
    <xf numFmtId="0" fontId="0" fillId="8" borderId="7" xfId="0" applyFill="1" applyBorder="1">
      <alignment vertical="center"/>
    </xf>
    <xf numFmtId="0" fontId="0" fillId="8" borderId="8" xfId="0" applyFill="1" applyBorder="1">
      <alignment vertical="center"/>
    </xf>
    <xf numFmtId="0" fontId="0" fillId="7" borderId="7" xfId="0" applyFill="1" applyBorder="1">
      <alignment vertical="center"/>
    </xf>
    <xf numFmtId="0" fontId="0" fillId="7" borderId="8" xfId="0" applyFill="1" applyBorder="1">
      <alignment vertical="center"/>
    </xf>
    <xf numFmtId="0" fontId="0" fillId="7" borderId="5" xfId="0" applyFill="1" applyBorder="1">
      <alignment vertical="center"/>
    </xf>
    <xf numFmtId="0" fontId="0" fillId="7" borderId="6" xfId="0" applyFill="1" applyBorder="1">
      <alignment vertical="center"/>
    </xf>
    <xf numFmtId="0" fontId="0" fillId="5" borderId="9" xfId="0" applyFill="1" applyBorder="1">
      <alignment vertical="center"/>
    </xf>
    <xf numFmtId="0" fontId="4" fillId="0" borderId="0" xfId="0" applyFont="1" applyAlignment="1">
      <alignment horizontal="left" vertical="center" readingOrder="1"/>
    </xf>
    <xf numFmtId="0" fontId="5" fillId="0" borderId="0" xfId="0" applyFont="1">
      <alignment vertical="center"/>
    </xf>
    <xf numFmtId="0" fontId="0" fillId="10" borderId="0" xfId="0" applyFill="1" applyAlignment="1">
      <alignment vertical="center" wrapText="1"/>
    </xf>
    <xf numFmtId="182" fontId="0" fillId="10" borderId="0" xfId="0" applyNumberFormat="1" applyFill="1">
      <alignment vertical="center"/>
    </xf>
    <xf numFmtId="0" fontId="0" fillId="19" borderId="0" xfId="0" applyFill="1" applyAlignment="1">
      <alignment vertical="center" wrapText="1"/>
    </xf>
    <xf numFmtId="182" fontId="0" fillId="19" borderId="0" xfId="0" applyNumberFormat="1" applyFill="1">
      <alignment vertical="center"/>
    </xf>
    <xf numFmtId="4" fontId="0" fillId="19" borderId="0" xfId="0" applyNumberFormat="1" applyFill="1" applyAlignment="1">
      <alignment vertical="center" wrapText="1"/>
    </xf>
    <xf numFmtId="0" fontId="0" fillId="13" borderId="0" xfId="0" applyFill="1" applyAlignment="1">
      <alignment vertical="center" wrapText="1"/>
    </xf>
    <xf numFmtId="4" fontId="0" fillId="13" borderId="0" xfId="0" applyNumberFormat="1" applyFill="1" applyAlignment="1">
      <alignment vertical="center" wrapText="1"/>
    </xf>
    <xf numFmtId="182" fontId="0" fillId="13" borderId="0" xfId="0" applyNumberFormat="1" applyFill="1">
      <alignment vertical="center"/>
    </xf>
    <xf numFmtId="0" fontId="0" fillId="16" borderId="0" xfId="0" applyFill="1" applyAlignment="1">
      <alignment vertical="center" wrapText="1"/>
    </xf>
    <xf numFmtId="3" fontId="0" fillId="16" borderId="0" xfId="0" applyNumberFormat="1" applyFill="1" applyAlignment="1">
      <alignment vertical="center" wrapText="1"/>
    </xf>
    <xf numFmtId="182" fontId="0" fillId="16" borderId="0" xfId="0" applyNumberFormat="1" applyFill="1">
      <alignment vertical="center"/>
    </xf>
    <xf numFmtId="4" fontId="0" fillId="16" borderId="0" xfId="0" applyNumberFormat="1" applyFill="1" applyAlignment="1">
      <alignment vertical="center" wrapText="1"/>
    </xf>
    <xf numFmtId="0" fontId="0" fillId="9" borderId="0" xfId="0" applyFill="1" applyAlignment="1">
      <alignment vertical="center" wrapText="1"/>
    </xf>
    <xf numFmtId="4" fontId="0" fillId="9" borderId="0" xfId="0" applyNumberFormat="1" applyFill="1" applyAlignment="1">
      <alignment vertical="center" wrapText="1"/>
    </xf>
    <xf numFmtId="182" fontId="0" fillId="9" borderId="0" xfId="0" applyNumberFormat="1" applyFill="1">
      <alignment vertical="center"/>
    </xf>
    <xf numFmtId="0" fontId="0" fillId="20" borderId="0" xfId="0" applyFill="1" applyAlignment="1">
      <alignment vertical="center" wrapText="1"/>
    </xf>
    <xf numFmtId="1" fontId="0" fillId="20" borderId="0" xfId="0" applyNumberFormat="1" applyFill="1">
      <alignment vertical="center"/>
    </xf>
    <xf numFmtId="177" fontId="0" fillId="20" borderId="0" xfId="0" applyNumberFormat="1" applyFill="1">
      <alignment vertical="center"/>
    </xf>
    <xf numFmtId="41" fontId="0" fillId="20" borderId="0" xfId="2" applyFont="1" applyFill="1">
      <alignment vertical="center"/>
    </xf>
    <xf numFmtId="176" fontId="0" fillId="4" borderId="0" xfId="0" applyNumberFormat="1" applyFill="1">
      <alignment vertical="center"/>
    </xf>
    <xf numFmtId="43" fontId="0" fillId="4" borderId="0" xfId="0" applyNumberFormat="1" applyFill="1">
      <alignment vertical="center"/>
    </xf>
    <xf numFmtId="0" fontId="0" fillId="20" borderId="1" xfId="0" applyFill="1" applyBorder="1">
      <alignment vertical="center"/>
    </xf>
    <xf numFmtId="0" fontId="0" fillId="4" borderId="1" xfId="0" applyFill="1" applyBorder="1">
      <alignment vertical="center"/>
    </xf>
    <xf numFmtId="0" fontId="0" fillId="20" borderId="2" xfId="0" applyFill="1" applyBorder="1">
      <alignment vertical="center"/>
    </xf>
    <xf numFmtId="41" fontId="0" fillId="20" borderId="1" xfId="2" applyFont="1" applyFill="1" applyBorder="1">
      <alignment vertical="center"/>
    </xf>
    <xf numFmtId="1" fontId="0" fillId="20" borderId="1" xfId="0" applyNumberFormat="1" applyFill="1" applyBorder="1">
      <alignment vertical="center"/>
    </xf>
    <xf numFmtId="176" fontId="0" fillId="4" borderId="1" xfId="0" applyNumberFormat="1" applyFill="1" applyBorder="1">
      <alignment vertical="center"/>
    </xf>
    <xf numFmtId="43" fontId="0" fillId="4" borderId="1" xfId="0" applyNumberFormat="1" applyFill="1" applyBorder="1">
      <alignment vertical="center"/>
    </xf>
    <xf numFmtId="41" fontId="0" fillId="17" borderId="0" xfId="2" applyFont="1" applyFill="1">
      <alignment vertical="center"/>
    </xf>
    <xf numFmtId="0" fontId="0" fillId="5" borderId="0" xfId="0" applyFill="1" applyAlignment="1">
      <alignment horizontal="center" vertical="center"/>
    </xf>
    <xf numFmtId="41" fontId="0" fillId="5" borderId="0" xfId="2" applyFont="1" applyFill="1" applyAlignment="1">
      <alignment horizontal="center" vertical="center"/>
    </xf>
    <xf numFmtId="176" fontId="0" fillId="5" borderId="0" xfId="0" applyNumberFormat="1" applyFill="1" applyAlignment="1">
      <alignment horizontal="center" vertical="center"/>
    </xf>
    <xf numFmtId="0" fontId="0" fillId="6" borderId="1" xfId="0" applyFill="1" applyBorder="1">
      <alignment vertical="center"/>
    </xf>
    <xf numFmtId="1" fontId="0" fillId="6" borderId="1" xfId="0" applyNumberFormat="1" applyFill="1" applyBorder="1">
      <alignment vertical="center"/>
    </xf>
    <xf numFmtId="178" fontId="0" fillId="6" borderId="1" xfId="0" applyNumberFormat="1" applyFill="1" applyBorder="1">
      <alignment vertical="center"/>
    </xf>
    <xf numFmtId="0" fontId="6" fillId="22" borderId="12" xfId="0" applyFont="1" applyFill="1" applyBorder="1" applyAlignment="1">
      <alignment horizontal="center" wrapText="1"/>
    </xf>
    <xf numFmtId="0" fontId="6" fillId="22" borderId="13" xfId="0" applyFont="1" applyFill="1" applyBorder="1" applyAlignment="1">
      <alignment horizontal="center" wrapText="1"/>
    </xf>
    <xf numFmtId="0" fontId="7" fillId="23" borderId="12" xfId="0" applyFont="1" applyFill="1" applyBorder="1" applyAlignment="1">
      <alignment horizontal="center" wrapText="1"/>
    </xf>
    <xf numFmtId="0" fontId="7" fillId="0" borderId="13" xfId="0" applyFont="1" applyBorder="1" applyAlignment="1">
      <alignment horizontal="center" wrapText="1"/>
    </xf>
    <xf numFmtId="0" fontId="7" fillId="23" borderId="14" xfId="0" applyFont="1" applyFill="1" applyBorder="1" applyAlignment="1">
      <alignment horizontal="center" wrapText="1"/>
    </xf>
    <xf numFmtId="0" fontId="7" fillId="0" borderId="15" xfId="0" applyFont="1" applyBorder="1" applyAlignment="1">
      <alignment horizontal="center" wrapText="1"/>
    </xf>
    <xf numFmtId="3" fontId="7" fillId="0" borderId="13" xfId="0" applyNumberFormat="1" applyFont="1" applyBorder="1" applyAlignment="1">
      <alignment horizontal="center" wrapText="1"/>
    </xf>
    <xf numFmtId="3" fontId="7" fillId="0" borderId="15" xfId="0" applyNumberFormat="1" applyFont="1" applyBorder="1" applyAlignment="1">
      <alignment horizontal="center" wrapText="1"/>
    </xf>
    <xf numFmtId="0" fontId="6" fillId="27" borderId="16" xfId="0" applyFont="1" applyFill="1" applyBorder="1" applyAlignment="1">
      <alignment horizontal="center" wrapText="1"/>
    </xf>
    <xf numFmtId="0" fontId="6" fillId="27" borderId="17" xfId="0" applyFont="1" applyFill="1" applyBorder="1" applyAlignment="1">
      <alignment horizontal="center" wrapText="1"/>
    </xf>
    <xf numFmtId="0" fontId="6" fillId="28" borderId="17" xfId="0" applyFont="1" applyFill="1" applyBorder="1" applyAlignment="1">
      <alignment horizontal="center" wrapText="1"/>
    </xf>
    <xf numFmtId="0" fontId="6" fillId="24" borderId="17" xfId="0" applyFont="1" applyFill="1" applyBorder="1" applyAlignment="1">
      <alignment horizontal="center" wrapText="1"/>
    </xf>
    <xf numFmtId="0" fontId="6" fillId="29" borderId="17" xfId="0" applyFont="1" applyFill="1" applyBorder="1" applyAlignment="1">
      <alignment horizontal="center" wrapText="1"/>
    </xf>
    <xf numFmtId="0" fontId="6" fillId="25" borderId="17" xfId="0" applyFont="1" applyFill="1" applyBorder="1" applyAlignment="1">
      <alignment horizontal="center" wrapText="1"/>
    </xf>
    <xf numFmtId="0" fontId="6" fillId="30" borderId="17" xfId="0" applyFont="1" applyFill="1" applyBorder="1" applyAlignment="1">
      <alignment horizontal="center" wrapText="1"/>
    </xf>
    <xf numFmtId="0" fontId="6" fillId="26" borderId="18" xfId="0" applyFont="1" applyFill="1" applyBorder="1" applyAlignment="1">
      <alignment horizontal="center" wrapText="1"/>
    </xf>
    <xf numFmtId="0" fontId="6" fillId="30" borderId="19" xfId="0" applyFont="1" applyFill="1" applyBorder="1" applyAlignment="1">
      <alignment horizontal="center" wrapText="1"/>
    </xf>
    <xf numFmtId="0" fontId="7" fillId="23" borderId="20" xfId="0" applyFont="1" applyFill="1" applyBorder="1" applyAlignment="1">
      <alignment horizontal="center" wrapText="1"/>
    </xf>
    <xf numFmtId="9" fontId="6" fillId="30" borderId="19" xfId="0" applyNumberFormat="1" applyFont="1" applyFill="1" applyBorder="1" applyAlignment="1">
      <alignment horizontal="center" wrapText="1"/>
    </xf>
    <xf numFmtId="0" fontId="0" fillId="0" borderId="0" xfId="0" applyAlignment="1">
      <alignment horizontal="center" vertical="center"/>
    </xf>
    <xf numFmtId="0" fontId="0" fillId="19" borderId="0" xfId="0" applyFill="1" applyAlignment="1">
      <alignment horizontal="right" vertical="center" wrapText="1"/>
    </xf>
    <xf numFmtId="0" fontId="3" fillId="0" borderId="0" xfId="0" applyFont="1" applyAlignment="1">
      <alignment horizontal="center" vertical="center" wrapText="1"/>
    </xf>
    <xf numFmtId="0" fontId="0" fillId="10" borderId="0" xfId="0" applyFill="1" applyAlignment="1">
      <alignment horizontal="right" vertical="center" wrapText="1"/>
    </xf>
    <xf numFmtId="0" fontId="0" fillId="0" borderId="0" xfId="0" applyAlignment="1">
      <alignment horizontal="right" vertical="center"/>
    </xf>
    <xf numFmtId="0" fontId="0" fillId="17" borderId="0" xfId="0" applyFill="1" applyAlignment="1">
      <alignment horizontal="center" vertical="center"/>
    </xf>
    <xf numFmtId="3" fontId="0" fillId="16" borderId="0" xfId="0" applyNumberFormat="1" applyFill="1" applyAlignment="1">
      <alignment horizontal="right" vertical="center" wrapText="1"/>
    </xf>
    <xf numFmtId="3" fontId="0" fillId="13" borderId="0" xfId="0" applyNumberFormat="1" applyFill="1" applyAlignment="1">
      <alignment horizontal="right" vertical="center" wrapText="1"/>
    </xf>
    <xf numFmtId="0" fontId="0" fillId="13" borderId="0" xfId="0" applyFill="1" applyAlignment="1">
      <alignment horizontal="right" vertical="center"/>
    </xf>
    <xf numFmtId="0" fontId="0" fillId="9" borderId="0" xfId="0" applyFill="1" applyAlignment="1">
      <alignment horizontal="right" vertical="center" wrapText="1"/>
    </xf>
    <xf numFmtId="3" fontId="0" fillId="9" borderId="0" xfId="0" applyNumberFormat="1" applyFill="1" applyAlignment="1">
      <alignment horizontal="right" vertical="center" wrapText="1"/>
    </xf>
    <xf numFmtId="0" fontId="6" fillId="21" borderId="10" xfId="0" applyFont="1" applyFill="1" applyBorder="1" applyAlignment="1">
      <alignment horizontal="center" wrapText="1"/>
    </xf>
    <xf numFmtId="0" fontId="6" fillId="21" borderId="11" xfId="0" applyFont="1" applyFill="1" applyBorder="1" applyAlignment="1">
      <alignment horizontal="center" wrapText="1"/>
    </xf>
  </cellXfs>
  <cellStyles count="3">
    <cellStyle name="백분율" xfId="1" builtinId="5"/>
    <cellStyle name="쉼표 [0]" xfId="2" builtinId="6"/>
    <cellStyle name="표준" xfId="0" builtinId="0"/>
  </cellStyles>
  <dxfs count="0"/>
  <tableStyles count="0" defaultTableStyle="TableStyleMedium2" defaultPivotStyle="PivotStyleLight16"/>
  <colors>
    <mruColors>
      <color rgb="FFDADA2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jjg19\Desktop\&#53580;&#49828;&#53944;\&#50500;&#50864;&#46972;%20&#45733;&#47141;&#51312;&#51221;2.xlsx" TargetMode="External"/><Relationship Id="rId1" Type="http://schemas.openxmlformats.org/officeDocument/2006/relationships/externalLinkPath" Target="/Users/jjg19/Desktop/&#53580;&#49828;&#53944;/&#50500;&#50864;&#46972;%20&#45733;&#47141;&#51312;&#51221;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비교 "/>
      <sheetName val="능력치"/>
      <sheetName val="확율계산"/>
      <sheetName val="소환횟수"/>
      <sheetName val="슬키 비용"/>
    </sheetNames>
    <sheetDataSet>
      <sheetData sheetId="0" refreshError="1"/>
      <sheetData sheetId="1"/>
      <sheetData sheetId="2" refreshError="1"/>
      <sheetData sheetId="3" refreshError="1"/>
      <sheetData sheetId="4">
        <row r="3">
          <cell r="AV3">
            <v>1.185549931632125E-5</v>
          </cell>
          <cell r="AW3">
            <v>1.6737175505394705E-5</v>
          </cell>
          <cell r="AX3">
            <v>2.301361631991772E-5</v>
          </cell>
          <cell r="AY3">
            <v>3.207958638533985E-5</v>
          </cell>
          <cell r="AZ3">
            <v>5.5790585017982353E-5</v>
          </cell>
          <cell r="BA3">
            <v>1.046073469087169E-4</v>
          </cell>
          <cell r="BB3">
            <v>1.7434557818119486E-4</v>
          </cell>
          <cell r="BC3">
            <v>2.7895292508991175E-4</v>
          </cell>
          <cell r="BD3">
            <v>6.9738231272477942E-4</v>
          </cell>
          <cell r="BE3">
            <v>1.0460734690871691E-3</v>
          </cell>
          <cell r="BF3">
            <v>1.6737175505394705E-3</v>
          </cell>
          <cell r="BG3">
            <v>2.0921469381743382E-3</v>
          </cell>
          <cell r="BH3">
            <v>6.9738231272477936E-3</v>
          </cell>
          <cell r="BI3">
            <v>2.0921469381743382E-2</v>
          </cell>
          <cell r="BJ3">
            <v>5.9277496581606248E-2</v>
          </cell>
          <cell r="BK3">
            <v>0.20921469381743382</v>
          </cell>
          <cell r="BL3">
            <v>0.69738231272477935</v>
          </cell>
        </row>
      </sheetData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93DD40-9C77-45A2-8328-5BB03AFF8142}">
  <dimension ref="A1:B31"/>
  <sheetViews>
    <sheetView workbookViewId="0">
      <selection activeCell="B26" sqref="B26"/>
    </sheetView>
  </sheetViews>
  <sheetFormatPr defaultRowHeight="16.5" x14ac:dyDescent="0.3"/>
  <cols>
    <col min="1" max="1" width="23.125" bestFit="1" customWidth="1"/>
  </cols>
  <sheetData>
    <row r="1" spans="1:2" x14ac:dyDescent="0.3">
      <c r="A1" t="s">
        <v>0</v>
      </c>
    </row>
    <row r="2" spans="1:2" x14ac:dyDescent="0.3">
      <c r="A2" t="s">
        <v>1</v>
      </c>
      <c r="B2">
        <v>3000</v>
      </c>
    </row>
    <row r="3" spans="1:2" x14ac:dyDescent="0.3">
      <c r="B3">
        <v>3000</v>
      </c>
    </row>
    <row r="4" spans="1:2" x14ac:dyDescent="0.3">
      <c r="B4">
        <v>3000</v>
      </c>
    </row>
    <row r="5" spans="1:2" x14ac:dyDescent="0.3">
      <c r="B5">
        <v>3000</v>
      </c>
    </row>
    <row r="6" spans="1:2" x14ac:dyDescent="0.3">
      <c r="B6">
        <v>3000</v>
      </c>
    </row>
    <row r="7" spans="1:2" x14ac:dyDescent="0.3">
      <c r="B7">
        <v>3000</v>
      </c>
    </row>
    <row r="8" spans="1:2" x14ac:dyDescent="0.3">
      <c r="B8">
        <v>3000</v>
      </c>
    </row>
    <row r="9" spans="1:2" x14ac:dyDescent="0.3">
      <c r="B9">
        <v>3000</v>
      </c>
    </row>
    <row r="10" spans="1:2" x14ac:dyDescent="0.3">
      <c r="B10">
        <v>3000</v>
      </c>
    </row>
    <row r="11" spans="1:2" x14ac:dyDescent="0.3">
      <c r="B11">
        <v>3000</v>
      </c>
    </row>
    <row r="12" spans="1:2" x14ac:dyDescent="0.3">
      <c r="B12">
        <v>3000</v>
      </c>
    </row>
    <row r="13" spans="1:2" x14ac:dyDescent="0.3">
      <c r="B13">
        <v>3000</v>
      </c>
    </row>
    <row r="14" spans="1:2" x14ac:dyDescent="0.3">
      <c r="B14">
        <v>3000</v>
      </c>
    </row>
    <row r="15" spans="1:2" x14ac:dyDescent="0.3">
      <c r="B15">
        <v>3000</v>
      </c>
    </row>
    <row r="16" spans="1:2" x14ac:dyDescent="0.3">
      <c r="B16">
        <v>3000</v>
      </c>
    </row>
    <row r="17" spans="1:2" x14ac:dyDescent="0.3">
      <c r="B17" s="1">
        <v>3000</v>
      </c>
    </row>
    <row r="19" spans="1:2" x14ac:dyDescent="0.3">
      <c r="A19" t="s">
        <v>2</v>
      </c>
      <c r="B19">
        <v>400</v>
      </c>
    </row>
    <row r="20" spans="1:2" x14ac:dyDescent="0.3">
      <c r="B20">
        <v>400</v>
      </c>
    </row>
    <row r="21" spans="1:2" x14ac:dyDescent="0.3">
      <c r="B21">
        <v>400</v>
      </c>
    </row>
    <row r="22" spans="1:2" x14ac:dyDescent="0.3">
      <c r="B22">
        <v>400</v>
      </c>
    </row>
    <row r="23" spans="1:2" x14ac:dyDescent="0.3">
      <c r="B23">
        <v>400</v>
      </c>
    </row>
    <row r="24" spans="1:2" x14ac:dyDescent="0.3">
      <c r="B24">
        <v>400</v>
      </c>
    </row>
    <row r="25" spans="1:2" x14ac:dyDescent="0.3">
      <c r="B25">
        <v>400</v>
      </c>
    </row>
    <row r="27" spans="1:2" x14ac:dyDescent="0.3">
      <c r="A27" t="s">
        <v>3</v>
      </c>
      <c r="B27">
        <v>30</v>
      </c>
    </row>
    <row r="28" spans="1:2" x14ac:dyDescent="0.3">
      <c r="B28">
        <v>30</v>
      </c>
    </row>
    <row r="29" spans="1:2" x14ac:dyDescent="0.3">
      <c r="B29">
        <v>30</v>
      </c>
    </row>
    <row r="30" spans="1:2" x14ac:dyDescent="0.3">
      <c r="B30">
        <v>30</v>
      </c>
    </row>
    <row r="31" spans="1:2" x14ac:dyDescent="0.3">
      <c r="B31">
        <v>30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2DACAF-0ECD-4E35-83E5-CB2EC4A9F249}">
  <dimension ref="A1:BD437"/>
  <sheetViews>
    <sheetView tabSelected="1" topLeftCell="A40" workbookViewId="0">
      <selection activeCell="L59" sqref="L59"/>
    </sheetView>
  </sheetViews>
  <sheetFormatPr defaultRowHeight="16.5" x14ac:dyDescent="0.3"/>
  <cols>
    <col min="5" max="5" width="13" customWidth="1"/>
    <col min="6" max="6" width="13" bestFit="1" customWidth="1"/>
    <col min="7" max="7" width="14.125" customWidth="1"/>
    <col min="8" max="8" width="13.875" bestFit="1" customWidth="1"/>
    <col min="9" max="11" width="13.125" bestFit="1" customWidth="1"/>
    <col min="12" max="12" width="12.375" bestFit="1" customWidth="1"/>
    <col min="13" max="13" width="13.125" bestFit="1" customWidth="1"/>
    <col min="14" max="14" width="10.875" customWidth="1"/>
    <col min="15" max="15" width="12" customWidth="1"/>
    <col min="17" max="17" width="13" customWidth="1"/>
    <col min="18" max="19" width="12.75" bestFit="1" customWidth="1"/>
    <col min="20" max="20" width="11.625" bestFit="1" customWidth="1"/>
    <col min="21" max="21" width="12.75" bestFit="1" customWidth="1"/>
    <col min="22" max="22" width="15.375" bestFit="1" customWidth="1"/>
    <col min="29" max="29" width="6.125" bestFit="1" customWidth="1"/>
    <col min="31" max="31" width="7" customWidth="1"/>
    <col min="33" max="33" width="7.25" customWidth="1"/>
    <col min="35" max="35" width="7.5" customWidth="1"/>
    <col min="37" max="37" width="7.25" customWidth="1"/>
  </cols>
  <sheetData>
    <row r="1" spans="2:37" x14ac:dyDescent="0.3">
      <c r="C1" t="s">
        <v>84</v>
      </c>
      <c r="D1">
        <v>0.8</v>
      </c>
      <c r="G1" t="s">
        <v>51</v>
      </c>
      <c r="O1" t="s">
        <v>66</v>
      </c>
      <c r="P1" t="s">
        <v>67</v>
      </c>
      <c r="Q1" t="s">
        <v>68</v>
      </c>
      <c r="S1" t="s">
        <v>69</v>
      </c>
      <c r="X1" t="s">
        <v>4</v>
      </c>
      <c r="Y1" t="s">
        <v>70</v>
      </c>
      <c r="Z1" t="s">
        <v>71</v>
      </c>
      <c r="AA1" t="s">
        <v>65</v>
      </c>
      <c r="AD1" s="148" t="s">
        <v>43</v>
      </c>
      <c r="AE1" s="148"/>
      <c r="AF1" s="148" t="s">
        <v>72</v>
      </c>
      <c r="AG1" s="148"/>
      <c r="AH1" s="148" t="s">
        <v>73</v>
      </c>
      <c r="AI1" s="148"/>
      <c r="AJ1" s="148" t="s">
        <v>74</v>
      </c>
      <c r="AK1" s="148"/>
    </row>
    <row r="2" spans="2:37" x14ac:dyDescent="0.3">
      <c r="C2" t="s">
        <v>78</v>
      </c>
      <c r="D2">
        <v>200</v>
      </c>
      <c r="E2">
        <v>200</v>
      </c>
      <c r="G2" t="s">
        <v>51</v>
      </c>
      <c r="O2">
        <v>7000</v>
      </c>
      <c r="P2">
        <v>200</v>
      </c>
      <c r="Q2">
        <v>750000000</v>
      </c>
      <c r="S2">
        <f>(2*Q2-2*O2*P2)/(P2*P2-P2)</f>
        <v>37618.090452261305</v>
      </c>
      <c r="X2">
        <v>0</v>
      </c>
      <c r="Y2" s="2">
        <v>880</v>
      </c>
      <c r="Z2" s="2">
        <v>9.5499999999999997E+44</v>
      </c>
      <c r="AA2" s="4">
        <v>1</v>
      </c>
      <c r="AC2" s="27" t="s">
        <v>4</v>
      </c>
      <c r="AD2" s="27" t="s">
        <v>63</v>
      </c>
      <c r="AE2" s="27" t="s">
        <v>6</v>
      </c>
      <c r="AF2" s="27" t="s">
        <v>63</v>
      </c>
      <c r="AG2" s="27" t="s">
        <v>6</v>
      </c>
      <c r="AH2" s="27" t="s">
        <v>63</v>
      </c>
      <c r="AI2" s="27" t="s">
        <v>6</v>
      </c>
      <c r="AJ2" s="27" t="s">
        <v>63</v>
      </c>
      <c r="AK2" s="27" t="s">
        <v>6</v>
      </c>
    </row>
    <row r="3" spans="2:37" x14ac:dyDescent="0.3">
      <c r="C3" t="s">
        <v>79</v>
      </c>
      <c r="D3" s="29">
        <v>0</v>
      </c>
      <c r="O3">
        <v>4500</v>
      </c>
      <c r="P3">
        <v>200</v>
      </c>
      <c r="Q3">
        <v>75000000</v>
      </c>
      <c r="S3">
        <f>(2*Q3-2*O3*P3)/(P3*P3-P3)</f>
        <v>3723.6180904522612</v>
      </c>
      <c r="X3">
        <v>1</v>
      </c>
      <c r="Y3" s="3">
        <v>881</v>
      </c>
      <c r="Z3" s="3">
        <v>9.7749999999999995E+44</v>
      </c>
      <c r="AA3" s="4">
        <v>1.0235602094240837</v>
      </c>
      <c r="AC3" s="28">
        <v>1</v>
      </c>
      <c r="AD3" s="28">
        <v>1</v>
      </c>
      <c r="AE3" s="28">
        <v>0.3</v>
      </c>
      <c r="AF3" s="28">
        <v>1</v>
      </c>
      <c r="AG3" s="28">
        <v>0.3</v>
      </c>
      <c r="AH3" s="28">
        <v>1</v>
      </c>
      <c r="AI3" s="28">
        <v>0.3</v>
      </c>
      <c r="AJ3" s="28">
        <v>1</v>
      </c>
      <c r="AK3" s="28">
        <v>0.3</v>
      </c>
    </row>
    <row r="4" spans="2:37" x14ac:dyDescent="0.3">
      <c r="B4" s="27" t="s">
        <v>75</v>
      </c>
      <c r="C4" s="27" t="s">
        <v>4</v>
      </c>
      <c r="D4" s="27" t="s">
        <v>63</v>
      </c>
      <c r="E4" s="27" t="s">
        <v>77</v>
      </c>
      <c r="F4" s="58">
        <v>0.75</v>
      </c>
      <c r="G4" s="58">
        <f>1-F4</f>
        <v>0.25</v>
      </c>
      <c r="H4" s="27" t="s">
        <v>76</v>
      </c>
      <c r="I4" s="27" t="s">
        <v>64</v>
      </c>
      <c r="J4" s="27" t="s">
        <v>80</v>
      </c>
      <c r="K4" s="27" t="s">
        <v>81</v>
      </c>
      <c r="L4" s="27" t="s">
        <v>82</v>
      </c>
      <c r="M4" s="27" t="s">
        <v>83</v>
      </c>
      <c r="N4" s="27" t="s">
        <v>51</v>
      </c>
      <c r="O4" s="27" t="s">
        <v>85</v>
      </c>
      <c r="P4" s="27" t="s">
        <v>80</v>
      </c>
      <c r="Q4" s="27" t="s">
        <v>81</v>
      </c>
      <c r="S4" s="27" t="s">
        <v>4</v>
      </c>
      <c r="T4" s="27" t="s">
        <v>5</v>
      </c>
      <c r="U4" s="27" t="s">
        <v>6</v>
      </c>
      <c r="V4" s="27" t="s">
        <v>86</v>
      </c>
      <c r="X4">
        <v>2</v>
      </c>
      <c r="Y4" s="3">
        <v>882</v>
      </c>
      <c r="Z4" s="3">
        <v>1.0000000000000001E+45</v>
      </c>
      <c r="AA4" s="4">
        <v>1.0471204188481678</v>
      </c>
      <c r="AC4" s="28">
        <v>2</v>
      </c>
      <c r="AD4" s="28">
        <v>4</v>
      </c>
      <c r="AE4" s="28">
        <v>1.2</v>
      </c>
      <c r="AF4" s="28">
        <v>1</v>
      </c>
      <c r="AG4" s="28">
        <v>1.2</v>
      </c>
      <c r="AH4" s="28">
        <v>4</v>
      </c>
      <c r="AI4" s="28">
        <v>1.2</v>
      </c>
      <c r="AJ4" s="28">
        <v>4</v>
      </c>
      <c r="AK4" s="28">
        <v>1.2</v>
      </c>
    </row>
    <row r="5" spans="2:37" x14ac:dyDescent="0.3">
      <c r="C5" s="28">
        <v>1</v>
      </c>
      <c r="D5" s="28">
        <f>VLOOKUP(C5,AC$3:AK$22,2+(D$3*2),0)</f>
        <v>1</v>
      </c>
      <c r="E5" s="28">
        <f>VLOOKUP(C5,AC3:AK22,3+(D$3*2),0)</f>
        <v>0.3</v>
      </c>
      <c r="F5" s="30">
        <f t="shared" ref="F5:F23" si="0">H5*F$4*100</f>
        <v>113.87434554973821</v>
      </c>
      <c r="G5" s="31">
        <f t="shared" ref="G5:G23" si="1">H5*G$4*100</f>
        <v>37.958115183246072</v>
      </c>
      <c r="H5" s="43">
        <f t="shared" ref="H5:H23" si="2">VLOOKUP(I5,X$1:AA$452,4,FALSE)</f>
        <v>1.5183246073298429</v>
      </c>
      <c r="I5" s="28">
        <v>4</v>
      </c>
      <c r="J5" s="45">
        <f t="shared" ref="J5:J23" si="3">(F5-D5)/$D$2*$D$1</f>
        <v>0.45149738219895286</v>
      </c>
      <c r="K5" s="53">
        <f t="shared" ref="K5:K23" si="4">2*(F5-$D$2*J5)/($D$2*$D$2-$D$2)</f>
        <v>1.1846667894446052E-3</v>
      </c>
      <c r="L5" s="38">
        <f t="shared" ref="L5:L24" si="5">(G5-E5)/$D$2*$D$1</f>
        <v>0.15063246073298431</v>
      </c>
      <c r="M5" s="53">
        <f t="shared" ref="M5:M23" si="6">2*(G5-$D$2*L5)/($D$2*$D$2-$D$2)</f>
        <v>3.9354889631403077E-4</v>
      </c>
      <c r="O5" s="28">
        <v>100</v>
      </c>
      <c r="P5" s="31">
        <f t="shared" ref="P5:P23" si="7">O5/$D$2*$D$1</f>
        <v>0.4</v>
      </c>
      <c r="Q5" s="67">
        <f t="shared" ref="Q5:Q23" si="8">2*(O5-$D$2*P5)/($D$2*$D$2-$D$2)</f>
        <v>1.0050251256281408E-3</v>
      </c>
      <c r="R5" s="25">
        <f t="shared" ref="R5:R23" si="9">U5/U$28</f>
        <v>1.4810154250309991E-5</v>
      </c>
      <c r="S5" s="28">
        <v>1</v>
      </c>
      <c r="T5" s="38">
        <f t="shared" ref="T5:T24" si="10">$E$2/2*(2*J5+($E$2-1)*K5)</f>
        <v>113.87434554973821</v>
      </c>
      <c r="U5" s="38">
        <f t="shared" ref="U5:U24" si="11">$E$2/2*(2*L5+($E$2-1)*M5)</f>
        <v>37.958115183246079</v>
      </c>
      <c r="V5" s="38">
        <f t="shared" ref="V5:V24" si="12">$E$2/2*(2*J5+($E$2-1)*K5)+$E$2/2*(2*L5+($E$2-1)*M5)</f>
        <v>151.83246073298429</v>
      </c>
      <c r="W5" s="38">
        <f t="shared" ref="W5:W23" si="13">V5/H5/100</f>
        <v>1</v>
      </c>
      <c r="X5">
        <v>3</v>
      </c>
      <c r="Y5" s="3">
        <v>883</v>
      </c>
      <c r="Z5" s="3">
        <v>1.225E+45</v>
      </c>
      <c r="AA5" s="4">
        <v>1.2827225130890054</v>
      </c>
      <c r="AC5" s="28">
        <v>3</v>
      </c>
      <c r="AD5" s="28">
        <v>7</v>
      </c>
      <c r="AE5" s="28">
        <v>2.1</v>
      </c>
      <c r="AF5" s="28">
        <v>1</v>
      </c>
      <c r="AG5" s="28">
        <v>2.1</v>
      </c>
      <c r="AH5" s="28">
        <v>7</v>
      </c>
      <c r="AI5" s="28">
        <v>2.1</v>
      </c>
      <c r="AJ5" s="28">
        <v>7</v>
      </c>
      <c r="AK5" s="28">
        <v>2.1</v>
      </c>
    </row>
    <row r="6" spans="2:37" x14ac:dyDescent="0.3">
      <c r="C6" s="28">
        <v>2</v>
      </c>
      <c r="D6" s="28">
        <f>VLOOKUP(C6,AC$3:AK$22,2+(D$3*2),0)</f>
        <v>4</v>
      </c>
      <c r="E6" s="28">
        <f t="shared" ref="E6:E7" si="14">VLOOKUP(C6,AC4:AK23,3+(D$3*2),0)</f>
        <v>1.2</v>
      </c>
      <c r="F6" s="30">
        <f t="shared" si="0"/>
        <v>131.54450261780107</v>
      </c>
      <c r="G6" s="31">
        <f t="shared" si="1"/>
        <v>43.848167539267017</v>
      </c>
      <c r="H6" s="43">
        <f t="shared" si="2"/>
        <v>1.7539267015706808</v>
      </c>
      <c r="I6" s="28">
        <v>5</v>
      </c>
      <c r="J6" s="45">
        <f t="shared" si="3"/>
        <v>0.51017801047120437</v>
      </c>
      <c r="K6" s="53">
        <f t="shared" si="4"/>
        <v>1.4828593227919698E-3</v>
      </c>
      <c r="L6" s="38">
        <f t="shared" si="5"/>
        <v>0.17059267015706805</v>
      </c>
      <c r="M6" s="53">
        <f t="shared" si="6"/>
        <v>4.8892630692730691E-4</v>
      </c>
      <c r="O6" s="28">
        <v>100</v>
      </c>
      <c r="P6" s="31">
        <f t="shared" si="7"/>
        <v>0.4</v>
      </c>
      <c r="Q6" s="67">
        <f t="shared" si="8"/>
        <v>1.0050251256281408E-3</v>
      </c>
      <c r="R6" s="25">
        <f t="shared" si="9"/>
        <v>1.7108281633978779E-5</v>
      </c>
      <c r="S6" s="28">
        <v>2</v>
      </c>
      <c r="T6" s="38">
        <f t="shared" si="10"/>
        <v>131.54450261780107</v>
      </c>
      <c r="U6" s="38">
        <f t="shared" si="11"/>
        <v>43.848167539267017</v>
      </c>
      <c r="V6" s="38">
        <f t="shared" si="12"/>
        <v>175.3926701570681</v>
      </c>
      <c r="W6" s="38">
        <f t="shared" si="13"/>
        <v>1.0000000000000002</v>
      </c>
      <c r="X6">
        <v>4</v>
      </c>
      <c r="Y6" s="3">
        <v>884</v>
      </c>
      <c r="Z6" s="3">
        <v>1.4499999999999999E+45</v>
      </c>
      <c r="AA6" s="4">
        <v>1.5183246073298429</v>
      </c>
      <c r="AC6" s="28">
        <v>4</v>
      </c>
      <c r="AD6" s="28">
        <v>10</v>
      </c>
      <c r="AE6" s="28">
        <v>3</v>
      </c>
      <c r="AF6" s="28">
        <v>1</v>
      </c>
      <c r="AG6" s="28">
        <v>3</v>
      </c>
      <c r="AH6" s="28">
        <v>10</v>
      </c>
      <c r="AI6" s="28">
        <v>3</v>
      </c>
      <c r="AJ6" s="28">
        <v>10</v>
      </c>
      <c r="AK6" s="28">
        <v>3</v>
      </c>
    </row>
    <row r="7" spans="2:37" x14ac:dyDescent="0.3">
      <c r="C7" s="28">
        <v>3</v>
      </c>
      <c r="D7" s="28">
        <f t="shared" ref="D7:D24" si="15">VLOOKUP(C7,AC$3:AK$22,2+(D$3*2),0)</f>
        <v>7</v>
      </c>
      <c r="E7" s="28">
        <f t="shared" si="14"/>
        <v>2.1</v>
      </c>
      <c r="F7" s="30">
        <f t="shared" si="0"/>
        <v>149.21465968586392</v>
      </c>
      <c r="G7" s="31">
        <f t="shared" si="1"/>
        <v>49.738219895287969</v>
      </c>
      <c r="H7" s="43">
        <f t="shared" si="2"/>
        <v>1.9895287958115189</v>
      </c>
      <c r="I7" s="28">
        <v>6</v>
      </c>
      <c r="J7" s="45">
        <f t="shared" si="3"/>
        <v>0.56885863874345577</v>
      </c>
      <c r="K7" s="53">
        <f t="shared" si="4"/>
        <v>1.7810518561393353E-3</v>
      </c>
      <c r="L7" s="38">
        <f t="shared" si="5"/>
        <v>0.19055287958115188</v>
      </c>
      <c r="M7" s="53">
        <f t="shared" si="6"/>
        <v>5.8430371754058261E-4</v>
      </c>
      <c r="O7" s="28">
        <v>100</v>
      </c>
      <c r="P7" s="31">
        <f t="shared" si="7"/>
        <v>0.4</v>
      </c>
      <c r="Q7" s="67">
        <f t="shared" si="8"/>
        <v>1.0050251256281408E-3</v>
      </c>
      <c r="R7" s="25">
        <f t="shared" si="9"/>
        <v>1.9406409017647575E-5</v>
      </c>
      <c r="S7" s="28">
        <v>3</v>
      </c>
      <c r="T7" s="38">
        <f t="shared" si="10"/>
        <v>149.21465968586395</v>
      </c>
      <c r="U7" s="38">
        <f t="shared" si="11"/>
        <v>49.738219895287969</v>
      </c>
      <c r="V7" s="38">
        <f t="shared" si="12"/>
        <v>198.95287958115193</v>
      </c>
      <c r="W7" s="38">
        <f t="shared" si="13"/>
        <v>1.0000000000000002</v>
      </c>
      <c r="X7">
        <v>5</v>
      </c>
      <c r="Y7" s="3">
        <v>885</v>
      </c>
      <c r="Z7" s="3">
        <v>1.675E+45</v>
      </c>
      <c r="AA7" s="4">
        <v>1.7539267015706808</v>
      </c>
      <c r="AC7" s="5">
        <v>5</v>
      </c>
      <c r="AD7" s="5">
        <v>18</v>
      </c>
      <c r="AE7" s="5">
        <v>5.4</v>
      </c>
      <c r="AF7" s="5">
        <v>1</v>
      </c>
      <c r="AG7" s="5">
        <v>5.4</v>
      </c>
      <c r="AH7" s="5">
        <v>18</v>
      </c>
      <c r="AI7" s="5">
        <v>5.4</v>
      </c>
      <c r="AJ7" s="5">
        <v>18</v>
      </c>
      <c r="AK7" s="5">
        <v>5.4</v>
      </c>
    </row>
    <row r="8" spans="2:37" x14ac:dyDescent="0.3">
      <c r="C8" s="28">
        <v>4</v>
      </c>
      <c r="D8" s="28">
        <f t="shared" si="15"/>
        <v>10</v>
      </c>
      <c r="E8" s="28">
        <f t="shared" ref="E8:E24" si="16">VLOOKUP(C8,AC6:AK24,3+(D$3*2),0)</f>
        <v>3</v>
      </c>
      <c r="F8" s="30">
        <f t="shared" si="0"/>
        <v>166.88481675392671</v>
      </c>
      <c r="G8" s="31">
        <f t="shared" si="1"/>
        <v>55.6282722513089</v>
      </c>
      <c r="H8" s="43">
        <f t="shared" si="2"/>
        <v>2.2251308900523559</v>
      </c>
      <c r="I8" s="28">
        <v>7</v>
      </c>
      <c r="J8" s="45">
        <f t="shared" si="3"/>
        <v>0.62753926701570695</v>
      </c>
      <c r="K8" s="53">
        <f t="shared" si="4"/>
        <v>2.0792443894866999E-3</v>
      </c>
      <c r="L8" s="38">
        <f t="shared" si="5"/>
        <v>0.21051308900523563</v>
      </c>
      <c r="M8" s="53">
        <f t="shared" si="6"/>
        <v>6.7968112815385809E-4</v>
      </c>
      <c r="N8" s="27" t="s">
        <v>51</v>
      </c>
      <c r="O8" s="28">
        <v>100</v>
      </c>
      <c r="P8" s="31">
        <f t="shared" si="7"/>
        <v>0.4</v>
      </c>
      <c r="Q8" s="67">
        <f t="shared" si="8"/>
        <v>1.0050251256281408E-3</v>
      </c>
      <c r="R8" s="25">
        <f t="shared" si="9"/>
        <v>2.1704536401316364E-5</v>
      </c>
      <c r="S8" s="28">
        <v>4</v>
      </c>
      <c r="T8" s="38">
        <f t="shared" si="10"/>
        <v>166.88481675392671</v>
      </c>
      <c r="U8" s="38">
        <f t="shared" si="11"/>
        <v>55.628272251308907</v>
      </c>
      <c r="V8" s="38">
        <f t="shared" si="12"/>
        <v>222.51308900523563</v>
      </c>
      <c r="W8" s="38">
        <f t="shared" si="13"/>
        <v>1.0000000000000002</v>
      </c>
      <c r="X8">
        <v>6</v>
      </c>
      <c r="Y8" s="3">
        <v>886</v>
      </c>
      <c r="Z8" s="3">
        <v>1.9000000000000004E+45</v>
      </c>
      <c r="AA8" s="4">
        <v>1.9895287958115189</v>
      </c>
      <c r="AC8" s="5">
        <v>6</v>
      </c>
      <c r="AD8" s="5">
        <v>30</v>
      </c>
      <c r="AE8" s="5">
        <v>9</v>
      </c>
      <c r="AF8" s="5">
        <v>1</v>
      </c>
      <c r="AG8" s="5">
        <v>9</v>
      </c>
      <c r="AH8" s="5">
        <v>30</v>
      </c>
      <c r="AI8" s="5">
        <v>9</v>
      </c>
      <c r="AJ8" s="5">
        <v>30</v>
      </c>
      <c r="AK8" s="5">
        <v>9</v>
      </c>
    </row>
    <row r="9" spans="2:37" x14ac:dyDescent="0.3">
      <c r="C9" s="32">
        <v>5</v>
      </c>
      <c r="D9" s="32">
        <f t="shared" si="15"/>
        <v>18</v>
      </c>
      <c r="E9" s="32">
        <f t="shared" si="16"/>
        <v>5.4</v>
      </c>
      <c r="F9" s="33">
        <f t="shared" si="0"/>
        <v>184.55497382198956</v>
      </c>
      <c r="G9" s="34">
        <f t="shared" si="1"/>
        <v>61.518324607329852</v>
      </c>
      <c r="H9" s="43">
        <f t="shared" si="2"/>
        <v>2.4607329842931942</v>
      </c>
      <c r="I9" s="39">
        <v>8</v>
      </c>
      <c r="J9" s="46">
        <f t="shared" si="3"/>
        <v>0.66621989528795833</v>
      </c>
      <c r="K9" s="54">
        <f t="shared" si="4"/>
        <v>2.5784419479596928E-3</v>
      </c>
      <c r="L9" s="40">
        <f t="shared" si="5"/>
        <v>0.2244732984293194</v>
      </c>
      <c r="M9" s="54">
        <f t="shared" si="6"/>
        <v>8.3536004630482277E-4</v>
      </c>
      <c r="O9" s="32">
        <v>100</v>
      </c>
      <c r="P9" s="34">
        <f t="shared" si="7"/>
        <v>0.4</v>
      </c>
      <c r="Q9" s="67">
        <f t="shared" si="8"/>
        <v>1.0050251256281408E-3</v>
      </c>
      <c r="R9" s="25">
        <f t="shared" si="9"/>
        <v>2.4002663784985157E-5</v>
      </c>
      <c r="S9" s="32">
        <v>5</v>
      </c>
      <c r="T9" s="40">
        <f t="shared" si="10"/>
        <v>184.55497382198956</v>
      </c>
      <c r="U9" s="40">
        <f t="shared" si="11"/>
        <v>61.518324607329852</v>
      </c>
      <c r="V9" s="40">
        <f t="shared" si="12"/>
        <v>246.07329842931941</v>
      </c>
      <c r="W9" s="40">
        <f t="shared" si="13"/>
        <v>1</v>
      </c>
      <c r="X9">
        <v>7</v>
      </c>
      <c r="Y9" s="3">
        <v>887</v>
      </c>
      <c r="Z9" s="3">
        <v>2.1249999999999999E+45</v>
      </c>
      <c r="AA9" s="4">
        <v>2.2251308900523559</v>
      </c>
      <c r="AC9" s="5">
        <v>7</v>
      </c>
      <c r="AD9" s="5">
        <v>45</v>
      </c>
      <c r="AE9" s="5">
        <v>13.5</v>
      </c>
      <c r="AF9" s="5">
        <v>45</v>
      </c>
      <c r="AG9" s="5">
        <v>13.5</v>
      </c>
      <c r="AH9" s="5">
        <v>45</v>
      </c>
      <c r="AI9" s="5">
        <v>13.5</v>
      </c>
      <c r="AJ9" s="5">
        <v>45</v>
      </c>
      <c r="AK9" s="5">
        <v>13.5</v>
      </c>
    </row>
    <row r="10" spans="2:37" x14ac:dyDescent="0.3">
      <c r="C10" s="32">
        <v>6</v>
      </c>
      <c r="D10" s="32">
        <f t="shared" si="15"/>
        <v>30</v>
      </c>
      <c r="E10" s="32">
        <f t="shared" si="16"/>
        <v>9</v>
      </c>
      <c r="F10" s="33">
        <f t="shared" si="0"/>
        <v>202.22513089005236</v>
      </c>
      <c r="G10" s="34">
        <f t="shared" si="1"/>
        <v>67.408376963350776</v>
      </c>
      <c r="H10" s="43">
        <f t="shared" si="2"/>
        <v>2.6963350785340312</v>
      </c>
      <c r="I10" s="39">
        <v>9</v>
      </c>
      <c r="J10" s="46">
        <f t="shared" si="3"/>
        <v>0.68890052356020948</v>
      </c>
      <c r="K10" s="54">
        <f t="shared" si="4"/>
        <v>3.2384435265331891E-3</v>
      </c>
      <c r="L10" s="40">
        <f t="shared" si="5"/>
        <v>0.23363350785340309</v>
      </c>
      <c r="M10" s="54">
        <f t="shared" si="6"/>
        <v>1.0392801704859375E-3</v>
      </c>
      <c r="O10" s="32">
        <v>100</v>
      </c>
      <c r="P10" s="34">
        <f t="shared" si="7"/>
        <v>0.4</v>
      </c>
      <c r="Q10" s="67">
        <f t="shared" si="8"/>
        <v>1.0050251256281408E-3</v>
      </c>
      <c r="R10" s="25">
        <f t="shared" si="9"/>
        <v>2.6300791168653942E-5</v>
      </c>
      <c r="S10" s="32">
        <v>6</v>
      </c>
      <c r="T10" s="40">
        <f t="shared" si="10"/>
        <v>202.22513089005236</v>
      </c>
      <c r="U10" s="40">
        <f t="shared" si="11"/>
        <v>67.408376963350776</v>
      </c>
      <c r="V10" s="40">
        <f t="shared" si="12"/>
        <v>269.6335078534031</v>
      </c>
      <c r="W10" s="40">
        <f t="shared" si="13"/>
        <v>1</v>
      </c>
      <c r="X10">
        <v>8</v>
      </c>
      <c r="Y10" s="3">
        <v>888</v>
      </c>
      <c r="Z10" s="3">
        <v>2.3500000000000003E+45</v>
      </c>
      <c r="AA10" s="4">
        <v>2.4607329842931942</v>
      </c>
      <c r="AC10" s="5">
        <v>8</v>
      </c>
      <c r="AD10" s="5">
        <v>72</v>
      </c>
      <c r="AE10" s="5">
        <v>21.6</v>
      </c>
      <c r="AF10" s="5">
        <v>72</v>
      </c>
      <c r="AG10" s="5">
        <v>21.6</v>
      </c>
      <c r="AH10" s="5">
        <v>72</v>
      </c>
      <c r="AI10" s="5">
        <v>21.6</v>
      </c>
      <c r="AJ10" s="5">
        <v>72</v>
      </c>
      <c r="AK10" s="5">
        <v>21.6</v>
      </c>
    </row>
    <row r="11" spans="2:37" x14ac:dyDescent="0.3">
      <c r="C11" s="32">
        <v>7</v>
      </c>
      <c r="D11" s="32">
        <f t="shared" si="15"/>
        <v>45</v>
      </c>
      <c r="E11" s="32">
        <f t="shared" si="16"/>
        <v>13.5</v>
      </c>
      <c r="F11" s="33">
        <f t="shared" si="0"/>
        <v>219.8952879581152</v>
      </c>
      <c r="G11" s="34">
        <f t="shared" si="1"/>
        <v>73.298429319371735</v>
      </c>
      <c r="H11" s="43">
        <f t="shared" si="2"/>
        <v>2.9319371727748695</v>
      </c>
      <c r="I11" s="39">
        <v>10</v>
      </c>
      <c r="J11" s="46">
        <f t="shared" si="3"/>
        <v>0.69958115183246083</v>
      </c>
      <c r="K11" s="54">
        <f t="shared" si="4"/>
        <v>4.019048120182063E-3</v>
      </c>
      <c r="L11" s="40">
        <f t="shared" si="5"/>
        <v>0.23919371727748695</v>
      </c>
      <c r="M11" s="54">
        <f t="shared" si="6"/>
        <v>1.2793811991896654E-3</v>
      </c>
      <c r="O11" s="32">
        <v>100</v>
      </c>
      <c r="P11" s="34">
        <f t="shared" si="7"/>
        <v>0.4</v>
      </c>
      <c r="Q11" s="67">
        <f t="shared" si="8"/>
        <v>1.0050251256281408E-3</v>
      </c>
      <c r="R11" s="25">
        <f t="shared" si="9"/>
        <v>2.8598918552322738E-5</v>
      </c>
      <c r="S11" s="32">
        <v>7</v>
      </c>
      <c r="T11" s="40">
        <f t="shared" si="10"/>
        <v>219.8952879581152</v>
      </c>
      <c r="U11" s="40">
        <f t="shared" si="11"/>
        <v>73.298429319371735</v>
      </c>
      <c r="V11" s="40">
        <f t="shared" si="12"/>
        <v>293.19371727748694</v>
      </c>
      <c r="W11" s="40">
        <f t="shared" si="13"/>
        <v>1</v>
      </c>
      <c r="X11">
        <v>9</v>
      </c>
      <c r="Y11" s="3">
        <v>889</v>
      </c>
      <c r="Z11" s="3">
        <v>2.5749999999999998E+45</v>
      </c>
      <c r="AA11" s="4">
        <v>2.6963350785340312</v>
      </c>
      <c r="AC11" s="20">
        <v>9</v>
      </c>
      <c r="AD11" s="20">
        <v>90</v>
      </c>
      <c r="AE11" s="20">
        <v>27</v>
      </c>
      <c r="AF11" s="20">
        <v>90</v>
      </c>
      <c r="AG11" s="20">
        <v>27</v>
      </c>
      <c r="AH11" s="20">
        <v>90</v>
      </c>
      <c r="AI11" s="20">
        <v>27</v>
      </c>
      <c r="AJ11" s="20">
        <v>90</v>
      </c>
      <c r="AK11" s="20">
        <v>27</v>
      </c>
    </row>
    <row r="12" spans="2:37" x14ac:dyDescent="0.3">
      <c r="C12" s="32">
        <v>8</v>
      </c>
      <c r="D12" s="32">
        <f t="shared" si="15"/>
        <v>72</v>
      </c>
      <c r="E12" s="32">
        <f t="shared" si="16"/>
        <v>21.6</v>
      </c>
      <c r="F12" s="33">
        <f t="shared" si="0"/>
        <v>237.56544502617805</v>
      </c>
      <c r="G12" s="34">
        <f t="shared" si="1"/>
        <v>79.18848167539268</v>
      </c>
      <c r="H12" s="43">
        <f t="shared" si="2"/>
        <v>3.1675392670157074</v>
      </c>
      <c r="I12" s="39">
        <v>11</v>
      </c>
      <c r="J12" s="46">
        <f t="shared" si="3"/>
        <v>0.66226178010471226</v>
      </c>
      <c r="K12" s="54">
        <f t="shared" si="4"/>
        <v>5.2820647741324417E-3</v>
      </c>
      <c r="L12" s="40">
        <f t="shared" si="5"/>
        <v>0.23035392670157073</v>
      </c>
      <c r="M12" s="54">
        <f t="shared" si="6"/>
        <v>1.6642058459838459E-3</v>
      </c>
      <c r="N12" s="27" t="s">
        <v>51</v>
      </c>
      <c r="O12" s="32">
        <v>100</v>
      </c>
      <c r="P12" s="34">
        <f t="shared" si="7"/>
        <v>0.4</v>
      </c>
      <c r="Q12" s="67">
        <f t="shared" si="8"/>
        <v>1.0050251256281408E-3</v>
      </c>
      <c r="R12" s="25">
        <f t="shared" si="9"/>
        <v>3.0897045935991534E-5</v>
      </c>
      <c r="S12" s="32">
        <v>8</v>
      </c>
      <c r="T12" s="40">
        <f t="shared" si="10"/>
        <v>237.56544502617805</v>
      </c>
      <c r="U12" s="40">
        <f t="shared" si="11"/>
        <v>79.18848167539268</v>
      </c>
      <c r="V12" s="40">
        <f t="shared" si="12"/>
        <v>316.75392670157072</v>
      </c>
      <c r="W12" s="40">
        <f t="shared" si="13"/>
        <v>0.99999999999999989</v>
      </c>
      <c r="X12">
        <v>10</v>
      </c>
      <c r="Y12" s="3">
        <v>890</v>
      </c>
      <c r="Z12" s="3">
        <v>2.8000000000000002E+45</v>
      </c>
      <c r="AA12" s="4">
        <v>2.9319371727748695</v>
      </c>
      <c r="AC12" s="20">
        <v>10</v>
      </c>
      <c r="AD12" s="20">
        <v>150</v>
      </c>
      <c r="AE12" s="20">
        <v>45</v>
      </c>
      <c r="AF12" s="20">
        <v>150</v>
      </c>
      <c r="AG12" s="20">
        <v>45</v>
      </c>
      <c r="AH12" s="20">
        <v>150</v>
      </c>
      <c r="AI12" s="20">
        <v>45</v>
      </c>
      <c r="AJ12" s="20">
        <v>150</v>
      </c>
      <c r="AK12" s="20">
        <v>45</v>
      </c>
    </row>
    <row r="13" spans="2:37" x14ac:dyDescent="0.3">
      <c r="C13" s="20">
        <v>9</v>
      </c>
      <c r="D13" s="20">
        <f t="shared" si="15"/>
        <v>90</v>
      </c>
      <c r="E13" s="20">
        <f t="shared" si="16"/>
        <v>27</v>
      </c>
      <c r="F13" s="21">
        <f t="shared" si="0"/>
        <v>255.23560209424079</v>
      </c>
      <c r="G13" s="23">
        <f t="shared" si="1"/>
        <v>85.078534031413596</v>
      </c>
      <c r="H13" s="43">
        <f t="shared" si="2"/>
        <v>3.403141361256544</v>
      </c>
      <c r="I13" s="20">
        <v>12</v>
      </c>
      <c r="J13" s="47">
        <f t="shared" si="3"/>
        <v>0.66094240837696328</v>
      </c>
      <c r="K13" s="55">
        <f t="shared" si="4"/>
        <v>6.18327238285669E-3</v>
      </c>
      <c r="L13" s="41">
        <f t="shared" si="5"/>
        <v>0.23231413612565441</v>
      </c>
      <c r="M13" s="55">
        <f t="shared" si="6"/>
        <v>1.9404877792101867E-3</v>
      </c>
      <c r="O13" s="20">
        <v>100</v>
      </c>
      <c r="P13" s="23">
        <f t="shared" si="7"/>
        <v>0.4</v>
      </c>
      <c r="Q13" s="67">
        <f t="shared" si="8"/>
        <v>1.0050251256281408E-3</v>
      </c>
      <c r="R13" s="25">
        <f t="shared" si="9"/>
        <v>3.319517331966031E-5</v>
      </c>
      <c r="S13" s="20">
        <v>9</v>
      </c>
      <c r="T13" s="41">
        <f t="shared" si="10"/>
        <v>255.23560209424079</v>
      </c>
      <c r="U13" s="41">
        <f t="shared" si="11"/>
        <v>85.078534031413582</v>
      </c>
      <c r="V13" s="41">
        <f t="shared" si="12"/>
        <v>340.31413612565439</v>
      </c>
      <c r="W13" s="41">
        <f t="shared" si="13"/>
        <v>1</v>
      </c>
      <c r="X13">
        <v>11</v>
      </c>
      <c r="Y13" s="3">
        <v>891</v>
      </c>
      <c r="Z13" s="3">
        <v>3.0250000000000004E+45</v>
      </c>
      <c r="AA13" s="4">
        <v>3.1675392670157074</v>
      </c>
      <c r="AC13" s="20">
        <v>11</v>
      </c>
      <c r="AD13" s="20">
        <v>200</v>
      </c>
      <c r="AE13" s="20">
        <v>66</v>
      </c>
      <c r="AF13" s="20">
        <v>200</v>
      </c>
      <c r="AG13" s="20">
        <v>66</v>
      </c>
      <c r="AH13" s="20">
        <v>200</v>
      </c>
      <c r="AI13" s="20">
        <v>66</v>
      </c>
      <c r="AJ13" s="20">
        <v>200</v>
      </c>
      <c r="AK13" s="20">
        <v>66</v>
      </c>
    </row>
    <row r="14" spans="2:37" x14ac:dyDescent="0.3">
      <c r="C14" s="20">
        <v>10</v>
      </c>
      <c r="D14" s="20">
        <f t="shared" si="15"/>
        <v>150</v>
      </c>
      <c r="E14" s="20">
        <f t="shared" si="16"/>
        <v>45</v>
      </c>
      <c r="F14" s="21">
        <f t="shared" si="0"/>
        <v>272.9057591623037</v>
      </c>
      <c r="G14" s="23">
        <f t="shared" si="1"/>
        <v>90.968586387434556</v>
      </c>
      <c r="H14" s="43">
        <f t="shared" si="2"/>
        <v>3.6387434554973823</v>
      </c>
      <c r="I14" s="20">
        <v>13</v>
      </c>
      <c r="J14" s="47">
        <f t="shared" si="3"/>
        <v>0.49162303664921475</v>
      </c>
      <c r="K14" s="55">
        <f t="shared" si="4"/>
        <v>8.7729222026362193E-3</v>
      </c>
      <c r="L14" s="41">
        <f t="shared" si="5"/>
        <v>0.18387434554973825</v>
      </c>
      <c r="M14" s="55">
        <f t="shared" si="6"/>
        <v>2.7233023757531108E-3</v>
      </c>
      <c r="O14" s="20">
        <v>100</v>
      </c>
      <c r="P14" s="23">
        <f t="shared" si="7"/>
        <v>0.4</v>
      </c>
      <c r="Q14" s="67">
        <f t="shared" si="8"/>
        <v>1.0050251256281408E-3</v>
      </c>
      <c r="R14" s="25">
        <f t="shared" si="9"/>
        <v>3.5493300703329113E-5</v>
      </c>
      <c r="S14" s="20">
        <v>10</v>
      </c>
      <c r="T14" s="41">
        <f t="shared" si="10"/>
        <v>272.90575916230375</v>
      </c>
      <c r="U14" s="41">
        <f t="shared" si="11"/>
        <v>90.968586387434556</v>
      </c>
      <c r="V14" s="41">
        <f t="shared" si="12"/>
        <v>363.87434554973834</v>
      </c>
      <c r="W14" s="41">
        <f t="shared" si="13"/>
        <v>1.0000000000000002</v>
      </c>
      <c r="X14">
        <v>12</v>
      </c>
      <c r="Y14" s="3">
        <v>892</v>
      </c>
      <c r="Z14" s="3">
        <v>3.2499999999999995E+45</v>
      </c>
      <c r="AA14" s="4">
        <v>3.403141361256544</v>
      </c>
      <c r="AC14" s="20">
        <v>12</v>
      </c>
      <c r="AD14" s="20">
        <v>300</v>
      </c>
      <c r="AE14" s="20">
        <v>90</v>
      </c>
      <c r="AF14" s="20">
        <v>300</v>
      </c>
      <c r="AG14" s="20">
        <v>90</v>
      </c>
      <c r="AH14" s="20">
        <v>300</v>
      </c>
      <c r="AI14" s="20">
        <v>90</v>
      </c>
      <c r="AJ14" s="20">
        <v>300</v>
      </c>
      <c r="AK14" s="20">
        <v>90</v>
      </c>
    </row>
    <row r="15" spans="2:37" x14ac:dyDescent="0.3">
      <c r="C15" s="20">
        <v>11</v>
      </c>
      <c r="D15" s="20">
        <f t="shared" si="15"/>
        <v>200</v>
      </c>
      <c r="E15" s="20">
        <f t="shared" si="16"/>
        <v>66</v>
      </c>
      <c r="F15" s="21">
        <f t="shared" si="0"/>
        <v>290.57591623036649</v>
      </c>
      <c r="G15" s="23">
        <f t="shared" si="1"/>
        <v>96.858638743455501</v>
      </c>
      <c r="H15" s="43">
        <f t="shared" si="2"/>
        <v>3.8743455497382198</v>
      </c>
      <c r="I15" s="20">
        <v>14</v>
      </c>
      <c r="J15" s="47">
        <f t="shared" si="3"/>
        <v>0.36230366492146598</v>
      </c>
      <c r="K15" s="55">
        <f t="shared" si="4"/>
        <v>1.0960561972164487E-2</v>
      </c>
      <c r="L15" s="41">
        <f t="shared" si="5"/>
        <v>0.12343455497382201</v>
      </c>
      <c r="M15" s="55">
        <f t="shared" si="6"/>
        <v>3.6267199873714121E-3</v>
      </c>
      <c r="O15" s="20">
        <v>100</v>
      </c>
      <c r="P15" s="23">
        <f t="shared" si="7"/>
        <v>0.4</v>
      </c>
      <c r="Q15" s="67">
        <f t="shared" si="8"/>
        <v>1.0050251256281408E-3</v>
      </c>
      <c r="R15" s="25">
        <f t="shared" si="9"/>
        <v>3.7791428086997902E-5</v>
      </c>
      <c r="S15" s="20">
        <v>11</v>
      </c>
      <c r="T15" s="41">
        <f t="shared" si="10"/>
        <v>290.57591623036643</v>
      </c>
      <c r="U15" s="41">
        <f t="shared" si="11"/>
        <v>96.858638743455501</v>
      </c>
      <c r="V15" s="41">
        <f t="shared" si="12"/>
        <v>387.43455497382195</v>
      </c>
      <c r="W15" s="41">
        <f t="shared" si="13"/>
        <v>0.99999999999999989</v>
      </c>
      <c r="X15">
        <v>13</v>
      </c>
      <c r="Y15" s="3">
        <v>893</v>
      </c>
      <c r="Z15" s="3">
        <v>3.475E+45</v>
      </c>
      <c r="AA15" s="4">
        <v>3.6387434554973823</v>
      </c>
      <c r="AC15" s="19">
        <v>13</v>
      </c>
      <c r="AD15" s="19">
        <v>450</v>
      </c>
      <c r="AE15" s="19">
        <v>135</v>
      </c>
      <c r="AF15" s="19">
        <v>450</v>
      </c>
      <c r="AG15" s="19">
        <v>135</v>
      </c>
      <c r="AH15" s="19">
        <v>450</v>
      </c>
      <c r="AI15" s="19">
        <v>135</v>
      </c>
      <c r="AJ15" s="19">
        <v>450</v>
      </c>
      <c r="AK15" s="19">
        <v>135</v>
      </c>
    </row>
    <row r="16" spans="2:37" x14ac:dyDescent="0.3">
      <c r="C16" s="20">
        <v>12</v>
      </c>
      <c r="D16" s="20">
        <f t="shared" si="15"/>
        <v>300</v>
      </c>
      <c r="E16" s="20">
        <f t="shared" si="16"/>
        <v>90</v>
      </c>
      <c r="F16" s="21">
        <f t="shared" si="0"/>
        <v>308.24607329842928</v>
      </c>
      <c r="G16" s="23">
        <f t="shared" si="1"/>
        <v>102.74869109947645</v>
      </c>
      <c r="H16" s="43">
        <f t="shared" si="2"/>
        <v>4.1099476439790577</v>
      </c>
      <c r="I16" s="20">
        <v>15</v>
      </c>
      <c r="J16" s="47">
        <f t="shared" si="3"/>
        <v>3.2984293193717124E-2</v>
      </c>
      <c r="K16" s="55">
        <f t="shared" si="4"/>
        <v>1.5158251992949038E-2</v>
      </c>
      <c r="L16" s="41">
        <f t="shared" si="5"/>
        <v>5.0994764397905783E-2</v>
      </c>
      <c r="M16" s="55">
        <f t="shared" si="6"/>
        <v>4.65074061406509E-3</v>
      </c>
      <c r="N16" s="27" t="s">
        <v>51</v>
      </c>
      <c r="O16" s="20">
        <v>100</v>
      </c>
      <c r="P16" s="23">
        <f t="shared" si="7"/>
        <v>0.4</v>
      </c>
      <c r="Q16" s="67">
        <f t="shared" si="8"/>
        <v>1.0050251256281408E-3</v>
      </c>
      <c r="R16" s="25">
        <f t="shared" si="9"/>
        <v>4.0089555470666698E-5</v>
      </c>
      <c r="S16" s="20">
        <v>12</v>
      </c>
      <c r="T16" s="41">
        <f t="shared" si="10"/>
        <v>308.24607329842928</v>
      </c>
      <c r="U16" s="41">
        <f t="shared" si="11"/>
        <v>102.74869109947645</v>
      </c>
      <c r="V16" s="41">
        <f t="shared" si="12"/>
        <v>410.99476439790573</v>
      </c>
      <c r="W16" s="41">
        <f t="shared" si="13"/>
        <v>0.99999999999999989</v>
      </c>
      <c r="X16">
        <v>14</v>
      </c>
      <c r="Y16" s="3">
        <v>894</v>
      </c>
      <c r="Z16" s="3">
        <v>3.6999999999999998E+45</v>
      </c>
      <c r="AA16" s="4">
        <v>3.8743455497382198</v>
      </c>
      <c r="AC16" s="19">
        <v>14</v>
      </c>
      <c r="AD16" s="19">
        <v>800</v>
      </c>
      <c r="AE16" s="19">
        <v>240</v>
      </c>
      <c r="AF16" s="19">
        <v>800</v>
      </c>
      <c r="AG16" s="19">
        <v>240</v>
      </c>
      <c r="AH16" s="19">
        <v>800</v>
      </c>
      <c r="AI16" s="19">
        <v>240</v>
      </c>
      <c r="AJ16" s="19">
        <v>800</v>
      </c>
      <c r="AK16" s="19">
        <v>240</v>
      </c>
    </row>
    <row r="17" spans="2:56" x14ac:dyDescent="0.3">
      <c r="C17" s="48">
        <v>13</v>
      </c>
      <c r="D17" s="48">
        <f t="shared" si="15"/>
        <v>450</v>
      </c>
      <c r="E17" s="48">
        <f t="shared" si="16"/>
        <v>135</v>
      </c>
      <c r="F17" s="49">
        <f t="shared" si="0"/>
        <v>750</v>
      </c>
      <c r="G17" s="50">
        <f t="shared" si="1"/>
        <v>250</v>
      </c>
      <c r="H17" s="43">
        <f t="shared" si="2"/>
        <v>10</v>
      </c>
      <c r="I17" s="48">
        <v>40</v>
      </c>
      <c r="J17" s="51">
        <f t="shared" si="3"/>
        <v>1.2000000000000002</v>
      </c>
      <c r="K17" s="56">
        <f t="shared" si="4"/>
        <v>2.5628140703517589E-2</v>
      </c>
      <c r="L17" s="52">
        <f t="shared" si="5"/>
        <v>0.45999999999999996</v>
      </c>
      <c r="M17" s="56">
        <f t="shared" si="6"/>
        <v>7.9396984924623108E-3</v>
      </c>
      <c r="N17" s="27" t="s">
        <v>51</v>
      </c>
      <c r="O17" s="48">
        <v>100</v>
      </c>
      <c r="P17" s="50">
        <f t="shared" si="7"/>
        <v>0.4</v>
      </c>
      <c r="Q17" s="67">
        <f t="shared" si="8"/>
        <v>1.0050251256281408E-3</v>
      </c>
      <c r="R17" s="25">
        <f t="shared" si="9"/>
        <v>9.7542740062386477E-5</v>
      </c>
      <c r="S17" s="48">
        <v>13</v>
      </c>
      <c r="T17" s="52">
        <f t="shared" si="10"/>
        <v>750.00000000000011</v>
      </c>
      <c r="U17" s="52">
        <f t="shared" si="11"/>
        <v>250</v>
      </c>
      <c r="V17" s="52">
        <f t="shared" si="12"/>
        <v>1000.0000000000001</v>
      </c>
      <c r="W17" s="52">
        <f t="shared" si="13"/>
        <v>1.0000000000000002</v>
      </c>
      <c r="X17">
        <v>15</v>
      </c>
      <c r="Y17" s="3">
        <v>895</v>
      </c>
      <c r="Z17" s="3">
        <v>3.9250000000000002E+45</v>
      </c>
      <c r="AA17" s="4">
        <v>4.1099476439790577</v>
      </c>
      <c r="AC17" s="19">
        <v>15</v>
      </c>
      <c r="AD17" s="19">
        <v>1100</v>
      </c>
      <c r="AE17" s="19">
        <v>320</v>
      </c>
      <c r="AF17" s="19">
        <v>1100</v>
      </c>
      <c r="AG17" s="19">
        <v>320</v>
      </c>
      <c r="AH17" s="19">
        <v>1100</v>
      </c>
      <c r="AI17" s="19">
        <v>320</v>
      </c>
      <c r="AJ17" s="19">
        <v>1100</v>
      </c>
      <c r="AK17" s="19">
        <v>320</v>
      </c>
    </row>
    <row r="18" spans="2:56" x14ac:dyDescent="0.3">
      <c r="B18">
        <v>2</v>
      </c>
      <c r="C18" s="48">
        <v>14</v>
      </c>
      <c r="D18" s="48">
        <f t="shared" si="15"/>
        <v>800</v>
      </c>
      <c r="E18" s="48">
        <f t="shared" si="16"/>
        <v>240</v>
      </c>
      <c r="F18" s="49">
        <f t="shared" si="0"/>
        <v>2198.9528795811525</v>
      </c>
      <c r="G18" s="50">
        <f t="shared" si="1"/>
        <v>732.98429319371735</v>
      </c>
      <c r="H18" s="43">
        <f t="shared" si="2"/>
        <v>29.319371727748695</v>
      </c>
      <c r="I18" s="48">
        <v>50</v>
      </c>
      <c r="J18" s="51">
        <f>(F18-D18)/$D$2*$D$1</f>
        <v>5.5958115183246102</v>
      </c>
      <c r="K18" s="56">
        <f t="shared" si="4"/>
        <v>5.4260832960614597E-2</v>
      </c>
      <c r="L18" s="52">
        <f t="shared" si="5"/>
        <v>1.9719371727748696</v>
      </c>
      <c r="M18" s="56">
        <f t="shared" si="6"/>
        <v>1.7014917519534843E-2</v>
      </c>
      <c r="O18" s="48">
        <v>100</v>
      </c>
      <c r="P18" s="50">
        <f t="shared" si="7"/>
        <v>0.4</v>
      </c>
      <c r="Q18" s="67">
        <f t="shared" si="8"/>
        <v>1.0050251256281408E-3</v>
      </c>
      <c r="R18" s="25">
        <f t="shared" si="9"/>
        <v>2.8598918552322737E-4</v>
      </c>
      <c r="S18" s="48">
        <v>14</v>
      </c>
      <c r="T18" s="52">
        <f t="shared" si="10"/>
        <v>2198.9528795811525</v>
      </c>
      <c r="U18" s="52">
        <f t="shared" si="11"/>
        <v>732.98429319371735</v>
      </c>
      <c r="V18" s="52">
        <f t="shared" si="12"/>
        <v>2931.9371727748699</v>
      </c>
      <c r="W18" s="52">
        <f t="shared" si="13"/>
        <v>1.0000000000000002</v>
      </c>
      <c r="X18">
        <v>16</v>
      </c>
      <c r="Y18" s="3">
        <v>896</v>
      </c>
      <c r="Z18" s="3">
        <v>4.1500000000000006E+45</v>
      </c>
      <c r="AA18" s="4">
        <v>4.345549738219896</v>
      </c>
      <c r="AC18" s="19">
        <v>16</v>
      </c>
      <c r="AD18" s="19">
        <v>1500</v>
      </c>
      <c r="AE18" s="19">
        <v>450</v>
      </c>
      <c r="AF18" s="19">
        <v>1500</v>
      </c>
      <c r="AG18" s="19">
        <v>450</v>
      </c>
      <c r="AH18" s="19">
        <v>1500</v>
      </c>
      <c r="AI18" s="19">
        <v>450</v>
      </c>
      <c r="AJ18" s="19">
        <v>1500</v>
      </c>
      <c r="AK18" s="19">
        <v>450</v>
      </c>
    </row>
    <row r="19" spans="2:56" x14ac:dyDescent="0.3">
      <c r="B19">
        <v>10</v>
      </c>
      <c r="C19" s="48">
        <v>15</v>
      </c>
      <c r="D19" s="48">
        <f t="shared" si="15"/>
        <v>1100</v>
      </c>
      <c r="E19" s="48">
        <f t="shared" si="16"/>
        <v>320</v>
      </c>
      <c r="F19" s="49">
        <f t="shared" si="0"/>
        <v>3965.9685863874342</v>
      </c>
      <c r="G19" s="50">
        <f t="shared" si="1"/>
        <v>1321.9895287958116</v>
      </c>
      <c r="H19" s="43">
        <f t="shared" si="2"/>
        <v>52.879581151832461</v>
      </c>
      <c r="I19" s="48">
        <v>60</v>
      </c>
      <c r="J19" s="51">
        <f t="shared" si="3"/>
        <v>11.463874345549739</v>
      </c>
      <c r="K19" s="56">
        <f t="shared" si="4"/>
        <v>8.4080086295351075E-2</v>
      </c>
      <c r="L19" s="52">
        <f t="shared" si="5"/>
        <v>4.0079581151832464</v>
      </c>
      <c r="M19" s="56">
        <f t="shared" si="6"/>
        <v>2.6150648530611172E-2</v>
      </c>
      <c r="O19" s="48">
        <v>100</v>
      </c>
      <c r="P19" s="50">
        <f t="shared" si="7"/>
        <v>0.4</v>
      </c>
      <c r="Q19" s="67">
        <f t="shared" si="8"/>
        <v>1.0050251256281408E-3</v>
      </c>
      <c r="R19" s="25">
        <f t="shared" si="9"/>
        <v>5.1580192389010665E-4</v>
      </c>
      <c r="S19" s="48">
        <v>15</v>
      </c>
      <c r="T19" s="52">
        <f t="shared" si="10"/>
        <v>3965.9685863874342</v>
      </c>
      <c r="U19" s="52">
        <f t="shared" si="11"/>
        <v>1321.9895287958118</v>
      </c>
      <c r="V19" s="52">
        <f t="shared" si="12"/>
        <v>5287.9581151832463</v>
      </c>
      <c r="W19" s="52">
        <f t="shared" si="13"/>
        <v>1</v>
      </c>
      <c r="X19">
        <v>17</v>
      </c>
      <c r="Y19" s="3">
        <v>897</v>
      </c>
      <c r="Z19" s="3">
        <v>4.3749999999999998E+45</v>
      </c>
      <c r="AA19" s="4">
        <v>4.5811518324607325</v>
      </c>
      <c r="AC19" s="18">
        <v>17</v>
      </c>
      <c r="AD19" s="18">
        <v>2000</v>
      </c>
      <c r="AE19" s="18">
        <v>600</v>
      </c>
      <c r="AF19" s="18">
        <v>2000</v>
      </c>
      <c r="AG19" s="18">
        <v>600</v>
      </c>
      <c r="AH19" s="18">
        <v>2000</v>
      </c>
      <c r="AI19" s="18">
        <v>600</v>
      </c>
      <c r="AJ19" s="18">
        <v>2000</v>
      </c>
      <c r="AK19" s="18">
        <v>600</v>
      </c>
    </row>
    <row r="20" spans="2:56" x14ac:dyDescent="0.3">
      <c r="C20" s="48">
        <v>16</v>
      </c>
      <c r="D20" s="48">
        <f t="shared" si="15"/>
        <v>1500</v>
      </c>
      <c r="E20" s="48">
        <f t="shared" si="16"/>
        <v>450</v>
      </c>
      <c r="F20" s="49">
        <f t="shared" si="0"/>
        <v>7500</v>
      </c>
      <c r="G20" s="50">
        <f t="shared" si="1"/>
        <v>2500</v>
      </c>
      <c r="H20" s="43">
        <f t="shared" si="2"/>
        <v>100</v>
      </c>
      <c r="I20" s="48">
        <v>80</v>
      </c>
      <c r="J20" s="51">
        <f t="shared" si="3"/>
        <v>24</v>
      </c>
      <c r="K20" s="56">
        <f t="shared" si="4"/>
        <v>0.135678391959799</v>
      </c>
      <c r="L20" s="52">
        <f t="shared" si="5"/>
        <v>8.2000000000000011</v>
      </c>
      <c r="M20" s="56">
        <f t="shared" si="6"/>
        <v>4.321608040201004E-2</v>
      </c>
      <c r="O20" s="48">
        <v>100</v>
      </c>
      <c r="P20" s="50">
        <f t="shared" si="7"/>
        <v>0.4</v>
      </c>
      <c r="Q20" s="67">
        <f t="shared" si="8"/>
        <v>1.0050251256281408E-3</v>
      </c>
      <c r="R20" s="25">
        <f t="shared" si="9"/>
        <v>9.7542740062386477E-4</v>
      </c>
      <c r="S20" s="48">
        <v>16</v>
      </c>
      <c r="T20" s="52">
        <f t="shared" si="10"/>
        <v>7500</v>
      </c>
      <c r="U20" s="52">
        <f t="shared" si="11"/>
        <v>2500</v>
      </c>
      <c r="V20" s="52">
        <f t="shared" si="12"/>
        <v>10000</v>
      </c>
      <c r="W20" s="52">
        <f t="shared" si="13"/>
        <v>1</v>
      </c>
      <c r="X20">
        <v>18</v>
      </c>
      <c r="Y20" s="3">
        <v>898</v>
      </c>
      <c r="Z20" s="3">
        <v>4.5999999999999996E+45</v>
      </c>
      <c r="AA20" s="4">
        <v>4.81675392670157</v>
      </c>
      <c r="AC20" s="18">
        <v>18</v>
      </c>
      <c r="AD20" s="18">
        <v>3000</v>
      </c>
      <c r="AE20" s="18">
        <v>900</v>
      </c>
      <c r="AF20" s="18">
        <v>3000</v>
      </c>
      <c r="AG20" s="18">
        <v>900</v>
      </c>
      <c r="AH20" s="18">
        <v>3000</v>
      </c>
      <c r="AI20" s="18">
        <v>900</v>
      </c>
      <c r="AJ20" s="18">
        <v>3000</v>
      </c>
      <c r="AK20" s="18">
        <v>900</v>
      </c>
    </row>
    <row r="21" spans="2:56" x14ac:dyDescent="0.3">
      <c r="B21">
        <v>25</v>
      </c>
      <c r="C21" s="35">
        <v>17</v>
      </c>
      <c r="D21" s="35">
        <f t="shared" si="15"/>
        <v>2000</v>
      </c>
      <c r="E21" s="35">
        <f t="shared" si="16"/>
        <v>600</v>
      </c>
      <c r="F21" s="36">
        <f t="shared" si="0"/>
        <v>39659.685863874343</v>
      </c>
      <c r="G21" s="37">
        <f t="shared" si="1"/>
        <v>13219.895287958116</v>
      </c>
      <c r="H21" s="43">
        <f t="shared" si="2"/>
        <v>528.79581151832463</v>
      </c>
      <c r="I21" s="35">
        <v>100</v>
      </c>
      <c r="J21" s="44">
        <f t="shared" si="3"/>
        <v>150.63874345549738</v>
      </c>
      <c r="K21" s="57">
        <f t="shared" si="4"/>
        <v>0.47899181772738036</v>
      </c>
      <c r="L21" s="42">
        <f t="shared" si="5"/>
        <v>50.479581151832463</v>
      </c>
      <c r="M21" s="57">
        <f t="shared" si="6"/>
        <v>0.15698387224078508</v>
      </c>
      <c r="O21" s="35">
        <v>100</v>
      </c>
      <c r="P21" s="37">
        <f t="shared" si="7"/>
        <v>0.4</v>
      </c>
      <c r="Q21" s="67">
        <f t="shared" si="8"/>
        <v>1.0050251256281408E-3</v>
      </c>
      <c r="R21" s="25">
        <f t="shared" si="9"/>
        <v>5.1580192389010654E-3</v>
      </c>
      <c r="S21" s="35">
        <v>17</v>
      </c>
      <c r="T21" s="42">
        <f t="shared" si="10"/>
        <v>39659.685863874343</v>
      </c>
      <c r="U21" s="42">
        <f t="shared" si="11"/>
        <v>13219.895287958116</v>
      </c>
      <c r="V21" s="42">
        <f t="shared" si="12"/>
        <v>52879.581151832463</v>
      </c>
      <c r="W21" s="42">
        <f t="shared" si="13"/>
        <v>1</v>
      </c>
      <c r="X21">
        <v>19</v>
      </c>
      <c r="Y21" s="3">
        <v>899</v>
      </c>
      <c r="Z21" s="3">
        <v>4.8250000000000007E+45</v>
      </c>
      <c r="AA21" s="4">
        <v>5.0523560209424092</v>
      </c>
      <c r="AC21" s="18">
        <v>19</v>
      </c>
      <c r="AD21" s="18">
        <v>4500</v>
      </c>
      <c r="AE21" s="18">
        <v>1350</v>
      </c>
      <c r="AF21" s="18">
        <v>4500</v>
      </c>
      <c r="AG21" s="18">
        <v>1350</v>
      </c>
      <c r="AH21" s="18">
        <v>4500</v>
      </c>
      <c r="AI21" s="18">
        <v>1350</v>
      </c>
      <c r="AJ21" s="18">
        <v>4500</v>
      </c>
      <c r="AK21" s="18">
        <v>1350</v>
      </c>
    </row>
    <row r="22" spans="2:56" x14ac:dyDescent="0.3">
      <c r="B22">
        <v>50</v>
      </c>
      <c r="C22" s="35">
        <v>18</v>
      </c>
      <c r="D22" s="35">
        <f t="shared" si="15"/>
        <v>3000</v>
      </c>
      <c r="E22" s="35">
        <f t="shared" si="16"/>
        <v>900</v>
      </c>
      <c r="F22" s="36">
        <f t="shared" si="0"/>
        <v>57329.842931937172</v>
      </c>
      <c r="G22" s="37">
        <f t="shared" si="1"/>
        <v>19109.94764397906</v>
      </c>
      <c r="H22" s="43">
        <f t="shared" si="2"/>
        <v>764.39790575916231</v>
      </c>
      <c r="I22" s="35">
        <v>110</v>
      </c>
      <c r="J22" s="44">
        <f t="shared" si="3"/>
        <v>217.31937172774872</v>
      </c>
      <c r="K22" s="57">
        <f t="shared" si="4"/>
        <v>0.69678234102449377</v>
      </c>
      <c r="L22" s="42">
        <f t="shared" si="5"/>
        <v>72.83979057591624</v>
      </c>
      <c r="M22" s="57">
        <f t="shared" si="6"/>
        <v>0.22824067983898549</v>
      </c>
      <c r="O22" s="35">
        <v>100</v>
      </c>
      <c r="P22" s="37">
        <f t="shared" si="7"/>
        <v>0.4</v>
      </c>
      <c r="Q22" s="67">
        <f t="shared" si="8"/>
        <v>1.0050251256281408E-3</v>
      </c>
      <c r="R22" s="25">
        <f t="shared" si="9"/>
        <v>7.4561466225698571E-3</v>
      </c>
      <c r="S22" s="35">
        <v>18</v>
      </c>
      <c r="T22" s="42">
        <f t="shared" si="10"/>
        <v>57329.842931937172</v>
      </c>
      <c r="U22" s="42">
        <f t="shared" si="11"/>
        <v>19109.94764397906</v>
      </c>
      <c r="V22" s="42">
        <f t="shared" si="12"/>
        <v>76439.790575916239</v>
      </c>
      <c r="W22" s="42">
        <f t="shared" si="13"/>
        <v>1.0000000000000002</v>
      </c>
      <c r="X22">
        <v>20</v>
      </c>
      <c r="Y22" s="3">
        <v>900</v>
      </c>
      <c r="Z22" s="3">
        <v>5.0499999999999999E+45</v>
      </c>
      <c r="AA22" s="4">
        <v>5.2879581151832458</v>
      </c>
      <c r="AC22" s="18">
        <v>20</v>
      </c>
      <c r="AD22" s="18">
        <v>7000</v>
      </c>
      <c r="AE22" s="18">
        <v>2100</v>
      </c>
      <c r="AF22" s="18">
        <v>7000</v>
      </c>
      <c r="AG22" s="18">
        <v>2100</v>
      </c>
      <c r="AH22" s="18">
        <v>7000</v>
      </c>
      <c r="AI22" s="18">
        <v>2100</v>
      </c>
      <c r="AJ22" s="18">
        <v>7000</v>
      </c>
      <c r="AK22" s="18">
        <v>2100</v>
      </c>
    </row>
    <row r="23" spans="2:56" x14ac:dyDescent="0.3">
      <c r="B23">
        <v>100</v>
      </c>
      <c r="C23" s="35">
        <v>19</v>
      </c>
      <c r="D23" s="35">
        <f t="shared" si="15"/>
        <v>4500</v>
      </c>
      <c r="E23" s="35">
        <f t="shared" si="16"/>
        <v>1350</v>
      </c>
      <c r="F23" s="36">
        <f t="shared" si="0"/>
        <v>75000.000000000015</v>
      </c>
      <c r="G23" s="37">
        <f t="shared" si="1"/>
        <v>25000.000000000004</v>
      </c>
      <c r="H23" s="43">
        <f t="shared" si="2"/>
        <v>1000.0000000000001</v>
      </c>
      <c r="I23" s="35">
        <v>120</v>
      </c>
      <c r="J23" s="44">
        <f t="shared" si="3"/>
        <v>282.00000000000006</v>
      </c>
      <c r="K23" s="57">
        <f t="shared" si="4"/>
        <v>0.9346733668341709</v>
      </c>
      <c r="L23" s="42">
        <f t="shared" si="5"/>
        <v>94.600000000000023</v>
      </c>
      <c r="M23" s="57">
        <f t="shared" si="6"/>
        <v>0.3055276381909548</v>
      </c>
      <c r="O23" s="35">
        <v>100</v>
      </c>
      <c r="P23" s="37">
        <f t="shared" si="7"/>
        <v>0.4</v>
      </c>
      <c r="Q23" s="67">
        <f t="shared" si="8"/>
        <v>1.0050251256281408E-3</v>
      </c>
      <c r="R23" s="25">
        <f t="shared" si="9"/>
        <v>9.7542740062386505E-3</v>
      </c>
      <c r="S23" s="35">
        <v>19</v>
      </c>
      <c r="T23" s="42">
        <f t="shared" si="10"/>
        <v>75000.000000000015</v>
      </c>
      <c r="U23" s="42">
        <f t="shared" si="11"/>
        <v>25000.000000000007</v>
      </c>
      <c r="V23" s="42">
        <f t="shared" si="12"/>
        <v>100000.00000000003</v>
      </c>
      <c r="W23" s="42">
        <f t="shared" si="13"/>
        <v>1.0000000000000002</v>
      </c>
      <c r="X23">
        <v>21</v>
      </c>
      <c r="Y23" s="3">
        <v>901</v>
      </c>
      <c r="Z23" s="3">
        <v>5.2749999999999997E+45</v>
      </c>
      <c r="AA23" s="4">
        <v>5.5235602094240832</v>
      </c>
    </row>
    <row r="24" spans="2:56" x14ac:dyDescent="0.3">
      <c r="B24">
        <v>400</v>
      </c>
      <c r="C24" s="35">
        <v>20</v>
      </c>
      <c r="D24" s="35">
        <f t="shared" si="15"/>
        <v>7000</v>
      </c>
      <c r="E24" s="35">
        <f t="shared" si="16"/>
        <v>2100</v>
      </c>
      <c r="F24" s="36">
        <f>H24*F$4*100</f>
        <v>7500000.0000000019</v>
      </c>
      <c r="G24" s="37">
        <f>H24*G$4*100</f>
        <v>2500000.0000000005</v>
      </c>
      <c r="H24" s="43">
        <f>VLOOKUP(I24,X$1:AA$452,4,FALSE)</f>
        <v>100000.00000000001</v>
      </c>
      <c r="I24" s="35">
        <v>200</v>
      </c>
      <c r="J24" s="44">
        <f>(F24-D24)/$D$2*$D$1</f>
        <v>29972.000000000007</v>
      </c>
      <c r="K24" s="57">
        <f>2*(F24-$D$2*J24)/($D$2*$D$2-$D$2)</f>
        <v>75.658291457286438</v>
      </c>
      <c r="L24" s="42">
        <f t="shared" si="5"/>
        <v>9991.6000000000022</v>
      </c>
      <c r="M24" s="57">
        <f>2*(G24-$D$2*L24)/($D$2*$D$2-$D$2)</f>
        <v>25.210050251256281</v>
      </c>
      <c r="N24" s="27" t="s">
        <v>51</v>
      </c>
      <c r="O24" s="35">
        <v>100</v>
      </c>
      <c r="P24" s="37">
        <f>O24/$D$2*$D$1</f>
        <v>0.4</v>
      </c>
      <c r="Q24" s="67">
        <f>2*(O24-$D$2*P24)/($D$2*$D$2-$D$2)</f>
        <v>1.0050251256281408E-3</v>
      </c>
      <c r="R24" s="25">
        <f>U24/U$28</f>
        <v>0.9754274006238649</v>
      </c>
      <c r="S24" s="35">
        <v>20</v>
      </c>
      <c r="T24" s="42">
        <f t="shared" si="10"/>
        <v>7500000.0000000019</v>
      </c>
      <c r="U24" s="42">
        <f t="shared" si="11"/>
        <v>2500000.0000000005</v>
      </c>
      <c r="V24" s="42">
        <f t="shared" si="12"/>
        <v>10000000.000000002</v>
      </c>
      <c r="W24" s="42">
        <f>V24/H24/100</f>
        <v>1</v>
      </c>
      <c r="X24">
        <v>22</v>
      </c>
      <c r="Y24" s="3">
        <v>902</v>
      </c>
      <c r="Z24" s="3">
        <v>5.4999999999999995E+45</v>
      </c>
      <c r="AA24" s="4">
        <v>5.7591623036649207</v>
      </c>
    </row>
    <row r="25" spans="2:56" x14ac:dyDescent="0.3">
      <c r="E25">
        <f>SUM(E5:E24)</f>
        <v>6379.1</v>
      </c>
      <c r="F25" s="24">
        <f>SUM(F5:F24)</f>
        <v>7688937.1727748709</v>
      </c>
      <c r="G25" s="15">
        <f>SUM(G5:G24)</f>
        <v>2562979.0575916236</v>
      </c>
      <c r="I25" t="s">
        <v>51</v>
      </c>
      <c r="J25" t="s">
        <v>51</v>
      </c>
      <c r="L25" s="22" t="s">
        <v>51</v>
      </c>
      <c r="S25" s="61">
        <v>21</v>
      </c>
      <c r="T25" s="61">
        <v>0</v>
      </c>
      <c r="U25" s="61">
        <v>0</v>
      </c>
      <c r="V25" s="61">
        <v>0</v>
      </c>
      <c r="W25" s="61">
        <v>0</v>
      </c>
      <c r="X25">
        <v>23</v>
      </c>
      <c r="Y25" s="3">
        <v>903</v>
      </c>
      <c r="Z25" s="3">
        <v>5.7250000000000005E+45</v>
      </c>
      <c r="AA25" s="4">
        <v>5.9947643979057599</v>
      </c>
    </row>
    <row r="26" spans="2:56" x14ac:dyDescent="0.3">
      <c r="S26" s="61">
        <v>22</v>
      </c>
      <c r="T26" s="61">
        <v>0</v>
      </c>
      <c r="U26" s="61">
        <v>0</v>
      </c>
      <c r="V26" s="61">
        <v>0</v>
      </c>
      <c r="W26" s="61">
        <v>0</v>
      </c>
      <c r="X26">
        <v>24</v>
      </c>
      <c r="Y26" s="3">
        <v>904</v>
      </c>
      <c r="Z26" s="3">
        <v>5.950000000000001E+45</v>
      </c>
      <c r="AA26" s="4">
        <v>6.2303664921465982</v>
      </c>
      <c r="AI26">
        <v>4.2240000000000002</v>
      </c>
      <c r="AJ26" s="91">
        <v>9.4</v>
      </c>
      <c r="AL26">
        <f>AI26+AJ26</f>
        <v>13.624000000000001</v>
      </c>
    </row>
    <row r="27" spans="2:56" x14ac:dyDescent="0.3">
      <c r="C27" s="61">
        <v>21</v>
      </c>
      <c r="D27" s="61" t="e">
        <f t="shared" ref="D27:D30" si="17">VLOOKUP(C27,AC$3:AK$22,2+(D$3*2),0)</f>
        <v>#N/A</v>
      </c>
      <c r="E27" s="61" t="e">
        <f>VLOOKUP(C27,AC25:AH43,3+(D$3*2),0)</f>
        <v>#N/A</v>
      </c>
      <c r="F27" s="62">
        <f t="shared" ref="F27:F29" si="18">H27*F$4*100</f>
        <v>75</v>
      </c>
      <c r="G27" s="63">
        <f t="shared" ref="G27:G29" si="19">H27*G$4*100</f>
        <v>25</v>
      </c>
      <c r="H27" s="62">
        <f t="shared" ref="H27:H29" si="20">VLOOKUP(I27,X$1:AA$452,4,FALSE)</f>
        <v>1</v>
      </c>
      <c r="I27" s="61">
        <v>0</v>
      </c>
      <c r="J27" s="64" t="e">
        <f t="shared" ref="J27:J29" si="21">(F27-D27)/$D$2*$D$1</f>
        <v>#N/A</v>
      </c>
      <c r="K27" s="65" t="e">
        <f t="shared" ref="K27:K29" si="22">2*(F27-$D$2*J27)/($D$2*$D$2-$D$2)</f>
        <v>#N/A</v>
      </c>
      <c r="L27" s="66" t="e">
        <f>(G27-E27)/$D$2*$D$1</f>
        <v>#N/A</v>
      </c>
      <c r="M27" s="65" t="e">
        <f t="shared" ref="M27:M29" si="23">2*(G27-$D$2*L27)/($D$2*$D$2-$D$2)</f>
        <v>#N/A</v>
      </c>
      <c r="N27" s="61" t="e">
        <f>(2*L27-2*M27*#REF!)/(#REF!*#REF!-#REF!)</f>
        <v>#N/A</v>
      </c>
      <c r="S27" s="61">
        <v>23</v>
      </c>
      <c r="T27" s="61">
        <v>0</v>
      </c>
      <c r="U27" s="61">
        <v>0</v>
      </c>
      <c r="V27" s="61">
        <v>0</v>
      </c>
      <c r="W27" s="61">
        <v>0</v>
      </c>
      <c r="X27">
        <v>25</v>
      </c>
      <c r="Y27" s="3">
        <v>905</v>
      </c>
      <c r="Z27" s="3">
        <v>6.1750000000000001E+45</v>
      </c>
      <c r="AA27" s="4">
        <v>6.4659685863874348</v>
      </c>
      <c r="AI27">
        <v>3.1680000000000001</v>
      </c>
      <c r="AJ27" s="91">
        <v>7.05</v>
      </c>
      <c r="AL27">
        <f t="shared" ref="AL27:AL29" si="24">AI27+AJ27</f>
        <v>10.218</v>
      </c>
    </row>
    <row r="28" spans="2:56" x14ac:dyDescent="0.3">
      <c r="C28" s="61">
        <v>22</v>
      </c>
      <c r="D28" s="61" t="e">
        <f t="shared" si="17"/>
        <v>#N/A</v>
      </c>
      <c r="E28" s="61" t="e">
        <f>VLOOKUP(C28,AC26:AH44,3+(D$3*2),0)</f>
        <v>#N/A</v>
      </c>
      <c r="F28" s="62">
        <f t="shared" si="18"/>
        <v>75</v>
      </c>
      <c r="G28" s="63">
        <f t="shared" si="19"/>
        <v>25</v>
      </c>
      <c r="H28" s="62">
        <f t="shared" si="20"/>
        <v>1</v>
      </c>
      <c r="I28" s="61">
        <v>0</v>
      </c>
      <c r="J28" s="64" t="e">
        <f t="shared" si="21"/>
        <v>#N/A</v>
      </c>
      <c r="K28" s="65" t="e">
        <f t="shared" si="22"/>
        <v>#N/A</v>
      </c>
      <c r="L28" s="66" t="e">
        <f>(G28-E28)/$D$2*$D$1</f>
        <v>#N/A</v>
      </c>
      <c r="M28" s="65" t="e">
        <f t="shared" si="23"/>
        <v>#N/A</v>
      </c>
      <c r="N28" s="61" t="e">
        <f>(2*L28-2*M28*#REF!)/(#REF!*#REF!-#REF!)</f>
        <v>#N/A</v>
      </c>
      <c r="U28" s="26">
        <f>SUM(U5:U27)</f>
        <v>2562979.0575916236</v>
      </c>
      <c r="X28">
        <v>26</v>
      </c>
      <c r="Y28" s="3">
        <v>906</v>
      </c>
      <c r="Z28" s="3">
        <v>6.3999999999999993E+45</v>
      </c>
      <c r="AA28" s="4">
        <v>6.7015706806282713</v>
      </c>
      <c r="AI28">
        <v>2.1120000000000001</v>
      </c>
      <c r="AJ28" s="91">
        <v>4.7</v>
      </c>
      <c r="AL28">
        <f t="shared" si="24"/>
        <v>6.8120000000000003</v>
      </c>
      <c r="AM28">
        <v>12.3</v>
      </c>
      <c r="AN28">
        <v>13.5</v>
      </c>
      <c r="AO28">
        <v>12.4</v>
      </c>
      <c r="AP28">
        <v>11.3</v>
      </c>
      <c r="AQ28">
        <v>10.199999999999999</v>
      </c>
      <c r="AR28">
        <v>9.1</v>
      </c>
      <c r="AS28">
        <v>7.5</v>
      </c>
      <c r="AT28">
        <v>5.4</v>
      </c>
      <c r="AU28">
        <v>3.4</v>
      </c>
      <c r="AV28">
        <v>2.8</v>
      </c>
      <c r="AW28">
        <v>1.9</v>
      </c>
      <c r="AX28">
        <v>0.8</v>
      </c>
      <c r="AY28">
        <v>0.3</v>
      </c>
      <c r="AZ28">
        <v>0.15</v>
      </c>
      <c r="BA28">
        <v>0.12</v>
      </c>
      <c r="BB28">
        <v>0.04</v>
      </c>
      <c r="BC28">
        <v>0.02</v>
      </c>
      <c r="BD28">
        <v>0.01</v>
      </c>
    </row>
    <row r="29" spans="2:56" x14ac:dyDescent="0.3">
      <c r="C29" s="61">
        <v>23</v>
      </c>
      <c r="D29" s="61" t="e">
        <f t="shared" si="17"/>
        <v>#N/A</v>
      </c>
      <c r="E29" s="61" t="e">
        <f>VLOOKUP(C29,AC27:AH45,3+(D$3*2),0)</f>
        <v>#N/A</v>
      </c>
      <c r="F29" s="62">
        <f t="shared" si="18"/>
        <v>75</v>
      </c>
      <c r="G29" s="63">
        <f t="shared" si="19"/>
        <v>25</v>
      </c>
      <c r="H29" s="62">
        <f t="shared" si="20"/>
        <v>1</v>
      </c>
      <c r="I29" s="61">
        <v>0</v>
      </c>
      <c r="J29" s="64" t="e">
        <f t="shared" si="21"/>
        <v>#N/A</v>
      </c>
      <c r="K29" s="65" t="e">
        <f t="shared" si="22"/>
        <v>#N/A</v>
      </c>
      <c r="L29" s="66" t="e">
        <f>(G29-E29)/$D$2*$D$1</f>
        <v>#N/A</v>
      </c>
      <c r="M29" s="65" t="e">
        <f t="shared" si="23"/>
        <v>#N/A</v>
      </c>
      <c r="N29" s="61" t="e">
        <f>(2*L29-2*M29*#REF!)/(#REF!*#REF!-#REF!)</f>
        <v>#N/A</v>
      </c>
      <c r="X29">
        <v>27</v>
      </c>
      <c r="Y29" s="3">
        <v>907</v>
      </c>
      <c r="Z29" s="3">
        <v>6.625000000000001E+45</v>
      </c>
      <c r="AA29" s="4">
        <v>6.9371727748691114</v>
      </c>
      <c r="AI29">
        <v>1.056</v>
      </c>
      <c r="AJ29" s="91">
        <v>2.35</v>
      </c>
      <c r="AL29">
        <f t="shared" si="24"/>
        <v>3.4060000000000001</v>
      </c>
    </row>
    <row r="30" spans="2:56" x14ac:dyDescent="0.3">
      <c r="C30" s="61">
        <v>24</v>
      </c>
      <c r="D30" s="61" t="e">
        <f t="shared" si="17"/>
        <v>#N/A</v>
      </c>
      <c r="E30" s="61" t="e">
        <f>VLOOKUP(C30,AC28:AH46,3+(D$3*2),0)</f>
        <v>#N/A</v>
      </c>
      <c r="F30" s="62">
        <f>H30*F$4*100</f>
        <v>75</v>
      </c>
      <c r="G30" s="63">
        <f>H30*G$4*100</f>
        <v>25</v>
      </c>
      <c r="H30" s="62">
        <f>VLOOKUP(I30,X$1:AA$452,4,FALSE)</f>
        <v>1</v>
      </c>
      <c r="I30" s="61">
        <v>0</v>
      </c>
      <c r="J30" s="64" t="e">
        <f>(F30-D30)/$D$2*$D$1</f>
        <v>#N/A</v>
      </c>
      <c r="K30" s="65" t="e">
        <f>2*(F30-$D$2*J30)/($D$2*$D$2-$D$2)</f>
        <v>#N/A</v>
      </c>
      <c r="L30" s="66" t="e">
        <f>(G30-E30)/$D$2*$D$1</f>
        <v>#N/A</v>
      </c>
      <c r="M30" s="65" t="e">
        <f>2*(G30-$D$2*L30)/($D$2*$D$2-$D$2)</f>
        <v>#N/A</v>
      </c>
      <c r="N30" s="61" t="e">
        <f>(2*L30-2*M30*#REF!)/(#REF!*#REF!-#REF!)</f>
        <v>#N/A</v>
      </c>
      <c r="X30">
        <v>28</v>
      </c>
      <c r="Y30" s="3">
        <v>908</v>
      </c>
      <c r="Z30" s="3">
        <v>6.8500000000000002E+45</v>
      </c>
      <c r="AA30" s="4">
        <v>7.172774869109948</v>
      </c>
      <c r="AI30">
        <v>22.336000000000002</v>
      </c>
      <c r="AK30">
        <f>AI30+AJ26</f>
        <v>31.736000000000004</v>
      </c>
      <c r="AL30" s="93">
        <v>10</v>
      </c>
      <c r="AM30">
        <v>9</v>
      </c>
      <c r="AN30">
        <v>8.5</v>
      </c>
      <c r="AO30">
        <v>8</v>
      </c>
      <c r="AP30">
        <v>7.5</v>
      </c>
      <c r="AQ30">
        <v>7</v>
      </c>
      <c r="AR30">
        <v>6.5</v>
      </c>
      <c r="AS30">
        <v>6</v>
      </c>
      <c r="AT30">
        <v>5.5</v>
      </c>
      <c r="AU30">
        <v>5</v>
      </c>
      <c r="AV30">
        <v>4.5</v>
      </c>
      <c r="AW30">
        <v>4</v>
      </c>
      <c r="AX30">
        <v>3.5</v>
      </c>
      <c r="AY30">
        <v>3</v>
      </c>
      <c r="AZ30">
        <v>2.5</v>
      </c>
      <c r="BA30">
        <v>2</v>
      </c>
      <c r="BB30">
        <v>1.5</v>
      </c>
      <c r="BC30">
        <v>1</v>
      </c>
      <c r="BD30">
        <v>0.5</v>
      </c>
    </row>
    <row r="31" spans="2:56" x14ac:dyDescent="0.3">
      <c r="Q31" t="s">
        <v>90</v>
      </c>
      <c r="R31">
        <v>20</v>
      </c>
      <c r="V31" t="s">
        <v>91</v>
      </c>
      <c r="X31">
        <v>29</v>
      </c>
      <c r="Y31" s="3">
        <v>909</v>
      </c>
      <c r="Z31" s="3">
        <v>7.0749999999999993E+45</v>
      </c>
      <c r="AA31" s="4">
        <v>7.4083769633507845</v>
      </c>
      <c r="AI31">
        <v>16.751999999999999</v>
      </c>
      <c r="AK31">
        <f t="shared" ref="AK31:AK33" si="25">AI31+AJ27</f>
        <v>23.802</v>
      </c>
    </row>
    <row r="32" spans="2:56" x14ac:dyDescent="0.3">
      <c r="F32" s="24"/>
      <c r="L32" s="22"/>
      <c r="V32" s="42">
        <v>57329.842931937172</v>
      </c>
      <c r="X32">
        <v>30</v>
      </c>
      <c r="Y32" s="3">
        <v>910</v>
      </c>
      <c r="Z32" s="3">
        <v>7.300000000000001E+45</v>
      </c>
      <c r="AA32" s="4">
        <v>7.6439790575916247</v>
      </c>
      <c r="AI32">
        <v>11.168000000000001</v>
      </c>
      <c r="AK32">
        <f t="shared" si="25"/>
        <v>15.868000000000002</v>
      </c>
      <c r="AM32" s="92">
        <v>8.76</v>
      </c>
    </row>
    <row r="33" spans="1:40" x14ac:dyDescent="0.3">
      <c r="Q33" t="s">
        <v>92</v>
      </c>
      <c r="R33" s="25">
        <f>(R35+R36+R37)</f>
        <v>100629.79057591625</v>
      </c>
      <c r="S33" s="22">
        <f>(V35+W35)/R33/100</f>
        <v>1.0283294372769609</v>
      </c>
      <c r="V33" s="42">
        <v>219895.28795811519</v>
      </c>
      <c r="X33">
        <v>31</v>
      </c>
      <c r="Y33" s="3">
        <v>911</v>
      </c>
      <c r="Z33" s="3">
        <v>7.5249999999999989E+45</v>
      </c>
      <c r="AA33" s="4">
        <v>7.8795811518324594</v>
      </c>
      <c r="AI33">
        <v>5.5840000000000005</v>
      </c>
      <c r="AK33">
        <f t="shared" si="25"/>
        <v>7.9340000000000011</v>
      </c>
      <c r="AM33">
        <v>12.3</v>
      </c>
      <c r="AN33" s="93">
        <v>10</v>
      </c>
    </row>
    <row r="34" spans="1:40" x14ac:dyDescent="0.3">
      <c r="R34" s="25"/>
      <c r="V34" s="42">
        <v>750000</v>
      </c>
      <c r="X34">
        <v>32</v>
      </c>
      <c r="Y34" s="3">
        <v>912</v>
      </c>
      <c r="Z34" s="3">
        <v>7.7500000000000006E+45</v>
      </c>
      <c r="AA34" s="4">
        <v>8.1151832460732987</v>
      </c>
      <c r="AI34">
        <v>9.4</v>
      </c>
      <c r="AM34">
        <v>13.5</v>
      </c>
      <c r="AN34">
        <v>9</v>
      </c>
    </row>
    <row r="35" spans="1:40" x14ac:dyDescent="0.3">
      <c r="Q35" t="s">
        <v>87</v>
      </c>
      <c r="R35" s="25">
        <f>VLOOKUP(R31,S5:V27,2,FALSE)/100</f>
        <v>75000.000000000015</v>
      </c>
      <c r="V35" s="42">
        <v>7500000</v>
      </c>
      <c r="W35" s="26">
        <v>2848057.5916230371</v>
      </c>
      <c r="X35">
        <v>33</v>
      </c>
      <c r="Y35" s="3">
        <v>913</v>
      </c>
      <c r="Z35" s="3">
        <v>7.9749999999999998E+45</v>
      </c>
      <c r="AA35" s="4">
        <v>8.3507853403141361</v>
      </c>
      <c r="AI35">
        <v>7.05</v>
      </c>
      <c r="AM35">
        <v>12.4</v>
      </c>
      <c r="AN35">
        <v>8.5</v>
      </c>
    </row>
    <row r="36" spans="1:40" x14ac:dyDescent="0.3">
      <c r="H36" s="115"/>
      <c r="I36" s="117" t="s">
        <v>59</v>
      </c>
      <c r="J36" s="115" t="s">
        <v>97</v>
      </c>
      <c r="K36" s="116" t="s">
        <v>98</v>
      </c>
      <c r="L36" s="116" t="s">
        <v>99</v>
      </c>
      <c r="Q36" t="s">
        <v>88</v>
      </c>
      <c r="R36" s="25">
        <f>U28/100</f>
        <v>25629.790575916235</v>
      </c>
      <c r="X36">
        <v>34</v>
      </c>
      <c r="Y36" s="3">
        <v>914</v>
      </c>
      <c r="Z36" s="3">
        <v>8.199999999999999E+45</v>
      </c>
      <c r="AA36" s="4">
        <v>8.5863874345549736</v>
      </c>
      <c r="AI36">
        <v>4.7</v>
      </c>
      <c r="AM36">
        <v>11.3</v>
      </c>
      <c r="AN36">
        <v>8</v>
      </c>
    </row>
    <row r="37" spans="1:40" x14ac:dyDescent="0.3">
      <c r="H37" s="115" t="s">
        <v>95</v>
      </c>
      <c r="I37" s="118">
        <v>68000</v>
      </c>
      <c r="J37" s="119" cm="1">
        <f t="array" ref="J37">VLOOKUP(MATCH(MIN(ABS(소환횟수!D1:D1000 - I37)), ABS(소환횟수!D1:D1000 - I37), 0),소환횟수!A1:D1000,3,1)</f>
        <v>272</v>
      </c>
      <c r="K37" s="120">
        <f>I37/V$42</f>
        <v>59000</v>
      </c>
      <c r="L37" s="121">
        <f>I37/V$44</f>
        <v>12157.575757575758</v>
      </c>
      <c r="Q37" t="s">
        <v>89</v>
      </c>
      <c r="X37">
        <v>35</v>
      </c>
      <c r="Y37" s="3">
        <v>915</v>
      </c>
      <c r="Z37" s="3">
        <v>8.4250000000000007E+45</v>
      </c>
      <c r="AA37" s="4">
        <v>8.8219895287958128</v>
      </c>
      <c r="AI37">
        <v>2.35</v>
      </c>
      <c r="AM37">
        <v>10.199999999999999</v>
      </c>
      <c r="AN37">
        <v>7.5</v>
      </c>
    </row>
    <row r="38" spans="1:40" x14ac:dyDescent="0.3">
      <c r="H38" s="115"/>
      <c r="I38" s="112"/>
      <c r="J38" s="110"/>
      <c r="K38" s="113" t="s">
        <v>51</v>
      </c>
      <c r="L38" s="114" t="s">
        <v>51</v>
      </c>
      <c r="X38">
        <v>36</v>
      </c>
      <c r="Y38" s="3">
        <v>916</v>
      </c>
      <c r="Z38" s="3">
        <v>8.6499999999999999E+45</v>
      </c>
      <c r="AA38" s="4">
        <v>9.0575916230366502</v>
      </c>
      <c r="AI38">
        <v>3.8360000000000003</v>
      </c>
      <c r="AM38">
        <v>9.1</v>
      </c>
      <c r="AN38">
        <v>7</v>
      </c>
    </row>
    <row r="39" spans="1:40" x14ac:dyDescent="0.3">
      <c r="H39" s="115" t="s">
        <v>96</v>
      </c>
      <c r="I39" s="118">
        <v>100000</v>
      </c>
      <c r="J39" s="119">
        <f>I39/(I44/2)</f>
        <v>333.33333333333331</v>
      </c>
      <c r="K39" s="120">
        <f>I39/V$42</f>
        <v>86764.705882352937</v>
      </c>
      <c r="L39" s="121">
        <f>I39/V$44</f>
        <v>17878.78787878788</v>
      </c>
      <c r="X39">
        <v>37</v>
      </c>
      <c r="Y39" s="3">
        <v>917</v>
      </c>
      <c r="Z39" s="3">
        <v>8.874999999999999E+45</v>
      </c>
      <c r="AA39" s="4">
        <v>9.2931937172774859</v>
      </c>
      <c r="AI39">
        <v>2.8769999999999998</v>
      </c>
      <c r="AM39">
        <v>7.5</v>
      </c>
      <c r="AN39">
        <v>6.5</v>
      </c>
    </row>
    <row r="40" spans="1:40" x14ac:dyDescent="0.3">
      <c r="X40">
        <v>38</v>
      </c>
      <c r="Y40" s="3">
        <v>918</v>
      </c>
      <c r="Z40" s="3">
        <v>9.0999999999999982E+45</v>
      </c>
      <c r="AA40" s="4">
        <v>9.5287958115183233</v>
      </c>
      <c r="AI40">
        <v>1.9180000000000001</v>
      </c>
      <c r="AM40">
        <v>5.4</v>
      </c>
      <c r="AN40">
        <v>6</v>
      </c>
    </row>
    <row r="41" spans="1:40" x14ac:dyDescent="0.3">
      <c r="O41" s="153" t="s">
        <v>43</v>
      </c>
      <c r="P41" s="59" t="s">
        <v>60</v>
      </c>
      <c r="Q41" s="122">
        <v>50000</v>
      </c>
      <c r="R41" s="122">
        <f>Q41*V42</f>
        <v>57627.118644067799</v>
      </c>
      <c r="T41" s="59" t="s">
        <v>94</v>
      </c>
      <c r="U41" s="59">
        <v>59000</v>
      </c>
      <c r="V41" s="59" t="s">
        <v>43</v>
      </c>
      <c r="X41">
        <v>39</v>
      </c>
      <c r="Y41" s="3">
        <v>919</v>
      </c>
      <c r="Z41" s="3">
        <v>9.3249999999999986E+45</v>
      </c>
      <c r="AA41" s="4">
        <v>9.7643979057591608</v>
      </c>
      <c r="AI41">
        <v>0.95900000000000007</v>
      </c>
      <c r="AM41">
        <v>3.4</v>
      </c>
      <c r="AN41">
        <v>5.5</v>
      </c>
    </row>
    <row r="42" spans="1:40" x14ac:dyDescent="0.3">
      <c r="K42" s="12"/>
      <c r="L42" s="14"/>
      <c r="O42" s="153"/>
      <c r="P42" s="59" t="s">
        <v>59</v>
      </c>
      <c r="Q42" s="122">
        <v>100000</v>
      </c>
      <c r="R42" s="122">
        <f>Q42/V42</f>
        <v>86764.705882352937</v>
      </c>
      <c r="T42" s="59" t="s">
        <v>59</v>
      </c>
      <c r="U42" s="59">
        <v>68000</v>
      </c>
      <c r="V42" s="59">
        <f>U42/U41</f>
        <v>1.152542372881356</v>
      </c>
      <c r="X42">
        <v>40</v>
      </c>
      <c r="Y42" s="3">
        <v>920</v>
      </c>
      <c r="Z42" s="3">
        <v>9.5500000000000003E+45</v>
      </c>
      <c r="AA42" s="4">
        <v>10</v>
      </c>
      <c r="AI42">
        <v>0.2</v>
      </c>
      <c r="AM42">
        <v>2.8</v>
      </c>
      <c r="AN42">
        <v>5</v>
      </c>
    </row>
    <row r="43" spans="1:40" x14ac:dyDescent="0.3">
      <c r="H43" s="123" t="s">
        <v>110</v>
      </c>
      <c r="I43" s="123" t="s">
        <v>111</v>
      </c>
      <c r="J43" s="123" t="s">
        <v>59</v>
      </c>
      <c r="K43" s="123" t="s">
        <v>98</v>
      </c>
      <c r="L43" s="123" t="s">
        <v>99</v>
      </c>
      <c r="O43" s="153" t="s">
        <v>44</v>
      </c>
      <c r="P43" s="59" t="s">
        <v>60</v>
      </c>
      <c r="Q43" s="122">
        <v>50000</v>
      </c>
      <c r="R43" s="122">
        <f>Q43*V44</f>
        <v>279661.01694915257</v>
      </c>
      <c r="T43" s="59" t="s">
        <v>94</v>
      </c>
      <c r="U43" s="59">
        <v>59000</v>
      </c>
      <c r="V43" s="59" t="s">
        <v>44</v>
      </c>
      <c r="X43">
        <v>41</v>
      </c>
      <c r="Y43" s="3">
        <v>921</v>
      </c>
      <c r="Z43" s="3">
        <v>9.7749999999999995E+45</v>
      </c>
      <c r="AA43" s="4">
        <v>10.235602094240837</v>
      </c>
      <c r="AI43">
        <v>0.15</v>
      </c>
      <c r="AM43">
        <v>1.9</v>
      </c>
      <c r="AN43">
        <v>4.5</v>
      </c>
    </row>
    <row r="44" spans="1:40" x14ac:dyDescent="0.3">
      <c r="A44" t="s">
        <v>93</v>
      </c>
      <c r="B44" s="29">
        <v>1</v>
      </c>
      <c r="H44" s="123">
        <v>1000</v>
      </c>
      <c r="I44" s="123">
        <v>600</v>
      </c>
      <c r="J44" s="124">
        <f>H44*I44</f>
        <v>600000</v>
      </c>
      <c r="K44" s="125">
        <f>J44/V42</f>
        <v>520588.23529411765</v>
      </c>
      <c r="L44" s="125">
        <f>J44/V44</f>
        <v>107272.72727272726</v>
      </c>
      <c r="O44" s="153"/>
      <c r="P44" s="59" t="s">
        <v>59</v>
      </c>
      <c r="Q44" s="122">
        <v>100000</v>
      </c>
      <c r="R44" s="122">
        <f>Q44/V44</f>
        <v>17878.78787878788</v>
      </c>
      <c r="T44" s="59" t="s">
        <v>59</v>
      </c>
      <c r="U44" s="59">
        <v>330000</v>
      </c>
      <c r="V44" s="59">
        <f>U44/U43</f>
        <v>5.593220338983051</v>
      </c>
      <c r="X44">
        <v>42</v>
      </c>
      <c r="Y44" s="3">
        <v>922</v>
      </c>
      <c r="Z44" s="3">
        <v>9.9999999999999999E+45</v>
      </c>
      <c r="AA44" s="4">
        <v>10.471204188481675</v>
      </c>
      <c r="AI44">
        <v>0.1</v>
      </c>
      <c r="AM44">
        <v>0.8</v>
      </c>
      <c r="AN44">
        <v>4</v>
      </c>
    </row>
    <row r="45" spans="1:40" ht="33.75" thickBot="1" x14ac:dyDescent="0.35">
      <c r="B45" s="7" t="s">
        <v>46</v>
      </c>
      <c r="C45" s="7" t="s">
        <v>47</v>
      </c>
      <c r="D45" s="7" t="s">
        <v>48</v>
      </c>
      <c r="E45" s="150" t="s">
        <v>49</v>
      </c>
      <c r="F45" s="150"/>
      <c r="G45" s="7" t="s">
        <v>50</v>
      </c>
      <c r="H45" s="7" t="s">
        <v>113</v>
      </c>
      <c r="I45" s="7" t="s">
        <v>107</v>
      </c>
      <c r="J45" s="7" t="s">
        <v>108</v>
      </c>
      <c r="K45" s="7" t="s">
        <v>51</v>
      </c>
      <c r="L45" s="7" t="s">
        <v>109</v>
      </c>
      <c r="M45" s="7" t="s">
        <v>112</v>
      </c>
      <c r="O45" t="s">
        <v>51</v>
      </c>
      <c r="Q45" s="27" t="s">
        <v>4</v>
      </c>
      <c r="R45" t="s">
        <v>43</v>
      </c>
      <c r="S45" s="27" t="s">
        <v>72</v>
      </c>
      <c r="T45" s="27" t="s">
        <v>73</v>
      </c>
      <c r="U45" s="27" t="s">
        <v>74</v>
      </c>
      <c r="X45">
        <v>43</v>
      </c>
      <c r="Y45" s="3">
        <v>923</v>
      </c>
      <c r="Z45" s="3">
        <v>1.2250000000000002E+46</v>
      </c>
      <c r="AA45" s="4">
        <v>12.827225130890055</v>
      </c>
      <c r="AI45">
        <v>0.05</v>
      </c>
      <c r="AM45">
        <v>0.3</v>
      </c>
      <c r="AN45">
        <v>3.5</v>
      </c>
    </row>
    <row r="46" spans="1:40" x14ac:dyDescent="0.3">
      <c r="B46" s="94">
        <v>1</v>
      </c>
      <c r="C46">
        <v>23.69</v>
      </c>
      <c r="D46" s="94">
        <f>C46*0.4</f>
        <v>9.4760000000000009</v>
      </c>
      <c r="E46" s="151">
        <v>1</v>
      </c>
      <c r="F46" s="151"/>
      <c r="G46" s="94">
        <f>D46*E46</f>
        <v>9.4760000000000009</v>
      </c>
      <c r="H46" s="95">
        <f t="shared" ref="H46:H65" si="26">D46*H$44</f>
        <v>9476</v>
      </c>
      <c r="I46" s="28">
        <f>H46*E46</f>
        <v>9476</v>
      </c>
      <c r="J46" s="28">
        <f>E46*H46</f>
        <v>9476</v>
      </c>
      <c r="K46" s="28">
        <f t="shared" ref="K46:K63" si="27">E46*H46</f>
        <v>9476</v>
      </c>
      <c r="L46" s="126">
        <v>1</v>
      </c>
      <c r="M46" s="128">
        <f>E46/G$66</f>
        <v>7.1158630681066436E-12</v>
      </c>
      <c r="Q46" s="28">
        <v>1</v>
      </c>
      <c r="R46" s="77">
        <v>8.76</v>
      </c>
      <c r="S46">
        <v>31.736000000000004</v>
      </c>
      <c r="T46" s="78">
        <v>11</v>
      </c>
      <c r="U46" s="78">
        <v>1</v>
      </c>
      <c r="X46">
        <v>44</v>
      </c>
      <c r="Y46" s="3">
        <v>924</v>
      </c>
      <c r="Z46" s="3">
        <v>1.4499999999999999E+46</v>
      </c>
      <c r="AA46" s="4">
        <v>15.183246073298429</v>
      </c>
      <c r="AI46">
        <v>4.0000000000000001E-3</v>
      </c>
      <c r="AM46">
        <v>0.15</v>
      </c>
      <c r="AN46">
        <v>3</v>
      </c>
    </row>
    <row r="47" spans="1:40" x14ac:dyDescent="0.3">
      <c r="B47" s="94">
        <v>2</v>
      </c>
      <c r="C47">
        <v>23.69</v>
      </c>
      <c r="D47" s="94">
        <f>C47*0.3</f>
        <v>7.1070000000000002</v>
      </c>
      <c r="E47" s="151">
        <v>5</v>
      </c>
      <c r="F47" s="151"/>
      <c r="G47" s="94">
        <f t="shared" ref="G47:G65" si="28">D47*E47</f>
        <v>35.535000000000004</v>
      </c>
      <c r="H47" s="95">
        <f t="shared" si="26"/>
        <v>7107</v>
      </c>
      <c r="I47" s="28">
        <f t="shared" ref="I47:I65" si="29">H47*E47</f>
        <v>35535</v>
      </c>
      <c r="J47" s="28">
        <f t="shared" ref="J47:J64" si="30">E47*H47</f>
        <v>35535</v>
      </c>
      <c r="K47" s="28">
        <f t="shared" si="27"/>
        <v>35535</v>
      </c>
      <c r="L47" s="126">
        <v>2</v>
      </c>
      <c r="M47" s="128">
        <f t="shared" ref="M47:M63" si="31">E47/G$66</f>
        <v>3.5579315340533217E-11</v>
      </c>
      <c r="Q47" s="28">
        <v>2</v>
      </c>
      <c r="R47" s="79">
        <v>12.3</v>
      </c>
      <c r="S47">
        <v>23.802</v>
      </c>
      <c r="T47" s="80">
        <v>10</v>
      </c>
      <c r="U47" s="80">
        <v>4</v>
      </c>
      <c r="X47">
        <v>45</v>
      </c>
      <c r="Y47" s="3">
        <v>925</v>
      </c>
      <c r="Z47" s="3">
        <v>1.675E+46</v>
      </c>
      <c r="AA47" s="4">
        <v>17.539267015706809</v>
      </c>
      <c r="AI47">
        <v>3.0000000000000001E-3</v>
      </c>
      <c r="AM47">
        <v>0.12</v>
      </c>
      <c r="AN47">
        <v>2.5</v>
      </c>
    </row>
    <row r="48" spans="1:40" x14ac:dyDescent="0.3">
      <c r="B48" s="94">
        <v>3</v>
      </c>
      <c r="C48">
        <v>23.69</v>
      </c>
      <c r="D48" s="94">
        <f>C48*0.2</f>
        <v>4.7380000000000004</v>
      </c>
      <c r="E48" s="151">
        <v>25</v>
      </c>
      <c r="F48" s="151"/>
      <c r="G48" s="94">
        <f t="shared" si="28"/>
        <v>118.45000000000002</v>
      </c>
      <c r="H48" s="95">
        <f t="shared" si="26"/>
        <v>4738</v>
      </c>
      <c r="I48" s="28">
        <f t="shared" si="29"/>
        <v>118450</v>
      </c>
      <c r="J48" s="28">
        <f t="shared" si="30"/>
        <v>118450</v>
      </c>
      <c r="K48" s="28">
        <f t="shared" si="27"/>
        <v>118450</v>
      </c>
      <c r="L48" s="126">
        <v>3</v>
      </c>
      <c r="M48" s="128">
        <f t="shared" si="31"/>
        <v>1.7789657670266609E-10</v>
      </c>
      <c r="Q48" s="28">
        <v>3</v>
      </c>
      <c r="R48" s="79">
        <v>13.5</v>
      </c>
      <c r="S48">
        <v>15.868000000000002</v>
      </c>
      <c r="T48" s="80">
        <v>11</v>
      </c>
      <c r="U48" s="80">
        <v>7</v>
      </c>
      <c r="W48">
        <v>2</v>
      </c>
      <c r="X48">
        <v>46</v>
      </c>
      <c r="Y48" s="3">
        <v>926</v>
      </c>
      <c r="Z48" s="3">
        <v>1.9000000000000002E+46</v>
      </c>
      <c r="AA48" s="4">
        <v>19.895287958115187</v>
      </c>
      <c r="AD48">
        <f>SUM(R46:R67)</f>
        <v>100.00000000000003</v>
      </c>
      <c r="AE48">
        <f>SUM(S46:S67)</f>
        <v>112.94</v>
      </c>
      <c r="AF48">
        <f>SUM(T46:T67)</f>
        <v>100.36</v>
      </c>
      <c r="AG48">
        <f>SUM(U46:U67)</f>
        <v>14277</v>
      </c>
      <c r="AI48">
        <v>2E-3</v>
      </c>
      <c r="AM48">
        <v>0.04</v>
      </c>
      <c r="AN48">
        <v>2</v>
      </c>
    </row>
    <row r="49" spans="2:40" x14ac:dyDescent="0.3">
      <c r="B49" s="94">
        <v>4</v>
      </c>
      <c r="C49">
        <v>23.69</v>
      </c>
      <c r="D49" s="94">
        <f>C49*0.1</f>
        <v>2.3690000000000002</v>
      </c>
      <c r="E49" s="151">
        <v>125</v>
      </c>
      <c r="F49" s="151"/>
      <c r="G49" s="94">
        <f t="shared" si="28"/>
        <v>296.125</v>
      </c>
      <c r="H49" s="95">
        <f t="shared" si="26"/>
        <v>2369</v>
      </c>
      <c r="I49" s="28">
        <f t="shared" si="29"/>
        <v>296125</v>
      </c>
      <c r="J49" s="28">
        <f t="shared" si="30"/>
        <v>296125</v>
      </c>
      <c r="K49" s="28">
        <f t="shared" si="27"/>
        <v>296125</v>
      </c>
      <c r="L49" s="126">
        <v>4</v>
      </c>
      <c r="M49" s="128">
        <f t="shared" si="31"/>
        <v>8.8948288351333046E-10</v>
      </c>
      <c r="Q49" s="28">
        <v>4</v>
      </c>
      <c r="R49" s="79">
        <v>12.4</v>
      </c>
      <c r="S49">
        <v>7.9340000000000011</v>
      </c>
      <c r="T49" s="80">
        <v>12</v>
      </c>
      <c r="U49" s="80">
        <v>10</v>
      </c>
      <c r="W49">
        <v>10</v>
      </c>
      <c r="X49">
        <v>47</v>
      </c>
      <c r="Y49" s="3">
        <v>927</v>
      </c>
      <c r="Z49" s="3">
        <v>2.1249999999999999E+46</v>
      </c>
      <c r="AA49" s="4">
        <v>22.251308900523561</v>
      </c>
      <c r="AE49">
        <f>AD48-AE48</f>
        <v>-12.939999999999969</v>
      </c>
      <c r="AF49">
        <f t="shared" ref="AF49:AG49" si="32">AE48-AF48</f>
        <v>12.579999999999998</v>
      </c>
      <c r="AG49">
        <f t="shared" si="32"/>
        <v>-14176.64</v>
      </c>
      <c r="AI49">
        <v>1E-3</v>
      </c>
      <c r="AM49">
        <v>0.02</v>
      </c>
      <c r="AN49">
        <v>1.5</v>
      </c>
    </row>
    <row r="50" spans="2:40" x14ac:dyDescent="0.3">
      <c r="B50" s="96">
        <v>5</v>
      </c>
      <c r="C50">
        <v>49.28</v>
      </c>
      <c r="D50" s="94">
        <f>C50*0.4</f>
        <v>19.712000000000003</v>
      </c>
      <c r="E50" s="149">
        <v>625</v>
      </c>
      <c r="F50" s="149"/>
      <c r="G50" s="96">
        <f t="shared" si="28"/>
        <v>12320.000000000002</v>
      </c>
      <c r="H50" s="97">
        <f t="shared" si="26"/>
        <v>19712.000000000004</v>
      </c>
      <c r="I50" s="72">
        <f t="shared" si="29"/>
        <v>12320000.000000002</v>
      </c>
      <c r="J50" s="72">
        <f t="shared" si="30"/>
        <v>12320000.000000002</v>
      </c>
      <c r="K50" s="72">
        <f t="shared" si="27"/>
        <v>12320000.000000002</v>
      </c>
      <c r="L50" s="126">
        <v>5</v>
      </c>
      <c r="M50" s="128">
        <f t="shared" si="31"/>
        <v>4.4474144175666525E-9</v>
      </c>
      <c r="Q50" s="5">
        <v>5</v>
      </c>
      <c r="R50" s="81">
        <v>11.3</v>
      </c>
      <c r="S50">
        <v>9.4</v>
      </c>
      <c r="T50" s="82">
        <v>12</v>
      </c>
      <c r="U50" s="82">
        <v>18</v>
      </c>
      <c r="X50">
        <v>48</v>
      </c>
      <c r="Y50" s="3">
        <v>928</v>
      </c>
      <c r="Z50" s="3">
        <v>2.3500000000000003E+46</v>
      </c>
      <c r="AA50" s="4">
        <v>24.607329842931943</v>
      </c>
      <c r="AM50">
        <v>0.01</v>
      </c>
      <c r="AN50">
        <v>1</v>
      </c>
    </row>
    <row r="51" spans="2:40" x14ac:dyDescent="0.3">
      <c r="B51" s="96">
        <v>6</v>
      </c>
      <c r="C51">
        <v>49.28</v>
      </c>
      <c r="D51" s="94">
        <f>C51*0.3</f>
        <v>14.783999999999999</v>
      </c>
      <c r="E51" s="149">
        <v>3125</v>
      </c>
      <c r="F51" s="149"/>
      <c r="G51" s="96">
        <f t="shared" si="28"/>
        <v>46200</v>
      </c>
      <c r="H51" s="97">
        <f t="shared" si="26"/>
        <v>14783.999999999998</v>
      </c>
      <c r="I51" s="72">
        <f t="shared" si="29"/>
        <v>46199999.999999993</v>
      </c>
      <c r="J51" s="72">
        <f t="shared" si="30"/>
        <v>46199999.999999993</v>
      </c>
      <c r="K51" s="72">
        <f t="shared" si="27"/>
        <v>46199999.999999993</v>
      </c>
      <c r="L51" s="126">
        <v>6</v>
      </c>
      <c r="M51" s="128">
        <f t="shared" si="31"/>
        <v>2.2237072087833262E-8</v>
      </c>
      <c r="Q51" s="5">
        <v>6</v>
      </c>
      <c r="R51" s="81">
        <v>10.199999999999999</v>
      </c>
      <c r="S51">
        <v>7.05</v>
      </c>
      <c r="T51" s="82">
        <v>9</v>
      </c>
      <c r="U51" s="82">
        <v>30</v>
      </c>
      <c r="W51">
        <v>25</v>
      </c>
      <c r="X51">
        <v>49</v>
      </c>
      <c r="Y51" s="3">
        <v>929</v>
      </c>
      <c r="Z51" s="3">
        <v>2.5749999999999997E+46</v>
      </c>
      <c r="AA51" s="4">
        <v>26.963350785340314</v>
      </c>
      <c r="AN51">
        <v>0.5</v>
      </c>
    </row>
    <row r="52" spans="2:40" x14ac:dyDescent="0.3">
      <c r="B52" s="96">
        <v>7</v>
      </c>
      <c r="C52">
        <v>49.28</v>
      </c>
      <c r="D52" s="94">
        <f>C52*0.2</f>
        <v>9.8560000000000016</v>
      </c>
      <c r="E52" s="149">
        <v>15625</v>
      </c>
      <c r="F52" s="149"/>
      <c r="G52" s="98">
        <f t="shared" si="28"/>
        <v>154000.00000000003</v>
      </c>
      <c r="H52" s="97">
        <f t="shared" si="26"/>
        <v>9856.0000000000018</v>
      </c>
      <c r="I52" s="72">
        <f t="shared" si="29"/>
        <v>154000000.00000003</v>
      </c>
      <c r="J52" s="72">
        <f t="shared" si="30"/>
        <v>154000000.00000003</v>
      </c>
      <c r="K52" s="72">
        <f t="shared" si="27"/>
        <v>154000000.00000003</v>
      </c>
      <c r="L52" s="126">
        <v>7</v>
      </c>
      <c r="M52" s="128">
        <f t="shared" si="31"/>
        <v>1.1118536043916632E-7</v>
      </c>
      <c r="Q52" s="5">
        <v>7</v>
      </c>
      <c r="R52" s="81">
        <v>9.1</v>
      </c>
      <c r="S52">
        <v>4.7</v>
      </c>
      <c r="T52" s="82">
        <v>8</v>
      </c>
      <c r="U52" s="82">
        <v>45</v>
      </c>
      <c r="W52">
        <v>50</v>
      </c>
      <c r="X52">
        <v>50</v>
      </c>
      <c r="Y52" s="3">
        <v>930</v>
      </c>
      <c r="Z52" s="3">
        <v>2.8000000000000002E+46</v>
      </c>
      <c r="AA52" s="4">
        <v>29.319371727748695</v>
      </c>
      <c r="AN52">
        <f>SUM(AN33:AN51)</f>
        <v>95.5</v>
      </c>
    </row>
    <row r="53" spans="2:40" x14ac:dyDescent="0.3">
      <c r="B53" s="96">
        <v>8</v>
      </c>
      <c r="C53">
        <v>49.28</v>
      </c>
      <c r="D53" s="94">
        <f>C53*0.1</f>
        <v>4.9280000000000008</v>
      </c>
      <c r="E53" s="149">
        <v>78125</v>
      </c>
      <c r="F53" s="149"/>
      <c r="G53" s="98">
        <f t="shared" si="28"/>
        <v>385000.00000000006</v>
      </c>
      <c r="H53" s="97">
        <f t="shared" si="26"/>
        <v>4928.0000000000009</v>
      </c>
      <c r="I53" s="72">
        <f t="shared" si="29"/>
        <v>385000000.00000006</v>
      </c>
      <c r="J53" s="72">
        <f t="shared" si="30"/>
        <v>385000000.00000006</v>
      </c>
      <c r="K53" s="72">
        <f t="shared" si="27"/>
        <v>385000000.00000006</v>
      </c>
      <c r="L53" s="126">
        <v>8</v>
      </c>
      <c r="M53" s="128">
        <f t="shared" si="31"/>
        <v>5.5592680219583155E-7</v>
      </c>
      <c r="Q53" s="5">
        <v>8</v>
      </c>
      <c r="R53" s="81">
        <v>7.5</v>
      </c>
      <c r="S53">
        <v>2.35</v>
      </c>
      <c r="T53" s="82">
        <v>7</v>
      </c>
      <c r="U53" s="82">
        <v>72</v>
      </c>
      <c r="W53">
        <v>100</v>
      </c>
      <c r="X53">
        <v>51</v>
      </c>
      <c r="Y53" s="3">
        <v>931</v>
      </c>
      <c r="Z53" s="3">
        <v>3.0250000000000001E+46</v>
      </c>
      <c r="AA53" s="4">
        <v>31.67539267015707</v>
      </c>
    </row>
    <row r="54" spans="2:40" x14ac:dyDescent="0.3">
      <c r="B54" s="106">
        <v>9</v>
      </c>
      <c r="C54">
        <v>25.48</v>
      </c>
      <c r="D54" s="94">
        <f>C54*0.4</f>
        <v>10.192</v>
      </c>
      <c r="E54" s="157">
        <v>390625</v>
      </c>
      <c r="F54" s="157"/>
      <c r="G54" s="107">
        <f t="shared" si="28"/>
        <v>3981250</v>
      </c>
      <c r="H54" s="108">
        <f t="shared" si="26"/>
        <v>10192</v>
      </c>
      <c r="I54" s="20">
        <f t="shared" si="29"/>
        <v>3981250000</v>
      </c>
      <c r="J54" s="20">
        <f t="shared" si="30"/>
        <v>3981250000</v>
      </c>
      <c r="K54" s="20">
        <f t="shared" si="27"/>
        <v>3981250000</v>
      </c>
      <c r="L54" s="126">
        <v>9</v>
      </c>
      <c r="M54" s="128">
        <f t="shared" si="31"/>
        <v>2.7796340109791578E-6</v>
      </c>
      <c r="Q54" s="20">
        <v>9</v>
      </c>
      <c r="R54" s="83">
        <v>5.4</v>
      </c>
      <c r="S54">
        <v>3.8360000000000003</v>
      </c>
      <c r="T54" s="84">
        <v>6</v>
      </c>
      <c r="U54" s="84">
        <v>90</v>
      </c>
      <c r="W54">
        <v>400</v>
      </c>
      <c r="X54">
        <v>52</v>
      </c>
      <c r="Y54" s="3">
        <v>932</v>
      </c>
      <c r="Z54" s="3">
        <v>3.2499999999999995E+46</v>
      </c>
      <c r="AA54" s="4">
        <v>34.031413612565444</v>
      </c>
    </row>
    <row r="55" spans="2:40" x14ac:dyDescent="0.3">
      <c r="B55" s="106">
        <v>10</v>
      </c>
      <c r="C55">
        <v>25.48</v>
      </c>
      <c r="D55" s="94">
        <f>C55*0.3</f>
        <v>7.6440000000000001</v>
      </c>
      <c r="E55" s="158">
        <v>1953125</v>
      </c>
      <c r="F55" s="158"/>
      <c r="G55" s="107">
        <f t="shared" si="28"/>
        <v>14929687.5</v>
      </c>
      <c r="H55" s="108">
        <f t="shared" si="26"/>
        <v>7644</v>
      </c>
      <c r="I55" s="20">
        <f t="shared" si="29"/>
        <v>14929687500</v>
      </c>
      <c r="J55" s="20">
        <f t="shared" si="30"/>
        <v>14929687500</v>
      </c>
      <c r="K55" s="20">
        <f t="shared" si="27"/>
        <v>14929687500</v>
      </c>
      <c r="L55" s="126">
        <v>10</v>
      </c>
      <c r="M55" s="128">
        <f t="shared" si="31"/>
        <v>1.3898170054895788E-5</v>
      </c>
      <c r="Q55" s="20">
        <v>10</v>
      </c>
      <c r="R55" s="83">
        <v>3.4</v>
      </c>
      <c r="S55">
        <v>2.8769999999999998</v>
      </c>
      <c r="T55" s="84">
        <v>5</v>
      </c>
      <c r="U55" s="84">
        <v>150</v>
      </c>
      <c r="X55">
        <v>53</v>
      </c>
      <c r="Y55" s="3">
        <v>933</v>
      </c>
      <c r="Z55" s="3">
        <v>3.475E+46</v>
      </c>
      <c r="AA55" s="4">
        <v>36.387434554973822</v>
      </c>
      <c r="AC55" t="s">
        <v>69</v>
      </c>
    </row>
    <row r="56" spans="2:40" x14ac:dyDescent="0.3">
      <c r="B56" s="106">
        <v>11</v>
      </c>
      <c r="C56">
        <v>25.48</v>
      </c>
      <c r="D56" s="94">
        <f>C56*0.2</f>
        <v>5.0960000000000001</v>
      </c>
      <c r="E56" s="158">
        <v>9765625</v>
      </c>
      <c r="F56" s="158"/>
      <c r="G56" s="107">
        <f t="shared" si="28"/>
        <v>49765625</v>
      </c>
      <c r="H56" s="108">
        <f t="shared" si="26"/>
        <v>5096</v>
      </c>
      <c r="I56" s="20">
        <f t="shared" si="29"/>
        <v>49765625000</v>
      </c>
      <c r="J56" s="20">
        <f t="shared" si="30"/>
        <v>49765625000</v>
      </c>
      <c r="K56" s="20">
        <f t="shared" si="27"/>
        <v>49765625000</v>
      </c>
      <c r="L56" s="126">
        <v>11</v>
      </c>
      <c r="M56" s="128">
        <f t="shared" si="31"/>
        <v>6.9490850274478945E-5</v>
      </c>
      <c r="Q56" s="20">
        <v>11</v>
      </c>
      <c r="R56" s="83">
        <v>2.8</v>
      </c>
      <c r="S56">
        <v>1.9180000000000001</v>
      </c>
      <c r="T56" s="84">
        <v>4</v>
      </c>
      <c r="U56" s="84">
        <v>200</v>
      </c>
      <c r="X56">
        <v>54</v>
      </c>
      <c r="Y56" s="3">
        <v>934</v>
      </c>
      <c r="Z56" s="3">
        <v>3.6999999999999999E+46</v>
      </c>
      <c r="AA56" s="4">
        <v>38.7434554973822</v>
      </c>
      <c r="AC56" t="e">
        <f>(2*#REF!-2*#REF!*#REF!)/(#REF!*#REF!-#REF!)</f>
        <v>#REF!</v>
      </c>
    </row>
    <row r="57" spans="2:40" x14ac:dyDescent="0.3">
      <c r="B57" s="106">
        <v>12</v>
      </c>
      <c r="C57">
        <v>25.48</v>
      </c>
      <c r="D57" s="94">
        <f>C57*0.1</f>
        <v>2.548</v>
      </c>
      <c r="E57" s="158">
        <v>48828125</v>
      </c>
      <c r="F57" s="158"/>
      <c r="G57" s="107">
        <f t="shared" si="28"/>
        <v>124414062.5</v>
      </c>
      <c r="H57" s="108">
        <f t="shared" si="26"/>
        <v>2548</v>
      </c>
      <c r="I57" s="20">
        <f t="shared" si="29"/>
        <v>124414062500</v>
      </c>
      <c r="J57" s="20">
        <f t="shared" si="30"/>
        <v>124414062500</v>
      </c>
      <c r="K57" s="20">
        <f t="shared" si="27"/>
        <v>124414062500</v>
      </c>
      <c r="L57" s="126">
        <v>12</v>
      </c>
      <c r="M57" s="128">
        <f t="shared" si="31"/>
        <v>3.4745425137239471E-4</v>
      </c>
      <c r="Q57" s="20">
        <v>12</v>
      </c>
      <c r="R57" s="83">
        <v>1.9</v>
      </c>
      <c r="S57">
        <v>0.95900000000000007</v>
      </c>
      <c r="T57" s="84">
        <v>3</v>
      </c>
      <c r="U57" s="84">
        <v>300</v>
      </c>
      <c r="X57">
        <v>55</v>
      </c>
      <c r="Y57" s="3">
        <v>935</v>
      </c>
      <c r="Z57" s="3">
        <v>3.9249999999999998E+46</v>
      </c>
      <c r="AA57" s="4">
        <v>41.099476439790578</v>
      </c>
      <c r="AC57" t="e">
        <f>(2*#REF!-2*#REF!*#REF!)/(#REF!*#REF!-#REF!)</f>
        <v>#REF!</v>
      </c>
    </row>
    <row r="58" spans="2:40" x14ac:dyDescent="0.3">
      <c r="B58" s="102">
        <v>13</v>
      </c>
      <c r="C58">
        <v>1.5049999999999999</v>
      </c>
      <c r="D58" s="94">
        <f>C58*0.4</f>
        <v>0.60199999999999998</v>
      </c>
      <c r="E58" s="154">
        <v>244140625</v>
      </c>
      <c r="F58" s="154"/>
      <c r="G58" s="103">
        <f t="shared" si="28"/>
        <v>146972656.25</v>
      </c>
      <c r="H58" s="104">
        <f t="shared" si="26"/>
        <v>602</v>
      </c>
      <c r="I58" s="48">
        <f t="shared" si="29"/>
        <v>146972656250</v>
      </c>
      <c r="J58" s="48">
        <f t="shared" si="30"/>
        <v>146972656250</v>
      </c>
      <c r="K58" s="48">
        <f t="shared" si="27"/>
        <v>146972656250</v>
      </c>
      <c r="L58" s="126">
        <v>13</v>
      </c>
      <c r="M58" s="128">
        <f t="shared" si="31"/>
        <v>1.7372712568619736E-3</v>
      </c>
      <c r="Q58" s="19">
        <v>13</v>
      </c>
      <c r="R58" s="85">
        <v>0.8</v>
      </c>
      <c r="S58">
        <v>0.2</v>
      </c>
      <c r="T58" s="86">
        <v>1</v>
      </c>
      <c r="U58" s="86">
        <v>450</v>
      </c>
      <c r="X58">
        <v>56</v>
      </c>
      <c r="Y58" s="3">
        <v>936</v>
      </c>
      <c r="Z58" s="3">
        <v>4.1500000000000003E+46</v>
      </c>
      <c r="AA58" s="4">
        <v>43.455497382198956</v>
      </c>
    </row>
    <row r="59" spans="2:40" x14ac:dyDescent="0.3">
      <c r="B59" s="102">
        <v>14</v>
      </c>
      <c r="C59">
        <v>1.5049999999999999</v>
      </c>
      <c r="D59" s="94">
        <f>C59*0.3</f>
        <v>0.45149999999999996</v>
      </c>
      <c r="E59" s="154">
        <v>1220703125</v>
      </c>
      <c r="F59" s="154"/>
      <c r="G59" s="105">
        <f t="shared" si="28"/>
        <v>551147460.9375</v>
      </c>
      <c r="H59" s="104">
        <f t="shared" si="26"/>
        <v>451.49999999999994</v>
      </c>
      <c r="I59" s="48">
        <f t="shared" si="29"/>
        <v>551147460937.49988</v>
      </c>
      <c r="J59" s="48">
        <f t="shared" si="30"/>
        <v>551147460937.49988</v>
      </c>
      <c r="K59" s="48">
        <f t="shared" si="27"/>
        <v>551147460937.49988</v>
      </c>
      <c r="L59" s="126">
        <v>14</v>
      </c>
      <c r="M59" s="128">
        <f t="shared" si="31"/>
        <v>8.6863562843098683E-3</v>
      </c>
      <c r="Q59" s="19">
        <v>14</v>
      </c>
      <c r="R59" s="85">
        <v>0.3</v>
      </c>
      <c r="S59">
        <v>0.15</v>
      </c>
      <c r="T59" s="86">
        <v>0.7</v>
      </c>
      <c r="U59" s="86">
        <v>800</v>
      </c>
      <c r="X59">
        <v>57</v>
      </c>
      <c r="Y59" s="3">
        <v>937</v>
      </c>
      <c r="Z59" s="3">
        <v>4.3749999999999997E+46</v>
      </c>
      <c r="AA59" s="4">
        <v>45.811518324607327</v>
      </c>
    </row>
    <row r="60" spans="2:40" x14ac:dyDescent="0.3">
      <c r="B60" s="102">
        <v>15</v>
      </c>
      <c r="C60">
        <v>1.5049999999999999</v>
      </c>
      <c r="D60" s="94">
        <f>C60*0.2</f>
        <v>0.30099999999999999</v>
      </c>
      <c r="E60" s="154">
        <v>6103515625</v>
      </c>
      <c r="F60" s="154"/>
      <c r="G60" s="105">
        <f t="shared" si="28"/>
        <v>1837158203.125</v>
      </c>
      <c r="H60" s="104">
        <f t="shared" si="26"/>
        <v>301</v>
      </c>
      <c r="I60" s="48">
        <f t="shared" si="29"/>
        <v>1837158203125</v>
      </c>
      <c r="J60" s="48">
        <f t="shared" si="30"/>
        <v>1837158203125</v>
      </c>
      <c r="K60" s="48">
        <f t="shared" si="27"/>
        <v>1837158203125</v>
      </c>
      <c r="L60" s="126">
        <v>15</v>
      </c>
      <c r="M60" s="127">
        <f t="shared" si="31"/>
        <v>4.343178142154934E-2</v>
      </c>
      <c r="Q60" s="19">
        <v>15</v>
      </c>
      <c r="R60" s="85">
        <v>0.15</v>
      </c>
      <c r="S60">
        <v>0.1</v>
      </c>
      <c r="T60" s="86">
        <v>0.5</v>
      </c>
      <c r="U60" s="86">
        <v>1100</v>
      </c>
      <c r="X60">
        <v>58</v>
      </c>
      <c r="Y60" s="3">
        <v>938</v>
      </c>
      <c r="Z60" s="3">
        <v>4.6000000000000001E+46</v>
      </c>
      <c r="AA60" s="4">
        <v>48.167539267015712</v>
      </c>
    </row>
    <row r="61" spans="2:40" x14ac:dyDescent="0.3">
      <c r="B61" s="102">
        <v>16</v>
      </c>
      <c r="C61">
        <v>1.5049999999999999</v>
      </c>
      <c r="D61" s="94">
        <f>C61*0.1</f>
        <v>0.15049999999999999</v>
      </c>
      <c r="E61" s="154">
        <v>30517578125</v>
      </c>
      <c r="F61" s="154"/>
      <c r="G61" s="105">
        <f t="shared" si="28"/>
        <v>4592895507.8125</v>
      </c>
      <c r="H61" s="104">
        <f t="shared" si="26"/>
        <v>150.5</v>
      </c>
      <c r="I61" s="48">
        <f t="shared" si="29"/>
        <v>4592895507812.5</v>
      </c>
      <c r="J61" s="48">
        <f t="shared" si="30"/>
        <v>4592895507812.5</v>
      </c>
      <c r="K61" s="48">
        <f t="shared" si="27"/>
        <v>4592895507812.5</v>
      </c>
      <c r="L61" s="126">
        <v>16</v>
      </c>
      <c r="M61" s="127">
        <f t="shared" si="31"/>
        <v>0.21715890710774668</v>
      </c>
      <c r="Q61" s="19">
        <v>16</v>
      </c>
      <c r="R61" s="85">
        <v>0.12</v>
      </c>
      <c r="S61">
        <v>0.05</v>
      </c>
      <c r="T61" s="86">
        <v>0.1</v>
      </c>
      <c r="U61" s="86">
        <v>1500</v>
      </c>
      <c r="X61">
        <v>59</v>
      </c>
      <c r="Y61" s="3">
        <v>939</v>
      </c>
      <c r="Z61" s="3">
        <v>4.8250000000000006E+46</v>
      </c>
      <c r="AA61" s="4">
        <v>50.52356020942409</v>
      </c>
    </row>
    <row r="62" spans="2:40" x14ac:dyDescent="0.3">
      <c r="B62" s="99">
        <v>17</v>
      </c>
      <c r="C62">
        <v>4.4999999999999998E-2</v>
      </c>
      <c r="D62" s="94">
        <f>C62*0.4</f>
        <v>1.7999999999999999E-2</v>
      </c>
      <c r="E62" s="155">
        <v>152587890625</v>
      </c>
      <c r="F62" s="155"/>
      <c r="G62" s="100">
        <f t="shared" si="28"/>
        <v>2746582031.25</v>
      </c>
      <c r="H62" s="101">
        <f t="shared" si="26"/>
        <v>18</v>
      </c>
      <c r="I62" s="35">
        <f t="shared" si="29"/>
        <v>2746582031250</v>
      </c>
      <c r="J62" s="35">
        <f t="shared" si="30"/>
        <v>2746582031250</v>
      </c>
      <c r="K62" s="35">
        <f t="shared" si="27"/>
        <v>2746582031250</v>
      </c>
      <c r="L62" s="126">
        <v>17</v>
      </c>
      <c r="M62" s="127">
        <f t="shared" si="31"/>
        <v>1.0857945355387335</v>
      </c>
      <c r="Q62" s="18">
        <v>17</v>
      </c>
      <c r="R62" s="87">
        <v>0.04</v>
      </c>
      <c r="S62">
        <v>5.0000000000000001E-3</v>
      </c>
      <c r="T62" s="88">
        <v>0.03</v>
      </c>
      <c r="U62" s="88">
        <v>2000</v>
      </c>
      <c r="X62">
        <v>60</v>
      </c>
      <c r="Y62" s="3">
        <v>940</v>
      </c>
      <c r="Z62" s="3">
        <v>5.05E+46</v>
      </c>
      <c r="AA62" s="4">
        <v>52.879581151832461</v>
      </c>
    </row>
    <row r="63" spans="2:40" x14ac:dyDescent="0.3">
      <c r="B63" s="99">
        <v>18</v>
      </c>
      <c r="C63">
        <v>4.4999999999999998E-2</v>
      </c>
      <c r="D63" s="94">
        <f>C63*0.3</f>
        <v>1.35E-2</v>
      </c>
      <c r="E63" s="155">
        <v>762939453125</v>
      </c>
      <c r="F63" s="155"/>
      <c r="G63" s="100">
        <f t="shared" si="28"/>
        <v>10299682617.1875</v>
      </c>
      <c r="H63" s="101">
        <f t="shared" si="26"/>
        <v>13.5</v>
      </c>
      <c r="I63" s="35">
        <f t="shared" si="29"/>
        <v>10299682617187.5</v>
      </c>
      <c r="J63" s="35">
        <f t="shared" si="30"/>
        <v>10299682617187.5</v>
      </c>
      <c r="K63" s="35">
        <f t="shared" si="27"/>
        <v>10299682617187.5</v>
      </c>
      <c r="L63" s="126">
        <v>18</v>
      </c>
      <c r="M63" s="127">
        <f t="shared" si="31"/>
        <v>5.4289726776936673</v>
      </c>
      <c r="Q63" s="18">
        <v>18</v>
      </c>
      <c r="R63" s="87">
        <v>0.02</v>
      </c>
      <c r="S63">
        <v>3.0000000000000001E-3</v>
      </c>
      <c r="T63" s="88">
        <v>0.02</v>
      </c>
      <c r="U63" s="88">
        <v>3000</v>
      </c>
      <c r="X63">
        <v>61</v>
      </c>
      <c r="Y63" s="3">
        <v>941</v>
      </c>
      <c r="Z63" s="3">
        <v>5.2749999999999994E+46</v>
      </c>
      <c r="AA63" s="4">
        <v>55.235602094240832</v>
      </c>
    </row>
    <row r="64" spans="2:40" x14ac:dyDescent="0.3">
      <c r="B64" s="99">
        <v>19</v>
      </c>
      <c r="C64">
        <v>4.4999999999999998E-2</v>
      </c>
      <c r="D64" s="94">
        <f>C64*0.2</f>
        <v>8.9999999999999993E-3</v>
      </c>
      <c r="E64" s="155">
        <v>3814697265625</v>
      </c>
      <c r="F64" s="155"/>
      <c r="G64" s="100">
        <f t="shared" si="28"/>
        <v>34332275390.624996</v>
      </c>
      <c r="H64" s="101">
        <f t="shared" si="26"/>
        <v>9</v>
      </c>
      <c r="I64" s="35">
        <f t="shared" si="29"/>
        <v>34332275390625</v>
      </c>
      <c r="J64" s="35">
        <f t="shared" si="30"/>
        <v>34332275390625</v>
      </c>
      <c r="K64" s="35">
        <f>E64*H64</f>
        <v>34332275390625</v>
      </c>
      <c r="L64" s="126">
        <v>19</v>
      </c>
      <c r="M64" s="127">
        <f>E64/G$66</f>
        <v>27.144863388468337</v>
      </c>
      <c r="Q64" s="18">
        <v>19</v>
      </c>
      <c r="R64" s="87">
        <v>0.01</v>
      </c>
      <c r="S64">
        <v>2E-3</v>
      </c>
      <c r="T64" s="88">
        <v>0.01</v>
      </c>
      <c r="U64" s="88">
        <v>4500</v>
      </c>
      <c r="X64">
        <v>62</v>
      </c>
      <c r="Y64" s="3">
        <v>942</v>
      </c>
      <c r="Z64" s="3">
        <v>5.4999999999999998E+46</v>
      </c>
      <c r="AA64" s="4">
        <v>57.591623036649217</v>
      </c>
    </row>
    <row r="65" spans="2:27" ht="17.25" thickBot="1" x14ac:dyDescent="0.35">
      <c r="B65" s="99">
        <v>20</v>
      </c>
      <c r="C65">
        <v>4.4999999999999998E-2</v>
      </c>
      <c r="D65" s="94">
        <f>C65*0.1</f>
        <v>4.4999999999999997E-3</v>
      </c>
      <c r="E65" s="156">
        <v>19073486328125</v>
      </c>
      <c r="F65" s="156"/>
      <c r="G65" s="99">
        <f t="shared" si="28"/>
        <v>85830688476.5625</v>
      </c>
      <c r="H65" s="101">
        <f t="shared" si="26"/>
        <v>4.5</v>
      </c>
      <c r="I65" s="35">
        <f t="shared" si="29"/>
        <v>85830688476562.5</v>
      </c>
      <c r="J65" s="35">
        <f>SUM(J46:J64)</f>
        <v>54700402471773.5</v>
      </c>
      <c r="K65" s="35">
        <f>E65*H65</f>
        <v>85830688476562.5</v>
      </c>
      <c r="L65" s="126"/>
      <c r="M65" s="126"/>
      <c r="Q65" s="18">
        <v>20</v>
      </c>
      <c r="R65" s="89">
        <v>0</v>
      </c>
      <c r="S65">
        <v>0</v>
      </c>
      <c r="T65" s="90">
        <v>0</v>
      </c>
      <c r="U65" s="90">
        <v>0</v>
      </c>
      <c r="X65">
        <v>63</v>
      </c>
      <c r="Y65" s="3">
        <v>943</v>
      </c>
      <c r="Z65" s="3">
        <v>5.7250000000000003E+46</v>
      </c>
      <c r="AA65" s="4">
        <v>59.947643979057595</v>
      </c>
    </row>
    <row r="66" spans="2:27" x14ac:dyDescent="0.3">
      <c r="B66" s="8" t="s">
        <v>51</v>
      </c>
      <c r="C66" s="8" t="s">
        <v>51</v>
      </c>
      <c r="D66" s="8" t="s">
        <v>51</v>
      </c>
      <c r="E66" s="152" t="s">
        <v>51</v>
      </c>
      <c r="F66" s="152"/>
      <c r="G66" s="109">
        <f>SUM(G46:G65)</f>
        <v>140531090948.336</v>
      </c>
      <c r="I66" s="73">
        <f>SUM(I46:I65)</f>
        <v>140531090948336</v>
      </c>
      <c r="Q66" s="73">
        <v>21</v>
      </c>
      <c r="R66" s="73">
        <v>0</v>
      </c>
      <c r="S66" s="73">
        <v>0</v>
      </c>
      <c r="T66" s="73">
        <v>0</v>
      </c>
      <c r="U66" s="73">
        <v>0</v>
      </c>
      <c r="X66">
        <v>64</v>
      </c>
      <c r="Y66" s="3">
        <v>944</v>
      </c>
      <c r="Z66" s="3">
        <v>5.9500000000000007E+46</v>
      </c>
      <c r="AA66" s="4">
        <v>62.30366492146598</v>
      </c>
    </row>
    <row r="67" spans="2:27" x14ac:dyDescent="0.3">
      <c r="F67" t="s">
        <v>105</v>
      </c>
      <c r="G67" s="110">
        <f>E65/G66</f>
        <v>135.72431694234169</v>
      </c>
      <c r="H67" t="s">
        <v>106</v>
      </c>
      <c r="I67" s="111">
        <f>I66/E65</f>
        <v>7.3678764611121181</v>
      </c>
      <c r="J67" t="s">
        <v>51</v>
      </c>
      <c r="Q67" s="73">
        <v>22</v>
      </c>
      <c r="R67" s="73">
        <v>0</v>
      </c>
      <c r="S67" s="73">
        <v>0</v>
      </c>
      <c r="T67" s="73">
        <v>0</v>
      </c>
      <c r="U67" s="73">
        <v>0</v>
      </c>
      <c r="X67">
        <v>65</v>
      </c>
      <c r="Y67" s="3">
        <v>945</v>
      </c>
      <c r="Z67" s="3">
        <v>6.1750000000000001E+46</v>
      </c>
      <c r="AA67" s="4">
        <v>64.659685863874344</v>
      </c>
    </row>
    <row r="68" spans="2:27" x14ac:dyDescent="0.3">
      <c r="K68" t="s">
        <v>51</v>
      </c>
      <c r="X68">
        <v>66</v>
      </c>
      <c r="Y68" s="3">
        <v>946</v>
      </c>
      <c r="Z68" s="3">
        <v>6.3999999999999996E+46</v>
      </c>
      <c r="AA68" s="4">
        <v>67.015706806282722</v>
      </c>
    </row>
    <row r="69" spans="2:27" x14ac:dyDescent="0.3">
      <c r="X69">
        <v>67</v>
      </c>
      <c r="Y69" s="3">
        <v>947</v>
      </c>
      <c r="Z69" s="3">
        <v>6.625000000000001E+46</v>
      </c>
      <c r="AA69" s="4">
        <v>69.371727748691114</v>
      </c>
    </row>
    <row r="70" spans="2:27" x14ac:dyDescent="0.3">
      <c r="K70" t="s">
        <v>51</v>
      </c>
      <c r="X70">
        <v>68</v>
      </c>
      <c r="Y70" s="3">
        <v>948</v>
      </c>
      <c r="Z70" s="3">
        <v>6.8500000000000004E+46</v>
      </c>
      <c r="AA70" s="4">
        <v>71.727748691099478</v>
      </c>
    </row>
    <row r="71" spans="2:27" x14ac:dyDescent="0.3">
      <c r="J71" s="72" t="s">
        <v>101</v>
      </c>
      <c r="K71" s="68" t="s">
        <v>59</v>
      </c>
      <c r="L71" s="69">
        <f>L72*J72</f>
        <v>10000000</v>
      </c>
      <c r="M71" t="s">
        <v>99</v>
      </c>
      <c r="N71" s="14">
        <f>L71/V44</f>
        <v>1787878.7878787878</v>
      </c>
      <c r="X71">
        <v>69</v>
      </c>
      <c r="Y71" s="3">
        <v>949</v>
      </c>
      <c r="Z71" s="3">
        <v>7.0749999999999998E+46</v>
      </c>
      <c r="AA71" s="4">
        <v>74.083769633507856</v>
      </c>
    </row>
    <row r="72" spans="2:27" x14ac:dyDescent="0.3">
      <c r="B72" t="s">
        <v>51</v>
      </c>
      <c r="J72" s="70">
        <v>100</v>
      </c>
      <c r="K72" s="68" t="s">
        <v>97</v>
      </c>
      <c r="L72" s="69">
        <v>100000</v>
      </c>
      <c r="M72" t="s">
        <v>98</v>
      </c>
      <c r="N72" s="14">
        <f>L71/V42</f>
        <v>8676470.5882352944</v>
      </c>
      <c r="X72">
        <v>70</v>
      </c>
      <c r="Y72" s="3">
        <v>950</v>
      </c>
      <c r="Z72" s="3">
        <v>7.3000000000000003E+46</v>
      </c>
      <c r="AA72" s="4">
        <v>76.439790575916234</v>
      </c>
    </row>
    <row r="73" spans="2:27" x14ac:dyDescent="0.3">
      <c r="C73" t="s">
        <v>17</v>
      </c>
      <c r="M73" t="s">
        <v>104</v>
      </c>
      <c r="N73">
        <v>21</v>
      </c>
      <c r="X73">
        <v>71</v>
      </c>
      <c r="Y73" s="3">
        <v>951</v>
      </c>
      <c r="Z73" s="3">
        <v>7.5249999999999997E+46</v>
      </c>
      <c r="AA73" s="4">
        <v>78.795811518324612</v>
      </c>
    </row>
    <row r="74" spans="2:27" x14ac:dyDescent="0.3">
      <c r="H74" t="s">
        <v>52</v>
      </c>
      <c r="I74" t="s">
        <v>53</v>
      </c>
      <c r="K74" t="s">
        <v>56</v>
      </c>
      <c r="M74" t="s">
        <v>57</v>
      </c>
      <c r="N74" t="s">
        <v>100</v>
      </c>
      <c r="X74">
        <v>72</v>
      </c>
      <c r="Y74" s="3">
        <v>952</v>
      </c>
      <c r="Z74" s="3">
        <v>7.7500000000000001E+46</v>
      </c>
      <c r="AA74" s="4">
        <v>81.15183246073299</v>
      </c>
    </row>
    <row r="75" spans="2:27" x14ac:dyDescent="0.3">
      <c r="B75" s="28" t="s">
        <v>55</v>
      </c>
      <c r="C75">
        <v>2.92</v>
      </c>
      <c r="D75" s="28">
        <v>1</v>
      </c>
      <c r="E75" s="28" t="s">
        <v>41</v>
      </c>
      <c r="F75" s="28">
        <f>C75</f>
        <v>2.92</v>
      </c>
      <c r="G75" s="45">
        <v>0.4</v>
      </c>
      <c r="H75">
        <f t="shared" ref="H75:H97" si="33">G75*F75</f>
        <v>1.1679999999999999</v>
      </c>
      <c r="I75" s="45">
        <f t="shared" ref="I75:I98" si="34">F75*G75/100</f>
        <v>1.1679999999999999E-2</v>
      </c>
      <c r="J75" s="28">
        <v>1</v>
      </c>
      <c r="K75" s="28"/>
      <c r="L75" s="28">
        <f t="shared" ref="L75:L98" si="35">I75*J75</f>
        <v>1.1679999999999999E-2</v>
      </c>
      <c r="M75" s="28">
        <f t="shared" ref="M75:M98" si="36">I75*L$72</f>
        <v>1168</v>
      </c>
      <c r="N75" s="28">
        <f t="shared" ref="N75:N98" si="37">J75*M75</f>
        <v>1168</v>
      </c>
      <c r="O75" s="28">
        <f t="shared" ref="O75:O98" si="38">N75/VLOOKUP(N$73,D$75:L$98,6,FALSE)*IF(D75&gt;N$73,0,1)</f>
        <v>3649999.9999999995</v>
      </c>
      <c r="X75">
        <v>73</v>
      </c>
      <c r="Y75" s="3">
        <v>953</v>
      </c>
      <c r="Z75" s="3">
        <v>7.9750000000000006E+46</v>
      </c>
      <c r="AA75" s="4">
        <v>83.507853403141368</v>
      </c>
    </row>
    <row r="76" spans="2:27" x14ac:dyDescent="0.3">
      <c r="B76" s="73" t="s">
        <v>8</v>
      </c>
      <c r="C76">
        <v>5</v>
      </c>
      <c r="D76" s="28">
        <v>2</v>
      </c>
      <c r="E76" s="28"/>
      <c r="F76" s="28">
        <f>F$75</f>
        <v>2.92</v>
      </c>
      <c r="G76" s="45">
        <v>0.3</v>
      </c>
      <c r="H76">
        <f t="shared" si="33"/>
        <v>0.876</v>
      </c>
      <c r="I76" s="45">
        <f t="shared" si="34"/>
        <v>8.7600000000000004E-3</v>
      </c>
      <c r="J76" s="28">
        <v>5</v>
      </c>
      <c r="K76" s="28"/>
      <c r="L76" s="28">
        <f t="shared" si="35"/>
        <v>4.3800000000000006E-2</v>
      </c>
      <c r="M76" s="28">
        <f t="shared" si="36"/>
        <v>876</v>
      </c>
      <c r="N76" s="28">
        <f t="shared" si="37"/>
        <v>4380</v>
      </c>
      <c r="O76" s="28">
        <f t="shared" si="38"/>
        <v>13687499.999999998</v>
      </c>
      <c r="X76">
        <v>74</v>
      </c>
      <c r="Y76" s="3">
        <v>954</v>
      </c>
      <c r="Z76" s="3">
        <v>8.199999999999999E+46</v>
      </c>
      <c r="AA76" s="4">
        <v>85.863874345549732</v>
      </c>
    </row>
    <row r="77" spans="2:27" x14ac:dyDescent="0.3">
      <c r="B77" s="72" t="s">
        <v>42</v>
      </c>
      <c r="C77">
        <v>50</v>
      </c>
      <c r="D77" s="28">
        <v>3</v>
      </c>
      <c r="E77" s="28"/>
      <c r="F77" s="28">
        <f>F$75</f>
        <v>2.92</v>
      </c>
      <c r="G77" s="45">
        <v>0.2</v>
      </c>
      <c r="H77">
        <f t="shared" si="33"/>
        <v>0.58399999999999996</v>
      </c>
      <c r="I77" s="45">
        <f t="shared" si="34"/>
        <v>5.8399999999999997E-3</v>
      </c>
      <c r="J77" s="28">
        <v>25</v>
      </c>
      <c r="K77" s="28"/>
      <c r="L77" s="28">
        <f t="shared" si="35"/>
        <v>0.14599999999999999</v>
      </c>
      <c r="M77" s="28">
        <f t="shared" si="36"/>
        <v>584</v>
      </c>
      <c r="N77" s="28">
        <f t="shared" si="37"/>
        <v>14600</v>
      </c>
      <c r="O77" s="28">
        <f t="shared" si="38"/>
        <v>45624999.999999993</v>
      </c>
      <c r="X77">
        <v>75</v>
      </c>
      <c r="Y77" s="3">
        <v>955</v>
      </c>
      <c r="Z77" s="3">
        <v>8.4250000000000004E+46</v>
      </c>
      <c r="AA77" s="4">
        <v>88.219895287958124</v>
      </c>
    </row>
    <row r="78" spans="2:27" x14ac:dyDescent="0.3">
      <c r="B78" s="20" t="s">
        <v>11</v>
      </c>
      <c r="C78">
        <v>39</v>
      </c>
      <c r="D78" s="28">
        <v>4</v>
      </c>
      <c r="E78" s="28"/>
      <c r="F78" s="28">
        <f>F$75</f>
        <v>2.92</v>
      </c>
      <c r="G78" s="45">
        <v>0.1</v>
      </c>
      <c r="H78">
        <f t="shared" si="33"/>
        <v>0.29199999999999998</v>
      </c>
      <c r="I78" s="45">
        <f t="shared" si="34"/>
        <v>2.9199999999999999E-3</v>
      </c>
      <c r="J78" s="28">
        <v>125</v>
      </c>
      <c r="K78" s="28"/>
      <c r="L78" s="28">
        <f t="shared" si="35"/>
        <v>0.36499999999999999</v>
      </c>
      <c r="M78" s="28">
        <f t="shared" si="36"/>
        <v>292</v>
      </c>
      <c r="N78" s="28">
        <f t="shared" si="37"/>
        <v>36500</v>
      </c>
      <c r="O78" s="28">
        <f t="shared" si="38"/>
        <v>114062499.99999999</v>
      </c>
      <c r="X78">
        <v>76</v>
      </c>
      <c r="Y78" s="3">
        <v>956</v>
      </c>
      <c r="Z78" s="3">
        <v>8.6499999999999988E+46</v>
      </c>
      <c r="AA78" s="4">
        <v>90.575916230366488</v>
      </c>
    </row>
    <row r="79" spans="2:27" x14ac:dyDescent="0.3">
      <c r="B79" s="48" t="s">
        <v>13</v>
      </c>
      <c r="C79">
        <v>3</v>
      </c>
      <c r="D79" s="59">
        <v>5</v>
      </c>
      <c r="E79" s="59" t="s">
        <v>8</v>
      </c>
      <c r="F79" s="59">
        <f>C76</f>
        <v>5</v>
      </c>
      <c r="G79" s="60">
        <v>0.4</v>
      </c>
      <c r="H79">
        <f t="shared" si="33"/>
        <v>2</v>
      </c>
      <c r="I79" s="60">
        <f t="shared" si="34"/>
        <v>0.02</v>
      </c>
      <c r="J79" s="59">
        <v>625</v>
      </c>
      <c r="K79" s="59"/>
      <c r="L79" s="59">
        <f t="shared" si="35"/>
        <v>12.5</v>
      </c>
      <c r="M79" s="59">
        <f t="shared" si="36"/>
        <v>2000</v>
      </c>
      <c r="N79" s="59">
        <f t="shared" si="37"/>
        <v>1250000</v>
      </c>
      <c r="O79" s="59">
        <f t="shared" si="38"/>
        <v>3906249999.9999995</v>
      </c>
      <c r="X79">
        <v>77</v>
      </c>
      <c r="Y79" s="3">
        <v>957</v>
      </c>
      <c r="Z79" s="3">
        <v>8.8749999999999993E+46</v>
      </c>
      <c r="AA79" s="4">
        <v>92.931937172774866</v>
      </c>
    </row>
    <row r="80" spans="2:27" x14ac:dyDescent="0.3">
      <c r="B80" s="35" t="s">
        <v>15</v>
      </c>
      <c r="C80">
        <v>0.08</v>
      </c>
      <c r="D80" s="59">
        <v>6</v>
      </c>
      <c r="E80" s="59"/>
      <c r="F80" s="59">
        <f>C76</f>
        <v>5</v>
      </c>
      <c r="G80" s="60">
        <v>0.3</v>
      </c>
      <c r="H80">
        <f t="shared" si="33"/>
        <v>1.5</v>
      </c>
      <c r="I80" s="60">
        <f t="shared" si="34"/>
        <v>1.4999999999999999E-2</v>
      </c>
      <c r="J80" s="59">
        <v>3125</v>
      </c>
      <c r="K80" s="59"/>
      <c r="L80" s="59">
        <f t="shared" si="35"/>
        <v>46.875</v>
      </c>
      <c r="M80" s="59">
        <f t="shared" si="36"/>
        <v>1500</v>
      </c>
      <c r="N80" s="59">
        <f t="shared" si="37"/>
        <v>4687500</v>
      </c>
      <c r="O80" s="59">
        <f t="shared" si="38"/>
        <v>14648437499.999998</v>
      </c>
      <c r="X80">
        <v>78</v>
      </c>
      <c r="Y80" s="3">
        <v>958</v>
      </c>
      <c r="Z80" s="3">
        <v>9.0999999999999987E+46</v>
      </c>
      <c r="AA80" s="4">
        <v>95.28795811518323</v>
      </c>
    </row>
    <row r="81" spans="4:27" x14ac:dyDescent="0.3">
      <c r="D81" s="59">
        <v>7</v>
      </c>
      <c r="E81" s="59"/>
      <c r="F81" s="59">
        <f>C76</f>
        <v>5</v>
      </c>
      <c r="G81" s="60">
        <v>0.2</v>
      </c>
      <c r="H81">
        <f t="shared" si="33"/>
        <v>1</v>
      </c>
      <c r="I81" s="60">
        <f t="shared" si="34"/>
        <v>0.01</v>
      </c>
      <c r="J81" s="59">
        <v>15625</v>
      </c>
      <c r="K81" s="59"/>
      <c r="L81" s="59">
        <f t="shared" si="35"/>
        <v>156.25</v>
      </c>
      <c r="M81" s="59">
        <f t="shared" si="36"/>
        <v>1000</v>
      </c>
      <c r="N81" s="59">
        <f t="shared" si="37"/>
        <v>15625000</v>
      </c>
      <c r="O81" s="59">
        <f t="shared" si="38"/>
        <v>48828124999.999992</v>
      </c>
      <c r="X81">
        <v>79</v>
      </c>
      <c r="Y81" s="3">
        <v>959</v>
      </c>
      <c r="Z81" s="3">
        <v>9.3249999999999991E+46</v>
      </c>
      <c r="AA81" s="4">
        <v>97.643979057591622</v>
      </c>
    </row>
    <row r="82" spans="4:27" x14ac:dyDescent="0.3">
      <c r="D82" s="59">
        <v>8</v>
      </c>
      <c r="E82" s="59"/>
      <c r="F82" s="59">
        <f>C76</f>
        <v>5</v>
      </c>
      <c r="G82" s="60">
        <v>0.1</v>
      </c>
      <c r="H82">
        <f t="shared" si="33"/>
        <v>0.5</v>
      </c>
      <c r="I82" s="60">
        <f t="shared" si="34"/>
        <v>5.0000000000000001E-3</v>
      </c>
      <c r="J82" s="59">
        <v>78125</v>
      </c>
      <c r="K82" s="59"/>
      <c r="L82" s="59">
        <f t="shared" si="35"/>
        <v>390.625</v>
      </c>
      <c r="M82" s="59">
        <f t="shared" si="36"/>
        <v>500</v>
      </c>
      <c r="N82" s="59">
        <f t="shared" si="37"/>
        <v>39062500</v>
      </c>
      <c r="O82" s="59">
        <f t="shared" si="38"/>
        <v>122070312499.99998</v>
      </c>
      <c r="X82">
        <v>80</v>
      </c>
      <c r="Y82" s="3">
        <v>960</v>
      </c>
      <c r="Z82" s="3">
        <v>9.5499999999999996E+46</v>
      </c>
      <c r="AA82" s="4">
        <v>100</v>
      </c>
    </row>
    <row r="83" spans="4:27" x14ac:dyDescent="0.3">
      <c r="D83" s="5">
        <v>9</v>
      </c>
      <c r="E83" s="5" t="s">
        <v>42</v>
      </c>
      <c r="F83" s="5">
        <f>C77</f>
        <v>50</v>
      </c>
      <c r="G83" s="71">
        <v>0.4</v>
      </c>
      <c r="H83">
        <f t="shared" si="33"/>
        <v>20</v>
      </c>
      <c r="I83" s="71">
        <f t="shared" si="34"/>
        <v>0.2</v>
      </c>
      <c r="J83" s="5">
        <v>390625</v>
      </c>
      <c r="K83" s="5"/>
      <c r="L83" s="5">
        <f t="shared" si="35"/>
        <v>78125</v>
      </c>
      <c r="M83" s="5">
        <f t="shared" si="36"/>
        <v>20000</v>
      </c>
      <c r="N83" s="5">
        <f t="shared" si="37"/>
        <v>7812500000</v>
      </c>
      <c r="O83" s="5">
        <f t="shared" si="38"/>
        <v>24414062499999.996</v>
      </c>
      <c r="X83">
        <v>81</v>
      </c>
      <c r="Y83" s="3">
        <v>961</v>
      </c>
      <c r="Z83" s="3">
        <v>9.775E+46</v>
      </c>
      <c r="AA83" s="4">
        <v>102.35602094240838</v>
      </c>
    </row>
    <row r="84" spans="4:27" x14ac:dyDescent="0.3">
      <c r="D84" s="5">
        <v>10</v>
      </c>
      <c r="E84" s="5"/>
      <c r="F84" s="5">
        <f>C77</f>
        <v>50</v>
      </c>
      <c r="G84" s="71">
        <v>0.3</v>
      </c>
      <c r="H84">
        <f t="shared" si="33"/>
        <v>15</v>
      </c>
      <c r="I84" s="71">
        <f t="shared" si="34"/>
        <v>0.15</v>
      </c>
      <c r="J84" s="5">
        <v>1953125</v>
      </c>
      <c r="K84" s="5"/>
      <c r="L84" s="5">
        <f t="shared" si="35"/>
        <v>292968.75</v>
      </c>
      <c r="M84" s="5">
        <f t="shared" si="36"/>
        <v>15000</v>
      </c>
      <c r="N84" s="5">
        <f t="shared" si="37"/>
        <v>29296875000</v>
      </c>
      <c r="O84" s="5">
        <f t="shared" si="38"/>
        <v>91552734375000</v>
      </c>
      <c r="X84">
        <v>82</v>
      </c>
      <c r="Y84" s="3">
        <v>962</v>
      </c>
      <c r="Z84" s="3">
        <v>1E+47</v>
      </c>
      <c r="AA84" s="4">
        <v>104.71204188481676</v>
      </c>
    </row>
    <row r="85" spans="4:27" x14ac:dyDescent="0.3">
      <c r="D85" s="5">
        <v>11</v>
      </c>
      <c r="E85" s="5"/>
      <c r="F85" s="5">
        <f>C77</f>
        <v>50</v>
      </c>
      <c r="G85" s="71">
        <v>0.2</v>
      </c>
      <c r="H85">
        <f t="shared" si="33"/>
        <v>10</v>
      </c>
      <c r="I85" s="71">
        <f t="shared" si="34"/>
        <v>0.1</v>
      </c>
      <c r="J85" s="5">
        <v>9765625</v>
      </c>
      <c r="K85" s="5"/>
      <c r="L85" s="5">
        <f t="shared" si="35"/>
        <v>976562.5</v>
      </c>
      <c r="M85" s="5">
        <f t="shared" si="36"/>
        <v>10000</v>
      </c>
      <c r="N85" s="5">
        <f t="shared" si="37"/>
        <v>97656250000</v>
      </c>
      <c r="O85" s="5">
        <f t="shared" si="38"/>
        <v>305175781250000</v>
      </c>
      <c r="X85">
        <v>83</v>
      </c>
      <c r="Y85" s="3">
        <v>963</v>
      </c>
      <c r="Z85" s="3">
        <v>1.2250000000000001E+47</v>
      </c>
      <c r="AA85" s="4">
        <v>128.27225130890054</v>
      </c>
    </row>
    <row r="86" spans="4:27" x14ac:dyDescent="0.3">
      <c r="D86" s="5">
        <v>12</v>
      </c>
      <c r="E86" s="5"/>
      <c r="F86" s="5">
        <f>C77</f>
        <v>50</v>
      </c>
      <c r="G86" s="71">
        <v>0.1</v>
      </c>
      <c r="H86">
        <f t="shared" si="33"/>
        <v>5</v>
      </c>
      <c r="I86" s="71">
        <f t="shared" si="34"/>
        <v>0.05</v>
      </c>
      <c r="J86" s="5">
        <v>48828125</v>
      </c>
      <c r="K86" s="5"/>
      <c r="L86" s="5">
        <f t="shared" si="35"/>
        <v>2441406.25</v>
      </c>
      <c r="M86" s="5">
        <f t="shared" si="36"/>
        <v>5000</v>
      </c>
      <c r="N86" s="5">
        <f t="shared" si="37"/>
        <v>244140625000</v>
      </c>
      <c r="O86" s="5">
        <f t="shared" si="38"/>
        <v>762939453125000</v>
      </c>
      <c r="X86">
        <v>84</v>
      </c>
      <c r="Y86" s="3">
        <v>964</v>
      </c>
      <c r="Z86" s="3">
        <v>1.4499999999999999E+47</v>
      </c>
      <c r="AA86" s="4">
        <v>151.83246073298429</v>
      </c>
    </row>
    <row r="87" spans="4:27" x14ac:dyDescent="0.3">
      <c r="D87" s="20">
        <v>13</v>
      </c>
      <c r="E87" s="20" t="s">
        <v>11</v>
      </c>
      <c r="F87" s="20">
        <f>C78</f>
        <v>39</v>
      </c>
      <c r="G87" s="47">
        <v>0.4</v>
      </c>
      <c r="H87">
        <f t="shared" si="33"/>
        <v>15.600000000000001</v>
      </c>
      <c r="I87" s="47">
        <f t="shared" si="34"/>
        <v>0.15600000000000003</v>
      </c>
      <c r="J87" s="20">
        <v>244140625</v>
      </c>
      <c r="K87" s="20"/>
      <c r="L87" s="20">
        <f t="shared" si="35"/>
        <v>38085937.500000007</v>
      </c>
      <c r="M87" s="20">
        <f t="shared" si="36"/>
        <v>15600.000000000004</v>
      </c>
      <c r="N87" s="20">
        <f t="shared" si="37"/>
        <v>3808593750000.001</v>
      </c>
      <c r="O87" s="20">
        <f t="shared" si="38"/>
        <v>1.1901855468750002E+16</v>
      </c>
      <c r="X87">
        <v>85</v>
      </c>
      <c r="Y87" s="3">
        <v>965</v>
      </c>
      <c r="Z87" s="3">
        <v>1.6750000000000001E+47</v>
      </c>
      <c r="AA87" s="4">
        <v>175.3926701570681</v>
      </c>
    </row>
    <row r="88" spans="4:27" x14ac:dyDescent="0.3">
      <c r="D88" s="20">
        <v>14</v>
      </c>
      <c r="E88" s="20"/>
      <c r="F88" s="20">
        <f>C78</f>
        <v>39</v>
      </c>
      <c r="G88" s="47">
        <v>0.3</v>
      </c>
      <c r="H88">
        <f t="shared" si="33"/>
        <v>11.7</v>
      </c>
      <c r="I88" s="47">
        <f t="shared" si="34"/>
        <v>0.11699999999999999</v>
      </c>
      <c r="J88" s="20">
        <v>1220703125</v>
      </c>
      <c r="K88" s="20"/>
      <c r="L88" s="20">
        <f t="shared" si="35"/>
        <v>142822265.625</v>
      </c>
      <c r="M88" s="20">
        <f t="shared" si="36"/>
        <v>11700</v>
      </c>
      <c r="N88" s="20">
        <f t="shared" si="37"/>
        <v>14282226562500</v>
      </c>
      <c r="O88" s="20">
        <f t="shared" si="38"/>
        <v>4.4631958007812496E+16</v>
      </c>
      <c r="X88">
        <v>86</v>
      </c>
      <c r="Y88" s="3">
        <v>966</v>
      </c>
      <c r="Z88" s="3">
        <v>1.9000000000000002E+47</v>
      </c>
      <c r="AA88" s="4">
        <v>198.95287958115185</v>
      </c>
    </row>
    <row r="89" spans="4:27" x14ac:dyDescent="0.3">
      <c r="D89" s="20">
        <v>15</v>
      </c>
      <c r="E89" s="20"/>
      <c r="F89" s="20">
        <f>C78</f>
        <v>39</v>
      </c>
      <c r="G89" s="47">
        <v>0.2</v>
      </c>
      <c r="H89">
        <f t="shared" si="33"/>
        <v>7.8000000000000007</v>
      </c>
      <c r="I89" s="47">
        <f t="shared" si="34"/>
        <v>7.8000000000000014E-2</v>
      </c>
      <c r="J89" s="20">
        <v>6103515625</v>
      </c>
      <c r="K89" s="20"/>
      <c r="L89" s="20">
        <f t="shared" si="35"/>
        <v>476074218.75000006</v>
      </c>
      <c r="M89" s="20">
        <f t="shared" si="36"/>
        <v>7800.0000000000018</v>
      </c>
      <c r="N89" s="20">
        <f t="shared" si="37"/>
        <v>47607421875000.008</v>
      </c>
      <c r="O89" s="20">
        <f t="shared" si="38"/>
        <v>1.4877319335937501E+17</v>
      </c>
      <c r="X89">
        <v>87</v>
      </c>
      <c r="Y89" s="3">
        <v>967</v>
      </c>
      <c r="Z89" s="3">
        <v>2.1249999999999998E+47</v>
      </c>
      <c r="AA89" s="4">
        <v>222.5130890052356</v>
      </c>
    </row>
    <row r="90" spans="4:27" x14ac:dyDescent="0.3">
      <c r="D90" s="20">
        <v>16</v>
      </c>
      <c r="E90" s="20"/>
      <c r="F90" s="20">
        <f>C78</f>
        <v>39</v>
      </c>
      <c r="G90" s="47">
        <v>0.1</v>
      </c>
      <c r="H90">
        <f t="shared" si="33"/>
        <v>3.9000000000000004</v>
      </c>
      <c r="I90" s="47">
        <f t="shared" si="34"/>
        <v>3.9000000000000007E-2</v>
      </c>
      <c r="J90" s="20">
        <v>30517578125</v>
      </c>
      <c r="K90" s="20"/>
      <c r="L90" s="20">
        <f t="shared" si="35"/>
        <v>1190185546.8750002</v>
      </c>
      <c r="M90" s="20">
        <f t="shared" si="36"/>
        <v>3900.0000000000009</v>
      </c>
      <c r="N90" s="20">
        <f t="shared" si="37"/>
        <v>119018554687500.03</v>
      </c>
      <c r="O90" s="20">
        <f t="shared" si="38"/>
        <v>3.7193298339843757E+17</v>
      </c>
      <c r="X90">
        <v>88</v>
      </c>
      <c r="Y90" s="3">
        <v>968</v>
      </c>
      <c r="Z90" s="3">
        <v>2.3500000000000002E+47</v>
      </c>
      <c r="AA90" s="4">
        <v>246.07329842931941</v>
      </c>
    </row>
    <row r="91" spans="4:27" x14ac:dyDescent="0.3">
      <c r="D91" s="48">
        <v>17</v>
      </c>
      <c r="E91" s="48" t="s">
        <v>13</v>
      </c>
      <c r="F91" s="48">
        <f>C79</f>
        <v>3</v>
      </c>
      <c r="G91" s="51">
        <v>0.4</v>
      </c>
      <c r="H91">
        <f t="shared" si="33"/>
        <v>1.2000000000000002</v>
      </c>
      <c r="I91" s="51">
        <f t="shared" si="34"/>
        <v>1.2000000000000002E-2</v>
      </c>
      <c r="J91" s="48">
        <v>152587890625</v>
      </c>
      <c r="K91" s="48" t="s">
        <v>51</v>
      </c>
      <c r="L91" s="48">
        <f t="shared" si="35"/>
        <v>1831054687.5000002</v>
      </c>
      <c r="M91" s="48">
        <f t="shared" si="36"/>
        <v>1200.0000000000002</v>
      </c>
      <c r="N91" s="48">
        <f t="shared" si="37"/>
        <v>183105468750000.03</v>
      </c>
      <c r="O91" s="48">
        <f t="shared" si="38"/>
        <v>5.7220458984375008E+17</v>
      </c>
      <c r="X91">
        <v>89</v>
      </c>
      <c r="Y91" s="3">
        <v>969</v>
      </c>
      <c r="Z91" s="3">
        <v>2.5749999999999998E+47</v>
      </c>
      <c r="AA91" s="4">
        <v>269.63350785340316</v>
      </c>
    </row>
    <row r="92" spans="4:27" x14ac:dyDescent="0.3">
      <c r="D92" s="48">
        <v>18</v>
      </c>
      <c r="E92" s="48"/>
      <c r="F92" s="48">
        <f>C79</f>
        <v>3</v>
      </c>
      <c r="G92" s="51">
        <v>0.3</v>
      </c>
      <c r="H92">
        <f t="shared" si="33"/>
        <v>0.89999999999999991</v>
      </c>
      <c r="I92" s="51">
        <f t="shared" si="34"/>
        <v>8.9999999999999993E-3</v>
      </c>
      <c r="J92" s="48">
        <v>762939453125</v>
      </c>
      <c r="K92" s="48" t="s">
        <v>51</v>
      </c>
      <c r="L92" s="48">
        <f t="shared" si="35"/>
        <v>6866455078.124999</v>
      </c>
      <c r="M92" s="48">
        <f t="shared" si="36"/>
        <v>899.99999999999989</v>
      </c>
      <c r="N92" s="48">
        <f t="shared" si="37"/>
        <v>686645507812499.88</v>
      </c>
      <c r="O92" s="48">
        <f t="shared" si="38"/>
        <v>2.1457672119140618E+18</v>
      </c>
      <c r="X92">
        <v>90</v>
      </c>
      <c r="Y92" s="3">
        <v>970</v>
      </c>
      <c r="Z92" s="3">
        <v>2.8000000000000003E+47</v>
      </c>
      <c r="AA92" s="4">
        <v>293.19371727748694</v>
      </c>
    </row>
    <row r="93" spans="4:27" x14ac:dyDescent="0.3">
      <c r="D93" s="48">
        <v>19</v>
      </c>
      <c r="E93" s="48"/>
      <c r="F93" s="48">
        <f>C79</f>
        <v>3</v>
      </c>
      <c r="G93" s="51">
        <v>0.2</v>
      </c>
      <c r="H93">
        <f t="shared" si="33"/>
        <v>0.60000000000000009</v>
      </c>
      <c r="I93" s="51">
        <f t="shared" si="34"/>
        <v>6.000000000000001E-3</v>
      </c>
      <c r="J93" s="48">
        <v>3814697265625</v>
      </c>
      <c r="K93" s="48" t="s">
        <v>51</v>
      </c>
      <c r="L93" s="48">
        <f t="shared" si="35"/>
        <v>22888183593.750004</v>
      </c>
      <c r="M93" s="48">
        <f t="shared" si="36"/>
        <v>600.00000000000011</v>
      </c>
      <c r="N93" s="48">
        <f t="shared" si="37"/>
        <v>2288818359375000.5</v>
      </c>
      <c r="O93" s="48">
        <f t="shared" si="38"/>
        <v>7.1525573730468762E+18</v>
      </c>
      <c r="X93">
        <v>91</v>
      </c>
      <c r="Y93" s="3">
        <v>971</v>
      </c>
      <c r="Z93" s="3">
        <v>3.0249999999999999E+47</v>
      </c>
      <c r="AA93" s="4">
        <v>316.75392670157066</v>
      </c>
    </row>
    <row r="94" spans="4:27" x14ac:dyDescent="0.3">
      <c r="D94" s="48">
        <v>20</v>
      </c>
      <c r="E94" s="48"/>
      <c r="F94" s="48">
        <f>C79</f>
        <v>3</v>
      </c>
      <c r="G94" s="51">
        <v>0.1</v>
      </c>
      <c r="H94">
        <f t="shared" si="33"/>
        <v>0.30000000000000004</v>
      </c>
      <c r="I94" s="51">
        <f t="shared" si="34"/>
        <v>3.0000000000000005E-3</v>
      </c>
      <c r="J94" s="48">
        <v>19073486328125</v>
      </c>
      <c r="K94" s="48" t="s">
        <v>51</v>
      </c>
      <c r="L94" s="48">
        <f t="shared" si="35"/>
        <v>57220458984.375008</v>
      </c>
      <c r="M94" s="48">
        <f t="shared" si="36"/>
        <v>300.00000000000006</v>
      </c>
      <c r="N94" s="48">
        <f t="shared" si="37"/>
        <v>5722045898437501</v>
      </c>
      <c r="O94" s="48">
        <f t="shared" si="38"/>
        <v>1.7881393432617189E+19</v>
      </c>
      <c r="X94">
        <v>92</v>
      </c>
      <c r="Y94" s="3">
        <v>972</v>
      </c>
      <c r="Z94" s="3">
        <v>3.2499999999999995E+47</v>
      </c>
      <c r="AA94" s="4">
        <v>340.31413612565439</v>
      </c>
    </row>
    <row r="95" spans="4:27" x14ac:dyDescent="0.3">
      <c r="D95" s="35">
        <v>21</v>
      </c>
      <c r="E95" s="35" t="s">
        <v>15</v>
      </c>
      <c r="F95" s="35">
        <f>C80</f>
        <v>0.08</v>
      </c>
      <c r="G95" s="44">
        <v>0.4</v>
      </c>
      <c r="H95">
        <f t="shared" si="33"/>
        <v>3.2000000000000001E-2</v>
      </c>
      <c r="I95" s="44">
        <f t="shared" si="34"/>
        <v>3.2000000000000003E-4</v>
      </c>
      <c r="J95" s="35">
        <v>95367431640625</v>
      </c>
      <c r="K95" s="35" t="s">
        <v>51</v>
      </c>
      <c r="L95" s="35">
        <f t="shared" si="35"/>
        <v>30517578125.000004</v>
      </c>
      <c r="M95" s="35">
        <f t="shared" si="36"/>
        <v>32</v>
      </c>
      <c r="N95" s="35">
        <f t="shared" si="37"/>
        <v>3051757812500000</v>
      </c>
      <c r="O95" s="35">
        <f t="shared" si="38"/>
        <v>9.5367431640624988E+18</v>
      </c>
      <c r="X95">
        <v>93</v>
      </c>
      <c r="Y95" s="3">
        <v>973</v>
      </c>
      <c r="Z95" s="3">
        <v>3.475E+47</v>
      </c>
      <c r="AA95" s="4">
        <v>363.87434554973822</v>
      </c>
    </row>
    <row r="96" spans="4:27" x14ac:dyDescent="0.3">
      <c r="D96" s="35">
        <v>22</v>
      </c>
      <c r="E96" s="35"/>
      <c r="F96" s="35">
        <f>C80</f>
        <v>0.08</v>
      </c>
      <c r="G96" s="44">
        <v>0.3</v>
      </c>
      <c r="H96">
        <f t="shared" si="33"/>
        <v>2.4E-2</v>
      </c>
      <c r="I96" s="44">
        <f t="shared" si="34"/>
        <v>2.4000000000000001E-4</v>
      </c>
      <c r="J96" s="35">
        <v>476837158203125</v>
      </c>
      <c r="K96" s="35" t="s">
        <v>51</v>
      </c>
      <c r="L96" s="35">
        <f t="shared" si="35"/>
        <v>114440917968.75</v>
      </c>
      <c r="M96" s="35">
        <f t="shared" si="36"/>
        <v>24</v>
      </c>
      <c r="N96" s="35">
        <f t="shared" si="37"/>
        <v>1.1444091796875E+16</v>
      </c>
      <c r="O96" s="35">
        <f t="shared" si="38"/>
        <v>0</v>
      </c>
      <c r="X96">
        <v>94</v>
      </c>
      <c r="Y96" s="3">
        <v>974</v>
      </c>
      <c r="Z96" s="3">
        <v>3.7000000000000004E+47</v>
      </c>
      <c r="AA96" s="4">
        <v>387.43455497382206</v>
      </c>
    </row>
    <row r="97" spans="4:27" x14ac:dyDescent="0.3">
      <c r="D97" s="35">
        <v>23</v>
      </c>
      <c r="E97" s="35"/>
      <c r="F97" s="35">
        <f>C80</f>
        <v>0.08</v>
      </c>
      <c r="G97" s="44">
        <v>0.2</v>
      </c>
      <c r="H97">
        <f t="shared" si="33"/>
        <v>1.6E-2</v>
      </c>
      <c r="I97" s="44">
        <f t="shared" si="34"/>
        <v>1.6000000000000001E-4</v>
      </c>
      <c r="J97" s="35">
        <v>2384185791015625</v>
      </c>
      <c r="K97" s="35" t="s">
        <v>51</v>
      </c>
      <c r="L97" s="35">
        <f t="shared" si="35"/>
        <v>381469726562.50006</v>
      </c>
      <c r="M97" s="35">
        <f t="shared" si="36"/>
        <v>16</v>
      </c>
      <c r="N97" s="35">
        <f t="shared" si="37"/>
        <v>3.814697265625E+16</v>
      </c>
      <c r="O97" s="35">
        <f t="shared" si="38"/>
        <v>0</v>
      </c>
      <c r="X97">
        <v>95</v>
      </c>
      <c r="Y97" s="3">
        <v>975</v>
      </c>
      <c r="Z97" s="3">
        <v>3.9249999999999996E+47</v>
      </c>
      <c r="AA97" s="4">
        <v>410.99476439790573</v>
      </c>
    </row>
    <row r="98" spans="4:27" x14ac:dyDescent="0.3">
      <c r="D98" s="35">
        <v>24</v>
      </c>
      <c r="E98" s="35"/>
      <c r="F98" s="35">
        <f>C80</f>
        <v>0.08</v>
      </c>
      <c r="G98" s="44">
        <v>0.1</v>
      </c>
      <c r="H98">
        <f>G98*F98</f>
        <v>8.0000000000000002E-3</v>
      </c>
      <c r="I98" s="44">
        <f t="shared" si="34"/>
        <v>8.0000000000000007E-5</v>
      </c>
      <c r="J98" s="35">
        <v>1.1920928955078124E+16</v>
      </c>
      <c r="K98" s="35" t="s">
        <v>51</v>
      </c>
      <c r="L98" s="35">
        <f t="shared" si="35"/>
        <v>953674316406.25</v>
      </c>
      <c r="M98" s="35">
        <f t="shared" si="36"/>
        <v>8</v>
      </c>
      <c r="N98" s="35">
        <f t="shared" si="37"/>
        <v>9.5367431640624992E+16</v>
      </c>
      <c r="O98" s="35">
        <f t="shared" si="38"/>
        <v>0</v>
      </c>
      <c r="P98" t="s">
        <v>51</v>
      </c>
      <c r="X98">
        <v>96</v>
      </c>
      <c r="Y98" s="3">
        <v>976</v>
      </c>
      <c r="Z98" s="3">
        <v>4.1500000000000005E+47</v>
      </c>
      <c r="AA98" s="4">
        <v>434.55497382198962</v>
      </c>
    </row>
    <row r="99" spans="4:27" x14ac:dyDescent="0.3">
      <c r="G99" t="s">
        <v>51</v>
      </c>
      <c r="H99" s="11">
        <f>SUM(I75:I98)</f>
        <v>1.0000000000000002</v>
      </c>
      <c r="I99" t="s">
        <v>51</v>
      </c>
      <c r="J99" s="61" t="s">
        <v>54</v>
      </c>
      <c r="K99" s="61">
        <f>SUM(L75:L98)</f>
        <v>1570759649044.3164</v>
      </c>
      <c r="L99" t="s">
        <v>51</v>
      </c>
      <c r="M99">
        <f>SUM(N75:N98)</f>
        <v>1.5707596490443165E+17</v>
      </c>
      <c r="N99">
        <f>SUM(O75:O98)</f>
        <v>3.7867090033380147E+19</v>
      </c>
      <c r="X99">
        <v>97</v>
      </c>
      <c r="Y99" s="3">
        <v>977</v>
      </c>
      <c r="Z99" s="3">
        <v>4.3749999999999997E+47</v>
      </c>
      <c r="AA99" s="4">
        <v>458.11518324607329</v>
      </c>
    </row>
    <row r="100" spans="4:27" x14ac:dyDescent="0.3">
      <c r="F100" t="s">
        <v>51</v>
      </c>
      <c r="H100" t="s">
        <v>51</v>
      </c>
      <c r="J100" t="s">
        <v>51</v>
      </c>
      <c r="N100" s="12"/>
      <c r="X100">
        <v>98</v>
      </c>
      <c r="Y100" s="3">
        <v>978</v>
      </c>
      <c r="Z100" s="3">
        <v>4.5999999999999997E+47</v>
      </c>
      <c r="AA100" s="4">
        <v>481.67539267015707</v>
      </c>
    </row>
    <row r="101" spans="4:27" x14ac:dyDescent="0.3">
      <c r="F101" t="s">
        <v>51</v>
      </c>
      <c r="H101" t="s">
        <v>51</v>
      </c>
      <c r="J101" s="59" t="s">
        <v>102</v>
      </c>
      <c r="K101" s="74">
        <f>J98/K99</f>
        <v>7589.2762857328753</v>
      </c>
      <c r="L101" s="59" t="s">
        <v>103</v>
      </c>
      <c r="M101" s="75">
        <f>M99/J98</f>
        <v>13.176486958050347</v>
      </c>
      <c r="N101" s="76" t="s">
        <v>51</v>
      </c>
      <c r="X101">
        <v>99</v>
      </c>
      <c r="Y101" s="3">
        <v>979</v>
      </c>
      <c r="Z101" s="3">
        <v>4.8250000000000006E+47</v>
      </c>
      <c r="AA101" s="4">
        <v>505.2356020942409</v>
      </c>
    </row>
    <row r="102" spans="4:27" x14ac:dyDescent="0.3">
      <c r="X102">
        <v>100</v>
      </c>
      <c r="Y102" s="3">
        <v>980</v>
      </c>
      <c r="Z102" s="3">
        <v>5.0499999999999998E+47</v>
      </c>
      <c r="AA102" s="4">
        <v>528.79581151832463</v>
      </c>
    </row>
    <row r="103" spans="4:27" x14ac:dyDescent="0.3">
      <c r="X103">
        <v>101</v>
      </c>
      <c r="Y103" s="3">
        <v>981</v>
      </c>
      <c r="Z103" s="3">
        <v>5.2749999999999998E+47</v>
      </c>
      <c r="AA103" s="4">
        <v>552.35602094240835</v>
      </c>
    </row>
    <row r="104" spans="4:27" x14ac:dyDescent="0.3">
      <c r="X104">
        <v>102</v>
      </c>
      <c r="Y104" s="3">
        <v>982</v>
      </c>
      <c r="Z104" s="3">
        <v>5.4999999999999998E+47</v>
      </c>
      <c r="AA104" s="4">
        <v>575.91623036649219</v>
      </c>
    </row>
    <row r="105" spans="4:27" x14ac:dyDescent="0.3">
      <c r="X105">
        <v>103</v>
      </c>
      <c r="Y105" s="3">
        <v>983</v>
      </c>
      <c r="Z105" s="3">
        <v>5.7250000000000007E+47</v>
      </c>
      <c r="AA105" s="4">
        <v>599.47643979057602</v>
      </c>
    </row>
    <row r="106" spans="4:27" x14ac:dyDescent="0.3">
      <c r="X106">
        <v>104</v>
      </c>
      <c r="Y106" s="3">
        <v>984</v>
      </c>
      <c r="Z106" s="3">
        <v>5.9500000000000007E+47</v>
      </c>
      <c r="AA106" s="4">
        <v>623.03664921465975</v>
      </c>
    </row>
    <row r="107" spans="4:27" x14ac:dyDescent="0.3">
      <c r="X107">
        <v>105</v>
      </c>
      <c r="Y107" s="3">
        <v>985</v>
      </c>
      <c r="Z107" s="3">
        <v>6.1749999999999999E+47</v>
      </c>
      <c r="AA107" s="4">
        <v>646.59685863874347</v>
      </c>
    </row>
    <row r="108" spans="4:27" x14ac:dyDescent="0.3">
      <c r="X108">
        <v>106</v>
      </c>
      <c r="Y108" s="3">
        <v>986</v>
      </c>
      <c r="Z108" s="3">
        <v>6.4E+47</v>
      </c>
      <c r="AA108" s="4">
        <v>670.15706806282719</v>
      </c>
    </row>
    <row r="109" spans="4:27" x14ac:dyDescent="0.3">
      <c r="X109">
        <v>107</v>
      </c>
      <c r="Y109" s="3">
        <v>987</v>
      </c>
      <c r="Z109" s="3">
        <v>6.6250000000000008E+47</v>
      </c>
      <c r="AA109" s="4">
        <v>693.71727748691114</v>
      </c>
    </row>
    <row r="110" spans="4:27" x14ac:dyDescent="0.3">
      <c r="X110">
        <v>108</v>
      </c>
      <c r="Y110" s="3">
        <v>988</v>
      </c>
      <c r="Z110" s="3">
        <v>6.8500000000000008E+47</v>
      </c>
      <c r="AA110" s="4">
        <v>717.27748691099487</v>
      </c>
    </row>
    <row r="111" spans="4:27" x14ac:dyDescent="0.3">
      <c r="X111">
        <v>109</v>
      </c>
      <c r="Y111" s="3">
        <v>989</v>
      </c>
      <c r="Z111" s="3">
        <v>7.0749999999999992E+47</v>
      </c>
      <c r="AA111" s="4">
        <v>740.83769633507848</v>
      </c>
    </row>
    <row r="112" spans="4:27" x14ac:dyDescent="0.3">
      <c r="X112">
        <v>110</v>
      </c>
      <c r="Y112" s="3">
        <v>990</v>
      </c>
      <c r="Z112" s="3">
        <v>7.3000000000000001E+47</v>
      </c>
      <c r="AA112" s="4">
        <v>764.39790575916231</v>
      </c>
    </row>
    <row r="113" spans="24:27" x14ac:dyDescent="0.3">
      <c r="X113">
        <v>111</v>
      </c>
      <c r="Y113" s="3">
        <v>991</v>
      </c>
      <c r="Z113" s="3">
        <v>7.5250000000000001E+47</v>
      </c>
      <c r="AA113" s="4">
        <v>787.95811518324615</v>
      </c>
    </row>
    <row r="114" spans="24:27" x14ac:dyDescent="0.3">
      <c r="X114">
        <v>112</v>
      </c>
      <c r="Y114" s="3">
        <v>992</v>
      </c>
      <c r="Z114" s="3">
        <v>7.7500000000000001E+47</v>
      </c>
      <c r="AA114" s="4">
        <v>811.51832460732987</v>
      </c>
    </row>
    <row r="115" spans="24:27" x14ac:dyDescent="0.3">
      <c r="X115">
        <v>113</v>
      </c>
      <c r="Y115" s="3">
        <v>993</v>
      </c>
      <c r="Z115" s="3">
        <v>7.9750000000000002E+47</v>
      </c>
      <c r="AA115" s="4">
        <v>835.07853403141371</v>
      </c>
    </row>
    <row r="116" spans="24:27" x14ac:dyDescent="0.3">
      <c r="X116">
        <v>114</v>
      </c>
      <c r="Y116" s="3">
        <v>994</v>
      </c>
      <c r="Z116" s="3">
        <v>8.1999999999999986E+47</v>
      </c>
      <c r="AA116" s="4">
        <v>858.63874345549721</v>
      </c>
    </row>
    <row r="117" spans="24:27" x14ac:dyDescent="0.3">
      <c r="X117">
        <v>115</v>
      </c>
      <c r="Y117" s="3">
        <v>995</v>
      </c>
      <c r="Z117" s="3">
        <v>8.4250000000000002E+47</v>
      </c>
      <c r="AA117" s="4">
        <v>882.19895287958116</v>
      </c>
    </row>
    <row r="118" spans="24:27" x14ac:dyDescent="0.3">
      <c r="X118">
        <v>116</v>
      </c>
      <c r="Y118" s="3">
        <v>996</v>
      </c>
      <c r="Z118" s="3">
        <v>8.6499999999999986E+47</v>
      </c>
      <c r="AA118" s="4">
        <v>905.75916230366477</v>
      </c>
    </row>
    <row r="119" spans="24:27" x14ac:dyDescent="0.3">
      <c r="X119">
        <v>117</v>
      </c>
      <c r="Y119" s="3">
        <v>997</v>
      </c>
      <c r="Z119" s="3">
        <v>8.8749999999999987E+47</v>
      </c>
      <c r="AA119" s="4">
        <v>929.3193717277486</v>
      </c>
    </row>
    <row r="120" spans="24:27" x14ac:dyDescent="0.3">
      <c r="X120">
        <v>118</v>
      </c>
      <c r="Y120" s="3">
        <v>998</v>
      </c>
      <c r="Z120" s="3">
        <v>9.0999999999999987E+47</v>
      </c>
      <c r="AA120" s="4">
        <v>952.87958115183233</v>
      </c>
    </row>
    <row r="121" spans="24:27" x14ac:dyDescent="0.3">
      <c r="X121">
        <v>119</v>
      </c>
      <c r="Y121" s="3">
        <v>999</v>
      </c>
      <c r="Z121" s="3">
        <v>9.3249999999999987E+47</v>
      </c>
      <c r="AA121" s="4">
        <v>976.43979057591616</v>
      </c>
    </row>
    <row r="122" spans="24:27" x14ac:dyDescent="0.3">
      <c r="X122">
        <v>120</v>
      </c>
      <c r="Y122" s="3">
        <v>1000</v>
      </c>
      <c r="Z122" s="3">
        <v>9.5500000000000004E+47</v>
      </c>
      <c r="AA122" s="4">
        <v>1000.0000000000001</v>
      </c>
    </row>
    <row r="123" spans="24:27" x14ac:dyDescent="0.3">
      <c r="X123">
        <v>121</v>
      </c>
      <c r="Y123" s="3">
        <v>1001</v>
      </c>
      <c r="Z123" s="3">
        <v>9.7749999999999988E+47</v>
      </c>
      <c r="AA123" s="4">
        <v>1023.5602094240837</v>
      </c>
    </row>
    <row r="124" spans="24:27" x14ac:dyDescent="0.3">
      <c r="X124">
        <v>122</v>
      </c>
      <c r="Y124" s="3">
        <v>1002</v>
      </c>
      <c r="Z124" s="3">
        <v>1E+48</v>
      </c>
      <c r="AA124" s="4">
        <v>1047.1204188481677</v>
      </c>
    </row>
    <row r="125" spans="24:27" x14ac:dyDescent="0.3">
      <c r="X125">
        <v>123</v>
      </c>
      <c r="Y125" s="3">
        <v>1003</v>
      </c>
      <c r="Z125" s="3">
        <v>1.2250000000000001E+48</v>
      </c>
      <c r="AA125" s="4">
        <v>1282.7225130890054</v>
      </c>
    </row>
    <row r="126" spans="24:27" x14ac:dyDescent="0.3">
      <c r="X126">
        <v>124</v>
      </c>
      <c r="Y126" s="3">
        <v>1004</v>
      </c>
      <c r="Z126" s="3">
        <v>1.4499999999999998E+48</v>
      </c>
      <c r="AA126" s="4">
        <v>1518.3246073298428</v>
      </c>
    </row>
    <row r="127" spans="24:27" x14ac:dyDescent="0.3">
      <c r="X127">
        <v>125</v>
      </c>
      <c r="Y127" s="3">
        <v>1005</v>
      </c>
      <c r="Z127" s="3">
        <v>1.675E+48</v>
      </c>
      <c r="AA127" s="4">
        <v>1753.9267015706807</v>
      </c>
    </row>
    <row r="128" spans="24:27" x14ac:dyDescent="0.3">
      <c r="X128">
        <v>126</v>
      </c>
      <c r="Y128" s="3">
        <v>1006</v>
      </c>
      <c r="Z128" s="3">
        <v>1.9000000000000003E+48</v>
      </c>
      <c r="AA128" s="4">
        <v>1989.5287958115186</v>
      </c>
    </row>
    <row r="129" spans="24:27" x14ac:dyDescent="0.3">
      <c r="X129">
        <v>127</v>
      </c>
      <c r="Y129" s="3">
        <v>1007</v>
      </c>
      <c r="Z129" s="3">
        <v>2.125E+48</v>
      </c>
      <c r="AA129" s="4">
        <v>2225.1308900523563</v>
      </c>
    </row>
    <row r="130" spans="24:27" x14ac:dyDescent="0.3">
      <c r="X130">
        <v>128</v>
      </c>
      <c r="Y130" s="3">
        <v>1008</v>
      </c>
      <c r="Z130" s="3">
        <v>2.3500000000000001E+48</v>
      </c>
      <c r="AA130" s="4">
        <v>2460.732984293194</v>
      </c>
    </row>
    <row r="131" spans="24:27" x14ac:dyDescent="0.3">
      <c r="X131">
        <v>129</v>
      </c>
      <c r="Y131" s="3">
        <v>1009</v>
      </c>
      <c r="Z131" s="3">
        <v>2.5749999999999998E+48</v>
      </c>
      <c r="AA131" s="4">
        <v>2696.3350785340313</v>
      </c>
    </row>
    <row r="132" spans="24:27" x14ac:dyDescent="0.3">
      <c r="X132">
        <v>130</v>
      </c>
      <c r="Y132" s="3">
        <v>1010</v>
      </c>
      <c r="Z132" s="3">
        <v>2.8000000000000001E+48</v>
      </c>
      <c r="AA132" s="4">
        <v>2931.9371727748694</v>
      </c>
    </row>
    <row r="133" spans="24:27" x14ac:dyDescent="0.3">
      <c r="X133">
        <v>131</v>
      </c>
      <c r="Y133" s="3">
        <v>1011</v>
      </c>
      <c r="Z133" s="3">
        <v>3.0250000000000002E+48</v>
      </c>
      <c r="AA133" s="4">
        <v>3167.5392670157071</v>
      </c>
    </row>
    <row r="134" spans="24:27" x14ac:dyDescent="0.3">
      <c r="X134">
        <v>132</v>
      </c>
      <c r="Y134" s="3">
        <v>1012</v>
      </c>
      <c r="Z134" s="3">
        <v>3.2499999999999999E+48</v>
      </c>
      <c r="AA134" s="4">
        <v>3403.1413612565443</v>
      </c>
    </row>
    <row r="135" spans="24:27" x14ac:dyDescent="0.3">
      <c r="X135">
        <v>133</v>
      </c>
      <c r="Y135" s="3">
        <v>1013</v>
      </c>
      <c r="Z135" s="3">
        <v>3.4750000000000002E+48</v>
      </c>
      <c r="AA135" s="4">
        <v>3638.7434554973825</v>
      </c>
    </row>
    <row r="136" spans="24:27" x14ac:dyDescent="0.3">
      <c r="X136">
        <v>134</v>
      </c>
      <c r="Y136" s="3">
        <v>1014</v>
      </c>
      <c r="Z136" s="3">
        <v>3.6999999999999999E+48</v>
      </c>
      <c r="AA136" s="4">
        <v>3874.3455497382201</v>
      </c>
    </row>
    <row r="137" spans="24:27" x14ac:dyDescent="0.3">
      <c r="X137">
        <v>135</v>
      </c>
      <c r="Y137" s="3">
        <v>1015</v>
      </c>
      <c r="Z137" s="3">
        <v>3.9250000000000003E+48</v>
      </c>
      <c r="AA137" s="4">
        <v>4109.9476439790578</v>
      </c>
    </row>
    <row r="138" spans="24:27" x14ac:dyDescent="0.3">
      <c r="X138">
        <v>136</v>
      </c>
      <c r="Y138" s="3">
        <v>1016</v>
      </c>
      <c r="Z138" s="3">
        <v>4.1500000000000006E+48</v>
      </c>
      <c r="AA138" s="4">
        <v>4345.5497382198964</v>
      </c>
    </row>
    <row r="139" spans="24:27" x14ac:dyDescent="0.3">
      <c r="X139">
        <v>137</v>
      </c>
      <c r="Y139" s="3">
        <v>1017</v>
      </c>
      <c r="Z139" s="3">
        <v>4.3749999999999997E+48</v>
      </c>
      <c r="AA139" s="4">
        <v>4581.1518324607332</v>
      </c>
    </row>
    <row r="140" spans="24:27" x14ac:dyDescent="0.3">
      <c r="X140">
        <v>138</v>
      </c>
      <c r="Y140" s="3">
        <v>1018</v>
      </c>
      <c r="Z140" s="3">
        <v>4.6E+48</v>
      </c>
      <c r="AA140" s="4">
        <v>4816.7539267015709</v>
      </c>
    </row>
    <row r="141" spans="24:27" x14ac:dyDescent="0.3">
      <c r="X141">
        <v>139</v>
      </c>
      <c r="Y141" s="3">
        <v>1019</v>
      </c>
      <c r="Z141" s="3">
        <v>4.825000000000001E+48</v>
      </c>
      <c r="AA141" s="4">
        <v>5052.3560209424095</v>
      </c>
    </row>
    <row r="142" spans="24:27" x14ac:dyDescent="0.3">
      <c r="X142">
        <v>140</v>
      </c>
      <c r="Y142" s="3">
        <v>1020</v>
      </c>
      <c r="Z142" s="3">
        <v>5.0500000000000001E+48</v>
      </c>
      <c r="AA142" s="4">
        <v>5287.9581151832463</v>
      </c>
    </row>
    <row r="143" spans="24:27" x14ac:dyDescent="0.3">
      <c r="X143">
        <v>141</v>
      </c>
      <c r="Y143" s="3">
        <v>1021</v>
      </c>
      <c r="Z143" s="3">
        <v>5.2749999999999998E+48</v>
      </c>
      <c r="AA143" s="4">
        <v>5523.560209424084</v>
      </c>
    </row>
    <row r="144" spans="24:27" x14ac:dyDescent="0.3">
      <c r="X144">
        <v>142</v>
      </c>
      <c r="Y144" s="3">
        <v>1022</v>
      </c>
      <c r="Z144" s="3">
        <v>5.4999999999999995E+48</v>
      </c>
      <c r="AA144" s="4">
        <v>5759.1623036649207</v>
      </c>
    </row>
    <row r="145" spans="24:27" x14ac:dyDescent="0.3">
      <c r="X145">
        <v>143</v>
      </c>
      <c r="Y145" s="3">
        <v>1023</v>
      </c>
      <c r="Z145" s="3">
        <v>5.7250000000000005E+48</v>
      </c>
      <c r="AA145" s="4">
        <v>5994.7643979057602</v>
      </c>
    </row>
    <row r="146" spans="24:27" x14ac:dyDescent="0.3">
      <c r="X146">
        <v>144</v>
      </c>
      <c r="Y146" s="3">
        <v>1024</v>
      </c>
      <c r="Z146" s="3">
        <v>5.9500000000000009E+48</v>
      </c>
      <c r="AA146" s="4">
        <v>6230.3664921465979</v>
      </c>
    </row>
    <row r="147" spans="24:27" x14ac:dyDescent="0.3">
      <c r="X147">
        <v>145</v>
      </c>
      <c r="Y147" s="3">
        <v>1025</v>
      </c>
      <c r="Z147" s="3">
        <v>6.1749999999999993E+48</v>
      </c>
      <c r="AA147" s="4">
        <v>6465.9685863874338</v>
      </c>
    </row>
    <row r="148" spans="24:27" x14ac:dyDescent="0.3">
      <c r="X148">
        <v>146</v>
      </c>
      <c r="Y148" s="3">
        <v>1026</v>
      </c>
      <c r="Z148" s="3">
        <v>6.399999999999999E+48</v>
      </c>
      <c r="AA148" s="4">
        <v>6701.5706806282715</v>
      </c>
    </row>
    <row r="149" spans="24:27" x14ac:dyDescent="0.3">
      <c r="X149">
        <v>147</v>
      </c>
      <c r="Y149" s="3">
        <v>1027</v>
      </c>
      <c r="Z149" s="3">
        <v>6.625E+48</v>
      </c>
      <c r="AA149" s="4">
        <v>6937.1727748691101</v>
      </c>
    </row>
    <row r="150" spans="24:27" x14ac:dyDescent="0.3">
      <c r="X150">
        <v>148</v>
      </c>
      <c r="Y150" s="3">
        <v>1028</v>
      </c>
      <c r="Z150" s="3">
        <v>6.850000000000001E+48</v>
      </c>
      <c r="AA150" s="4">
        <v>7172.7748691099487</v>
      </c>
    </row>
    <row r="151" spans="24:27" x14ac:dyDescent="0.3">
      <c r="X151">
        <v>149</v>
      </c>
      <c r="Y151" s="3">
        <v>1029</v>
      </c>
      <c r="Z151" s="3">
        <v>7.0749999999999994E+48</v>
      </c>
      <c r="AA151" s="4">
        <v>7408.3769633507845</v>
      </c>
    </row>
    <row r="152" spans="24:27" x14ac:dyDescent="0.3">
      <c r="X152">
        <v>150</v>
      </c>
      <c r="Y152" s="3">
        <v>1030</v>
      </c>
      <c r="Z152" s="3">
        <v>7.3000000000000004E+48</v>
      </c>
      <c r="AA152" s="4">
        <v>7643.979057591624</v>
      </c>
    </row>
    <row r="153" spans="24:27" x14ac:dyDescent="0.3">
      <c r="X153">
        <v>151</v>
      </c>
      <c r="Y153" s="3">
        <v>1031</v>
      </c>
      <c r="Z153" s="3">
        <v>7.5249999999999988E+48</v>
      </c>
      <c r="AA153" s="4">
        <v>7879.5811518324599</v>
      </c>
    </row>
    <row r="154" spans="24:27" x14ac:dyDescent="0.3">
      <c r="X154">
        <v>152</v>
      </c>
      <c r="Y154" s="3">
        <v>1032</v>
      </c>
      <c r="Z154" s="3">
        <v>7.7499999999999998E+48</v>
      </c>
      <c r="AA154" s="4">
        <v>8115.1832460732985</v>
      </c>
    </row>
    <row r="155" spans="24:27" x14ac:dyDescent="0.3">
      <c r="X155">
        <v>153</v>
      </c>
      <c r="Y155" s="3">
        <v>1033</v>
      </c>
      <c r="Z155" s="3">
        <v>7.9750000000000008E+48</v>
      </c>
      <c r="AA155" s="4">
        <v>8350.785340314138</v>
      </c>
    </row>
    <row r="156" spans="24:27" x14ac:dyDescent="0.3">
      <c r="X156">
        <v>154</v>
      </c>
      <c r="Y156" s="3">
        <v>1034</v>
      </c>
      <c r="Z156" s="3">
        <v>8.1999999999999992E+48</v>
      </c>
      <c r="AA156" s="4">
        <v>8586.3874345549739</v>
      </c>
    </row>
    <row r="157" spans="24:27" x14ac:dyDescent="0.3">
      <c r="X157">
        <v>155</v>
      </c>
      <c r="Y157" s="3">
        <v>1035</v>
      </c>
      <c r="Z157" s="3">
        <v>8.4250000000000002E+48</v>
      </c>
      <c r="AA157" s="4">
        <v>8821.9895287958116</v>
      </c>
    </row>
    <row r="158" spans="24:27" x14ac:dyDescent="0.3">
      <c r="X158">
        <v>156</v>
      </c>
      <c r="Y158" s="3">
        <v>1036</v>
      </c>
      <c r="Z158" s="3">
        <v>8.6499999999999999E+48</v>
      </c>
      <c r="AA158" s="4">
        <v>9057.5916230366493</v>
      </c>
    </row>
    <row r="159" spans="24:27" x14ac:dyDescent="0.3">
      <c r="X159">
        <v>157</v>
      </c>
      <c r="Y159" s="3">
        <v>1037</v>
      </c>
      <c r="Z159" s="3">
        <v>8.8749999999999996E+48</v>
      </c>
      <c r="AA159" s="4">
        <v>9293.1937172774869</v>
      </c>
    </row>
    <row r="160" spans="24:27" x14ac:dyDescent="0.3">
      <c r="X160">
        <v>158</v>
      </c>
      <c r="Y160" s="3">
        <v>1038</v>
      </c>
      <c r="Z160" s="3">
        <v>9.099999999999998E+48</v>
      </c>
      <c r="AA160" s="4">
        <v>9528.7958115183228</v>
      </c>
    </row>
    <row r="161" spans="24:27" x14ac:dyDescent="0.3">
      <c r="X161">
        <v>159</v>
      </c>
      <c r="Y161" s="3">
        <v>1039</v>
      </c>
      <c r="Z161" s="3">
        <v>9.324999999999999E+48</v>
      </c>
      <c r="AA161" s="4">
        <v>9764.3979057591623</v>
      </c>
    </row>
    <row r="162" spans="24:27" x14ac:dyDescent="0.3">
      <c r="X162">
        <v>160</v>
      </c>
      <c r="Y162" s="3">
        <v>1040</v>
      </c>
      <c r="Z162" s="3">
        <v>9.5500000000000001E+48</v>
      </c>
      <c r="AA162" s="4">
        <v>10000</v>
      </c>
    </row>
    <row r="163" spans="24:27" x14ac:dyDescent="0.3">
      <c r="X163">
        <v>161</v>
      </c>
      <c r="Y163" s="3">
        <v>1041</v>
      </c>
      <c r="Z163" s="3">
        <v>9.7749999999999998E+48</v>
      </c>
      <c r="AA163" s="4">
        <v>10235.602094240838</v>
      </c>
    </row>
    <row r="164" spans="24:27" x14ac:dyDescent="0.3">
      <c r="X164">
        <v>162</v>
      </c>
      <c r="Y164" s="3">
        <v>1042</v>
      </c>
      <c r="Z164" s="3">
        <v>1.0000000000000001E+49</v>
      </c>
      <c r="AA164" s="4">
        <v>10471.204188481677</v>
      </c>
    </row>
    <row r="165" spans="24:27" x14ac:dyDescent="0.3">
      <c r="X165">
        <v>163</v>
      </c>
      <c r="Y165" s="3">
        <v>1043</v>
      </c>
      <c r="Z165" s="3">
        <v>1.225E+49</v>
      </c>
      <c r="AA165" s="4">
        <v>12827.225130890054</v>
      </c>
    </row>
    <row r="166" spans="24:27" x14ac:dyDescent="0.3">
      <c r="X166">
        <v>164</v>
      </c>
      <c r="Y166" s="3">
        <v>1044</v>
      </c>
      <c r="Z166" s="3">
        <v>1.4499999999999997E+49</v>
      </c>
      <c r="AA166" s="4">
        <v>15183.246073298427</v>
      </c>
    </row>
    <row r="167" spans="24:27" x14ac:dyDescent="0.3">
      <c r="X167">
        <v>165</v>
      </c>
      <c r="Y167" s="3">
        <v>1045</v>
      </c>
      <c r="Z167" s="3">
        <v>1.675E+49</v>
      </c>
      <c r="AA167" s="4">
        <v>17539.267015706806</v>
      </c>
    </row>
    <row r="168" spans="24:27" x14ac:dyDescent="0.3">
      <c r="X168">
        <v>166</v>
      </c>
      <c r="Y168" s="3">
        <v>1046</v>
      </c>
      <c r="Z168" s="3">
        <v>1.9000000000000005E+49</v>
      </c>
      <c r="AA168" s="4">
        <v>19895.28795811519</v>
      </c>
    </row>
    <row r="169" spans="24:27" x14ac:dyDescent="0.3">
      <c r="X169">
        <v>167</v>
      </c>
      <c r="Y169" s="3">
        <v>1047</v>
      </c>
      <c r="Z169" s="3">
        <v>2.1249999999999999E+49</v>
      </c>
      <c r="AA169" s="4">
        <v>22251.30890052356</v>
      </c>
    </row>
    <row r="170" spans="24:27" x14ac:dyDescent="0.3">
      <c r="X170">
        <v>168</v>
      </c>
      <c r="Y170" s="3">
        <v>1048</v>
      </c>
      <c r="Z170" s="3">
        <v>2.3499999999999999E+49</v>
      </c>
      <c r="AA170" s="4">
        <v>24607.329842931937</v>
      </c>
    </row>
    <row r="171" spans="24:27" x14ac:dyDescent="0.3">
      <c r="X171">
        <v>169</v>
      </c>
      <c r="Y171" s="3">
        <v>1049</v>
      </c>
      <c r="Z171" s="3">
        <v>2.5749999999999998E+49</v>
      </c>
      <c r="AA171" s="4">
        <v>26963.350785340313</v>
      </c>
    </row>
    <row r="172" spans="24:27" x14ac:dyDescent="0.3">
      <c r="X172">
        <v>170</v>
      </c>
      <c r="Y172" s="3">
        <v>1050</v>
      </c>
      <c r="Z172" s="3">
        <v>2.8000000000000003E+49</v>
      </c>
      <c r="AA172" s="4">
        <v>29319.371727748694</v>
      </c>
    </row>
    <row r="173" spans="24:27" x14ac:dyDescent="0.3">
      <c r="X173">
        <v>171</v>
      </c>
      <c r="Y173" s="3">
        <v>1051</v>
      </c>
      <c r="Z173" s="3">
        <v>3.0250000000000003E+49</v>
      </c>
      <c r="AA173" s="4">
        <v>31675.392670157071</v>
      </c>
    </row>
    <row r="174" spans="24:27" x14ac:dyDescent="0.3">
      <c r="X174">
        <v>172</v>
      </c>
      <c r="Y174" s="3">
        <v>1052</v>
      </c>
      <c r="Z174" s="3">
        <v>3.2499999999999997E+49</v>
      </c>
      <c r="AA174" s="4">
        <v>34031.41361256544</v>
      </c>
    </row>
    <row r="175" spans="24:27" x14ac:dyDescent="0.3">
      <c r="X175">
        <v>173</v>
      </c>
      <c r="Y175" s="3">
        <v>1053</v>
      </c>
      <c r="Z175" s="3">
        <v>3.4750000000000002E+49</v>
      </c>
      <c r="AA175" s="4">
        <v>36387.434554973828</v>
      </c>
    </row>
    <row r="176" spans="24:27" x14ac:dyDescent="0.3">
      <c r="X176">
        <v>174</v>
      </c>
      <c r="Y176" s="3">
        <v>1054</v>
      </c>
      <c r="Z176" s="3">
        <v>3.6999999999999997E+49</v>
      </c>
      <c r="AA176" s="4">
        <v>38743.455497382194</v>
      </c>
    </row>
    <row r="177" spans="24:27" x14ac:dyDescent="0.3">
      <c r="X177">
        <v>175</v>
      </c>
      <c r="Y177" s="3">
        <v>1055</v>
      </c>
      <c r="Z177" s="3">
        <v>3.9250000000000001E+49</v>
      </c>
      <c r="AA177" s="4">
        <v>41099.476439790582</v>
      </c>
    </row>
    <row r="178" spans="24:27" x14ac:dyDescent="0.3">
      <c r="X178">
        <v>176</v>
      </c>
      <c r="Y178" s="3">
        <v>1056</v>
      </c>
      <c r="Z178" s="3">
        <v>4.1500000000000006E+49</v>
      </c>
      <c r="AA178" s="4">
        <v>43455.497382198962</v>
      </c>
    </row>
    <row r="179" spans="24:27" x14ac:dyDescent="0.3">
      <c r="X179">
        <v>177</v>
      </c>
      <c r="Y179" s="3">
        <v>1057</v>
      </c>
      <c r="Z179" s="3">
        <v>4.3749999999999996E+49</v>
      </c>
      <c r="AA179" s="4">
        <v>45811.518324607328</v>
      </c>
    </row>
    <row r="180" spans="24:27" x14ac:dyDescent="0.3">
      <c r="X180">
        <v>178</v>
      </c>
      <c r="Y180" s="3">
        <v>1058</v>
      </c>
      <c r="Z180" s="3">
        <v>4.6E+49</v>
      </c>
      <c r="AA180" s="4">
        <v>48167.539267015709</v>
      </c>
    </row>
    <row r="181" spans="24:27" x14ac:dyDescent="0.3">
      <c r="X181">
        <v>179</v>
      </c>
      <c r="Y181" s="3">
        <v>1059</v>
      </c>
      <c r="Z181" s="3">
        <v>4.8250000000000016E+49</v>
      </c>
      <c r="AA181" s="4">
        <v>50523.560209424104</v>
      </c>
    </row>
    <row r="182" spans="24:27" x14ac:dyDescent="0.3">
      <c r="X182">
        <v>180</v>
      </c>
      <c r="Y182" s="3">
        <v>1060</v>
      </c>
      <c r="Z182" s="3">
        <v>5.0500000000000005E+49</v>
      </c>
      <c r="AA182" s="4">
        <v>52879.58115183247</v>
      </c>
    </row>
    <row r="183" spans="24:27" x14ac:dyDescent="0.3">
      <c r="X183">
        <v>181</v>
      </c>
      <c r="Y183" s="3">
        <v>1061</v>
      </c>
      <c r="Z183" s="3">
        <v>5.2749999999999994E+49</v>
      </c>
      <c r="AA183" s="4">
        <v>55235.602094240836</v>
      </c>
    </row>
    <row r="184" spans="24:27" x14ac:dyDescent="0.3">
      <c r="X184">
        <v>182</v>
      </c>
      <c r="Y184" s="3">
        <v>1062</v>
      </c>
      <c r="Z184" s="3">
        <v>5.4999999999999994E+49</v>
      </c>
      <c r="AA184" s="4">
        <v>57591.623036649209</v>
      </c>
    </row>
    <row r="185" spans="24:27" x14ac:dyDescent="0.3">
      <c r="X185">
        <v>183</v>
      </c>
      <c r="Y185" s="3">
        <v>1063</v>
      </c>
      <c r="Z185" s="3">
        <v>5.7250000000000004E+49</v>
      </c>
      <c r="AA185" s="4">
        <v>59947.643979057597</v>
      </c>
    </row>
    <row r="186" spans="24:27" x14ac:dyDescent="0.3">
      <c r="X186">
        <v>184</v>
      </c>
      <c r="Y186" s="3">
        <v>1064</v>
      </c>
      <c r="Z186" s="3">
        <v>5.9500000000000014E+49</v>
      </c>
      <c r="AA186" s="4">
        <v>62303.664921465985</v>
      </c>
    </row>
    <row r="187" spans="24:27" x14ac:dyDescent="0.3">
      <c r="X187">
        <v>185</v>
      </c>
      <c r="Y187" s="3">
        <v>1065</v>
      </c>
      <c r="Z187" s="3">
        <v>6.1749999999999993E+49</v>
      </c>
      <c r="AA187" s="4">
        <v>64659.685863874343</v>
      </c>
    </row>
    <row r="188" spans="24:27" x14ac:dyDescent="0.3">
      <c r="X188">
        <v>186</v>
      </c>
      <c r="Y188" s="3">
        <v>1066</v>
      </c>
      <c r="Z188" s="3">
        <v>6.3999999999999992E+49</v>
      </c>
      <c r="AA188" s="4">
        <v>67015.706806282717</v>
      </c>
    </row>
    <row r="189" spans="24:27" x14ac:dyDescent="0.3">
      <c r="X189">
        <v>187</v>
      </c>
      <c r="Y189" s="3">
        <v>1067</v>
      </c>
      <c r="Z189" s="3">
        <v>6.6250000000000002E+49</v>
      </c>
      <c r="AA189" s="4">
        <v>69371.727748691104</v>
      </c>
    </row>
    <row r="190" spans="24:27" x14ac:dyDescent="0.3">
      <c r="X190">
        <v>188</v>
      </c>
      <c r="Y190" s="3">
        <v>1068</v>
      </c>
      <c r="Z190" s="3">
        <v>6.8500000000000012E+49</v>
      </c>
      <c r="AA190" s="4">
        <v>71727.748691099492</v>
      </c>
    </row>
    <row r="191" spans="24:27" x14ac:dyDescent="0.3">
      <c r="X191">
        <v>189</v>
      </c>
      <c r="Y191" s="3">
        <v>1069</v>
      </c>
      <c r="Z191" s="3">
        <v>7.0749999999999991E+49</v>
      </c>
      <c r="AA191" s="4">
        <v>74083.769633507851</v>
      </c>
    </row>
    <row r="192" spans="24:27" x14ac:dyDescent="0.3">
      <c r="X192">
        <v>190</v>
      </c>
      <c r="Y192" s="3">
        <v>1070</v>
      </c>
      <c r="Z192" s="3">
        <v>7.3000000000000001E+49</v>
      </c>
      <c r="AA192" s="4">
        <v>76439.790575916239</v>
      </c>
    </row>
    <row r="193" spans="24:27" x14ac:dyDescent="0.3">
      <c r="X193">
        <v>191</v>
      </c>
      <c r="Y193" s="3">
        <v>1071</v>
      </c>
      <c r="Z193" s="3">
        <v>7.5249999999999991E+49</v>
      </c>
      <c r="AA193" s="4">
        <v>78795.811518324597</v>
      </c>
    </row>
    <row r="194" spans="24:27" x14ac:dyDescent="0.3">
      <c r="X194">
        <v>192</v>
      </c>
      <c r="Y194" s="3">
        <v>1072</v>
      </c>
      <c r="Z194" s="3">
        <v>7.7500000000000001E+49</v>
      </c>
      <c r="AA194" s="4">
        <v>81151.832460732985</v>
      </c>
    </row>
    <row r="195" spans="24:27" x14ac:dyDescent="0.3">
      <c r="X195">
        <v>193</v>
      </c>
      <c r="Y195" s="3">
        <v>1073</v>
      </c>
      <c r="Z195" s="3">
        <v>7.9750000000000011E+49</v>
      </c>
      <c r="AA195" s="4">
        <v>83507.853403141373</v>
      </c>
    </row>
    <row r="196" spans="24:27" x14ac:dyDescent="0.3">
      <c r="X196">
        <v>194</v>
      </c>
      <c r="Y196" s="3">
        <v>1074</v>
      </c>
      <c r="Z196" s="3">
        <v>8.199999999999999E+49</v>
      </c>
      <c r="AA196" s="4">
        <v>85863.874345549732</v>
      </c>
    </row>
    <row r="197" spans="24:27" x14ac:dyDescent="0.3">
      <c r="X197">
        <v>195</v>
      </c>
      <c r="Y197" s="3">
        <v>1075</v>
      </c>
      <c r="Z197" s="3">
        <v>8.425E+49</v>
      </c>
      <c r="AA197" s="4">
        <v>88219.895287958119</v>
      </c>
    </row>
    <row r="198" spans="24:27" x14ac:dyDescent="0.3">
      <c r="X198">
        <v>196</v>
      </c>
      <c r="Y198" s="3">
        <v>1076</v>
      </c>
      <c r="Z198" s="3">
        <v>8.6499999999999999E+49</v>
      </c>
      <c r="AA198" s="4">
        <v>90575.916230366493</v>
      </c>
    </row>
    <row r="199" spans="24:27" x14ac:dyDescent="0.3">
      <c r="X199">
        <v>197</v>
      </c>
      <c r="Y199" s="3">
        <v>1077</v>
      </c>
      <c r="Z199" s="3">
        <v>8.8749999999999999E+49</v>
      </c>
      <c r="AA199" s="4">
        <v>92931.937172774866</v>
      </c>
    </row>
    <row r="200" spans="24:27" x14ac:dyDescent="0.3">
      <c r="X200">
        <v>198</v>
      </c>
      <c r="Y200" s="3">
        <v>1078</v>
      </c>
      <c r="Z200" s="3">
        <v>9.0999999999999978E+49</v>
      </c>
      <c r="AA200" s="4">
        <v>95287.958115183224</v>
      </c>
    </row>
    <row r="201" spans="24:27" x14ac:dyDescent="0.3">
      <c r="X201">
        <v>199</v>
      </c>
      <c r="Y201" s="3">
        <v>1079</v>
      </c>
      <c r="Z201" s="3">
        <v>9.3249999999999988E+49</v>
      </c>
      <c r="AA201" s="4">
        <v>97643.979057591612</v>
      </c>
    </row>
    <row r="202" spans="24:27" x14ac:dyDescent="0.3">
      <c r="X202">
        <v>200</v>
      </c>
      <c r="Y202" s="3">
        <v>1080</v>
      </c>
      <c r="Z202" s="3">
        <v>9.5500000000000008E+49</v>
      </c>
      <c r="AA202" s="4">
        <v>100000.00000000001</v>
      </c>
    </row>
    <row r="203" spans="24:27" x14ac:dyDescent="0.3">
      <c r="X203">
        <v>201</v>
      </c>
      <c r="Y203" s="3">
        <v>1081</v>
      </c>
      <c r="Z203" s="3">
        <v>9.7750000000000008E+49</v>
      </c>
      <c r="AA203" s="4">
        <v>102356.02094240839</v>
      </c>
    </row>
    <row r="204" spans="24:27" x14ac:dyDescent="0.3">
      <c r="X204">
        <v>202</v>
      </c>
      <c r="Y204" s="3">
        <v>1082</v>
      </c>
      <c r="Z204" s="3">
        <v>1.0000000000000001E+50</v>
      </c>
      <c r="AA204" s="4">
        <v>104712.04188481676</v>
      </c>
    </row>
    <row r="205" spans="24:27" x14ac:dyDescent="0.3">
      <c r="X205">
        <v>203</v>
      </c>
      <c r="Y205" s="3">
        <v>1083</v>
      </c>
      <c r="Z205" s="3">
        <v>1.225E+50</v>
      </c>
      <c r="AA205" s="4">
        <v>128272.25130890054</v>
      </c>
    </row>
    <row r="206" spans="24:27" x14ac:dyDescent="0.3">
      <c r="X206">
        <v>204</v>
      </c>
      <c r="Y206" s="3">
        <v>1084</v>
      </c>
      <c r="Z206" s="3">
        <v>1.4499999999999998E+50</v>
      </c>
      <c r="AA206" s="4">
        <v>151832.46073298427</v>
      </c>
    </row>
    <row r="207" spans="24:27" x14ac:dyDescent="0.3">
      <c r="X207">
        <v>205</v>
      </c>
      <c r="Y207" s="3">
        <v>1085</v>
      </c>
      <c r="Z207" s="3">
        <v>1.675E+50</v>
      </c>
      <c r="AA207" s="4">
        <v>175392.67015706806</v>
      </c>
    </row>
    <row r="208" spans="24:27" x14ac:dyDescent="0.3">
      <c r="X208">
        <v>206</v>
      </c>
      <c r="Y208" s="3">
        <v>1086</v>
      </c>
      <c r="Z208" s="3">
        <v>1.9000000000000004E+50</v>
      </c>
      <c r="AA208" s="4">
        <v>198952.87958115188</v>
      </c>
    </row>
    <row r="209" spans="24:27" x14ac:dyDescent="0.3">
      <c r="X209">
        <v>207</v>
      </c>
      <c r="Y209" s="3">
        <v>1087</v>
      </c>
      <c r="Z209" s="3">
        <v>2.1249999999999999E+50</v>
      </c>
      <c r="AA209" s="4">
        <v>222513.08900523561</v>
      </c>
    </row>
    <row r="210" spans="24:27" x14ac:dyDescent="0.3">
      <c r="X210">
        <v>208</v>
      </c>
      <c r="Y210" s="3">
        <v>1088</v>
      </c>
      <c r="Z210" s="3">
        <v>2.3499999999999999E+50</v>
      </c>
      <c r="AA210" s="4">
        <v>246073.29842931937</v>
      </c>
    </row>
    <row r="211" spans="24:27" x14ac:dyDescent="0.3">
      <c r="X211">
        <v>209</v>
      </c>
      <c r="Y211" s="3">
        <v>1089</v>
      </c>
      <c r="Z211" s="3">
        <v>2.5749999999999998E+50</v>
      </c>
      <c r="AA211" s="4">
        <v>269633.50785340311</v>
      </c>
    </row>
    <row r="212" spans="24:27" x14ac:dyDescent="0.3">
      <c r="X212">
        <v>210</v>
      </c>
      <c r="Y212" s="3">
        <v>1090</v>
      </c>
      <c r="Z212" s="3">
        <v>2.8000000000000002E+50</v>
      </c>
      <c r="AA212" s="4">
        <v>293193.71727748693</v>
      </c>
    </row>
    <row r="213" spans="24:27" x14ac:dyDescent="0.3">
      <c r="X213">
        <v>211</v>
      </c>
      <c r="Y213" s="3">
        <v>1091</v>
      </c>
      <c r="Z213" s="3">
        <v>3.0250000000000002E+50</v>
      </c>
      <c r="AA213" s="4">
        <v>316753.92670157069</v>
      </c>
    </row>
    <row r="214" spans="24:27" x14ac:dyDescent="0.3">
      <c r="X214">
        <v>212</v>
      </c>
      <c r="Y214" s="3">
        <v>1092</v>
      </c>
      <c r="Z214" s="3">
        <v>3.2499999999999997E+50</v>
      </c>
      <c r="AA214" s="4">
        <v>340314.13612565445</v>
      </c>
    </row>
    <row r="215" spans="24:27" x14ac:dyDescent="0.3">
      <c r="X215">
        <v>213</v>
      </c>
      <c r="Y215" s="3">
        <v>1093</v>
      </c>
      <c r="Z215" s="3">
        <v>3.4750000000000001E+50</v>
      </c>
      <c r="AA215" s="4">
        <v>363874.34554973827</v>
      </c>
    </row>
    <row r="216" spans="24:27" x14ac:dyDescent="0.3">
      <c r="X216">
        <v>214</v>
      </c>
      <c r="Y216" s="3">
        <v>1094</v>
      </c>
      <c r="Z216" s="3">
        <v>3.7000000000000001E+50</v>
      </c>
      <c r="AA216" s="4">
        <v>387434.55497382203</v>
      </c>
    </row>
    <row r="217" spans="24:27" x14ac:dyDescent="0.3">
      <c r="X217">
        <v>215</v>
      </c>
      <c r="Y217" s="3">
        <v>1095</v>
      </c>
      <c r="Z217" s="3">
        <v>3.925E+50</v>
      </c>
      <c r="AA217" s="4">
        <v>410994.76439790579</v>
      </c>
    </row>
    <row r="218" spans="24:27" x14ac:dyDescent="0.3">
      <c r="X218">
        <v>216</v>
      </c>
      <c r="Y218" s="3">
        <v>1096</v>
      </c>
      <c r="Z218" s="3">
        <v>4.1500000000000008E+50</v>
      </c>
      <c r="AA218" s="4">
        <v>434554.97382198961</v>
      </c>
    </row>
    <row r="219" spans="24:27" x14ac:dyDescent="0.3">
      <c r="X219">
        <v>217</v>
      </c>
      <c r="Y219" s="3">
        <v>1097</v>
      </c>
      <c r="Z219" s="3">
        <v>4.375E+50</v>
      </c>
      <c r="AA219" s="4">
        <v>458115.18324607331</v>
      </c>
    </row>
    <row r="220" spans="24:27" x14ac:dyDescent="0.3">
      <c r="X220">
        <v>218</v>
      </c>
      <c r="Y220" s="3">
        <v>1098</v>
      </c>
      <c r="Z220" s="3">
        <v>4.5999999999999999E+50</v>
      </c>
      <c r="AA220" s="4">
        <v>481675.39267015707</v>
      </c>
    </row>
    <row r="221" spans="24:27" x14ac:dyDescent="0.3">
      <c r="X221">
        <v>219</v>
      </c>
      <c r="Y221" s="3">
        <v>1099</v>
      </c>
      <c r="Z221" s="3">
        <v>4.8250000000000007E+50</v>
      </c>
      <c r="AA221" s="4">
        <v>505235.60209424095</v>
      </c>
    </row>
    <row r="222" spans="24:27" x14ac:dyDescent="0.3">
      <c r="X222">
        <v>220</v>
      </c>
      <c r="Y222" s="3">
        <v>1100</v>
      </c>
      <c r="Z222" s="3">
        <v>5.0499999999999999E+50</v>
      </c>
      <c r="AA222" s="4">
        <v>528795.81151832466</v>
      </c>
    </row>
    <row r="223" spans="24:27" x14ac:dyDescent="0.3">
      <c r="X223">
        <v>221</v>
      </c>
      <c r="Y223" s="3">
        <v>1101</v>
      </c>
      <c r="Z223" s="3">
        <v>5.2749999999999998E+50</v>
      </c>
      <c r="AA223" s="4">
        <v>552356.02094240836</v>
      </c>
    </row>
    <row r="224" spans="24:27" x14ac:dyDescent="0.3">
      <c r="X224">
        <v>222</v>
      </c>
      <c r="Y224" s="3">
        <v>1102</v>
      </c>
      <c r="Z224" s="3">
        <v>5.4999999999999998E+50</v>
      </c>
      <c r="AA224" s="4">
        <v>575916.23036649218</v>
      </c>
    </row>
    <row r="225" spans="24:27" x14ac:dyDescent="0.3">
      <c r="X225">
        <v>223</v>
      </c>
      <c r="Y225" s="3">
        <v>1103</v>
      </c>
      <c r="Z225" s="3">
        <v>5.7250000000000006E+50</v>
      </c>
      <c r="AA225" s="4">
        <v>599476.439790576</v>
      </c>
    </row>
    <row r="226" spans="24:27" x14ac:dyDescent="0.3">
      <c r="X226">
        <v>224</v>
      </c>
      <c r="Y226" s="3">
        <v>1104</v>
      </c>
      <c r="Z226" s="3">
        <v>5.9500000000000006E+50</v>
      </c>
      <c r="AA226" s="4">
        <v>623036.64921465982</v>
      </c>
    </row>
    <row r="227" spans="24:27" x14ac:dyDescent="0.3">
      <c r="X227">
        <v>225</v>
      </c>
      <c r="Y227" s="3">
        <v>1105</v>
      </c>
      <c r="Z227" s="3">
        <v>6.1749999999999997E+50</v>
      </c>
      <c r="AA227" s="4">
        <v>646596.8586387434</v>
      </c>
    </row>
    <row r="228" spans="24:27" x14ac:dyDescent="0.3">
      <c r="X228">
        <v>226</v>
      </c>
      <c r="Y228" s="3">
        <v>1106</v>
      </c>
      <c r="Z228" s="3">
        <v>6.3999999999999988E+50</v>
      </c>
      <c r="AA228" s="4">
        <v>670157.06806282711</v>
      </c>
    </row>
    <row r="229" spans="24:27" x14ac:dyDescent="0.3">
      <c r="X229">
        <v>227</v>
      </c>
      <c r="Y229" s="3">
        <v>1107</v>
      </c>
      <c r="Z229" s="3">
        <v>6.6249999999999996E+50</v>
      </c>
      <c r="AA229" s="4">
        <v>693717.27748691093</v>
      </c>
    </row>
    <row r="230" spans="24:27" x14ac:dyDescent="0.3">
      <c r="X230">
        <v>228</v>
      </c>
      <c r="Y230" s="3">
        <v>1108</v>
      </c>
      <c r="Z230" s="3">
        <v>6.8500000000000012E+50</v>
      </c>
      <c r="AA230" s="4">
        <v>717277.48691099486</v>
      </c>
    </row>
    <row r="231" spans="24:27" x14ac:dyDescent="0.3">
      <c r="X231">
        <v>229</v>
      </c>
      <c r="Y231" s="3">
        <v>1109</v>
      </c>
      <c r="Z231" s="3">
        <v>7.0749999999999996E+50</v>
      </c>
      <c r="AA231" s="4">
        <v>740837.69633507857</v>
      </c>
    </row>
    <row r="232" spans="24:27" x14ac:dyDescent="0.3">
      <c r="X232">
        <v>230</v>
      </c>
      <c r="Y232" s="3">
        <v>1110</v>
      </c>
      <c r="Z232" s="3">
        <v>7.3000000000000003E+50</v>
      </c>
      <c r="AA232" s="4">
        <v>764397.90575916239</v>
      </c>
    </row>
    <row r="233" spans="24:27" x14ac:dyDescent="0.3">
      <c r="X233">
        <v>231</v>
      </c>
      <c r="Y233" s="3">
        <v>1111</v>
      </c>
      <c r="Z233" s="3">
        <v>7.5249999999999995E+50</v>
      </c>
      <c r="AA233" s="4">
        <v>787958.11518324609</v>
      </c>
    </row>
    <row r="234" spans="24:27" x14ac:dyDescent="0.3">
      <c r="X234">
        <v>232</v>
      </c>
      <c r="Y234" s="3">
        <v>1112</v>
      </c>
      <c r="Z234" s="3">
        <v>7.7500000000000003E+50</v>
      </c>
      <c r="AA234" s="4">
        <v>811518.32460732991</v>
      </c>
    </row>
    <row r="235" spans="24:27" x14ac:dyDescent="0.3">
      <c r="X235">
        <v>233</v>
      </c>
      <c r="Y235" s="3">
        <v>1113</v>
      </c>
      <c r="Z235" s="3">
        <v>7.9750000000000011E+50</v>
      </c>
      <c r="AA235" s="4">
        <v>835078.53403141373</v>
      </c>
    </row>
    <row r="236" spans="24:27" x14ac:dyDescent="0.3">
      <c r="X236">
        <v>234</v>
      </c>
      <c r="Y236" s="3">
        <v>1114</v>
      </c>
      <c r="Z236" s="3">
        <v>8.1999999999999985E+50</v>
      </c>
      <c r="AA236" s="4">
        <v>858638.74345549732</v>
      </c>
    </row>
    <row r="237" spans="24:27" x14ac:dyDescent="0.3">
      <c r="X237">
        <v>235</v>
      </c>
      <c r="Y237" s="3">
        <v>1115</v>
      </c>
      <c r="Z237" s="3">
        <v>8.425000000000001E+50</v>
      </c>
      <c r="AA237" s="4">
        <v>882198.95287958125</v>
      </c>
    </row>
    <row r="238" spans="24:27" x14ac:dyDescent="0.3">
      <c r="X238">
        <v>236</v>
      </c>
      <c r="Y238" s="3">
        <v>1116</v>
      </c>
      <c r="Z238" s="3">
        <v>8.6500000000000001E+50</v>
      </c>
      <c r="AA238" s="4">
        <v>905759.16230366495</v>
      </c>
    </row>
    <row r="239" spans="24:27" x14ac:dyDescent="0.3">
      <c r="X239">
        <v>237</v>
      </c>
      <c r="Y239" s="3">
        <v>1117</v>
      </c>
      <c r="Z239" s="3">
        <v>8.8749999999999993E+50</v>
      </c>
      <c r="AA239" s="4">
        <v>929319.37172774866</v>
      </c>
    </row>
    <row r="240" spans="24:27" x14ac:dyDescent="0.3">
      <c r="X240">
        <v>238</v>
      </c>
      <c r="Y240" s="3">
        <v>1118</v>
      </c>
      <c r="Z240" s="3">
        <v>9.0999999999999984E+50</v>
      </c>
      <c r="AA240" s="4">
        <v>952879.58115183236</v>
      </c>
    </row>
    <row r="241" spans="24:27" x14ac:dyDescent="0.3">
      <c r="X241">
        <v>239</v>
      </c>
      <c r="Y241" s="3">
        <v>1119</v>
      </c>
      <c r="Z241" s="3">
        <v>9.3249999999999992E+50</v>
      </c>
      <c r="AA241" s="4">
        <v>976439.79057591618</v>
      </c>
    </row>
    <row r="242" spans="24:27" x14ac:dyDescent="0.3">
      <c r="X242">
        <v>240</v>
      </c>
      <c r="Y242" s="3">
        <v>1120</v>
      </c>
      <c r="Z242" s="3">
        <v>9.55E+50</v>
      </c>
      <c r="AA242" s="4">
        <v>1000000</v>
      </c>
    </row>
    <row r="243" spans="24:27" x14ac:dyDescent="0.3">
      <c r="X243">
        <v>241</v>
      </c>
      <c r="Y243" s="3">
        <v>1121</v>
      </c>
      <c r="Z243" s="3">
        <v>9.7749999999999991E+50</v>
      </c>
      <c r="AA243" s="4">
        <v>1023560.2094240837</v>
      </c>
    </row>
    <row r="244" spans="24:27" x14ac:dyDescent="0.3">
      <c r="X244">
        <v>242</v>
      </c>
      <c r="Y244" s="3">
        <v>1122</v>
      </c>
      <c r="Z244" s="3">
        <v>9.9999999999999999E+50</v>
      </c>
      <c r="AA244" s="4">
        <v>1047120.4188481675</v>
      </c>
    </row>
    <row r="245" spans="24:27" x14ac:dyDescent="0.3">
      <c r="X245">
        <v>243</v>
      </c>
      <c r="Y245" s="3">
        <v>1123</v>
      </c>
      <c r="Z245" s="3">
        <v>1.2250000000000001E+51</v>
      </c>
      <c r="AA245" s="4">
        <v>1282722.5130890054</v>
      </c>
    </row>
    <row r="246" spans="24:27" x14ac:dyDescent="0.3">
      <c r="X246">
        <v>244</v>
      </c>
      <c r="Y246" s="3">
        <v>1124</v>
      </c>
      <c r="Z246" s="3">
        <v>1.4499999999999998E+51</v>
      </c>
      <c r="AA246" s="4">
        <v>1518324.6073298426</v>
      </c>
    </row>
    <row r="247" spans="24:27" x14ac:dyDescent="0.3">
      <c r="X247">
        <v>245</v>
      </c>
      <c r="Y247" s="3">
        <v>1125</v>
      </c>
      <c r="Z247" s="3">
        <v>1.6750000000000001E+51</v>
      </c>
      <c r="AA247" s="4">
        <v>1753926.7015706808</v>
      </c>
    </row>
    <row r="248" spans="24:27" x14ac:dyDescent="0.3">
      <c r="X248">
        <v>246</v>
      </c>
      <c r="Y248" s="3">
        <v>1126</v>
      </c>
      <c r="Z248" s="3">
        <v>1.9000000000000002E+51</v>
      </c>
      <c r="AA248" s="4">
        <v>1989528.7958115186</v>
      </c>
    </row>
    <row r="249" spans="24:27" x14ac:dyDescent="0.3">
      <c r="X249">
        <v>247</v>
      </c>
      <c r="Y249" s="3">
        <v>1127</v>
      </c>
      <c r="Z249" s="3">
        <v>2.125E+51</v>
      </c>
      <c r="AA249" s="4">
        <v>2225130.8900523563</v>
      </c>
    </row>
    <row r="250" spans="24:27" x14ac:dyDescent="0.3">
      <c r="X250">
        <v>248</v>
      </c>
      <c r="Y250" s="3">
        <v>1128</v>
      </c>
      <c r="Z250" s="3">
        <v>2.3500000000000001E+51</v>
      </c>
      <c r="AA250" s="4">
        <v>2460732.984293194</v>
      </c>
    </row>
    <row r="251" spans="24:27" x14ac:dyDescent="0.3">
      <c r="X251">
        <v>249</v>
      </c>
      <c r="Y251" s="3">
        <v>1129</v>
      </c>
      <c r="Z251" s="3">
        <v>2.5749999999999999E+51</v>
      </c>
      <c r="AA251" s="4">
        <v>2696335.0785340313</v>
      </c>
    </row>
    <row r="252" spans="24:27" x14ac:dyDescent="0.3">
      <c r="X252">
        <v>250</v>
      </c>
      <c r="Y252" s="3">
        <v>1130</v>
      </c>
      <c r="Z252" s="3">
        <v>2.8E+51</v>
      </c>
      <c r="AA252" s="4">
        <v>2931937.1727748695</v>
      </c>
    </row>
    <row r="253" spans="24:27" x14ac:dyDescent="0.3">
      <c r="X253">
        <v>251</v>
      </c>
      <c r="Y253" s="3">
        <v>1131</v>
      </c>
      <c r="Z253" s="3">
        <v>3.0249999999999998E+51</v>
      </c>
      <c r="AA253" s="4">
        <v>3167539.2670157067</v>
      </c>
    </row>
    <row r="254" spans="24:27" x14ac:dyDescent="0.3">
      <c r="X254">
        <v>252</v>
      </c>
      <c r="Y254" s="3">
        <v>1132</v>
      </c>
      <c r="Z254" s="3">
        <v>3.25E+51</v>
      </c>
      <c r="AA254" s="4">
        <v>3403141.3612565445</v>
      </c>
    </row>
    <row r="255" spans="24:27" x14ac:dyDescent="0.3">
      <c r="X255">
        <v>253</v>
      </c>
      <c r="Y255" s="3">
        <v>1133</v>
      </c>
      <c r="Z255" s="3">
        <v>3.4750000000000001E+51</v>
      </c>
      <c r="AA255" s="4">
        <v>3638743.4554973822</v>
      </c>
    </row>
    <row r="256" spans="24:27" x14ac:dyDescent="0.3">
      <c r="X256">
        <v>254</v>
      </c>
      <c r="Y256" s="3">
        <v>1134</v>
      </c>
      <c r="Z256" s="3">
        <v>3.7000000000000002E+51</v>
      </c>
      <c r="AA256" s="4">
        <v>3874345.5497382204</v>
      </c>
    </row>
    <row r="257" spans="24:27" x14ac:dyDescent="0.3">
      <c r="X257">
        <v>255</v>
      </c>
      <c r="Y257" s="3">
        <v>1135</v>
      </c>
      <c r="Z257" s="3">
        <v>3.9250000000000004E+51</v>
      </c>
      <c r="AA257" s="4">
        <v>4109947.6439790581</v>
      </c>
    </row>
    <row r="258" spans="24:27" x14ac:dyDescent="0.3">
      <c r="X258">
        <v>256</v>
      </c>
      <c r="Y258" s="3">
        <v>1136</v>
      </c>
      <c r="Z258" s="3">
        <v>4.1500000000000005E+51</v>
      </c>
      <c r="AA258" s="4">
        <v>4345549.7382198963</v>
      </c>
    </row>
    <row r="259" spans="24:27" x14ac:dyDescent="0.3">
      <c r="X259">
        <v>257</v>
      </c>
      <c r="Y259" s="3">
        <v>1137</v>
      </c>
      <c r="Z259" s="3">
        <v>4.375E+51</v>
      </c>
      <c r="AA259" s="4">
        <v>4581151.8324607331</v>
      </c>
    </row>
    <row r="260" spans="24:27" x14ac:dyDescent="0.3">
      <c r="X260">
        <v>258</v>
      </c>
      <c r="Y260" s="3">
        <v>1138</v>
      </c>
      <c r="Z260" s="3">
        <v>4.6000000000000001E+51</v>
      </c>
      <c r="AA260" s="4">
        <v>4816753.9267015709</v>
      </c>
    </row>
    <row r="261" spans="24:27" x14ac:dyDescent="0.3">
      <c r="X261">
        <v>259</v>
      </c>
      <c r="Y261" s="3">
        <v>1139</v>
      </c>
      <c r="Z261" s="3">
        <v>4.8250000000000009E+51</v>
      </c>
      <c r="AA261" s="4">
        <v>5052356.0209424095</v>
      </c>
    </row>
    <row r="262" spans="24:27" x14ac:dyDescent="0.3">
      <c r="X262">
        <v>260</v>
      </c>
      <c r="Y262" s="3">
        <v>1140</v>
      </c>
      <c r="Z262" s="3">
        <v>5.0500000000000004E+51</v>
      </c>
      <c r="AA262" s="4">
        <v>5287958.1151832463</v>
      </c>
    </row>
    <row r="263" spans="24:27" x14ac:dyDescent="0.3">
      <c r="X263">
        <v>261</v>
      </c>
      <c r="Y263" s="3">
        <v>1141</v>
      </c>
      <c r="Z263" s="3">
        <v>5.2749999999999998E+51</v>
      </c>
      <c r="AA263" s="4">
        <v>5523560.2094240841</v>
      </c>
    </row>
    <row r="264" spans="24:27" x14ac:dyDescent="0.3">
      <c r="X264">
        <v>262</v>
      </c>
      <c r="Y264" s="3">
        <v>1142</v>
      </c>
      <c r="Z264" s="3">
        <v>5.4999999999999993E+51</v>
      </c>
      <c r="AA264" s="4">
        <v>5759162.3036649209</v>
      </c>
    </row>
    <row r="265" spans="24:27" x14ac:dyDescent="0.3">
      <c r="X265">
        <v>263</v>
      </c>
      <c r="Y265" s="3">
        <v>1143</v>
      </c>
      <c r="Z265" s="3">
        <v>5.7250000000000008E+51</v>
      </c>
      <c r="AA265" s="4">
        <v>5994764.3979057604</v>
      </c>
    </row>
    <row r="266" spans="24:27" x14ac:dyDescent="0.3">
      <c r="X266">
        <v>264</v>
      </c>
      <c r="Y266" s="3">
        <v>1144</v>
      </c>
      <c r="Z266" s="3">
        <v>5.9500000000000009E+51</v>
      </c>
      <c r="AA266" s="4">
        <v>6230366.4921465982</v>
      </c>
    </row>
    <row r="267" spans="24:27" x14ac:dyDescent="0.3">
      <c r="X267">
        <v>265</v>
      </c>
      <c r="Y267" s="3">
        <v>1145</v>
      </c>
      <c r="Z267" s="3">
        <v>6.1749999999999997E+51</v>
      </c>
      <c r="AA267" s="4">
        <v>6465968.586387434</v>
      </c>
    </row>
    <row r="268" spans="24:27" x14ac:dyDescent="0.3">
      <c r="X268">
        <v>266</v>
      </c>
      <c r="Y268" s="3">
        <v>1146</v>
      </c>
      <c r="Z268" s="3">
        <v>6.3999999999999992E+51</v>
      </c>
      <c r="AA268" s="4">
        <v>6701570.6806282718</v>
      </c>
    </row>
    <row r="269" spans="24:27" x14ac:dyDescent="0.3">
      <c r="X269">
        <v>267</v>
      </c>
      <c r="Y269" s="3">
        <v>1147</v>
      </c>
      <c r="Z269" s="3">
        <v>6.625E+51</v>
      </c>
      <c r="AA269" s="4">
        <v>6937172.7748691104</v>
      </c>
    </row>
    <row r="270" spans="24:27" x14ac:dyDescent="0.3">
      <c r="X270">
        <v>268</v>
      </c>
      <c r="Y270" s="3">
        <v>1148</v>
      </c>
      <c r="Z270" s="3">
        <v>6.8500000000000008E+51</v>
      </c>
      <c r="AA270" s="4">
        <v>7172774.8691099491</v>
      </c>
    </row>
    <row r="271" spans="24:27" x14ac:dyDescent="0.3">
      <c r="X271">
        <v>269</v>
      </c>
      <c r="Y271" s="3">
        <v>1149</v>
      </c>
      <c r="Z271" s="3">
        <v>7.0749999999999989E+51</v>
      </c>
      <c r="AA271" s="4">
        <v>7408376.963350784</v>
      </c>
    </row>
    <row r="272" spans="24:27" x14ac:dyDescent="0.3">
      <c r="X272">
        <v>270</v>
      </c>
      <c r="Y272" s="3">
        <v>1150</v>
      </c>
      <c r="Z272" s="3">
        <v>7.300000000000001E+51</v>
      </c>
      <c r="AA272" s="4">
        <v>7643979.0575916246</v>
      </c>
    </row>
    <row r="273" spans="24:27" x14ac:dyDescent="0.3">
      <c r="X273">
        <v>271</v>
      </c>
      <c r="Y273" s="3">
        <v>1151</v>
      </c>
      <c r="Z273" s="3">
        <v>7.5249999999999992E+51</v>
      </c>
      <c r="AA273" s="4">
        <v>7879581.1518324604</v>
      </c>
    </row>
    <row r="274" spans="24:27" x14ac:dyDescent="0.3">
      <c r="X274">
        <v>272</v>
      </c>
      <c r="Y274" s="3">
        <v>1152</v>
      </c>
      <c r="Z274" s="3">
        <v>7.7499999999999999E+51</v>
      </c>
      <c r="AA274" s="4">
        <v>8115183.2460732991</v>
      </c>
    </row>
    <row r="275" spans="24:27" x14ac:dyDescent="0.3">
      <c r="X275">
        <v>273</v>
      </c>
      <c r="Y275" s="3">
        <v>1153</v>
      </c>
      <c r="Z275" s="3">
        <v>7.9750000000000007E+51</v>
      </c>
      <c r="AA275" s="4">
        <v>8350785.3403141368</v>
      </c>
    </row>
    <row r="276" spans="24:27" x14ac:dyDescent="0.3">
      <c r="X276">
        <v>274</v>
      </c>
      <c r="Y276" s="3">
        <v>1154</v>
      </c>
      <c r="Z276" s="3">
        <v>8.1999999999999989E+51</v>
      </c>
      <c r="AA276" s="4">
        <v>8586387.4345549736</v>
      </c>
    </row>
    <row r="277" spans="24:27" x14ac:dyDescent="0.3">
      <c r="X277">
        <v>275</v>
      </c>
      <c r="Y277" s="3">
        <v>1155</v>
      </c>
      <c r="Z277" s="3">
        <v>8.4249999999999997E+51</v>
      </c>
      <c r="AA277" s="4">
        <v>8821989.5287958123</v>
      </c>
    </row>
    <row r="278" spans="24:27" x14ac:dyDescent="0.3">
      <c r="X278">
        <v>276</v>
      </c>
      <c r="Y278" s="3">
        <v>1156</v>
      </c>
      <c r="Z278" s="3">
        <v>8.6500000000000005E+51</v>
      </c>
      <c r="AA278" s="4">
        <v>9057591.6230366491</v>
      </c>
    </row>
    <row r="279" spans="24:27" x14ac:dyDescent="0.3">
      <c r="X279">
        <v>277</v>
      </c>
      <c r="Y279" s="3">
        <v>1157</v>
      </c>
      <c r="Z279" s="3">
        <v>8.8749999999999999E+51</v>
      </c>
      <c r="AA279" s="4">
        <v>9293193.7172774877</v>
      </c>
    </row>
    <row r="280" spans="24:27" x14ac:dyDescent="0.3">
      <c r="X280">
        <v>278</v>
      </c>
      <c r="Y280" s="3">
        <v>1158</v>
      </c>
      <c r="Z280" s="3">
        <v>9.0999999999999981E+51</v>
      </c>
      <c r="AA280" s="4">
        <v>9528795.8115183227</v>
      </c>
    </row>
    <row r="281" spans="24:27" x14ac:dyDescent="0.3">
      <c r="X281">
        <v>279</v>
      </c>
      <c r="Y281" s="3">
        <v>1159</v>
      </c>
      <c r="Z281" s="3">
        <v>9.3249999999999989E+51</v>
      </c>
      <c r="AA281" s="4">
        <v>9764397.9057591613</v>
      </c>
    </row>
    <row r="282" spans="24:27" x14ac:dyDescent="0.3">
      <c r="X282">
        <v>280</v>
      </c>
      <c r="Y282" s="3">
        <v>1160</v>
      </c>
      <c r="Z282" s="3">
        <v>9.5499999999999997E+51</v>
      </c>
      <c r="AA282" s="4">
        <v>10000000</v>
      </c>
    </row>
    <row r="283" spans="24:27" x14ac:dyDescent="0.3">
      <c r="X283">
        <v>281</v>
      </c>
      <c r="Y283" s="3">
        <v>1161</v>
      </c>
      <c r="Z283" s="3">
        <v>9.7749999999999991E+51</v>
      </c>
      <c r="AA283" s="4">
        <v>10235602.094240837</v>
      </c>
    </row>
    <row r="284" spans="24:27" x14ac:dyDescent="0.3">
      <c r="X284">
        <v>282</v>
      </c>
      <c r="Y284" s="3">
        <v>1162</v>
      </c>
      <c r="Z284" s="3">
        <v>9.9999999999999999E+51</v>
      </c>
      <c r="AA284" s="4">
        <v>10471204.188481675</v>
      </c>
    </row>
    <row r="285" spans="24:27" x14ac:dyDescent="0.3">
      <c r="X285">
        <v>283</v>
      </c>
      <c r="Y285" s="3">
        <v>1163</v>
      </c>
      <c r="Z285" s="3">
        <v>1.225E+52</v>
      </c>
      <c r="AA285" s="4">
        <v>12827225.130890053</v>
      </c>
    </row>
    <row r="286" spans="24:27" x14ac:dyDescent="0.3">
      <c r="X286">
        <v>284</v>
      </c>
      <c r="Y286" s="3">
        <v>1164</v>
      </c>
      <c r="Z286" s="3">
        <v>1.4499999999999997E+52</v>
      </c>
      <c r="AA286" s="4">
        <v>15183246.073298426</v>
      </c>
    </row>
    <row r="287" spans="24:27" x14ac:dyDescent="0.3">
      <c r="X287">
        <v>285</v>
      </c>
      <c r="Y287" s="3">
        <v>1165</v>
      </c>
      <c r="Z287" s="3">
        <v>1.675E+52</v>
      </c>
      <c r="AA287" s="4">
        <v>17539267.015706807</v>
      </c>
    </row>
    <row r="288" spans="24:27" x14ac:dyDescent="0.3">
      <c r="X288">
        <v>286</v>
      </c>
      <c r="Y288" s="3">
        <v>1166</v>
      </c>
      <c r="Z288" s="3">
        <v>1.9000000000000003E+52</v>
      </c>
      <c r="AA288" s="4">
        <v>19895287.958115187</v>
      </c>
    </row>
    <row r="289" spans="24:27" x14ac:dyDescent="0.3">
      <c r="X289">
        <v>287</v>
      </c>
      <c r="Y289" s="3">
        <v>1167</v>
      </c>
      <c r="Z289" s="3">
        <v>2.125E+52</v>
      </c>
      <c r="AA289" s="4">
        <v>22251308.900523562</v>
      </c>
    </row>
    <row r="290" spans="24:27" x14ac:dyDescent="0.3">
      <c r="X290">
        <v>288</v>
      </c>
      <c r="Y290" s="3">
        <v>1168</v>
      </c>
      <c r="Z290" s="3">
        <v>2.35E+52</v>
      </c>
      <c r="AA290" s="4">
        <v>24607329.842931937</v>
      </c>
    </row>
    <row r="291" spans="24:27" x14ac:dyDescent="0.3">
      <c r="X291">
        <v>289</v>
      </c>
      <c r="Y291" s="3">
        <v>1169</v>
      </c>
      <c r="Z291" s="3">
        <v>2.5749999999999997E+52</v>
      </c>
      <c r="AA291" s="4">
        <v>26963350.785340313</v>
      </c>
    </row>
    <row r="292" spans="24:27" x14ac:dyDescent="0.3">
      <c r="X292">
        <v>290</v>
      </c>
      <c r="Y292" s="3">
        <v>1170</v>
      </c>
      <c r="Z292" s="3">
        <v>2.8E+52</v>
      </c>
      <c r="AA292" s="4">
        <v>29319371.727748692</v>
      </c>
    </row>
    <row r="293" spans="24:27" x14ac:dyDescent="0.3">
      <c r="X293">
        <v>291</v>
      </c>
      <c r="Y293" s="3">
        <v>1171</v>
      </c>
      <c r="Z293" s="3">
        <v>3.0250000000000002E+52</v>
      </c>
      <c r="AA293" s="4">
        <v>31675392.670157071</v>
      </c>
    </row>
    <row r="294" spans="24:27" x14ac:dyDescent="0.3">
      <c r="X294">
        <v>292</v>
      </c>
      <c r="Y294" s="3">
        <v>1172</v>
      </c>
      <c r="Z294" s="3">
        <v>3.25E+52</v>
      </c>
      <c r="AA294" s="4">
        <v>34031413.612565443</v>
      </c>
    </row>
    <row r="295" spans="24:27" x14ac:dyDescent="0.3">
      <c r="X295">
        <v>293</v>
      </c>
      <c r="Y295" s="3">
        <v>1173</v>
      </c>
      <c r="Z295" s="3">
        <v>3.4750000000000002E+52</v>
      </c>
      <c r="AA295" s="4">
        <v>36387434.554973826</v>
      </c>
    </row>
    <row r="296" spans="24:27" x14ac:dyDescent="0.3">
      <c r="X296">
        <v>294</v>
      </c>
      <c r="Y296" s="3">
        <v>1174</v>
      </c>
      <c r="Z296" s="3">
        <v>3.7E+52</v>
      </c>
      <c r="AA296" s="4">
        <v>38743455.497382201</v>
      </c>
    </row>
    <row r="297" spans="24:27" x14ac:dyDescent="0.3">
      <c r="X297">
        <v>295</v>
      </c>
      <c r="Y297" s="3">
        <v>1175</v>
      </c>
      <c r="Z297" s="3">
        <v>3.9250000000000002E+52</v>
      </c>
      <c r="AA297" s="4">
        <v>41099476.439790577</v>
      </c>
    </row>
    <row r="298" spans="24:27" x14ac:dyDescent="0.3">
      <c r="X298">
        <v>296</v>
      </c>
      <c r="Y298" s="3">
        <v>1176</v>
      </c>
      <c r="Z298" s="3">
        <v>4.1500000000000005E+52</v>
      </c>
      <c r="AA298" s="4">
        <v>43455497.38219896</v>
      </c>
    </row>
    <row r="299" spans="24:27" x14ac:dyDescent="0.3">
      <c r="X299">
        <v>297</v>
      </c>
      <c r="Y299" s="3">
        <v>1177</v>
      </c>
      <c r="Z299" s="3">
        <v>4.3749999999999997E+52</v>
      </c>
      <c r="AA299" s="4">
        <v>45811518.324607328</v>
      </c>
    </row>
    <row r="300" spans="24:27" x14ac:dyDescent="0.3">
      <c r="X300">
        <v>298</v>
      </c>
      <c r="Y300" s="3">
        <v>1178</v>
      </c>
      <c r="Z300" s="3">
        <v>4.6E+52</v>
      </c>
      <c r="AA300" s="4">
        <v>48167539.26701571</v>
      </c>
    </row>
    <row r="301" spans="24:27" x14ac:dyDescent="0.3">
      <c r="X301">
        <v>299</v>
      </c>
      <c r="Y301" s="3">
        <v>1179</v>
      </c>
      <c r="Z301" s="3">
        <v>4.8250000000000013E+52</v>
      </c>
      <c r="AA301" s="4">
        <v>50523560.209424101</v>
      </c>
    </row>
    <row r="302" spans="24:27" x14ac:dyDescent="0.3">
      <c r="X302">
        <v>300</v>
      </c>
      <c r="Y302" s="3">
        <v>1180</v>
      </c>
      <c r="Z302" s="3">
        <v>5.0500000000000005E+52</v>
      </c>
      <c r="AA302" s="4">
        <v>52879581.151832469</v>
      </c>
    </row>
    <row r="303" spans="24:27" x14ac:dyDescent="0.3">
      <c r="X303">
        <v>301</v>
      </c>
      <c r="Y303" s="3">
        <v>1181</v>
      </c>
      <c r="Z303" s="3">
        <v>5.2749999999999997E+52</v>
      </c>
      <c r="AA303" s="4">
        <v>55235602.094240837</v>
      </c>
    </row>
    <row r="304" spans="24:27" x14ac:dyDescent="0.3">
      <c r="X304">
        <v>302</v>
      </c>
      <c r="Y304" s="3">
        <v>1182</v>
      </c>
      <c r="Z304" s="3">
        <v>5.5E+52</v>
      </c>
      <c r="AA304" s="4">
        <v>57591623.03664922</v>
      </c>
    </row>
    <row r="305" spans="24:27" x14ac:dyDescent="0.3">
      <c r="X305">
        <v>303</v>
      </c>
      <c r="Y305" s="3">
        <v>1183</v>
      </c>
      <c r="Z305" s="3">
        <v>5.7250000000000002E+52</v>
      </c>
      <c r="AA305" s="4">
        <v>59947643.979057595</v>
      </c>
    </row>
    <row r="306" spans="24:27" x14ac:dyDescent="0.3">
      <c r="X306">
        <v>304</v>
      </c>
      <c r="Y306" s="3">
        <v>1184</v>
      </c>
      <c r="Z306" s="3">
        <v>5.9500000000000005E+52</v>
      </c>
      <c r="AA306" s="4">
        <v>62303664.921465978</v>
      </c>
    </row>
    <row r="307" spans="24:27" x14ac:dyDescent="0.3">
      <c r="X307">
        <v>305</v>
      </c>
      <c r="Y307" s="3">
        <v>1185</v>
      </c>
      <c r="Z307" s="3">
        <v>6.1749999999999997E+52</v>
      </c>
      <c r="AA307" s="4">
        <v>64659685.863874346</v>
      </c>
    </row>
    <row r="308" spans="24:27" x14ac:dyDescent="0.3">
      <c r="X308">
        <v>306</v>
      </c>
      <c r="Y308" s="3">
        <v>1186</v>
      </c>
      <c r="Z308" s="3">
        <v>6.3999999999999989E+52</v>
      </c>
      <c r="AA308" s="4">
        <v>67015706.806282714</v>
      </c>
    </row>
    <row r="309" spans="24:27" x14ac:dyDescent="0.3">
      <c r="X309">
        <v>307</v>
      </c>
      <c r="Y309" s="3">
        <v>1187</v>
      </c>
      <c r="Z309" s="3">
        <v>6.6250000000000002E+52</v>
      </c>
      <c r="AA309" s="4">
        <v>69371727.748691097</v>
      </c>
    </row>
    <row r="310" spans="24:27" x14ac:dyDescent="0.3">
      <c r="X310">
        <v>308</v>
      </c>
      <c r="Y310" s="3">
        <v>1188</v>
      </c>
      <c r="Z310" s="3">
        <v>6.8500000000000005E+52</v>
      </c>
      <c r="AA310" s="4">
        <v>71727748.69109948</v>
      </c>
    </row>
    <row r="311" spans="24:27" x14ac:dyDescent="0.3">
      <c r="X311">
        <v>309</v>
      </c>
      <c r="Y311" s="3">
        <v>1189</v>
      </c>
      <c r="Z311" s="3">
        <v>7.0749999999999997E+52</v>
      </c>
      <c r="AA311" s="4">
        <v>74083769.633507848</v>
      </c>
    </row>
    <row r="312" spans="24:27" x14ac:dyDescent="0.3">
      <c r="X312">
        <v>310</v>
      </c>
      <c r="Y312" s="3">
        <v>1190</v>
      </c>
      <c r="Z312" s="3">
        <v>7.3E+52</v>
      </c>
      <c r="AA312" s="4">
        <v>76439790.575916231</v>
      </c>
    </row>
    <row r="313" spans="24:27" x14ac:dyDescent="0.3">
      <c r="X313">
        <v>311</v>
      </c>
      <c r="Y313" s="3">
        <v>1191</v>
      </c>
      <c r="Z313" s="3">
        <v>7.5249999999999992E+52</v>
      </c>
      <c r="AA313" s="4">
        <v>78795811.518324599</v>
      </c>
    </row>
    <row r="314" spans="24:27" x14ac:dyDescent="0.3">
      <c r="X314">
        <v>312</v>
      </c>
      <c r="Y314" s="3">
        <v>1192</v>
      </c>
      <c r="Z314" s="3">
        <v>7.7499999999999994E+52</v>
      </c>
      <c r="AA314" s="4">
        <v>81151832.460732982</v>
      </c>
    </row>
    <row r="315" spans="24:27" x14ac:dyDescent="0.3">
      <c r="X315">
        <v>313</v>
      </c>
      <c r="Y315" s="3">
        <v>1193</v>
      </c>
      <c r="Z315" s="3">
        <v>7.9750000000000007E+52</v>
      </c>
      <c r="AA315" s="4">
        <v>83507853.403141364</v>
      </c>
    </row>
    <row r="316" spans="24:27" x14ac:dyDescent="0.3">
      <c r="X316">
        <v>314</v>
      </c>
      <c r="Y316" s="3">
        <v>1194</v>
      </c>
      <c r="Z316" s="3">
        <v>8.1999999999999989E+52</v>
      </c>
      <c r="AA316" s="4">
        <v>85863874.345549732</v>
      </c>
    </row>
    <row r="317" spans="24:27" x14ac:dyDescent="0.3">
      <c r="X317">
        <v>315</v>
      </c>
      <c r="Y317" s="3">
        <v>1195</v>
      </c>
      <c r="Z317" s="3">
        <v>8.4250000000000002E+52</v>
      </c>
      <c r="AA317" s="4">
        <v>88219895.287958115</v>
      </c>
    </row>
    <row r="318" spans="24:27" x14ac:dyDescent="0.3">
      <c r="X318">
        <v>316</v>
      </c>
      <c r="Y318" s="3">
        <v>1196</v>
      </c>
      <c r="Z318" s="3">
        <v>8.6499999999999994E+52</v>
      </c>
      <c r="AA318" s="4">
        <v>90575916.230366483</v>
      </c>
    </row>
    <row r="319" spans="24:27" x14ac:dyDescent="0.3">
      <c r="X319">
        <v>317</v>
      </c>
      <c r="Y319" s="3">
        <v>1197</v>
      </c>
      <c r="Z319" s="3">
        <v>8.8749999999999997E+52</v>
      </c>
      <c r="AA319" s="4">
        <v>92931937.172774866</v>
      </c>
    </row>
    <row r="320" spans="24:27" x14ac:dyDescent="0.3">
      <c r="X320">
        <v>318</v>
      </c>
      <c r="Y320" s="3">
        <v>1198</v>
      </c>
      <c r="Z320" s="3">
        <v>9.0999999999999978E+52</v>
      </c>
      <c r="AA320" s="4">
        <v>95287958.115183219</v>
      </c>
    </row>
    <row r="321" spans="24:27" x14ac:dyDescent="0.3">
      <c r="X321">
        <v>319</v>
      </c>
      <c r="Y321" s="3">
        <v>1199</v>
      </c>
      <c r="Z321" s="3">
        <v>9.3249999999999991E+52</v>
      </c>
      <c r="AA321" s="4">
        <v>97643979.057591617</v>
      </c>
    </row>
    <row r="322" spans="24:27" x14ac:dyDescent="0.3">
      <c r="X322">
        <v>320</v>
      </c>
      <c r="Y322" s="3">
        <v>1200</v>
      </c>
      <c r="Z322" s="3">
        <v>9.5500000000000005E+52</v>
      </c>
      <c r="AA322" s="4">
        <v>100000000.00000001</v>
      </c>
    </row>
    <row r="323" spans="24:27" x14ac:dyDescent="0.3">
      <c r="X323">
        <v>321</v>
      </c>
      <c r="Y323" s="3">
        <v>1201</v>
      </c>
      <c r="Z323" s="3">
        <v>9.7749999999999997E+52</v>
      </c>
      <c r="AA323" s="4">
        <v>102356020.94240838</v>
      </c>
    </row>
    <row r="324" spans="24:27" x14ac:dyDescent="0.3">
      <c r="X324">
        <v>322</v>
      </c>
      <c r="Y324" s="3">
        <v>1202</v>
      </c>
      <c r="Z324" s="3">
        <v>9.9999999999999999E+52</v>
      </c>
      <c r="AA324" s="4">
        <v>104712041.88481675</v>
      </c>
    </row>
    <row r="325" spans="24:27" x14ac:dyDescent="0.3">
      <c r="X325">
        <v>323</v>
      </c>
      <c r="Y325" s="3">
        <v>1203</v>
      </c>
      <c r="Z325" s="3">
        <v>1.225E+53</v>
      </c>
      <c r="AA325" s="4">
        <v>128272251.30890054</v>
      </c>
    </row>
    <row r="326" spans="24:27" x14ac:dyDescent="0.3">
      <c r="X326">
        <v>324</v>
      </c>
      <c r="Y326" s="3">
        <v>1204</v>
      </c>
      <c r="Z326" s="3">
        <v>1.4499999999999999E+53</v>
      </c>
      <c r="AA326" s="4">
        <v>151832460.73298427</v>
      </c>
    </row>
    <row r="327" spans="24:27" x14ac:dyDescent="0.3">
      <c r="X327">
        <v>325</v>
      </c>
      <c r="Y327" s="3">
        <v>1205</v>
      </c>
      <c r="Z327" s="3">
        <v>1.6749999999999999E+53</v>
      </c>
      <c r="AA327" s="4">
        <v>175392670.15706807</v>
      </c>
    </row>
    <row r="328" spans="24:27" x14ac:dyDescent="0.3">
      <c r="X328">
        <v>326</v>
      </c>
      <c r="Y328" s="3">
        <v>1206</v>
      </c>
      <c r="Z328" s="3">
        <v>1.9000000000000004E+53</v>
      </c>
      <c r="AA328" s="4">
        <v>198952879.58115187</v>
      </c>
    </row>
    <row r="329" spans="24:27" x14ac:dyDescent="0.3">
      <c r="X329">
        <v>327</v>
      </c>
      <c r="Y329" s="3">
        <v>1207</v>
      </c>
      <c r="Z329" s="3">
        <v>2.125E+53</v>
      </c>
      <c r="AA329" s="4">
        <v>222513089.00523561</v>
      </c>
    </row>
    <row r="330" spans="24:27" x14ac:dyDescent="0.3">
      <c r="X330">
        <v>328</v>
      </c>
      <c r="Y330" s="3">
        <v>1208</v>
      </c>
      <c r="Z330" s="3">
        <v>2.3499999999999999E+53</v>
      </c>
      <c r="AA330" s="4">
        <v>246073298.42931938</v>
      </c>
    </row>
    <row r="331" spans="24:27" x14ac:dyDescent="0.3">
      <c r="X331">
        <v>329</v>
      </c>
      <c r="Y331" s="3">
        <v>1209</v>
      </c>
      <c r="Z331" s="3">
        <v>2.5749999999999997E+53</v>
      </c>
      <c r="AA331" s="4">
        <v>269633507.85340309</v>
      </c>
    </row>
    <row r="332" spans="24:27" x14ac:dyDescent="0.3">
      <c r="X332">
        <v>330</v>
      </c>
      <c r="Y332" s="3">
        <v>1210</v>
      </c>
      <c r="Z332" s="3">
        <v>2.8E+53</v>
      </c>
      <c r="AA332" s="4">
        <v>293193717.27748692</v>
      </c>
    </row>
    <row r="333" spans="24:27" x14ac:dyDescent="0.3">
      <c r="X333">
        <v>331</v>
      </c>
      <c r="Y333" s="3">
        <v>1211</v>
      </c>
      <c r="Z333" s="3">
        <v>3.0250000000000002E+53</v>
      </c>
      <c r="AA333" s="4">
        <v>316753926.70157069</v>
      </c>
    </row>
    <row r="334" spans="24:27" x14ac:dyDescent="0.3">
      <c r="X334">
        <v>332</v>
      </c>
      <c r="Y334" s="3">
        <v>1212</v>
      </c>
      <c r="Z334" s="3">
        <v>3.2499999999999997E+53</v>
      </c>
      <c r="AA334" s="4">
        <v>340314136.1256544</v>
      </c>
    </row>
    <row r="335" spans="24:27" x14ac:dyDescent="0.3">
      <c r="X335">
        <v>333</v>
      </c>
      <c r="Y335" s="3">
        <v>1213</v>
      </c>
      <c r="Z335" s="3">
        <v>3.4750000000000003E+53</v>
      </c>
      <c r="AA335" s="4">
        <v>363874345.54973829</v>
      </c>
    </row>
    <row r="336" spans="24:27" x14ac:dyDescent="0.3">
      <c r="X336">
        <v>334</v>
      </c>
      <c r="Y336" s="3">
        <v>1214</v>
      </c>
      <c r="Z336" s="3">
        <v>3.6999999999999998E+53</v>
      </c>
      <c r="AA336" s="4">
        <v>387434554.973822</v>
      </c>
    </row>
    <row r="337" spans="24:27" x14ac:dyDescent="0.3">
      <c r="X337">
        <v>335</v>
      </c>
      <c r="Y337" s="3">
        <v>1215</v>
      </c>
      <c r="Z337" s="3">
        <v>3.9250000000000005E+53</v>
      </c>
      <c r="AA337" s="4">
        <v>410994764.39790583</v>
      </c>
    </row>
    <row r="338" spans="24:27" x14ac:dyDescent="0.3">
      <c r="X338">
        <v>336</v>
      </c>
      <c r="Y338" s="3">
        <v>1216</v>
      </c>
      <c r="Z338" s="3">
        <v>4.1500000000000007E+53</v>
      </c>
      <c r="AA338" s="4">
        <v>434554973.8219896</v>
      </c>
    </row>
    <row r="339" spans="24:27" x14ac:dyDescent="0.3">
      <c r="X339">
        <v>337</v>
      </c>
      <c r="Y339" s="3">
        <v>1217</v>
      </c>
      <c r="Z339" s="3">
        <v>4.3749999999999993E+53</v>
      </c>
      <c r="AA339" s="4">
        <v>458115183.24607325</v>
      </c>
    </row>
    <row r="340" spans="24:27" x14ac:dyDescent="0.3">
      <c r="X340">
        <v>338</v>
      </c>
      <c r="Y340" s="3">
        <v>1218</v>
      </c>
      <c r="Z340" s="3">
        <v>4.6000000000000004E+53</v>
      </c>
      <c r="AA340" s="4">
        <v>481675392.67015713</v>
      </c>
    </row>
    <row r="341" spans="24:27" x14ac:dyDescent="0.3">
      <c r="X341">
        <v>339</v>
      </c>
      <c r="Y341" s="3">
        <v>1219</v>
      </c>
      <c r="Z341" s="3">
        <v>4.8250000000000007E+53</v>
      </c>
      <c r="AA341" s="4">
        <v>505235602.0942409</v>
      </c>
    </row>
    <row r="342" spans="24:27" x14ac:dyDescent="0.3">
      <c r="X342">
        <v>340</v>
      </c>
      <c r="Y342" s="3">
        <v>1220</v>
      </c>
      <c r="Z342" s="3">
        <v>5.0500000000000001E+53</v>
      </c>
      <c r="AA342" s="4">
        <v>528795811.51832461</v>
      </c>
    </row>
    <row r="343" spans="24:27" x14ac:dyDescent="0.3">
      <c r="X343">
        <v>341</v>
      </c>
      <c r="Y343" s="3">
        <v>1221</v>
      </c>
      <c r="Z343" s="3">
        <v>5.2749999999999995E+53</v>
      </c>
      <c r="AA343" s="4">
        <v>552356020.94240832</v>
      </c>
    </row>
    <row r="344" spans="24:27" x14ac:dyDescent="0.3">
      <c r="X344">
        <v>342</v>
      </c>
      <c r="Y344" s="3">
        <v>1222</v>
      </c>
      <c r="Z344" s="3">
        <v>5.4999999999999998E+53</v>
      </c>
      <c r="AA344" s="4">
        <v>575916230.36649215</v>
      </c>
    </row>
    <row r="345" spans="24:27" x14ac:dyDescent="0.3">
      <c r="X345">
        <v>343</v>
      </c>
      <c r="Y345" s="3">
        <v>1223</v>
      </c>
      <c r="Z345" s="3">
        <v>5.7250000000000009E+53</v>
      </c>
      <c r="AA345" s="4">
        <v>599476439.79057598</v>
      </c>
    </row>
    <row r="346" spans="24:27" x14ac:dyDescent="0.3">
      <c r="X346">
        <v>344</v>
      </c>
      <c r="Y346" s="3">
        <v>1224</v>
      </c>
      <c r="Z346" s="3">
        <v>5.9500000000000011E+53</v>
      </c>
      <c r="AA346" s="4">
        <v>623036649.21465981</v>
      </c>
    </row>
    <row r="347" spans="24:27" x14ac:dyDescent="0.3">
      <c r="X347">
        <v>345</v>
      </c>
      <c r="Y347" s="3">
        <v>1225</v>
      </c>
      <c r="Z347" s="3">
        <v>6.1749999999999997E+53</v>
      </c>
      <c r="AA347" s="4">
        <v>646596858.6387434</v>
      </c>
    </row>
    <row r="348" spans="24:27" x14ac:dyDescent="0.3">
      <c r="X348">
        <v>346</v>
      </c>
      <c r="Y348" s="3">
        <v>1226</v>
      </c>
      <c r="Z348" s="3">
        <v>6.3999999999999991E+53</v>
      </c>
      <c r="AA348" s="4">
        <v>670157068.06282711</v>
      </c>
    </row>
    <row r="349" spans="24:27" x14ac:dyDescent="0.3">
      <c r="X349">
        <v>347</v>
      </c>
      <c r="Y349" s="3">
        <v>1227</v>
      </c>
      <c r="Z349" s="3">
        <v>6.6250000000000002E+53</v>
      </c>
      <c r="AA349" s="4">
        <v>693717277.48691106</v>
      </c>
    </row>
    <row r="350" spans="24:27" x14ac:dyDescent="0.3">
      <c r="X350">
        <v>348</v>
      </c>
      <c r="Y350" s="3">
        <v>1228</v>
      </c>
      <c r="Z350" s="3">
        <v>6.8500000000000013E+53</v>
      </c>
      <c r="AA350" s="4">
        <v>717277486.91099489</v>
      </c>
    </row>
    <row r="351" spans="24:27" x14ac:dyDescent="0.3">
      <c r="X351">
        <v>349</v>
      </c>
      <c r="Y351" s="3">
        <v>1229</v>
      </c>
      <c r="Z351" s="3">
        <v>7.074999999999999E+53</v>
      </c>
      <c r="AA351" s="4">
        <v>740837696.33507848</v>
      </c>
    </row>
    <row r="352" spans="24:27" x14ac:dyDescent="0.3">
      <c r="X352">
        <v>350</v>
      </c>
      <c r="Y352" s="3">
        <v>1230</v>
      </c>
      <c r="Z352" s="3">
        <v>7.3000000000000002E+53</v>
      </c>
      <c r="AA352" s="4">
        <v>764397905.75916231</v>
      </c>
    </row>
    <row r="353" spans="24:27" x14ac:dyDescent="0.3">
      <c r="X353">
        <v>351</v>
      </c>
      <c r="Y353" s="3">
        <v>1231</v>
      </c>
      <c r="Z353" s="3">
        <v>7.5249999999999987E+53</v>
      </c>
      <c r="AA353" s="4">
        <v>787958115.18324602</v>
      </c>
    </row>
    <row r="354" spans="24:27" x14ac:dyDescent="0.3">
      <c r="X354">
        <v>352</v>
      </c>
      <c r="Y354" s="3">
        <v>1232</v>
      </c>
      <c r="Z354" s="3">
        <v>7.7499999999999998E+53</v>
      </c>
      <c r="AA354" s="4">
        <v>811518324.60732985</v>
      </c>
    </row>
    <row r="355" spans="24:27" x14ac:dyDescent="0.3">
      <c r="X355">
        <v>353</v>
      </c>
      <c r="Y355" s="3">
        <v>1233</v>
      </c>
      <c r="Z355" s="3">
        <v>7.975000000000001E+53</v>
      </c>
      <c r="AA355" s="4">
        <v>835078534.03141379</v>
      </c>
    </row>
    <row r="356" spans="24:27" x14ac:dyDescent="0.3">
      <c r="X356">
        <v>354</v>
      </c>
      <c r="Y356" s="3">
        <v>1234</v>
      </c>
      <c r="Z356" s="3">
        <v>8.1999999999999987E+53</v>
      </c>
      <c r="AA356" s="4">
        <v>858638743.45549726</v>
      </c>
    </row>
    <row r="357" spans="24:27" x14ac:dyDescent="0.3">
      <c r="X357">
        <v>355</v>
      </c>
      <c r="Y357" s="3">
        <v>1235</v>
      </c>
      <c r="Z357" s="3">
        <v>8.4249999999999998E+53</v>
      </c>
      <c r="AA357" s="4">
        <v>882198952.87958121</v>
      </c>
    </row>
    <row r="358" spans="24:27" x14ac:dyDescent="0.3">
      <c r="X358">
        <v>356</v>
      </c>
      <c r="Y358" s="3">
        <v>1236</v>
      </c>
      <c r="Z358" s="3">
        <v>8.6499999999999992E+53</v>
      </c>
      <c r="AA358" s="4">
        <v>905759162.30366492</v>
      </c>
    </row>
    <row r="359" spans="24:27" x14ac:dyDescent="0.3">
      <c r="X359">
        <v>357</v>
      </c>
      <c r="Y359" s="3">
        <v>1237</v>
      </c>
      <c r="Z359" s="3">
        <v>8.8750000000000003E+53</v>
      </c>
      <c r="AA359" s="4">
        <v>929319371.72774875</v>
      </c>
    </row>
    <row r="360" spans="24:27" x14ac:dyDescent="0.3">
      <c r="X360">
        <v>358</v>
      </c>
      <c r="Y360" s="3">
        <v>1238</v>
      </c>
      <c r="Z360" s="3">
        <v>9.099999999999998E+53</v>
      </c>
      <c r="AA360" s="4">
        <v>952879581.15183234</v>
      </c>
    </row>
    <row r="361" spans="24:27" x14ac:dyDescent="0.3">
      <c r="X361">
        <v>359</v>
      </c>
      <c r="Y361" s="3">
        <v>1239</v>
      </c>
      <c r="Z361" s="3">
        <v>9.3249999999999991E+53</v>
      </c>
      <c r="AA361" s="4">
        <v>976439790.57591617</v>
      </c>
    </row>
    <row r="362" spans="24:27" x14ac:dyDescent="0.3">
      <c r="X362">
        <v>360</v>
      </c>
      <c r="Y362" s="3">
        <v>1240</v>
      </c>
      <c r="Z362" s="3">
        <v>9.5500000000000003E+53</v>
      </c>
      <c r="AA362" s="4">
        <v>1000000000</v>
      </c>
    </row>
    <row r="363" spans="24:27" x14ac:dyDescent="0.3">
      <c r="X363">
        <v>361</v>
      </c>
      <c r="Y363" s="3">
        <v>1241</v>
      </c>
      <c r="Z363" s="3">
        <v>9.7749999999999997E+53</v>
      </c>
      <c r="AA363" s="4">
        <v>1023560209.4240837</v>
      </c>
    </row>
    <row r="364" spans="24:27" x14ac:dyDescent="0.3">
      <c r="X364">
        <v>362</v>
      </c>
      <c r="Y364" s="3">
        <v>1242</v>
      </c>
      <c r="Z364" s="3">
        <v>1.0000000000000001E+54</v>
      </c>
      <c r="AA364" s="4">
        <v>1047120418.8481677</v>
      </c>
    </row>
    <row r="365" spans="24:27" x14ac:dyDescent="0.3">
      <c r="X365">
        <v>363</v>
      </c>
      <c r="Y365" s="3">
        <v>1243</v>
      </c>
      <c r="Z365" s="3">
        <v>1.225E+54</v>
      </c>
      <c r="AA365" s="4">
        <v>1282722513.0890052</v>
      </c>
    </row>
    <row r="366" spans="24:27" x14ac:dyDescent="0.3">
      <c r="X366">
        <v>364</v>
      </c>
      <c r="Y366" s="3">
        <v>1244</v>
      </c>
      <c r="Z366" s="3">
        <v>1.4499999999999998E+54</v>
      </c>
      <c r="AA366" s="4">
        <v>1518324607.3298428</v>
      </c>
    </row>
    <row r="367" spans="24:27" x14ac:dyDescent="0.3">
      <c r="X367">
        <v>365</v>
      </c>
      <c r="Y367" s="3">
        <v>1245</v>
      </c>
      <c r="Z367" s="3">
        <v>1.675E+54</v>
      </c>
      <c r="AA367" s="4">
        <v>1753926701.5706806</v>
      </c>
    </row>
    <row r="368" spans="24:27" x14ac:dyDescent="0.3">
      <c r="X368">
        <v>366</v>
      </c>
      <c r="Y368" s="3">
        <v>1246</v>
      </c>
      <c r="Z368" s="3">
        <v>1.9000000000000005E+54</v>
      </c>
      <c r="AA368" s="4">
        <v>1989528795.8115189</v>
      </c>
    </row>
    <row r="369" spans="24:27" x14ac:dyDescent="0.3">
      <c r="X369">
        <v>367</v>
      </c>
      <c r="Y369" s="3">
        <v>1247</v>
      </c>
      <c r="Z369" s="3">
        <v>2.1249999999999999E+54</v>
      </c>
      <c r="AA369" s="4">
        <v>2225130890.0523558</v>
      </c>
    </row>
    <row r="370" spans="24:27" x14ac:dyDescent="0.3">
      <c r="X370">
        <v>368</v>
      </c>
      <c r="Y370" s="3">
        <v>1248</v>
      </c>
      <c r="Z370" s="3">
        <v>2.35E+54</v>
      </c>
      <c r="AA370" s="4">
        <v>2460732984.2931938</v>
      </c>
    </row>
    <row r="371" spans="24:27" x14ac:dyDescent="0.3">
      <c r="X371">
        <v>369</v>
      </c>
      <c r="Y371" s="3">
        <v>1249</v>
      </c>
      <c r="Z371" s="3">
        <v>2.5749999999999997E+54</v>
      </c>
      <c r="AA371" s="4">
        <v>2696335078.5340314</v>
      </c>
    </row>
    <row r="372" spans="24:27" x14ac:dyDescent="0.3">
      <c r="X372">
        <v>370</v>
      </c>
      <c r="Y372" s="3">
        <v>1250</v>
      </c>
      <c r="Z372" s="3">
        <v>2.8000000000000002E+54</v>
      </c>
      <c r="AA372" s="4">
        <v>2931937172.7748694</v>
      </c>
    </row>
    <row r="373" spans="24:27" x14ac:dyDescent="0.3">
      <c r="X373">
        <v>371</v>
      </c>
      <c r="Y373" s="3">
        <v>1251</v>
      </c>
      <c r="Z373" s="3">
        <v>3.0250000000000002E+54</v>
      </c>
      <c r="AA373" s="4">
        <v>3167539267.015707</v>
      </c>
    </row>
    <row r="374" spans="24:27" x14ac:dyDescent="0.3">
      <c r="X374">
        <v>372</v>
      </c>
      <c r="Y374" s="3">
        <v>1252</v>
      </c>
      <c r="Z374" s="3">
        <v>3.25E+54</v>
      </c>
      <c r="AA374" s="4">
        <v>3403141361.2565446</v>
      </c>
    </row>
    <row r="375" spans="24:27" x14ac:dyDescent="0.3">
      <c r="X375">
        <v>373</v>
      </c>
      <c r="Y375" s="3">
        <v>1253</v>
      </c>
      <c r="Z375" s="3">
        <v>3.4750000000000004E+54</v>
      </c>
      <c r="AA375" s="4">
        <v>3638743455.4973826</v>
      </c>
    </row>
    <row r="376" spans="24:27" x14ac:dyDescent="0.3">
      <c r="X376">
        <v>374</v>
      </c>
      <c r="Y376" s="3">
        <v>1254</v>
      </c>
      <c r="Z376" s="3">
        <v>3.7000000000000002E+54</v>
      </c>
      <c r="AA376" s="4">
        <v>3874345549.7382202</v>
      </c>
    </row>
    <row r="377" spans="24:27" x14ac:dyDescent="0.3">
      <c r="X377">
        <v>375</v>
      </c>
      <c r="Y377" s="3">
        <v>1255</v>
      </c>
      <c r="Z377" s="3">
        <v>3.9249999999999999E+54</v>
      </c>
      <c r="AA377" s="4">
        <v>4109947643.9790578</v>
      </c>
    </row>
    <row r="378" spans="24:27" x14ac:dyDescent="0.3">
      <c r="X378">
        <v>376</v>
      </c>
      <c r="Y378" s="3">
        <v>1256</v>
      </c>
      <c r="Z378" s="3">
        <v>4.1500000000000004E+54</v>
      </c>
      <c r="AA378" s="4">
        <v>4345549738.2198954</v>
      </c>
    </row>
    <row r="379" spans="24:27" x14ac:dyDescent="0.3">
      <c r="X379">
        <v>377</v>
      </c>
      <c r="Y379" s="3">
        <v>1257</v>
      </c>
      <c r="Z379" s="3">
        <v>4.3749999999999994E+54</v>
      </c>
      <c r="AA379" s="4">
        <v>4581151832.4607325</v>
      </c>
    </row>
    <row r="380" spans="24:27" x14ac:dyDescent="0.3">
      <c r="X380">
        <v>378</v>
      </c>
      <c r="Y380" s="3">
        <v>1258</v>
      </c>
      <c r="Z380" s="3">
        <v>4.5999999999999999E+54</v>
      </c>
      <c r="AA380" s="4">
        <v>4816753926.7015705</v>
      </c>
    </row>
    <row r="381" spans="24:27" x14ac:dyDescent="0.3">
      <c r="X381">
        <v>379</v>
      </c>
      <c r="Y381" s="3">
        <v>1259</v>
      </c>
      <c r="Z381" s="3">
        <v>4.825000000000001E+54</v>
      </c>
      <c r="AA381" s="4">
        <v>5052356020.9424095</v>
      </c>
    </row>
    <row r="382" spans="24:27" x14ac:dyDescent="0.3">
      <c r="X382">
        <v>380</v>
      </c>
      <c r="Y382" s="3">
        <v>1260</v>
      </c>
      <c r="Z382" s="3">
        <v>5.0500000000000001E+54</v>
      </c>
      <c r="AA382" s="4">
        <v>5287958115.1832466</v>
      </c>
    </row>
    <row r="383" spans="24:27" x14ac:dyDescent="0.3">
      <c r="X383">
        <v>381</v>
      </c>
      <c r="Y383" s="3">
        <v>1261</v>
      </c>
      <c r="Z383" s="3">
        <v>5.2749999999999998E+54</v>
      </c>
      <c r="AA383" s="4">
        <v>5523560209.4240837</v>
      </c>
    </row>
    <row r="384" spans="24:27" x14ac:dyDescent="0.3">
      <c r="X384">
        <v>382</v>
      </c>
      <c r="Y384" s="3">
        <v>1262</v>
      </c>
      <c r="Z384" s="3">
        <v>5.4999999999999996E+54</v>
      </c>
      <c r="AA384" s="4">
        <v>5759162303.6649208</v>
      </c>
    </row>
    <row r="385" spans="24:27" x14ac:dyDescent="0.3">
      <c r="X385">
        <v>383</v>
      </c>
      <c r="Y385" s="3">
        <v>1263</v>
      </c>
      <c r="Z385" s="3">
        <v>5.7250000000000007E+54</v>
      </c>
      <c r="AA385" s="4">
        <v>5994764397.9057598</v>
      </c>
    </row>
    <row r="386" spans="24:27" x14ac:dyDescent="0.3">
      <c r="X386">
        <v>384</v>
      </c>
      <c r="Y386" s="3">
        <v>1264</v>
      </c>
      <c r="Z386" s="3">
        <v>5.9500000000000011E+54</v>
      </c>
      <c r="AA386" s="4">
        <v>6230366492.1465979</v>
      </c>
    </row>
    <row r="387" spans="24:27" x14ac:dyDescent="0.3">
      <c r="X387">
        <v>385</v>
      </c>
      <c r="Y387" s="3">
        <v>1265</v>
      </c>
      <c r="Z387" s="3">
        <v>6.1749999999999988E+54</v>
      </c>
      <c r="AA387" s="4">
        <v>6465968586.387434</v>
      </c>
    </row>
    <row r="388" spans="24:27" x14ac:dyDescent="0.3">
      <c r="X388">
        <v>386</v>
      </c>
      <c r="Y388" s="3">
        <v>1266</v>
      </c>
      <c r="Z388" s="3">
        <v>6.3999999999999986E+54</v>
      </c>
      <c r="AA388" s="4">
        <v>6701570680.6282711</v>
      </c>
    </row>
    <row r="389" spans="24:27" x14ac:dyDescent="0.3">
      <c r="X389">
        <v>387</v>
      </c>
      <c r="Y389" s="3">
        <v>1267</v>
      </c>
      <c r="Z389" s="3">
        <v>6.6249999999999997E+54</v>
      </c>
      <c r="AA389" s="4">
        <v>6937172774.8691101</v>
      </c>
    </row>
    <row r="390" spans="24:27" x14ac:dyDescent="0.3">
      <c r="X390">
        <v>388</v>
      </c>
      <c r="Y390" s="3">
        <v>1268</v>
      </c>
      <c r="Z390" s="3">
        <v>6.8500000000000008E+54</v>
      </c>
      <c r="AA390" s="4">
        <v>7172774869.1099491</v>
      </c>
    </row>
    <row r="391" spans="24:27" x14ac:dyDescent="0.3">
      <c r="X391">
        <v>389</v>
      </c>
      <c r="Y391" s="3">
        <v>1269</v>
      </c>
      <c r="Z391" s="3">
        <v>7.0749999999999992E+54</v>
      </c>
      <c r="AA391" s="4">
        <v>7408376963.3507843</v>
      </c>
    </row>
    <row r="392" spans="24:27" x14ac:dyDescent="0.3">
      <c r="X392">
        <v>390</v>
      </c>
      <c r="Y392" s="3">
        <v>1270</v>
      </c>
      <c r="Z392" s="3">
        <v>7.3000000000000003E+54</v>
      </c>
      <c r="AA392" s="4">
        <v>7643979057.5916233</v>
      </c>
    </row>
    <row r="393" spans="24:27" x14ac:dyDescent="0.3">
      <c r="X393">
        <v>391</v>
      </c>
      <c r="Y393" s="3">
        <v>1271</v>
      </c>
      <c r="Z393" s="3">
        <v>7.5249999999999987E+54</v>
      </c>
      <c r="AA393" s="4">
        <v>7879581151.8324594</v>
      </c>
    </row>
    <row r="394" spans="24:27" x14ac:dyDescent="0.3">
      <c r="X394">
        <v>392</v>
      </c>
      <c r="Y394" s="3">
        <v>1272</v>
      </c>
      <c r="Z394" s="3">
        <v>7.7499999999999998E+54</v>
      </c>
      <c r="AA394" s="4">
        <v>8115183246.0732985</v>
      </c>
    </row>
    <row r="395" spans="24:27" x14ac:dyDescent="0.3">
      <c r="X395">
        <v>393</v>
      </c>
      <c r="Y395" s="3">
        <v>1273</v>
      </c>
      <c r="Z395" s="3">
        <v>7.975000000000001E+54</v>
      </c>
      <c r="AA395" s="4">
        <v>8350785340.3141375</v>
      </c>
    </row>
    <row r="396" spans="24:27" x14ac:dyDescent="0.3">
      <c r="X396">
        <v>394</v>
      </c>
      <c r="Y396" s="3">
        <v>1274</v>
      </c>
      <c r="Z396" s="3">
        <v>8.1999999999999993E+54</v>
      </c>
      <c r="AA396" s="4">
        <v>8586387434.5549736</v>
      </c>
    </row>
    <row r="397" spans="24:27" x14ac:dyDescent="0.3">
      <c r="X397">
        <v>395</v>
      </c>
      <c r="Y397" s="3">
        <v>1275</v>
      </c>
      <c r="Z397" s="3">
        <v>8.4250000000000005E+54</v>
      </c>
      <c r="AA397" s="4">
        <v>8821989528.7958126</v>
      </c>
    </row>
    <row r="398" spans="24:27" x14ac:dyDescent="0.3">
      <c r="X398">
        <v>396</v>
      </c>
      <c r="Y398" s="3">
        <v>1276</v>
      </c>
      <c r="Z398" s="3">
        <v>8.6500000000000002E+54</v>
      </c>
      <c r="AA398" s="4">
        <v>9057591623.0366497</v>
      </c>
    </row>
    <row r="399" spans="24:27" x14ac:dyDescent="0.3">
      <c r="X399">
        <v>397</v>
      </c>
      <c r="Y399" s="3">
        <v>1277</v>
      </c>
      <c r="Z399" s="3">
        <v>8.875E+54</v>
      </c>
      <c r="AA399" s="4">
        <v>9293193717.2774868</v>
      </c>
    </row>
    <row r="400" spans="24:27" x14ac:dyDescent="0.3">
      <c r="X400">
        <v>398</v>
      </c>
      <c r="Y400" s="3">
        <v>1278</v>
      </c>
      <c r="Z400" s="3">
        <v>9.0999999999999984E+54</v>
      </c>
      <c r="AA400" s="4">
        <v>9528795811.5183239</v>
      </c>
    </row>
    <row r="401" spans="24:27" x14ac:dyDescent="0.3">
      <c r="X401">
        <v>399</v>
      </c>
      <c r="Y401" s="3">
        <v>1279</v>
      </c>
      <c r="Z401" s="3">
        <v>9.3249999999999995E+54</v>
      </c>
      <c r="AA401" s="4">
        <v>9764397905.7591629</v>
      </c>
    </row>
    <row r="402" spans="24:27" x14ac:dyDescent="0.3">
      <c r="X402">
        <v>400</v>
      </c>
      <c r="Y402" s="3">
        <v>1280</v>
      </c>
      <c r="Z402" s="3">
        <v>9.5500000000000006E+54</v>
      </c>
      <c r="AA402" s="4">
        <v>10000000000</v>
      </c>
    </row>
    <row r="403" spans="24:27" x14ac:dyDescent="0.3">
      <c r="X403">
        <v>401</v>
      </c>
      <c r="Y403" s="3">
        <v>1281</v>
      </c>
      <c r="Z403" s="3">
        <v>9.7750000000000003E+54</v>
      </c>
      <c r="AA403" s="4">
        <v>10235602094.240839</v>
      </c>
    </row>
    <row r="404" spans="24:27" x14ac:dyDescent="0.3">
      <c r="X404">
        <v>402</v>
      </c>
      <c r="Y404" s="3">
        <v>1282</v>
      </c>
      <c r="Z404" s="3">
        <v>1E+55</v>
      </c>
      <c r="AA404" s="4">
        <v>10471204188.481676</v>
      </c>
    </row>
    <row r="405" spans="24:27" x14ac:dyDescent="0.3">
      <c r="X405">
        <v>403</v>
      </c>
      <c r="Y405" s="3">
        <v>1283</v>
      </c>
      <c r="Z405" s="3">
        <v>1.225E+55</v>
      </c>
      <c r="AA405" s="4">
        <v>12827225130.890053</v>
      </c>
    </row>
    <row r="406" spans="24:27" x14ac:dyDescent="0.3">
      <c r="X406">
        <v>404</v>
      </c>
      <c r="Y406" s="3">
        <v>1284</v>
      </c>
      <c r="Z406" s="3">
        <v>1.4499999999999997E+55</v>
      </c>
      <c r="AA406" s="4">
        <v>15183246073.298426</v>
      </c>
    </row>
    <row r="407" spans="24:27" x14ac:dyDescent="0.3">
      <c r="X407">
        <v>405</v>
      </c>
      <c r="Y407" s="3">
        <v>1285</v>
      </c>
      <c r="Z407" s="3">
        <v>1.675E+55</v>
      </c>
      <c r="AA407" s="4">
        <v>17539267015.706806</v>
      </c>
    </row>
    <row r="408" spans="24:27" x14ac:dyDescent="0.3">
      <c r="X408">
        <v>406</v>
      </c>
      <c r="Y408" s="3">
        <v>1286</v>
      </c>
      <c r="Z408" s="3">
        <v>1.9000000000000003E+55</v>
      </c>
      <c r="AA408" s="4">
        <v>19895287958.115185</v>
      </c>
    </row>
    <row r="409" spans="24:27" x14ac:dyDescent="0.3">
      <c r="X409">
        <v>407</v>
      </c>
      <c r="Y409" s="3">
        <v>1287</v>
      </c>
      <c r="Z409" s="3">
        <v>2.125E+55</v>
      </c>
      <c r="AA409" s="4">
        <v>22251308900.52356</v>
      </c>
    </row>
    <row r="410" spans="24:27" x14ac:dyDescent="0.3">
      <c r="X410">
        <v>408</v>
      </c>
      <c r="Y410" s="3">
        <v>1288</v>
      </c>
      <c r="Z410" s="3">
        <v>2.35E+55</v>
      </c>
      <c r="AA410" s="4">
        <v>24607329842.931938</v>
      </c>
    </row>
    <row r="411" spans="24:27" x14ac:dyDescent="0.3">
      <c r="X411">
        <v>409</v>
      </c>
      <c r="Y411" s="3">
        <v>1289</v>
      </c>
      <c r="Z411" s="3">
        <v>2.5749999999999998E+55</v>
      </c>
      <c r="AA411" s="4">
        <v>26963350785.340313</v>
      </c>
    </row>
    <row r="412" spans="24:27" x14ac:dyDescent="0.3">
      <c r="X412">
        <v>410</v>
      </c>
      <c r="Y412" s="3">
        <v>1290</v>
      </c>
      <c r="Z412" s="3">
        <v>2.8000000000000001E+55</v>
      </c>
      <c r="AA412" s="4">
        <v>29319371727.748692</v>
      </c>
    </row>
    <row r="413" spans="24:27" x14ac:dyDescent="0.3">
      <c r="X413">
        <v>411</v>
      </c>
      <c r="Y413" s="3">
        <v>1291</v>
      </c>
      <c r="Z413" s="3">
        <v>3.0250000000000004E+55</v>
      </c>
      <c r="AA413" s="4">
        <v>31675392670.157074</v>
      </c>
    </row>
    <row r="414" spans="24:27" x14ac:dyDescent="0.3">
      <c r="X414">
        <v>412</v>
      </c>
      <c r="Y414" s="3">
        <v>1292</v>
      </c>
      <c r="Z414" s="3">
        <v>3.2499999999999996E+55</v>
      </c>
      <c r="AA414" s="4">
        <v>34031413612.565441</v>
      </c>
    </row>
    <row r="415" spans="24:27" x14ac:dyDescent="0.3">
      <c r="X415">
        <v>413</v>
      </c>
      <c r="Y415" s="3">
        <v>1293</v>
      </c>
      <c r="Z415" s="3">
        <v>3.4750000000000004E+55</v>
      </c>
      <c r="AA415" s="4">
        <v>36387434554.973831</v>
      </c>
    </row>
    <row r="416" spans="24:27" x14ac:dyDescent="0.3">
      <c r="X416">
        <v>414</v>
      </c>
      <c r="Y416" s="3">
        <v>1294</v>
      </c>
      <c r="Z416" s="3">
        <v>3.7000000000000002E+55</v>
      </c>
      <c r="AA416" s="4">
        <v>38743455497.382202</v>
      </c>
    </row>
    <row r="417" spans="24:27" x14ac:dyDescent="0.3">
      <c r="X417">
        <v>415</v>
      </c>
      <c r="Y417" s="3">
        <v>1295</v>
      </c>
      <c r="Z417" s="3">
        <v>3.9250000000000005E+55</v>
      </c>
      <c r="AA417" s="4">
        <v>41099476439.790581</v>
      </c>
    </row>
    <row r="418" spans="24:27" x14ac:dyDescent="0.3">
      <c r="X418">
        <v>416</v>
      </c>
      <c r="Y418" s="3">
        <v>1296</v>
      </c>
      <c r="Z418" s="3">
        <v>4.1500000000000008E+55</v>
      </c>
      <c r="AA418" s="4">
        <v>43455497382.198959</v>
      </c>
    </row>
    <row r="419" spans="24:27" x14ac:dyDescent="0.3">
      <c r="X419">
        <v>417</v>
      </c>
      <c r="Y419" s="3">
        <v>1297</v>
      </c>
      <c r="Z419" s="3">
        <v>4.3749999999999994E+55</v>
      </c>
      <c r="AA419" s="4">
        <v>45811518324.607323</v>
      </c>
    </row>
    <row r="420" spans="24:27" x14ac:dyDescent="0.3">
      <c r="X420">
        <v>418</v>
      </c>
      <c r="Y420" s="3">
        <v>1298</v>
      </c>
      <c r="Z420" s="3">
        <v>4.6000000000000003E+55</v>
      </c>
      <c r="AA420" s="4">
        <v>48167539267.015709</v>
      </c>
    </row>
    <row r="421" spans="24:27" x14ac:dyDescent="0.3">
      <c r="X421">
        <v>419</v>
      </c>
      <c r="Y421" s="3">
        <v>1299</v>
      </c>
      <c r="Z421" s="3">
        <v>4.8250000000000011E+55</v>
      </c>
      <c r="AA421" s="4">
        <v>50523560209.424095</v>
      </c>
    </row>
    <row r="422" spans="24:27" x14ac:dyDescent="0.3">
      <c r="X422">
        <v>420</v>
      </c>
      <c r="Y422" s="3">
        <v>1300</v>
      </c>
      <c r="Z422" s="3">
        <v>5.0499999999999998E+55</v>
      </c>
      <c r="AA422" s="4">
        <v>52879581151.832458</v>
      </c>
    </row>
    <row r="423" spans="24:27" x14ac:dyDescent="0.3">
      <c r="X423">
        <v>421</v>
      </c>
      <c r="Y423" s="3">
        <v>1301</v>
      </c>
      <c r="Z423" s="3">
        <v>5.2749999999999996E+55</v>
      </c>
      <c r="AA423" s="4">
        <v>55235602094.240837</v>
      </c>
    </row>
    <row r="424" spans="24:27" x14ac:dyDescent="0.3">
      <c r="X424">
        <v>422</v>
      </c>
      <c r="Y424" s="3">
        <v>1302</v>
      </c>
      <c r="Z424" s="3">
        <v>5.4999999999999993E+55</v>
      </c>
      <c r="AA424" s="4">
        <v>57591623036.649208</v>
      </c>
    </row>
    <row r="425" spans="24:27" x14ac:dyDescent="0.3">
      <c r="X425">
        <v>423</v>
      </c>
      <c r="Y425" s="3">
        <v>1303</v>
      </c>
      <c r="Z425" s="3">
        <v>5.7250000000000002E+55</v>
      </c>
      <c r="AA425" s="4">
        <v>59947643979.057594</v>
      </c>
    </row>
    <row r="426" spans="24:27" x14ac:dyDescent="0.3">
      <c r="X426">
        <v>424</v>
      </c>
      <c r="Y426" s="3">
        <v>1304</v>
      </c>
      <c r="Z426" s="3">
        <v>5.950000000000001E+55</v>
      </c>
      <c r="AA426" s="4">
        <v>62303664921.465981</v>
      </c>
    </row>
    <row r="427" spans="24:27" x14ac:dyDescent="0.3">
      <c r="X427">
        <v>425</v>
      </c>
      <c r="Y427" s="3">
        <v>1305</v>
      </c>
      <c r="Z427" s="3">
        <v>6.1749999999999997E+55</v>
      </c>
      <c r="AA427" s="4">
        <v>64659685863.874344</v>
      </c>
    </row>
    <row r="428" spans="24:27" x14ac:dyDescent="0.3">
      <c r="X428">
        <v>426</v>
      </c>
      <c r="Y428" s="3">
        <v>1306</v>
      </c>
      <c r="Z428" s="3">
        <v>6.3999999999999994E+55</v>
      </c>
      <c r="AA428" s="4">
        <v>67015706806.282715</v>
      </c>
    </row>
    <row r="429" spans="24:27" x14ac:dyDescent="0.3">
      <c r="X429">
        <v>427</v>
      </c>
      <c r="Y429" s="3">
        <v>1307</v>
      </c>
      <c r="Z429" s="3">
        <v>6.6250000000000003E+55</v>
      </c>
      <c r="AA429" s="4">
        <v>69371727748.691101</v>
      </c>
    </row>
    <row r="430" spans="24:27" x14ac:dyDescent="0.3">
      <c r="X430">
        <v>428</v>
      </c>
      <c r="Y430" s="3">
        <v>1308</v>
      </c>
      <c r="Z430" s="3">
        <v>6.8500000000000011E+55</v>
      </c>
      <c r="AA430" s="4">
        <v>71727748691.099487</v>
      </c>
    </row>
    <row r="431" spans="24:27" x14ac:dyDescent="0.3">
      <c r="X431">
        <v>429</v>
      </c>
      <c r="Y431" s="3">
        <v>1309</v>
      </c>
      <c r="Z431" s="3">
        <v>7.0749999999999998E+55</v>
      </c>
      <c r="AA431" s="4">
        <v>74083769633.507858</v>
      </c>
    </row>
    <row r="432" spans="24:27" x14ac:dyDescent="0.3">
      <c r="X432">
        <v>430</v>
      </c>
      <c r="Y432" s="3">
        <v>1310</v>
      </c>
      <c r="Z432" s="3">
        <v>7.3000000000000006E+55</v>
      </c>
      <c r="AA432" s="4">
        <v>76439790575.916245</v>
      </c>
    </row>
    <row r="433" spans="24:27" x14ac:dyDescent="0.3">
      <c r="X433">
        <v>431</v>
      </c>
      <c r="Y433" s="3">
        <v>1311</v>
      </c>
      <c r="Z433" s="3">
        <v>7.5249999999999993E+55</v>
      </c>
      <c r="AA433" s="4">
        <v>78795811518.3246</v>
      </c>
    </row>
    <row r="434" spans="24:27" x14ac:dyDescent="0.3">
      <c r="X434">
        <v>432</v>
      </c>
      <c r="Y434" s="3">
        <v>1312</v>
      </c>
      <c r="Z434" s="3">
        <v>7.7500000000000001E+55</v>
      </c>
      <c r="AA434" s="4">
        <v>81151832460.732986</v>
      </c>
    </row>
    <row r="435" spans="24:27" x14ac:dyDescent="0.3">
      <c r="X435">
        <v>433</v>
      </c>
      <c r="Y435" s="3">
        <v>1313</v>
      </c>
      <c r="Z435" s="3">
        <v>7.975000000000001E+55</v>
      </c>
      <c r="AA435" s="4">
        <v>83507853403.141373</v>
      </c>
    </row>
    <row r="436" spans="24:27" x14ac:dyDescent="0.3">
      <c r="X436">
        <v>434</v>
      </c>
      <c r="Y436" s="3">
        <v>1314</v>
      </c>
      <c r="Z436" s="3">
        <v>8.1999999999999996E+55</v>
      </c>
      <c r="AA436" s="4">
        <v>85863874345.549744</v>
      </c>
    </row>
    <row r="437" spans="24:27" x14ac:dyDescent="0.3">
      <c r="X437">
        <v>435</v>
      </c>
      <c r="Y437" s="3">
        <v>1315</v>
      </c>
      <c r="Z437" s="3">
        <v>8.4250000000000005E+55</v>
      </c>
      <c r="AA437" s="4">
        <v>88219895287.95813</v>
      </c>
    </row>
  </sheetData>
  <mergeCells count="28">
    <mergeCell ref="E66:F66"/>
    <mergeCell ref="O43:O44"/>
    <mergeCell ref="O41:O42"/>
    <mergeCell ref="E60:F60"/>
    <mergeCell ref="E61:F61"/>
    <mergeCell ref="E62:F62"/>
    <mergeCell ref="E63:F63"/>
    <mergeCell ref="E64:F64"/>
    <mergeCell ref="E65:F65"/>
    <mergeCell ref="E54:F54"/>
    <mergeCell ref="E55:F55"/>
    <mergeCell ref="E56:F56"/>
    <mergeCell ref="E57:F57"/>
    <mergeCell ref="E58:F58"/>
    <mergeCell ref="E59:F59"/>
    <mergeCell ref="E52:F52"/>
    <mergeCell ref="E53:F53"/>
    <mergeCell ref="AD1:AE1"/>
    <mergeCell ref="E45:F45"/>
    <mergeCell ref="E46:F46"/>
    <mergeCell ref="E47:F47"/>
    <mergeCell ref="E48:F48"/>
    <mergeCell ref="E49:F49"/>
    <mergeCell ref="AF1:AG1"/>
    <mergeCell ref="AH1:AI1"/>
    <mergeCell ref="AJ1:AK1"/>
    <mergeCell ref="E50:F50"/>
    <mergeCell ref="E51:F51"/>
  </mergeCells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E5C135-E045-45E0-BF88-1C0ED6671BAF}">
  <dimension ref="A2:P107"/>
  <sheetViews>
    <sheetView topLeftCell="A77" workbookViewId="0">
      <selection activeCell="A75" sqref="A75:N103"/>
    </sheetView>
  </sheetViews>
  <sheetFormatPr defaultRowHeight="16.5" x14ac:dyDescent="0.3"/>
  <cols>
    <col min="6" max="6" width="27.25" customWidth="1"/>
    <col min="7" max="7" width="14" bestFit="1" customWidth="1"/>
    <col min="11" max="11" width="13.125" bestFit="1" customWidth="1"/>
    <col min="12" max="13" width="13.5" bestFit="1" customWidth="1"/>
    <col min="14" max="14" width="10.875" bestFit="1" customWidth="1"/>
    <col min="15" max="15" width="13.5" bestFit="1" customWidth="1"/>
    <col min="16" max="16" width="12.75" bestFit="1" customWidth="1"/>
  </cols>
  <sheetData>
    <row r="2" spans="1:15" x14ac:dyDescent="0.3">
      <c r="A2" t="s">
        <v>44</v>
      </c>
      <c r="C2" t="s">
        <v>40</v>
      </c>
      <c r="D2">
        <v>1</v>
      </c>
      <c r="E2">
        <v>2</v>
      </c>
      <c r="F2">
        <v>3</v>
      </c>
      <c r="G2">
        <v>4</v>
      </c>
      <c r="H2">
        <v>5</v>
      </c>
      <c r="I2">
        <v>6</v>
      </c>
      <c r="J2">
        <v>7</v>
      </c>
      <c r="K2">
        <v>8</v>
      </c>
      <c r="L2">
        <v>9</v>
      </c>
      <c r="M2">
        <v>10</v>
      </c>
      <c r="O2">
        <v>4500</v>
      </c>
    </row>
    <row r="3" spans="1:15" x14ac:dyDescent="0.3">
      <c r="C3" t="s">
        <v>41</v>
      </c>
      <c r="D3">
        <v>71.494900000000001</v>
      </c>
      <c r="E3">
        <v>62.919800000000002</v>
      </c>
      <c r="F3">
        <v>53.798000000000002</v>
      </c>
      <c r="G3">
        <v>42.49</v>
      </c>
      <c r="H3">
        <v>30.285</v>
      </c>
      <c r="I3">
        <v>26.954999999999998</v>
      </c>
      <c r="J3">
        <v>18.420000000000002</v>
      </c>
      <c r="K3">
        <v>8.89</v>
      </c>
      <c r="L3">
        <v>2.92</v>
      </c>
      <c r="M3">
        <v>1.9</v>
      </c>
      <c r="O3">
        <v>30</v>
      </c>
    </row>
    <row r="4" spans="1:15" x14ac:dyDescent="0.3">
      <c r="C4" t="s">
        <v>8</v>
      </c>
      <c r="D4">
        <v>22</v>
      </c>
      <c r="E4">
        <v>26</v>
      </c>
      <c r="F4">
        <v>30</v>
      </c>
      <c r="G4">
        <v>33</v>
      </c>
      <c r="H4">
        <v>35</v>
      </c>
      <c r="I4">
        <v>25</v>
      </c>
      <c r="J4">
        <v>20</v>
      </c>
      <c r="K4">
        <v>15</v>
      </c>
      <c r="L4">
        <v>5</v>
      </c>
      <c r="M4">
        <v>4</v>
      </c>
    </row>
    <row r="5" spans="1:15" x14ac:dyDescent="0.3">
      <c r="C5" t="s">
        <v>42</v>
      </c>
      <c r="D5">
        <v>6</v>
      </c>
      <c r="E5">
        <v>9</v>
      </c>
      <c r="F5">
        <v>11</v>
      </c>
      <c r="G5">
        <v>14</v>
      </c>
      <c r="H5">
        <v>19</v>
      </c>
      <c r="I5">
        <v>25</v>
      </c>
      <c r="J5">
        <v>35</v>
      </c>
      <c r="K5">
        <v>40</v>
      </c>
      <c r="L5">
        <v>50</v>
      </c>
      <c r="M5">
        <v>45</v>
      </c>
      <c r="O5" s="5">
        <f>O2/O3</f>
        <v>150</v>
      </c>
    </row>
    <row r="6" spans="1:15" x14ac:dyDescent="0.3">
      <c r="C6" t="s">
        <v>11</v>
      </c>
      <c r="D6">
        <v>0.5</v>
      </c>
      <c r="E6">
        <v>2</v>
      </c>
      <c r="F6">
        <v>5</v>
      </c>
      <c r="G6">
        <v>10</v>
      </c>
      <c r="H6">
        <v>15</v>
      </c>
      <c r="I6">
        <v>22</v>
      </c>
      <c r="J6">
        <v>25</v>
      </c>
      <c r="K6">
        <v>34</v>
      </c>
      <c r="L6">
        <v>39</v>
      </c>
      <c r="M6">
        <v>44</v>
      </c>
    </row>
    <row r="7" spans="1:15" x14ac:dyDescent="0.3">
      <c r="C7" t="s">
        <v>13</v>
      </c>
      <c r="D7">
        <v>5.0000000000000001E-3</v>
      </c>
      <c r="E7">
        <v>0.08</v>
      </c>
      <c r="F7">
        <v>0.2</v>
      </c>
      <c r="G7">
        <v>0.5</v>
      </c>
      <c r="H7">
        <v>0.7</v>
      </c>
      <c r="I7">
        <v>1.02</v>
      </c>
      <c r="J7">
        <v>1.54</v>
      </c>
      <c r="K7">
        <v>2.0499999999999998</v>
      </c>
      <c r="L7">
        <v>3</v>
      </c>
      <c r="M7">
        <v>5</v>
      </c>
    </row>
    <row r="8" spans="1:15" x14ac:dyDescent="0.3">
      <c r="C8" t="s">
        <v>15</v>
      </c>
      <c r="D8">
        <v>1E-4</v>
      </c>
      <c r="E8">
        <v>2.0000000000000001E-4</v>
      </c>
      <c r="F8">
        <v>2E-3</v>
      </c>
      <c r="G8">
        <v>0.01</v>
      </c>
      <c r="H8">
        <v>1.4999999999999999E-2</v>
      </c>
      <c r="I8">
        <v>2.5000000000000001E-2</v>
      </c>
      <c r="J8">
        <v>0.04</v>
      </c>
      <c r="K8">
        <v>0.06</v>
      </c>
      <c r="L8">
        <v>0.08</v>
      </c>
      <c r="M8">
        <v>0.1</v>
      </c>
    </row>
    <row r="9" spans="1:15" x14ac:dyDescent="0.3">
      <c r="D9">
        <f>SUM(D3:D8)</f>
        <v>100</v>
      </c>
      <c r="E9">
        <f t="shared" ref="E9:M9" si="0">SUM(E3:E8)</f>
        <v>100.00000000000001</v>
      </c>
      <c r="F9">
        <f t="shared" si="0"/>
        <v>100</v>
      </c>
      <c r="G9">
        <f t="shared" si="0"/>
        <v>100.00000000000001</v>
      </c>
      <c r="H9">
        <f t="shared" si="0"/>
        <v>100</v>
      </c>
      <c r="I9">
        <f t="shared" si="0"/>
        <v>100</v>
      </c>
      <c r="J9">
        <f t="shared" si="0"/>
        <v>100.00000000000001</v>
      </c>
      <c r="K9">
        <f t="shared" si="0"/>
        <v>100</v>
      </c>
      <c r="L9">
        <f t="shared" si="0"/>
        <v>100</v>
      </c>
      <c r="M9">
        <f t="shared" si="0"/>
        <v>100</v>
      </c>
    </row>
    <row r="11" spans="1:15" x14ac:dyDescent="0.3">
      <c r="A11" t="s">
        <v>43</v>
      </c>
      <c r="C11" t="s">
        <v>18</v>
      </c>
      <c r="D11">
        <v>1</v>
      </c>
      <c r="E11">
        <v>2</v>
      </c>
      <c r="F11">
        <v>3</v>
      </c>
      <c r="G11">
        <v>4</v>
      </c>
      <c r="H11">
        <v>5</v>
      </c>
      <c r="I11">
        <v>6</v>
      </c>
      <c r="J11">
        <v>7</v>
      </c>
      <c r="K11">
        <v>8</v>
      </c>
      <c r="L11">
        <v>9</v>
      </c>
      <c r="M11">
        <v>10</v>
      </c>
      <c r="O11">
        <v>500</v>
      </c>
    </row>
    <row r="12" spans="1:15" x14ac:dyDescent="0.3">
      <c r="O12">
        <v>11</v>
      </c>
    </row>
    <row r="13" spans="1:15" x14ac:dyDescent="0.3">
      <c r="C13" t="s">
        <v>7</v>
      </c>
      <c r="D13">
        <v>68.58</v>
      </c>
      <c r="E13">
        <v>54.2</v>
      </c>
      <c r="F13">
        <v>33.1</v>
      </c>
      <c r="G13">
        <v>10.56</v>
      </c>
      <c r="H13">
        <v>7.2</v>
      </c>
      <c r="I13">
        <v>5.08</v>
      </c>
      <c r="J13">
        <v>4.41</v>
      </c>
      <c r="K13">
        <v>2.68</v>
      </c>
      <c r="L13">
        <v>0.11</v>
      </c>
      <c r="M13">
        <v>0.01</v>
      </c>
    </row>
    <row r="14" spans="1:15" x14ac:dyDescent="0.3">
      <c r="C14" t="s">
        <v>9</v>
      </c>
      <c r="D14">
        <v>25.5</v>
      </c>
      <c r="E14">
        <v>32.799999999999997</v>
      </c>
      <c r="F14">
        <v>43.5</v>
      </c>
      <c r="G14">
        <v>55.84</v>
      </c>
      <c r="H14">
        <v>45</v>
      </c>
      <c r="I14">
        <v>31.2</v>
      </c>
      <c r="J14">
        <v>21</v>
      </c>
      <c r="K14">
        <v>18</v>
      </c>
      <c r="L14">
        <v>4.2</v>
      </c>
      <c r="M14">
        <v>0.5</v>
      </c>
      <c r="O14" s="6">
        <f>O11/O12</f>
        <v>45.454545454545453</v>
      </c>
    </row>
    <row r="15" spans="1:15" x14ac:dyDescent="0.3">
      <c r="C15" t="s">
        <v>10</v>
      </c>
      <c r="D15">
        <v>5.4</v>
      </c>
      <c r="E15">
        <v>11.2</v>
      </c>
      <c r="F15">
        <v>18.399999999999999</v>
      </c>
      <c r="G15">
        <v>23.5</v>
      </c>
      <c r="H15">
        <v>28.5</v>
      </c>
      <c r="I15">
        <v>40.049999999999997</v>
      </c>
      <c r="J15">
        <v>36.5</v>
      </c>
      <c r="K15">
        <v>29</v>
      </c>
      <c r="L15">
        <v>18</v>
      </c>
      <c r="M15">
        <v>9.49</v>
      </c>
    </row>
    <row r="16" spans="1:15" x14ac:dyDescent="0.3">
      <c r="C16" t="s">
        <v>12</v>
      </c>
      <c r="D16">
        <v>0.51490000000000002</v>
      </c>
      <c r="E16">
        <v>1.7197</v>
      </c>
      <c r="F16">
        <v>4.7981999999999996</v>
      </c>
      <c r="G16">
        <v>9.59</v>
      </c>
      <c r="H16">
        <v>18.574999999999999</v>
      </c>
      <c r="I16">
        <v>22.617999999999999</v>
      </c>
      <c r="J16">
        <v>36.5</v>
      </c>
      <c r="K16">
        <v>48.2</v>
      </c>
      <c r="L16">
        <v>73.569999999999993</v>
      </c>
      <c r="M16">
        <v>82.85</v>
      </c>
    </row>
    <row r="17" spans="1:16" x14ac:dyDescent="0.3">
      <c r="C17" t="s">
        <v>14</v>
      </c>
      <c r="D17">
        <v>5.0000000000000001E-3</v>
      </c>
      <c r="E17">
        <v>0.08</v>
      </c>
      <c r="F17">
        <v>0.2</v>
      </c>
      <c r="G17">
        <v>0.5</v>
      </c>
      <c r="H17">
        <v>0.7</v>
      </c>
      <c r="I17">
        <v>1.02</v>
      </c>
      <c r="J17">
        <v>1.54</v>
      </c>
      <c r="K17">
        <v>2.0499999999999998</v>
      </c>
      <c r="L17">
        <v>4.0199999999999996</v>
      </c>
      <c r="M17">
        <v>7</v>
      </c>
    </row>
    <row r="18" spans="1:16" x14ac:dyDescent="0.3">
      <c r="C18" t="s">
        <v>16</v>
      </c>
      <c r="D18">
        <v>1E-4</v>
      </c>
      <c r="E18">
        <v>2.9999999999999997E-4</v>
      </c>
      <c r="F18">
        <v>1.8E-3</v>
      </c>
      <c r="G18">
        <v>0.01</v>
      </c>
      <c r="H18">
        <v>2.5000000000000001E-2</v>
      </c>
      <c r="I18">
        <v>3.2000000000000001E-2</v>
      </c>
      <c r="J18">
        <v>0.05</v>
      </c>
      <c r="K18">
        <v>7.0000000000000007E-2</v>
      </c>
      <c r="L18">
        <v>0.1</v>
      </c>
      <c r="M18">
        <v>0.15</v>
      </c>
    </row>
    <row r="19" spans="1:16" x14ac:dyDescent="0.3">
      <c r="D19">
        <f>SUM(D13:D18)</f>
        <v>100</v>
      </c>
      <c r="E19">
        <f t="shared" ref="E19:M19" si="1">SUM(E13:E18)</f>
        <v>100</v>
      </c>
      <c r="F19">
        <f t="shared" si="1"/>
        <v>100</v>
      </c>
      <c r="G19">
        <f t="shared" si="1"/>
        <v>100.00000000000001</v>
      </c>
      <c r="H19">
        <f t="shared" si="1"/>
        <v>100.00000000000001</v>
      </c>
      <c r="I19">
        <f t="shared" si="1"/>
        <v>99.999999999999986</v>
      </c>
      <c r="J19">
        <f t="shared" si="1"/>
        <v>100</v>
      </c>
      <c r="K19">
        <f t="shared" si="1"/>
        <v>99.999999999999986</v>
      </c>
      <c r="L19">
        <f t="shared" si="1"/>
        <v>99.999999999999986</v>
      </c>
      <c r="M19">
        <f t="shared" si="1"/>
        <v>100</v>
      </c>
    </row>
    <row r="20" spans="1:16" x14ac:dyDescent="0.3">
      <c r="C20" t="s">
        <v>17</v>
      </c>
    </row>
    <row r="22" spans="1:16" x14ac:dyDescent="0.3">
      <c r="A22" t="s">
        <v>43</v>
      </c>
      <c r="C22" t="s">
        <v>19</v>
      </c>
    </row>
    <row r="23" spans="1:16" x14ac:dyDescent="0.3">
      <c r="O23">
        <v>10</v>
      </c>
      <c r="P23" t="s">
        <v>45</v>
      </c>
    </row>
    <row r="24" spans="1:16" x14ac:dyDescent="0.3">
      <c r="C24" t="s">
        <v>20</v>
      </c>
      <c r="D24">
        <v>8.76</v>
      </c>
      <c r="F24">
        <f>5^(G24-1)</f>
        <v>1</v>
      </c>
      <c r="G24">
        <v>1</v>
      </c>
      <c r="I24">
        <f>F24*D24</f>
        <v>8.76</v>
      </c>
      <c r="O24">
        <v>3000</v>
      </c>
    </row>
    <row r="25" spans="1:16" x14ac:dyDescent="0.3">
      <c r="C25" t="s">
        <v>21</v>
      </c>
      <c r="D25">
        <v>12.3</v>
      </c>
      <c r="F25">
        <f>5^(G25-1)</f>
        <v>5</v>
      </c>
      <c r="G25">
        <v>2</v>
      </c>
      <c r="I25">
        <f t="shared" ref="I25:I43" si="2">F25*D25</f>
        <v>61.5</v>
      </c>
    </row>
    <row r="26" spans="1:16" x14ac:dyDescent="0.3">
      <c r="C26" t="s">
        <v>22</v>
      </c>
      <c r="D26">
        <v>13.5</v>
      </c>
      <c r="F26">
        <f t="shared" ref="F26:F44" si="3">5^(G26-1)</f>
        <v>25</v>
      </c>
      <c r="G26">
        <v>3</v>
      </c>
      <c r="I26">
        <f t="shared" si="2"/>
        <v>337.5</v>
      </c>
    </row>
    <row r="27" spans="1:16" x14ac:dyDescent="0.3">
      <c r="C27" t="s">
        <v>23</v>
      </c>
      <c r="D27">
        <v>12.4</v>
      </c>
      <c r="F27">
        <f t="shared" si="3"/>
        <v>125</v>
      </c>
      <c r="G27">
        <v>4</v>
      </c>
      <c r="I27">
        <f t="shared" si="2"/>
        <v>1550</v>
      </c>
      <c r="O27">
        <v>300</v>
      </c>
    </row>
    <row r="28" spans="1:16" x14ac:dyDescent="0.3">
      <c r="C28" t="s">
        <v>24</v>
      </c>
      <c r="D28">
        <v>11.3</v>
      </c>
      <c r="F28">
        <f t="shared" si="3"/>
        <v>625</v>
      </c>
      <c r="G28">
        <v>5</v>
      </c>
      <c r="I28">
        <f t="shared" si="2"/>
        <v>7062.5</v>
      </c>
    </row>
    <row r="29" spans="1:16" x14ac:dyDescent="0.3">
      <c r="C29" t="s">
        <v>25</v>
      </c>
      <c r="D29">
        <v>10.199999999999999</v>
      </c>
      <c r="F29">
        <f t="shared" si="3"/>
        <v>3125</v>
      </c>
      <c r="G29">
        <v>6</v>
      </c>
      <c r="I29">
        <f t="shared" si="2"/>
        <v>31874.999999999996</v>
      </c>
    </row>
    <row r="30" spans="1:16" x14ac:dyDescent="0.3">
      <c r="C30" t="s">
        <v>26</v>
      </c>
      <c r="D30">
        <v>9.1</v>
      </c>
      <c r="F30">
        <f t="shared" si="3"/>
        <v>15625</v>
      </c>
      <c r="G30">
        <v>7</v>
      </c>
      <c r="I30">
        <f t="shared" si="2"/>
        <v>142187.5</v>
      </c>
    </row>
    <row r="31" spans="1:16" x14ac:dyDescent="0.3">
      <c r="C31" t="s">
        <v>27</v>
      </c>
      <c r="D31">
        <v>7.5</v>
      </c>
      <c r="F31">
        <f t="shared" si="3"/>
        <v>78125</v>
      </c>
      <c r="G31">
        <v>8</v>
      </c>
      <c r="I31">
        <f t="shared" si="2"/>
        <v>585937.5</v>
      </c>
    </row>
    <row r="32" spans="1:16" x14ac:dyDescent="0.3">
      <c r="C32" t="s">
        <v>28</v>
      </c>
      <c r="D32">
        <v>5.4</v>
      </c>
      <c r="F32">
        <f t="shared" si="3"/>
        <v>390625</v>
      </c>
      <c r="G32">
        <v>9</v>
      </c>
      <c r="I32">
        <f t="shared" si="2"/>
        <v>2109375</v>
      </c>
    </row>
    <row r="33" spans="3:13" x14ac:dyDescent="0.3">
      <c r="C33" t="s">
        <v>29</v>
      </c>
      <c r="D33">
        <v>3.4</v>
      </c>
      <c r="F33">
        <f t="shared" si="3"/>
        <v>1953125</v>
      </c>
      <c r="G33">
        <v>10</v>
      </c>
      <c r="I33">
        <f t="shared" si="2"/>
        <v>6640625</v>
      </c>
    </row>
    <row r="34" spans="3:13" x14ac:dyDescent="0.3">
      <c r="C34" t="s">
        <v>30</v>
      </c>
      <c r="D34">
        <v>2.8</v>
      </c>
      <c r="F34">
        <f t="shared" si="3"/>
        <v>9765625</v>
      </c>
      <c r="G34">
        <v>11</v>
      </c>
      <c r="I34">
        <f t="shared" si="2"/>
        <v>27343750</v>
      </c>
    </row>
    <row r="35" spans="3:13" x14ac:dyDescent="0.3">
      <c r="C35" t="s">
        <v>31</v>
      </c>
      <c r="D35">
        <v>1.9</v>
      </c>
      <c r="F35">
        <f t="shared" si="3"/>
        <v>48828125</v>
      </c>
      <c r="G35">
        <v>12</v>
      </c>
      <c r="I35">
        <f t="shared" si="2"/>
        <v>92773437.5</v>
      </c>
    </row>
    <row r="36" spans="3:13" x14ac:dyDescent="0.3">
      <c r="C36" t="s">
        <v>32</v>
      </c>
      <c r="D36">
        <v>0.8</v>
      </c>
      <c r="F36">
        <f t="shared" si="3"/>
        <v>244140625</v>
      </c>
      <c r="G36">
        <v>13</v>
      </c>
      <c r="I36">
        <f t="shared" si="2"/>
        <v>195312500</v>
      </c>
    </row>
    <row r="37" spans="3:13" x14ac:dyDescent="0.3">
      <c r="C37" t="s">
        <v>33</v>
      </c>
      <c r="D37">
        <v>0.3</v>
      </c>
      <c r="F37">
        <f t="shared" si="3"/>
        <v>1220703125</v>
      </c>
      <c r="G37">
        <v>14</v>
      </c>
      <c r="I37">
        <f t="shared" si="2"/>
        <v>366210937.5</v>
      </c>
    </row>
    <row r="38" spans="3:13" x14ac:dyDescent="0.3">
      <c r="C38" t="s">
        <v>34</v>
      </c>
      <c r="D38">
        <v>0.15</v>
      </c>
      <c r="F38">
        <f t="shared" si="3"/>
        <v>6103515625</v>
      </c>
      <c r="G38">
        <v>15</v>
      </c>
      <c r="I38">
        <f t="shared" si="2"/>
        <v>915527343.75</v>
      </c>
    </row>
    <row r="39" spans="3:13" x14ac:dyDescent="0.3">
      <c r="C39" t="s">
        <v>35</v>
      </c>
      <c r="D39">
        <v>0.12</v>
      </c>
      <c r="F39">
        <f t="shared" si="3"/>
        <v>30517578125</v>
      </c>
      <c r="G39">
        <v>16</v>
      </c>
      <c r="I39">
        <f t="shared" si="2"/>
        <v>3662109375</v>
      </c>
    </row>
    <row r="40" spans="3:13" x14ac:dyDescent="0.3">
      <c r="C40" t="s">
        <v>36</v>
      </c>
      <c r="D40">
        <v>0.04</v>
      </c>
      <c r="F40">
        <f t="shared" si="3"/>
        <v>152587890625</v>
      </c>
      <c r="G40">
        <v>17</v>
      </c>
      <c r="I40">
        <f t="shared" si="2"/>
        <v>6103515625</v>
      </c>
    </row>
    <row r="41" spans="3:13" x14ac:dyDescent="0.3">
      <c r="C41" t="s">
        <v>37</v>
      </c>
      <c r="D41">
        <v>0.02</v>
      </c>
      <c r="F41">
        <f t="shared" si="3"/>
        <v>762939453125</v>
      </c>
      <c r="G41">
        <v>18</v>
      </c>
      <c r="I41">
        <f t="shared" si="2"/>
        <v>15258789062.5</v>
      </c>
    </row>
    <row r="42" spans="3:13" x14ac:dyDescent="0.3">
      <c r="C42" t="s">
        <v>38</v>
      </c>
      <c r="D42">
        <v>0.01</v>
      </c>
      <c r="F42">
        <f t="shared" si="3"/>
        <v>3814697265625</v>
      </c>
      <c r="G42">
        <v>19</v>
      </c>
      <c r="I42">
        <f t="shared" si="2"/>
        <v>38146972656.25</v>
      </c>
    </row>
    <row r="43" spans="3:13" x14ac:dyDescent="0.3">
      <c r="C43" t="s">
        <v>39</v>
      </c>
      <c r="D43">
        <v>0</v>
      </c>
      <c r="F43">
        <f t="shared" si="3"/>
        <v>19073486328125</v>
      </c>
      <c r="G43">
        <v>20</v>
      </c>
      <c r="I43">
        <f t="shared" si="2"/>
        <v>0</v>
      </c>
    </row>
    <row r="44" spans="3:13" x14ac:dyDescent="0.3">
      <c r="D44">
        <f>SUM(D24:D43)</f>
        <v>100.00000000000003</v>
      </c>
      <c r="F44">
        <f t="shared" si="3"/>
        <v>95367431640625</v>
      </c>
      <c r="G44">
        <v>21</v>
      </c>
    </row>
    <row r="46" spans="3:13" x14ac:dyDescent="0.3">
      <c r="L46" s="12">
        <v>4500000</v>
      </c>
      <c r="M46" s="14">
        <f>L46/O70</f>
        <v>3904411.7647058824</v>
      </c>
    </row>
    <row r="48" spans="3:13" x14ac:dyDescent="0.3">
      <c r="I48" t="s">
        <v>58</v>
      </c>
      <c r="J48" t="s">
        <v>57</v>
      </c>
      <c r="K48" t="s">
        <v>59</v>
      </c>
      <c r="L48" t="s">
        <v>60</v>
      </c>
    </row>
    <row r="49" spans="3:16" ht="33" x14ac:dyDescent="0.3">
      <c r="C49" s="7" t="s">
        <v>46</v>
      </c>
      <c r="D49" s="7" t="s">
        <v>47</v>
      </c>
      <c r="E49" s="7" t="s">
        <v>48</v>
      </c>
      <c r="F49" s="7" t="s">
        <v>49</v>
      </c>
      <c r="G49" s="7" t="s">
        <v>50</v>
      </c>
      <c r="I49">
        <v>100000</v>
      </c>
      <c r="J49">
        <v>300</v>
      </c>
      <c r="K49" s="12">
        <f>I49*J49</f>
        <v>30000000</v>
      </c>
      <c r="L49" s="14">
        <f>K49/O70</f>
        <v>26029411.764705881</v>
      </c>
      <c r="O49">
        <v>14</v>
      </c>
      <c r="P49">
        <f>VLOOKUP(O49,C50:F68,4,FALSE)</f>
        <v>1220703125</v>
      </c>
    </row>
    <row r="50" spans="3:16" x14ac:dyDescent="0.3">
      <c r="C50" s="8">
        <v>1</v>
      </c>
      <c r="D50" s="8">
        <v>8.76</v>
      </c>
      <c r="E50" s="8">
        <v>8.7599999999999997E-2</v>
      </c>
      <c r="F50" s="8">
        <v>1</v>
      </c>
      <c r="G50" s="8">
        <v>8.7599999999999997E-2</v>
      </c>
      <c r="I50">
        <f t="shared" ref="I50:I67" si="4">E50*I$49</f>
        <v>8760</v>
      </c>
      <c r="J50">
        <f>I50*F50</f>
        <v>8760</v>
      </c>
      <c r="K50">
        <f t="shared" ref="K50:K68" si="5">J50/P$49*(IF(C50 &gt; O$49, 0, 1))</f>
        <v>7.1761919999999998E-6</v>
      </c>
    </row>
    <row r="51" spans="3:16" x14ac:dyDescent="0.3">
      <c r="C51" s="8">
        <v>2</v>
      </c>
      <c r="D51" s="8">
        <v>12.3</v>
      </c>
      <c r="E51" s="8">
        <v>0.123</v>
      </c>
      <c r="F51" s="8">
        <v>5</v>
      </c>
      <c r="G51" s="8">
        <v>0.61499999999999999</v>
      </c>
      <c r="I51">
        <f t="shared" si="4"/>
        <v>12300</v>
      </c>
      <c r="J51">
        <f t="shared" ref="J51:J68" si="6">I51*F51</f>
        <v>61500</v>
      </c>
      <c r="K51">
        <f t="shared" si="5"/>
        <v>5.0380799999999997E-5</v>
      </c>
      <c r="M51">
        <v>584</v>
      </c>
    </row>
    <row r="52" spans="3:16" x14ac:dyDescent="0.3">
      <c r="C52" s="8">
        <v>3</v>
      </c>
      <c r="D52" s="8">
        <v>13.5</v>
      </c>
      <c r="E52" s="8">
        <v>0.13500000000000001</v>
      </c>
      <c r="F52" s="8">
        <v>25</v>
      </c>
      <c r="G52" s="8">
        <v>3.375</v>
      </c>
      <c r="I52">
        <f t="shared" si="4"/>
        <v>13500</v>
      </c>
      <c r="J52">
        <f t="shared" si="6"/>
        <v>337500</v>
      </c>
      <c r="K52">
        <f t="shared" si="5"/>
        <v>2.7648000000000001E-4</v>
      </c>
    </row>
    <row r="53" spans="3:16" x14ac:dyDescent="0.3">
      <c r="C53" s="8">
        <v>4</v>
      </c>
      <c r="D53" s="8">
        <v>12.4</v>
      </c>
      <c r="E53" s="8">
        <v>0.124</v>
      </c>
      <c r="F53" s="8">
        <v>125</v>
      </c>
      <c r="G53" s="8">
        <v>15.5</v>
      </c>
      <c r="I53">
        <f t="shared" si="4"/>
        <v>12400</v>
      </c>
      <c r="J53">
        <f t="shared" si="6"/>
        <v>1550000</v>
      </c>
      <c r="K53">
        <f t="shared" si="5"/>
        <v>1.26976E-3</v>
      </c>
    </row>
    <row r="54" spans="3:16" x14ac:dyDescent="0.3">
      <c r="C54" s="8">
        <v>5</v>
      </c>
      <c r="D54" s="8">
        <v>11.3</v>
      </c>
      <c r="E54" s="8">
        <v>0.113</v>
      </c>
      <c r="F54" s="8">
        <v>625</v>
      </c>
      <c r="G54" s="8">
        <v>70.625</v>
      </c>
      <c r="I54">
        <f t="shared" si="4"/>
        <v>11300</v>
      </c>
      <c r="J54">
        <f t="shared" si="6"/>
        <v>7062500</v>
      </c>
      <c r="K54">
        <f t="shared" si="5"/>
        <v>5.7856000000000001E-3</v>
      </c>
    </row>
    <row r="55" spans="3:16" x14ac:dyDescent="0.3">
      <c r="C55" s="8">
        <v>6</v>
      </c>
      <c r="D55" s="8">
        <v>10.199999999999999</v>
      </c>
      <c r="E55" s="8">
        <v>0.10199999999999999</v>
      </c>
      <c r="F55" s="8">
        <v>3125</v>
      </c>
      <c r="G55" s="8">
        <v>318.75</v>
      </c>
      <c r="I55">
        <f t="shared" si="4"/>
        <v>10200</v>
      </c>
      <c r="J55">
        <f t="shared" si="6"/>
        <v>31875000</v>
      </c>
      <c r="K55">
        <f t="shared" si="5"/>
        <v>2.6112E-2</v>
      </c>
    </row>
    <row r="56" spans="3:16" x14ac:dyDescent="0.3">
      <c r="C56" s="8">
        <v>7</v>
      </c>
      <c r="D56" s="8">
        <v>9.1</v>
      </c>
      <c r="E56" s="8">
        <v>9.0999999999999998E-2</v>
      </c>
      <c r="F56" s="8">
        <v>15625</v>
      </c>
      <c r="G56" s="9">
        <v>1422.875</v>
      </c>
      <c r="I56">
        <f t="shared" si="4"/>
        <v>9100</v>
      </c>
      <c r="J56">
        <f t="shared" si="6"/>
        <v>142187500</v>
      </c>
      <c r="K56">
        <f t="shared" si="5"/>
        <v>0.11648</v>
      </c>
    </row>
    <row r="57" spans="3:16" x14ac:dyDescent="0.3">
      <c r="C57" s="8">
        <v>8</v>
      </c>
      <c r="D57" s="8">
        <v>7.5</v>
      </c>
      <c r="E57" s="8">
        <v>7.4999999999999997E-2</v>
      </c>
      <c r="F57" s="8">
        <v>78125</v>
      </c>
      <c r="G57" s="9">
        <v>5859.375</v>
      </c>
      <c r="I57">
        <f t="shared" si="4"/>
        <v>7500</v>
      </c>
      <c r="J57">
        <f t="shared" si="6"/>
        <v>585937500</v>
      </c>
      <c r="K57">
        <f t="shared" si="5"/>
        <v>0.48</v>
      </c>
    </row>
    <row r="58" spans="3:16" x14ac:dyDescent="0.3">
      <c r="C58" s="8">
        <v>9</v>
      </c>
      <c r="D58" s="8">
        <v>5.4</v>
      </c>
      <c r="E58" s="8">
        <v>5.3999999999999999E-2</v>
      </c>
      <c r="F58" s="8">
        <v>390625</v>
      </c>
      <c r="G58" s="9">
        <v>21096.75</v>
      </c>
      <c r="I58">
        <f t="shared" si="4"/>
        <v>5400</v>
      </c>
      <c r="J58">
        <f t="shared" si="6"/>
        <v>2109375000</v>
      </c>
      <c r="K58">
        <f t="shared" si="5"/>
        <v>1.728</v>
      </c>
    </row>
    <row r="59" spans="3:16" x14ac:dyDescent="0.3">
      <c r="C59" s="8">
        <v>10</v>
      </c>
      <c r="D59" s="8">
        <v>3.4</v>
      </c>
      <c r="E59" s="8">
        <v>3.4000000000000002E-2</v>
      </c>
      <c r="F59" s="10">
        <v>1953125</v>
      </c>
      <c r="G59" s="9">
        <v>66406.25</v>
      </c>
      <c r="I59">
        <f t="shared" si="4"/>
        <v>3400.0000000000005</v>
      </c>
      <c r="J59">
        <f t="shared" si="6"/>
        <v>6640625000.000001</v>
      </c>
      <c r="K59">
        <f t="shared" si="5"/>
        <v>5.44</v>
      </c>
    </row>
    <row r="60" spans="3:16" x14ac:dyDescent="0.3">
      <c r="C60" s="8">
        <v>11</v>
      </c>
      <c r="D60" s="8">
        <v>2.8</v>
      </c>
      <c r="E60" s="8">
        <v>2.8000000000000001E-2</v>
      </c>
      <c r="F60" s="10">
        <v>9765625</v>
      </c>
      <c r="G60" s="9">
        <v>273437.5</v>
      </c>
      <c r="I60">
        <f t="shared" si="4"/>
        <v>2800</v>
      </c>
      <c r="J60">
        <f t="shared" si="6"/>
        <v>27343750000</v>
      </c>
      <c r="K60">
        <f t="shared" si="5"/>
        <v>22.4</v>
      </c>
    </row>
    <row r="61" spans="3:16" x14ac:dyDescent="0.3">
      <c r="C61" s="8">
        <v>12</v>
      </c>
      <c r="D61" s="8">
        <v>1.9</v>
      </c>
      <c r="E61" s="8">
        <v>1.9E-2</v>
      </c>
      <c r="F61" s="10">
        <v>48828125</v>
      </c>
      <c r="G61" s="9">
        <v>928234.375</v>
      </c>
      <c r="I61">
        <f t="shared" si="4"/>
        <v>1900</v>
      </c>
      <c r="J61">
        <f t="shared" si="6"/>
        <v>92773437500</v>
      </c>
      <c r="K61">
        <f t="shared" si="5"/>
        <v>76</v>
      </c>
    </row>
    <row r="62" spans="3:16" x14ac:dyDescent="0.3">
      <c r="C62" s="8">
        <v>13</v>
      </c>
      <c r="D62" s="8">
        <v>0.8</v>
      </c>
      <c r="E62" s="8">
        <v>8.0000000000000002E-3</v>
      </c>
      <c r="F62" s="10">
        <v>244140625</v>
      </c>
      <c r="G62" s="10">
        <v>1953125</v>
      </c>
      <c r="I62">
        <f t="shared" si="4"/>
        <v>800</v>
      </c>
      <c r="J62">
        <f t="shared" si="6"/>
        <v>195312500000</v>
      </c>
      <c r="K62">
        <f t="shared" si="5"/>
        <v>160</v>
      </c>
    </row>
    <row r="63" spans="3:16" x14ac:dyDescent="0.3">
      <c r="C63" s="8">
        <v>14</v>
      </c>
      <c r="D63" s="8">
        <v>0.3</v>
      </c>
      <c r="E63" s="8">
        <v>3.0000000000000001E-3</v>
      </c>
      <c r="F63" s="10">
        <v>1220703125</v>
      </c>
      <c r="G63" s="9">
        <v>3662109.375</v>
      </c>
      <c r="I63">
        <f t="shared" si="4"/>
        <v>300</v>
      </c>
      <c r="J63">
        <f t="shared" si="6"/>
        <v>366210937500</v>
      </c>
      <c r="K63">
        <f t="shared" si="5"/>
        <v>300</v>
      </c>
    </row>
    <row r="64" spans="3:16" x14ac:dyDescent="0.3">
      <c r="C64" s="8">
        <v>15</v>
      </c>
      <c r="D64" s="8">
        <v>0.15</v>
      </c>
      <c r="E64" s="8">
        <v>1.5E-3</v>
      </c>
      <c r="F64" s="10">
        <v>6103515625</v>
      </c>
      <c r="G64" s="9">
        <v>9155273.4379999992</v>
      </c>
      <c r="I64">
        <f t="shared" si="4"/>
        <v>150</v>
      </c>
      <c r="J64">
        <f t="shared" si="6"/>
        <v>915527343750</v>
      </c>
      <c r="K64">
        <f t="shared" si="5"/>
        <v>0</v>
      </c>
      <c r="L64">
        <v>10</v>
      </c>
    </row>
    <row r="65" spans="3:15" x14ac:dyDescent="0.3">
      <c r="C65" s="8">
        <v>16</v>
      </c>
      <c r="D65" s="8">
        <v>0.12</v>
      </c>
      <c r="E65" s="8">
        <v>1.1999999999999999E-3</v>
      </c>
      <c r="F65" s="10">
        <v>30517578125</v>
      </c>
      <c r="G65" s="9">
        <v>36621093.75</v>
      </c>
      <c r="I65">
        <f t="shared" si="4"/>
        <v>119.99999999999999</v>
      </c>
      <c r="J65">
        <f t="shared" si="6"/>
        <v>3662109374999.9995</v>
      </c>
      <c r="K65">
        <f>J65/P$49*(IF(C65 &gt; O$49, 0, 1))</f>
        <v>0</v>
      </c>
      <c r="M65" t="s">
        <v>60</v>
      </c>
      <c r="N65">
        <v>50000</v>
      </c>
      <c r="O65" s="17">
        <f>N65*O70</f>
        <v>57627.118644067799</v>
      </c>
    </row>
    <row r="66" spans="3:15" x14ac:dyDescent="0.3">
      <c r="C66" s="8">
        <v>17</v>
      </c>
      <c r="D66" s="8">
        <v>0.04</v>
      </c>
      <c r="E66" s="8">
        <v>4.0000000000000002E-4</v>
      </c>
      <c r="F66" s="10">
        <v>152587890625</v>
      </c>
      <c r="G66" s="9">
        <v>61035156.25</v>
      </c>
      <c r="I66">
        <f t="shared" si="4"/>
        <v>40</v>
      </c>
      <c r="J66">
        <f t="shared" si="6"/>
        <v>6103515625000</v>
      </c>
      <c r="K66">
        <f t="shared" si="5"/>
        <v>0</v>
      </c>
      <c r="L66">
        <v>25</v>
      </c>
      <c r="M66" t="s">
        <v>59</v>
      </c>
      <c r="N66" s="12">
        <v>100000</v>
      </c>
      <c r="O66" s="16">
        <f>N66/O70</f>
        <v>86764.705882352937</v>
      </c>
    </row>
    <row r="67" spans="3:15" x14ac:dyDescent="0.3">
      <c r="C67" s="8">
        <v>18</v>
      </c>
      <c r="D67" s="8">
        <v>0.02</v>
      </c>
      <c r="E67" s="8">
        <v>2.0000000000000001E-4</v>
      </c>
      <c r="F67" s="10">
        <v>762939453125</v>
      </c>
      <c r="G67" s="9">
        <v>152587890.625</v>
      </c>
      <c r="I67">
        <f t="shared" si="4"/>
        <v>20</v>
      </c>
      <c r="J67">
        <f t="shared" si="6"/>
        <v>15258789062500</v>
      </c>
      <c r="K67">
        <f t="shared" si="5"/>
        <v>0</v>
      </c>
      <c r="L67">
        <v>50</v>
      </c>
    </row>
    <row r="68" spans="3:15" x14ac:dyDescent="0.3">
      <c r="C68" s="8">
        <v>19</v>
      </c>
      <c r="D68" s="8">
        <v>0.01</v>
      </c>
      <c r="E68" s="8">
        <v>1E-4</v>
      </c>
      <c r="F68" s="10">
        <v>3814697265625</v>
      </c>
      <c r="G68" s="9">
        <v>381469726.5625</v>
      </c>
      <c r="I68">
        <f>E68*I$49</f>
        <v>10</v>
      </c>
      <c r="J68">
        <f t="shared" si="6"/>
        <v>38146972656250</v>
      </c>
      <c r="K68">
        <f t="shared" si="5"/>
        <v>0</v>
      </c>
      <c r="L68">
        <v>100</v>
      </c>
    </row>
    <row r="69" spans="3:15" x14ac:dyDescent="0.3">
      <c r="C69" s="8">
        <v>20</v>
      </c>
      <c r="D69" s="8">
        <v>0</v>
      </c>
      <c r="E69" s="8">
        <v>0</v>
      </c>
      <c r="F69">
        <v>19073486328125</v>
      </c>
      <c r="G69" s="8">
        <v>0</v>
      </c>
      <c r="H69" s="8">
        <v>5</v>
      </c>
      <c r="I69" s="8">
        <v>3</v>
      </c>
      <c r="K69">
        <f>SUM(K50:K68)</f>
        <v>566.19798139699196</v>
      </c>
      <c r="L69">
        <v>400</v>
      </c>
      <c r="M69">
        <v>59000</v>
      </c>
      <c r="O69" t="s">
        <v>43</v>
      </c>
    </row>
    <row r="70" spans="3:15" x14ac:dyDescent="0.3">
      <c r="C70" s="8">
        <v>21</v>
      </c>
      <c r="D70" s="8">
        <v>0</v>
      </c>
      <c r="E70" s="8">
        <v>0</v>
      </c>
      <c r="F70">
        <v>95367431640625</v>
      </c>
      <c r="G70" s="8">
        <v>0</v>
      </c>
      <c r="H70" s="8">
        <v>25</v>
      </c>
      <c r="M70">
        <v>68000</v>
      </c>
      <c r="O70">
        <f>M70/M69</f>
        <v>1.152542372881356</v>
      </c>
    </row>
    <row r="71" spans="3:15" x14ac:dyDescent="0.3">
      <c r="I71">
        <f>F69/800000000</f>
        <v>23841.85791015625</v>
      </c>
      <c r="L71">
        <v>20</v>
      </c>
      <c r="M71">
        <v>59000</v>
      </c>
      <c r="N71" s="12">
        <f>M71*L71</f>
        <v>1180000</v>
      </c>
      <c r="O71" t="s">
        <v>44</v>
      </c>
    </row>
    <row r="72" spans="3:15" x14ac:dyDescent="0.3">
      <c r="I72">
        <v>2384100</v>
      </c>
      <c r="M72">
        <v>330000</v>
      </c>
      <c r="N72" s="12">
        <f>M72*L71</f>
        <v>6600000</v>
      </c>
      <c r="O72">
        <f>N72/N71</f>
        <v>5.593220338983051</v>
      </c>
    </row>
    <row r="104" spans="5:12" x14ac:dyDescent="0.3">
      <c r="E104">
        <v>19</v>
      </c>
      <c r="L104" s="13" t="s">
        <v>51</v>
      </c>
    </row>
    <row r="105" spans="5:12" x14ac:dyDescent="0.3">
      <c r="E105">
        <v>15</v>
      </c>
    </row>
    <row r="106" spans="5:12" x14ac:dyDescent="0.3">
      <c r="E106">
        <v>0.7</v>
      </c>
    </row>
    <row r="107" spans="5:12" x14ac:dyDescent="0.3">
      <c r="E107">
        <v>1.4999999999999999E-2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99C254-CE5A-4EDE-9661-A85FA45386CA}">
  <dimension ref="A1:P1003"/>
  <sheetViews>
    <sheetView topLeftCell="A19" workbookViewId="0">
      <selection activeCell="C33" sqref="C33"/>
    </sheetView>
  </sheetViews>
  <sheetFormatPr defaultRowHeight="16.5" x14ac:dyDescent="0.3"/>
  <cols>
    <col min="10" max="10" width="10.875" bestFit="1" customWidth="1"/>
  </cols>
  <sheetData>
    <row r="1" spans="1:16" x14ac:dyDescent="0.3">
      <c r="A1">
        <v>1</v>
      </c>
      <c r="B1">
        <v>11</v>
      </c>
      <c r="C1">
        <f>B1</f>
        <v>11</v>
      </c>
      <c r="D1" s="12">
        <f>A1*3000</f>
        <v>3000</v>
      </c>
      <c r="G1">
        <v>1</v>
      </c>
      <c r="H1">
        <v>100</v>
      </c>
      <c r="I1">
        <v>11</v>
      </c>
      <c r="J1">
        <v>100</v>
      </c>
      <c r="L1">
        <f>H1/I1</f>
        <v>9.0909090909090917</v>
      </c>
      <c r="N1">
        <v>9.0909090909090917</v>
      </c>
    </row>
    <row r="2" spans="1:16" x14ac:dyDescent="0.3">
      <c r="A2">
        <v>2</v>
      </c>
      <c r="B2">
        <v>11</v>
      </c>
      <c r="C2">
        <f>C1+B2</f>
        <v>22</v>
      </c>
      <c r="D2" s="12">
        <f t="shared" ref="D2:D65" si="0">A2*3000</f>
        <v>6000</v>
      </c>
      <c r="G2">
        <v>2</v>
      </c>
      <c r="H2">
        <v>200</v>
      </c>
      <c r="I2">
        <v>12</v>
      </c>
      <c r="J2">
        <v>200</v>
      </c>
      <c r="L2">
        <f t="shared" ref="L2:L9" si="1">H2/I2</f>
        <v>16.666666666666668</v>
      </c>
      <c r="N2">
        <v>16.666666666666668</v>
      </c>
      <c r="P2">
        <v>100</v>
      </c>
    </row>
    <row r="3" spans="1:16" x14ac:dyDescent="0.3">
      <c r="A3">
        <v>3</v>
      </c>
      <c r="B3">
        <v>11</v>
      </c>
      <c r="C3">
        <f t="shared" ref="C3:C66" si="2">C2+B3</f>
        <v>33</v>
      </c>
      <c r="D3" s="12">
        <f t="shared" si="0"/>
        <v>9000</v>
      </c>
      <c r="G3">
        <v>3</v>
      </c>
      <c r="H3">
        <v>300</v>
      </c>
      <c r="I3">
        <v>13</v>
      </c>
      <c r="J3">
        <v>300</v>
      </c>
      <c r="L3">
        <f t="shared" si="1"/>
        <v>23.076923076923077</v>
      </c>
      <c r="N3">
        <v>23.076923076923077</v>
      </c>
      <c r="P3">
        <v>300</v>
      </c>
    </row>
    <row r="4" spans="1:16" x14ac:dyDescent="0.3">
      <c r="A4">
        <v>4</v>
      </c>
      <c r="B4">
        <v>11</v>
      </c>
      <c r="C4">
        <f t="shared" si="2"/>
        <v>44</v>
      </c>
      <c r="D4" s="12">
        <f t="shared" si="0"/>
        <v>12000</v>
      </c>
      <c r="G4">
        <v>4</v>
      </c>
      <c r="H4">
        <v>400</v>
      </c>
      <c r="I4">
        <v>14</v>
      </c>
      <c r="J4">
        <v>400</v>
      </c>
      <c r="L4">
        <f t="shared" si="1"/>
        <v>28.571428571428573</v>
      </c>
      <c r="N4">
        <v>28.571428571428573</v>
      </c>
      <c r="P4">
        <v>600</v>
      </c>
    </row>
    <row r="5" spans="1:16" x14ac:dyDescent="0.3">
      <c r="A5">
        <v>5</v>
      </c>
      <c r="B5">
        <v>11</v>
      </c>
      <c r="C5">
        <f t="shared" si="2"/>
        <v>55</v>
      </c>
      <c r="D5" s="12">
        <f t="shared" si="0"/>
        <v>15000</v>
      </c>
      <c r="G5">
        <v>5</v>
      </c>
      <c r="H5">
        <v>500</v>
      </c>
      <c r="I5">
        <v>15</v>
      </c>
      <c r="J5">
        <v>500</v>
      </c>
      <c r="L5">
        <f t="shared" si="1"/>
        <v>33.333333333333336</v>
      </c>
      <c r="N5">
        <v>33.333333333333336</v>
      </c>
      <c r="P5">
        <v>1000</v>
      </c>
    </row>
    <row r="6" spans="1:16" x14ac:dyDescent="0.3">
      <c r="A6">
        <v>6</v>
      </c>
      <c r="B6">
        <v>11</v>
      </c>
      <c r="C6">
        <f t="shared" si="2"/>
        <v>66</v>
      </c>
      <c r="D6" s="12">
        <f t="shared" si="0"/>
        <v>18000</v>
      </c>
      <c r="G6">
        <v>6</v>
      </c>
      <c r="H6">
        <v>800</v>
      </c>
      <c r="I6">
        <v>16</v>
      </c>
      <c r="J6">
        <v>800</v>
      </c>
      <c r="L6">
        <f t="shared" si="1"/>
        <v>50</v>
      </c>
      <c r="N6">
        <v>50</v>
      </c>
      <c r="P6">
        <v>1500</v>
      </c>
    </row>
    <row r="7" spans="1:16" x14ac:dyDescent="0.3">
      <c r="A7">
        <v>7</v>
      </c>
      <c r="B7">
        <v>11</v>
      </c>
      <c r="C7">
        <f t="shared" si="2"/>
        <v>77</v>
      </c>
      <c r="D7" s="12">
        <f t="shared" si="0"/>
        <v>21000</v>
      </c>
      <c r="G7">
        <v>7</v>
      </c>
      <c r="H7">
        <v>1100</v>
      </c>
      <c r="I7">
        <v>17</v>
      </c>
      <c r="J7">
        <v>1100</v>
      </c>
      <c r="L7">
        <f t="shared" si="1"/>
        <v>64.705882352941174</v>
      </c>
      <c r="N7">
        <v>64.705882352941174</v>
      </c>
      <c r="P7">
        <v>2300</v>
      </c>
    </row>
    <row r="8" spans="1:16" x14ac:dyDescent="0.3">
      <c r="A8">
        <v>8</v>
      </c>
      <c r="B8">
        <v>11</v>
      </c>
      <c r="C8">
        <f t="shared" si="2"/>
        <v>88</v>
      </c>
      <c r="D8" s="12">
        <f t="shared" si="0"/>
        <v>24000</v>
      </c>
      <c r="G8">
        <v>8</v>
      </c>
      <c r="H8">
        <v>1500</v>
      </c>
      <c r="I8">
        <v>18</v>
      </c>
      <c r="J8">
        <v>1500</v>
      </c>
      <c r="L8">
        <f t="shared" si="1"/>
        <v>83.333333333333329</v>
      </c>
      <c r="N8">
        <v>83.333333333333329</v>
      </c>
      <c r="P8">
        <v>3400</v>
      </c>
    </row>
    <row r="9" spans="1:16" x14ac:dyDescent="0.3">
      <c r="A9">
        <v>9</v>
      </c>
      <c r="B9">
        <v>11</v>
      </c>
      <c r="C9">
        <f t="shared" si="2"/>
        <v>99</v>
      </c>
      <c r="D9" s="12">
        <f t="shared" si="0"/>
        <v>27000</v>
      </c>
      <c r="G9">
        <v>9</v>
      </c>
      <c r="H9">
        <v>2000</v>
      </c>
      <c r="I9">
        <v>19</v>
      </c>
      <c r="J9">
        <f>SUM(J1:J8)</f>
        <v>4900</v>
      </c>
      <c r="L9">
        <f t="shared" si="1"/>
        <v>105.26315789473684</v>
      </c>
      <c r="N9">
        <v>57.89473684210526</v>
      </c>
      <c r="P9">
        <v>4900</v>
      </c>
    </row>
    <row r="10" spans="1:16" x14ac:dyDescent="0.3">
      <c r="A10">
        <v>10</v>
      </c>
      <c r="B10">
        <v>12</v>
      </c>
      <c r="C10">
        <f t="shared" si="2"/>
        <v>111</v>
      </c>
      <c r="D10" s="12">
        <f t="shared" si="0"/>
        <v>30000</v>
      </c>
      <c r="G10">
        <v>10</v>
      </c>
      <c r="H10" t="s">
        <v>61</v>
      </c>
      <c r="N10">
        <f>SUM(N1:N9)</f>
        <v>366.67321326764051</v>
      </c>
      <c r="O10">
        <f>N10*3000</f>
        <v>1100019.6398029216</v>
      </c>
      <c r="P10">
        <v>6900</v>
      </c>
    </row>
    <row r="11" spans="1:16" x14ac:dyDescent="0.3">
      <c r="A11">
        <v>11</v>
      </c>
      <c r="B11">
        <v>12</v>
      </c>
      <c r="C11">
        <f t="shared" si="2"/>
        <v>123</v>
      </c>
      <c r="D11" s="12">
        <f t="shared" si="0"/>
        <v>33000</v>
      </c>
    </row>
    <row r="12" spans="1:16" x14ac:dyDescent="0.3">
      <c r="A12">
        <v>12</v>
      </c>
      <c r="B12">
        <v>12</v>
      </c>
      <c r="C12">
        <f t="shared" si="2"/>
        <v>135</v>
      </c>
      <c r="D12" s="12">
        <f t="shared" si="0"/>
        <v>36000</v>
      </c>
    </row>
    <row r="13" spans="1:16" x14ac:dyDescent="0.3">
      <c r="A13">
        <v>13</v>
      </c>
      <c r="B13">
        <v>12</v>
      </c>
      <c r="C13">
        <f t="shared" si="2"/>
        <v>147</v>
      </c>
      <c r="D13" s="12">
        <f t="shared" si="0"/>
        <v>39000</v>
      </c>
    </row>
    <row r="14" spans="1:16" x14ac:dyDescent="0.3">
      <c r="A14">
        <v>14</v>
      </c>
      <c r="B14">
        <v>12</v>
      </c>
      <c r="C14">
        <f t="shared" si="2"/>
        <v>159</v>
      </c>
      <c r="D14" s="12">
        <f t="shared" si="0"/>
        <v>42000</v>
      </c>
      <c r="I14" t="s">
        <v>62</v>
      </c>
      <c r="J14" t="s">
        <v>59</v>
      </c>
    </row>
    <row r="15" spans="1:16" x14ac:dyDescent="0.3">
      <c r="A15">
        <v>15</v>
      </c>
      <c r="B15">
        <v>12</v>
      </c>
      <c r="C15">
        <f t="shared" si="2"/>
        <v>171</v>
      </c>
      <c r="D15" s="12">
        <f t="shared" si="0"/>
        <v>45000</v>
      </c>
      <c r="G15">
        <v>1000</v>
      </c>
      <c r="H15">
        <v>21</v>
      </c>
      <c r="I15">
        <v>19064</v>
      </c>
      <c r="J15" s="12">
        <f t="shared" ref="J15" si="3">G15*3000</f>
        <v>3000000</v>
      </c>
    </row>
    <row r="16" spans="1:16" x14ac:dyDescent="0.3">
      <c r="A16">
        <v>16</v>
      </c>
      <c r="B16">
        <v>12</v>
      </c>
      <c r="C16">
        <f t="shared" si="2"/>
        <v>183</v>
      </c>
      <c r="D16" s="12">
        <f t="shared" si="0"/>
        <v>48000</v>
      </c>
      <c r="G16">
        <v>1500</v>
      </c>
      <c r="H16">
        <v>21</v>
      </c>
      <c r="I16">
        <f>I15+H16*(G16-G15)</f>
        <v>29564</v>
      </c>
      <c r="J16" s="12">
        <f>G16*3000</f>
        <v>4500000</v>
      </c>
    </row>
    <row r="17" spans="1:4" x14ac:dyDescent="0.3">
      <c r="A17">
        <v>17</v>
      </c>
      <c r="B17">
        <v>12</v>
      </c>
      <c r="C17">
        <f t="shared" si="2"/>
        <v>195</v>
      </c>
      <c r="D17" s="12">
        <f t="shared" si="0"/>
        <v>51000</v>
      </c>
    </row>
    <row r="18" spans="1:4" x14ac:dyDescent="0.3">
      <c r="A18">
        <v>18</v>
      </c>
      <c r="B18">
        <v>12</v>
      </c>
      <c r="C18">
        <f t="shared" si="2"/>
        <v>207</v>
      </c>
      <c r="D18" s="12">
        <f t="shared" si="0"/>
        <v>54000</v>
      </c>
    </row>
    <row r="19" spans="1:4" x14ac:dyDescent="0.3">
      <c r="A19">
        <v>19</v>
      </c>
      <c r="B19">
        <v>13</v>
      </c>
      <c r="C19">
        <f t="shared" si="2"/>
        <v>220</v>
      </c>
      <c r="D19" s="12">
        <f t="shared" si="0"/>
        <v>57000</v>
      </c>
    </row>
    <row r="20" spans="1:4" x14ac:dyDescent="0.3">
      <c r="A20">
        <v>20</v>
      </c>
      <c r="B20">
        <v>13</v>
      </c>
      <c r="C20">
        <f t="shared" si="2"/>
        <v>233</v>
      </c>
      <c r="D20" s="12">
        <f t="shared" si="0"/>
        <v>60000</v>
      </c>
    </row>
    <row r="21" spans="1:4" x14ac:dyDescent="0.3">
      <c r="A21">
        <v>21</v>
      </c>
      <c r="B21">
        <v>13</v>
      </c>
      <c r="C21">
        <f t="shared" si="2"/>
        <v>246</v>
      </c>
      <c r="D21" s="12">
        <f t="shared" si="0"/>
        <v>63000</v>
      </c>
    </row>
    <row r="22" spans="1:4" x14ac:dyDescent="0.3">
      <c r="A22">
        <v>22</v>
      </c>
      <c r="B22">
        <v>13</v>
      </c>
      <c r="C22">
        <f t="shared" si="2"/>
        <v>259</v>
      </c>
      <c r="D22" s="12">
        <f t="shared" si="0"/>
        <v>66000</v>
      </c>
    </row>
    <row r="23" spans="1:4" x14ac:dyDescent="0.3">
      <c r="A23">
        <v>23</v>
      </c>
      <c r="B23">
        <v>13</v>
      </c>
      <c r="C23">
        <f t="shared" si="2"/>
        <v>272</v>
      </c>
      <c r="D23" s="12">
        <f t="shared" si="0"/>
        <v>69000</v>
      </c>
    </row>
    <row r="24" spans="1:4" x14ac:dyDescent="0.3">
      <c r="A24">
        <v>24</v>
      </c>
      <c r="B24">
        <v>13</v>
      </c>
      <c r="C24">
        <f t="shared" si="2"/>
        <v>285</v>
      </c>
      <c r="D24" s="12">
        <f t="shared" si="0"/>
        <v>72000</v>
      </c>
    </row>
    <row r="25" spans="1:4" x14ac:dyDescent="0.3">
      <c r="A25">
        <v>25</v>
      </c>
      <c r="B25">
        <v>13</v>
      </c>
      <c r="C25">
        <f t="shared" si="2"/>
        <v>298</v>
      </c>
      <c r="D25" s="12">
        <f t="shared" si="0"/>
        <v>75000</v>
      </c>
    </row>
    <row r="26" spans="1:4" x14ac:dyDescent="0.3">
      <c r="A26">
        <v>26</v>
      </c>
      <c r="B26">
        <v>13</v>
      </c>
      <c r="C26">
        <f t="shared" si="2"/>
        <v>311</v>
      </c>
      <c r="D26" s="12">
        <f t="shared" si="0"/>
        <v>78000</v>
      </c>
    </row>
    <row r="27" spans="1:4" x14ac:dyDescent="0.3">
      <c r="A27">
        <v>27</v>
      </c>
      <c r="B27">
        <v>13</v>
      </c>
      <c r="C27">
        <f t="shared" si="2"/>
        <v>324</v>
      </c>
      <c r="D27" s="12">
        <f t="shared" si="0"/>
        <v>81000</v>
      </c>
    </row>
    <row r="28" spans="1:4" x14ac:dyDescent="0.3">
      <c r="A28">
        <v>28</v>
      </c>
      <c r="B28">
        <v>13</v>
      </c>
      <c r="C28">
        <f t="shared" si="2"/>
        <v>337</v>
      </c>
      <c r="D28" s="12">
        <f t="shared" si="0"/>
        <v>84000</v>
      </c>
    </row>
    <row r="29" spans="1:4" x14ac:dyDescent="0.3">
      <c r="A29">
        <v>29</v>
      </c>
      <c r="B29">
        <v>13</v>
      </c>
      <c r="C29">
        <f t="shared" si="2"/>
        <v>350</v>
      </c>
      <c r="D29" s="12">
        <f t="shared" si="0"/>
        <v>87000</v>
      </c>
    </row>
    <row r="30" spans="1:4" x14ac:dyDescent="0.3">
      <c r="A30">
        <v>30</v>
      </c>
      <c r="B30">
        <v>13</v>
      </c>
      <c r="C30">
        <f t="shared" si="2"/>
        <v>363</v>
      </c>
      <c r="D30" s="12">
        <f t="shared" si="0"/>
        <v>90000</v>
      </c>
    </row>
    <row r="31" spans="1:4" x14ac:dyDescent="0.3">
      <c r="A31">
        <v>31</v>
      </c>
      <c r="B31">
        <v>13</v>
      </c>
      <c r="C31">
        <f t="shared" si="2"/>
        <v>376</v>
      </c>
      <c r="D31" s="12">
        <f t="shared" si="0"/>
        <v>93000</v>
      </c>
    </row>
    <row r="32" spans="1:4" x14ac:dyDescent="0.3">
      <c r="A32">
        <v>32</v>
      </c>
      <c r="B32">
        <v>13</v>
      </c>
      <c r="C32">
        <f t="shared" si="2"/>
        <v>389</v>
      </c>
      <c r="D32" s="12">
        <f t="shared" si="0"/>
        <v>96000</v>
      </c>
    </row>
    <row r="33" spans="1:4" x14ac:dyDescent="0.3">
      <c r="A33">
        <v>33</v>
      </c>
      <c r="B33">
        <v>13</v>
      </c>
      <c r="C33">
        <f t="shared" si="2"/>
        <v>402</v>
      </c>
      <c r="D33" s="12">
        <f t="shared" si="0"/>
        <v>99000</v>
      </c>
    </row>
    <row r="34" spans="1:4" x14ac:dyDescent="0.3">
      <c r="A34">
        <v>34</v>
      </c>
      <c r="B34">
        <v>13</v>
      </c>
      <c r="C34">
        <f t="shared" si="2"/>
        <v>415</v>
      </c>
      <c r="D34" s="12">
        <f t="shared" si="0"/>
        <v>102000</v>
      </c>
    </row>
    <row r="35" spans="1:4" x14ac:dyDescent="0.3">
      <c r="A35">
        <v>35</v>
      </c>
      <c r="B35">
        <v>13</v>
      </c>
      <c r="C35">
        <f t="shared" si="2"/>
        <v>428</v>
      </c>
      <c r="D35" s="12">
        <f t="shared" si="0"/>
        <v>105000</v>
      </c>
    </row>
    <row r="36" spans="1:4" x14ac:dyDescent="0.3">
      <c r="A36">
        <v>36</v>
      </c>
      <c r="B36">
        <v>13</v>
      </c>
      <c r="C36">
        <f t="shared" si="2"/>
        <v>441</v>
      </c>
      <c r="D36" s="12">
        <f t="shared" si="0"/>
        <v>108000</v>
      </c>
    </row>
    <row r="37" spans="1:4" x14ac:dyDescent="0.3">
      <c r="A37">
        <v>37</v>
      </c>
      <c r="B37">
        <v>13</v>
      </c>
      <c r="C37">
        <f t="shared" si="2"/>
        <v>454</v>
      </c>
      <c r="D37" s="12">
        <f t="shared" si="0"/>
        <v>111000</v>
      </c>
    </row>
    <row r="38" spans="1:4" x14ac:dyDescent="0.3">
      <c r="A38">
        <v>38</v>
      </c>
      <c r="B38">
        <v>13</v>
      </c>
      <c r="C38">
        <f t="shared" si="2"/>
        <v>467</v>
      </c>
      <c r="D38" s="12">
        <f t="shared" si="0"/>
        <v>114000</v>
      </c>
    </row>
    <row r="39" spans="1:4" x14ac:dyDescent="0.3">
      <c r="A39">
        <v>39</v>
      </c>
      <c r="B39">
        <v>13</v>
      </c>
      <c r="C39">
        <f t="shared" si="2"/>
        <v>480</v>
      </c>
      <c r="D39" s="12">
        <f t="shared" si="0"/>
        <v>117000</v>
      </c>
    </row>
    <row r="40" spans="1:4" x14ac:dyDescent="0.3">
      <c r="A40">
        <v>40</v>
      </c>
      <c r="B40">
        <v>13</v>
      </c>
      <c r="C40">
        <f t="shared" si="2"/>
        <v>493</v>
      </c>
      <c r="D40" s="12">
        <f t="shared" si="0"/>
        <v>120000</v>
      </c>
    </row>
    <row r="41" spans="1:4" x14ac:dyDescent="0.3">
      <c r="A41">
        <v>41</v>
      </c>
      <c r="B41">
        <v>13</v>
      </c>
      <c r="C41">
        <f t="shared" si="2"/>
        <v>506</v>
      </c>
      <c r="D41" s="12">
        <f t="shared" si="0"/>
        <v>123000</v>
      </c>
    </row>
    <row r="42" spans="1:4" x14ac:dyDescent="0.3">
      <c r="A42">
        <v>42</v>
      </c>
      <c r="B42">
        <v>13</v>
      </c>
      <c r="C42">
        <f t="shared" si="2"/>
        <v>519</v>
      </c>
      <c r="D42" s="12">
        <f t="shared" si="0"/>
        <v>126000</v>
      </c>
    </row>
    <row r="43" spans="1:4" x14ac:dyDescent="0.3">
      <c r="A43">
        <v>43</v>
      </c>
      <c r="B43">
        <v>13</v>
      </c>
      <c r="C43">
        <f t="shared" si="2"/>
        <v>532</v>
      </c>
      <c r="D43" s="12">
        <f t="shared" si="0"/>
        <v>129000</v>
      </c>
    </row>
    <row r="44" spans="1:4" x14ac:dyDescent="0.3">
      <c r="A44">
        <v>44</v>
      </c>
      <c r="B44">
        <v>13</v>
      </c>
      <c r="C44">
        <f t="shared" si="2"/>
        <v>545</v>
      </c>
      <c r="D44" s="12">
        <f t="shared" si="0"/>
        <v>132000</v>
      </c>
    </row>
    <row r="45" spans="1:4" x14ac:dyDescent="0.3">
      <c r="A45">
        <v>45</v>
      </c>
      <c r="B45">
        <v>13</v>
      </c>
      <c r="C45">
        <f t="shared" si="2"/>
        <v>558</v>
      </c>
      <c r="D45" s="12">
        <f t="shared" si="0"/>
        <v>135000</v>
      </c>
    </row>
    <row r="46" spans="1:4" x14ac:dyDescent="0.3">
      <c r="A46">
        <v>46</v>
      </c>
      <c r="B46">
        <v>13</v>
      </c>
      <c r="C46">
        <f t="shared" si="2"/>
        <v>571</v>
      </c>
      <c r="D46" s="12">
        <f t="shared" si="0"/>
        <v>138000</v>
      </c>
    </row>
    <row r="47" spans="1:4" x14ac:dyDescent="0.3">
      <c r="A47">
        <v>47</v>
      </c>
      <c r="B47">
        <v>13</v>
      </c>
      <c r="C47">
        <f t="shared" si="2"/>
        <v>584</v>
      </c>
      <c r="D47" s="12">
        <f t="shared" si="0"/>
        <v>141000</v>
      </c>
    </row>
    <row r="48" spans="1:4" x14ac:dyDescent="0.3">
      <c r="A48">
        <v>48</v>
      </c>
      <c r="B48">
        <v>13</v>
      </c>
      <c r="C48">
        <f t="shared" si="2"/>
        <v>597</v>
      </c>
      <c r="D48" s="12">
        <f t="shared" si="0"/>
        <v>144000</v>
      </c>
    </row>
    <row r="49" spans="1:4" x14ac:dyDescent="0.3">
      <c r="A49">
        <v>49</v>
      </c>
      <c r="B49">
        <v>14</v>
      </c>
      <c r="C49">
        <f t="shared" si="2"/>
        <v>611</v>
      </c>
      <c r="D49" s="12">
        <f t="shared" si="0"/>
        <v>147000</v>
      </c>
    </row>
    <row r="50" spans="1:4" x14ac:dyDescent="0.3">
      <c r="A50">
        <v>50</v>
      </c>
      <c r="B50">
        <v>14</v>
      </c>
      <c r="C50">
        <f t="shared" si="2"/>
        <v>625</v>
      </c>
      <c r="D50" s="12">
        <f t="shared" si="0"/>
        <v>150000</v>
      </c>
    </row>
    <row r="51" spans="1:4" x14ac:dyDescent="0.3">
      <c r="A51">
        <v>51</v>
      </c>
      <c r="B51">
        <v>14</v>
      </c>
      <c r="C51">
        <f t="shared" si="2"/>
        <v>639</v>
      </c>
      <c r="D51" s="12">
        <f t="shared" si="0"/>
        <v>153000</v>
      </c>
    </row>
    <row r="52" spans="1:4" x14ac:dyDescent="0.3">
      <c r="A52">
        <v>52</v>
      </c>
      <c r="B52">
        <v>14</v>
      </c>
      <c r="C52">
        <f t="shared" si="2"/>
        <v>653</v>
      </c>
      <c r="D52" s="12">
        <f t="shared" si="0"/>
        <v>156000</v>
      </c>
    </row>
    <row r="53" spans="1:4" x14ac:dyDescent="0.3">
      <c r="A53">
        <v>53</v>
      </c>
      <c r="B53">
        <v>14</v>
      </c>
      <c r="C53">
        <f t="shared" si="2"/>
        <v>667</v>
      </c>
      <c r="D53" s="12">
        <f t="shared" si="0"/>
        <v>159000</v>
      </c>
    </row>
    <row r="54" spans="1:4" x14ac:dyDescent="0.3">
      <c r="A54">
        <v>54</v>
      </c>
      <c r="B54">
        <v>14</v>
      </c>
      <c r="C54">
        <f t="shared" si="2"/>
        <v>681</v>
      </c>
      <c r="D54" s="12">
        <f t="shared" si="0"/>
        <v>162000</v>
      </c>
    </row>
    <row r="55" spans="1:4" x14ac:dyDescent="0.3">
      <c r="A55">
        <v>55</v>
      </c>
      <c r="B55">
        <v>14</v>
      </c>
      <c r="C55">
        <f t="shared" si="2"/>
        <v>695</v>
      </c>
      <c r="D55" s="12">
        <f t="shared" si="0"/>
        <v>165000</v>
      </c>
    </row>
    <row r="56" spans="1:4" x14ac:dyDescent="0.3">
      <c r="A56">
        <v>56</v>
      </c>
      <c r="B56">
        <v>14</v>
      </c>
      <c r="C56">
        <f t="shared" si="2"/>
        <v>709</v>
      </c>
      <c r="D56" s="12">
        <f t="shared" si="0"/>
        <v>168000</v>
      </c>
    </row>
    <row r="57" spans="1:4" x14ac:dyDescent="0.3">
      <c r="A57">
        <v>57</v>
      </c>
      <c r="B57">
        <v>14</v>
      </c>
      <c r="C57">
        <f t="shared" si="2"/>
        <v>723</v>
      </c>
      <c r="D57" s="12">
        <f t="shared" si="0"/>
        <v>171000</v>
      </c>
    </row>
    <row r="58" spans="1:4" x14ac:dyDescent="0.3">
      <c r="A58">
        <v>58</v>
      </c>
      <c r="B58">
        <v>14</v>
      </c>
      <c r="C58">
        <f t="shared" si="2"/>
        <v>737</v>
      </c>
      <c r="D58" s="12">
        <f t="shared" si="0"/>
        <v>174000</v>
      </c>
    </row>
    <row r="59" spans="1:4" x14ac:dyDescent="0.3">
      <c r="A59">
        <v>59</v>
      </c>
      <c r="B59">
        <v>14</v>
      </c>
      <c r="C59">
        <f t="shared" si="2"/>
        <v>751</v>
      </c>
      <c r="D59" s="12">
        <f t="shared" si="0"/>
        <v>177000</v>
      </c>
    </row>
    <row r="60" spans="1:4" x14ac:dyDescent="0.3">
      <c r="A60">
        <v>60</v>
      </c>
      <c r="B60">
        <v>14</v>
      </c>
      <c r="C60">
        <f t="shared" si="2"/>
        <v>765</v>
      </c>
      <c r="D60" s="12">
        <f t="shared" si="0"/>
        <v>180000</v>
      </c>
    </row>
    <row r="61" spans="1:4" x14ac:dyDescent="0.3">
      <c r="A61">
        <v>61</v>
      </c>
      <c r="B61">
        <v>14</v>
      </c>
      <c r="C61">
        <f t="shared" si="2"/>
        <v>779</v>
      </c>
      <c r="D61" s="12">
        <f t="shared" si="0"/>
        <v>183000</v>
      </c>
    </row>
    <row r="62" spans="1:4" x14ac:dyDescent="0.3">
      <c r="A62">
        <v>62</v>
      </c>
      <c r="B62">
        <v>14</v>
      </c>
      <c r="C62">
        <f t="shared" si="2"/>
        <v>793</v>
      </c>
      <c r="D62" s="12">
        <f t="shared" si="0"/>
        <v>186000</v>
      </c>
    </row>
    <row r="63" spans="1:4" x14ac:dyDescent="0.3">
      <c r="A63">
        <v>63</v>
      </c>
      <c r="B63">
        <v>14</v>
      </c>
      <c r="C63">
        <f t="shared" si="2"/>
        <v>807</v>
      </c>
      <c r="D63" s="12">
        <f t="shared" si="0"/>
        <v>189000</v>
      </c>
    </row>
    <row r="64" spans="1:4" x14ac:dyDescent="0.3">
      <c r="A64">
        <v>64</v>
      </c>
      <c r="B64">
        <v>14</v>
      </c>
      <c r="C64">
        <f t="shared" si="2"/>
        <v>821</v>
      </c>
      <c r="D64" s="12">
        <f t="shared" si="0"/>
        <v>192000</v>
      </c>
    </row>
    <row r="65" spans="1:4" x14ac:dyDescent="0.3">
      <c r="A65">
        <v>65</v>
      </c>
      <c r="B65">
        <v>14</v>
      </c>
      <c r="C65">
        <f t="shared" si="2"/>
        <v>835</v>
      </c>
      <c r="D65" s="12">
        <f t="shared" si="0"/>
        <v>195000</v>
      </c>
    </row>
    <row r="66" spans="1:4" x14ac:dyDescent="0.3">
      <c r="A66">
        <v>66</v>
      </c>
      <c r="B66">
        <v>14</v>
      </c>
      <c r="C66">
        <f t="shared" si="2"/>
        <v>849</v>
      </c>
      <c r="D66" s="12">
        <f t="shared" ref="D66:D129" si="4">A66*3000</f>
        <v>198000</v>
      </c>
    </row>
    <row r="67" spans="1:4" x14ac:dyDescent="0.3">
      <c r="A67">
        <v>67</v>
      </c>
      <c r="B67">
        <v>14</v>
      </c>
      <c r="C67">
        <f t="shared" ref="C67:C130" si="5">C66+B67</f>
        <v>863</v>
      </c>
      <c r="D67" s="12">
        <f t="shared" si="4"/>
        <v>201000</v>
      </c>
    </row>
    <row r="68" spans="1:4" x14ac:dyDescent="0.3">
      <c r="A68">
        <v>68</v>
      </c>
      <c r="B68">
        <v>14</v>
      </c>
      <c r="C68">
        <f t="shared" si="5"/>
        <v>877</v>
      </c>
      <c r="D68" s="12">
        <f t="shared" si="4"/>
        <v>204000</v>
      </c>
    </row>
    <row r="69" spans="1:4" x14ac:dyDescent="0.3">
      <c r="A69">
        <v>69</v>
      </c>
      <c r="B69">
        <v>14</v>
      </c>
      <c r="C69">
        <f t="shared" si="5"/>
        <v>891</v>
      </c>
      <c r="D69" s="12">
        <f t="shared" si="4"/>
        <v>207000</v>
      </c>
    </row>
    <row r="70" spans="1:4" x14ac:dyDescent="0.3">
      <c r="A70">
        <v>70</v>
      </c>
      <c r="B70">
        <v>14</v>
      </c>
      <c r="C70">
        <f t="shared" si="5"/>
        <v>905</v>
      </c>
      <c r="D70" s="12">
        <f t="shared" si="4"/>
        <v>210000</v>
      </c>
    </row>
    <row r="71" spans="1:4" x14ac:dyDescent="0.3">
      <c r="A71">
        <v>71</v>
      </c>
      <c r="B71">
        <v>14</v>
      </c>
      <c r="C71">
        <f t="shared" si="5"/>
        <v>919</v>
      </c>
      <c r="D71" s="12">
        <f t="shared" si="4"/>
        <v>213000</v>
      </c>
    </row>
    <row r="72" spans="1:4" x14ac:dyDescent="0.3">
      <c r="A72">
        <v>72</v>
      </c>
      <c r="B72">
        <v>14</v>
      </c>
      <c r="C72">
        <f t="shared" si="5"/>
        <v>933</v>
      </c>
      <c r="D72" s="12">
        <f t="shared" si="4"/>
        <v>216000</v>
      </c>
    </row>
    <row r="73" spans="1:4" x14ac:dyDescent="0.3">
      <c r="A73">
        <v>73</v>
      </c>
      <c r="B73">
        <v>14</v>
      </c>
      <c r="C73">
        <f t="shared" si="5"/>
        <v>947</v>
      </c>
      <c r="D73" s="12">
        <f t="shared" si="4"/>
        <v>219000</v>
      </c>
    </row>
    <row r="74" spans="1:4" x14ac:dyDescent="0.3">
      <c r="A74">
        <v>74</v>
      </c>
      <c r="B74">
        <v>14</v>
      </c>
      <c r="C74">
        <f t="shared" si="5"/>
        <v>961</v>
      </c>
      <c r="D74" s="12">
        <f t="shared" si="4"/>
        <v>222000</v>
      </c>
    </row>
    <row r="75" spans="1:4" x14ac:dyDescent="0.3">
      <c r="A75">
        <v>75</v>
      </c>
      <c r="B75">
        <v>14</v>
      </c>
      <c r="C75">
        <f t="shared" si="5"/>
        <v>975</v>
      </c>
      <c r="D75" s="12">
        <f t="shared" si="4"/>
        <v>225000</v>
      </c>
    </row>
    <row r="76" spans="1:4" x14ac:dyDescent="0.3">
      <c r="A76">
        <v>76</v>
      </c>
      <c r="B76">
        <v>14</v>
      </c>
      <c r="C76">
        <f t="shared" si="5"/>
        <v>989</v>
      </c>
      <c r="D76" s="12">
        <f t="shared" si="4"/>
        <v>228000</v>
      </c>
    </row>
    <row r="77" spans="1:4" x14ac:dyDescent="0.3">
      <c r="A77">
        <v>77</v>
      </c>
      <c r="B77">
        <v>15</v>
      </c>
      <c r="C77">
        <f t="shared" si="5"/>
        <v>1004</v>
      </c>
      <c r="D77" s="12">
        <f t="shared" si="4"/>
        <v>231000</v>
      </c>
    </row>
    <row r="78" spans="1:4" x14ac:dyDescent="0.3">
      <c r="A78">
        <v>78</v>
      </c>
      <c r="B78">
        <v>15</v>
      </c>
      <c r="C78">
        <f t="shared" si="5"/>
        <v>1019</v>
      </c>
      <c r="D78" s="12">
        <f t="shared" si="4"/>
        <v>234000</v>
      </c>
    </row>
    <row r="79" spans="1:4" x14ac:dyDescent="0.3">
      <c r="A79">
        <v>79</v>
      </c>
      <c r="B79">
        <v>15</v>
      </c>
      <c r="C79">
        <f t="shared" si="5"/>
        <v>1034</v>
      </c>
      <c r="D79" s="12">
        <f t="shared" si="4"/>
        <v>237000</v>
      </c>
    </row>
    <row r="80" spans="1:4" x14ac:dyDescent="0.3">
      <c r="A80">
        <v>80</v>
      </c>
      <c r="B80">
        <v>15</v>
      </c>
      <c r="C80">
        <f t="shared" si="5"/>
        <v>1049</v>
      </c>
      <c r="D80" s="12">
        <f t="shared" si="4"/>
        <v>240000</v>
      </c>
    </row>
    <row r="81" spans="1:4" x14ac:dyDescent="0.3">
      <c r="A81">
        <v>81</v>
      </c>
      <c r="B81">
        <v>15</v>
      </c>
      <c r="C81">
        <f t="shared" si="5"/>
        <v>1064</v>
      </c>
      <c r="D81" s="12">
        <f t="shared" si="4"/>
        <v>243000</v>
      </c>
    </row>
    <row r="82" spans="1:4" x14ac:dyDescent="0.3">
      <c r="A82">
        <v>82</v>
      </c>
      <c r="B82">
        <v>15</v>
      </c>
      <c r="C82">
        <f t="shared" si="5"/>
        <v>1079</v>
      </c>
      <c r="D82" s="12">
        <f t="shared" si="4"/>
        <v>246000</v>
      </c>
    </row>
    <row r="83" spans="1:4" x14ac:dyDescent="0.3">
      <c r="A83">
        <v>83</v>
      </c>
      <c r="B83">
        <v>15</v>
      </c>
      <c r="C83">
        <f t="shared" si="5"/>
        <v>1094</v>
      </c>
      <c r="D83" s="12">
        <f t="shared" si="4"/>
        <v>249000</v>
      </c>
    </row>
    <row r="84" spans="1:4" x14ac:dyDescent="0.3">
      <c r="A84">
        <v>84</v>
      </c>
      <c r="B84">
        <v>15</v>
      </c>
      <c r="C84">
        <f t="shared" si="5"/>
        <v>1109</v>
      </c>
      <c r="D84" s="12">
        <f t="shared" si="4"/>
        <v>252000</v>
      </c>
    </row>
    <row r="85" spans="1:4" x14ac:dyDescent="0.3">
      <c r="A85">
        <v>85</v>
      </c>
      <c r="B85">
        <v>15</v>
      </c>
      <c r="C85">
        <f t="shared" si="5"/>
        <v>1124</v>
      </c>
      <c r="D85" s="12">
        <f t="shared" si="4"/>
        <v>255000</v>
      </c>
    </row>
    <row r="86" spans="1:4" x14ac:dyDescent="0.3">
      <c r="A86">
        <v>86</v>
      </c>
      <c r="B86">
        <v>15</v>
      </c>
      <c r="C86">
        <f t="shared" si="5"/>
        <v>1139</v>
      </c>
      <c r="D86" s="12">
        <f t="shared" si="4"/>
        <v>258000</v>
      </c>
    </row>
    <row r="87" spans="1:4" x14ac:dyDescent="0.3">
      <c r="A87">
        <v>87</v>
      </c>
      <c r="B87">
        <v>15</v>
      </c>
      <c r="C87">
        <f t="shared" si="5"/>
        <v>1154</v>
      </c>
      <c r="D87" s="12">
        <f t="shared" si="4"/>
        <v>261000</v>
      </c>
    </row>
    <row r="88" spans="1:4" x14ac:dyDescent="0.3">
      <c r="A88">
        <v>88</v>
      </c>
      <c r="B88">
        <v>15</v>
      </c>
      <c r="C88">
        <f t="shared" si="5"/>
        <v>1169</v>
      </c>
      <c r="D88" s="12">
        <f t="shared" si="4"/>
        <v>264000</v>
      </c>
    </row>
    <row r="89" spans="1:4" x14ac:dyDescent="0.3">
      <c r="A89">
        <v>89</v>
      </c>
      <c r="B89">
        <v>15</v>
      </c>
      <c r="C89">
        <f t="shared" si="5"/>
        <v>1184</v>
      </c>
      <c r="D89" s="12">
        <f t="shared" si="4"/>
        <v>267000</v>
      </c>
    </row>
    <row r="90" spans="1:4" x14ac:dyDescent="0.3">
      <c r="A90">
        <v>90</v>
      </c>
      <c r="B90">
        <v>15</v>
      </c>
      <c r="C90">
        <f t="shared" si="5"/>
        <v>1199</v>
      </c>
      <c r="D90" s="12">
        <f t="shared" si="4"/>
        <v>270000</v>
      </c>
    </row>
    <row r="91" spans="1:4" x14ac:dyDescent="0.3">
      <c r="A91">
        <v>91</v>
      </c>
      <c r="B91">
        <v>15</v>
      </c>
      <c r="C91">
        <f t="shared" si="5"/>
        <v>1214</v>
      </c>
      <c r="D91" s="12">
        <f t="shared" si="4"/>
        <v>273000</v>
      </c>
    </row>
    <row r="92" spans="1:4" x14ac:dyDescent="0.3">
      <c r="A92">
        <v>92</v>
      </c>
      <c r="B92">
        <v>15</v>
      </c>
      <c r="C92">
        <f t="shared" si="5"/>
        <v>1229</v>
      </c>
      <c r="D92" s="12">
        <f t="shared" si="4"/>
        <v>276000</v>
      </c>
    </row>
    <row r="93" spans="1:4" x14ac:dyDescent="0.3">
      <c r="A93">
        <v>93</v>
      </c>
      <c r="B93">
        <v>15</v>
      </c>
      <c r="C93">
        <f t="shared" si="5"/>
        <v>1244</v>
      </c>
      <c r="D93" s="12">
        <f t="shared" si="4"/>
        <v>279000</v>
      </c>
    </row>
    <row r="94" spans="1:4" x14ac:dyDescent="0.3">
      <c r="A94">
        <v>94</v>
      </c>
      <c r="B94">
        <v>15</v>
      </c>
      <c r="C94">
        <f t="shared" si="5"/>
        <v>1259</v>
      </c>
      <c r="D94" s="12">
        <f t="shared" si="4"/>
        <v>282000</v>
      </c>
    </row>
    <row r="95" spans="1:4" x14ac:dyDescent="0.3">
      <c r="A95">
        <v>95</v>
      </c>
      <c r="B95">
        <v>15</v>
      </c>
      <c r="C95">
        <f t="shared" si="5"/>
        <v>1274</v>
      </c>
      <c r="D95" s="12">
        <f t="shared" si="4"/>
        <v>285000</v>
      </c>
    </row>
    <row r="96" spans="1:4" x14ac:dyDescent="0.3">
      <c r="A96">
        <v>96</v>
      </c>
      <c r="B96">
        <v>15</v>
      </c>
      <c r="C96">
        <f t="shared" si="5"/>
        <v>1289</v>
      </c>
      <c r="D96" s="12">
        <f t="shared" si="4"/>
        <v>288000</v>
      </c>
    </row>
    <row r="97" spans="1:4" x14ac:dyDescent="0.3">
      <c r="A97">
        <v>97</v>
      </c>
      <c r="B97">
        <v>15</v>
      </c>
      <c r="C97">
        <f t="shared" si="5"/>
        <v>1304</v>
      </c>
      <c r="D97" s="12">
        <f t="shared" si="4"/>
        <v>291000</v>
      </c>
    </row>
    <row r="98" spans="1:4" x14ac:dyDescent="0.3">
      <c r="A98">
        <v>98</v>
      </c>
      <c r="B98">
        <v>15</v>
      </c>
      <c r="C98">
        <f t="shared" si="5"/>
        <v>1319</v>
      </c>
      <c r="D98" s="12">
        <f t="shared" si="4"/>
        <v>294000</v>
      </c>
    </row>
    <row r="99" spans="1:4" x14ac:dyDescent="0.3">
      <c r="A99">
        <v>99</v>
      </c>
      <c r="B99">
        <v>15</v>
      </c>
      <c r="C99">
        <f t="shared" si="5"/>
        <v>1334</v>
      </c>
      <c r="D99" s="12">
        <f t="shared" si="4"/>
        <v>297000</v>
      </c>
    </row>
    <row r="100" spans="1:4" x14ac:dyDescent="0.3">
      <c r="A100">
        <v>100</v>
      </c>
      <c r="B100">
        <v>15</v>
      </c>
      <c r="C100">
        <f t="shared" si="5"/>
        <v>1349</v>
      </c>
      <c r="D100" s="12">
        <f t="shared" si="4"/>
        <v>300000</v>
      </c>
    </row>
    <row r="101" spans="1:4" x14ac:dyDescent="0.3">
      <c r="A101">
        <v>101</v>
      </c>
      <c r="B101">
        <v>15</v>
      </c>
      <c r="C101">
        <f t="shared" si="5"/>
        <v>1364</v>
      </c>
      <c r="D101" s="12">
        <f t="shared" si="4"/>
        <v>303000</v>
      </c>
    </row>
    <row r="102" spans="1:4" x14ac:dyDescent="0.3">
      <c r="A102">
        <v>102</v>
      </c>
      <c r="B102">
        <v>15</v>
      </c>
      <c r="C102">
        <f t="shared" si="5"/>
        <v>1379</v>
      </c>
      <c r="D102" s="12">
        <f t="shared" si="4"/>
        <v>306000</v>
      </c>
    </row>
    <row r="103" spans="1:4" x14ac:dyDescent="0.3">
      <c r="A103">
        <v>103</v>
      </c>
      <c r="B103">
        <v>15</v>
      </c>
      <c r="C103">
        <f t="shared" si="5"/>
        <v>1394</v>
      </c>
      <c r="D103" s="12">
        <f t="shared" si="4"/>
        <v>309000</v>
      </c>
    </row>
    <row r="104" spans="1:4" x14ac:dyDescent="0.3">
      <c r="A104">
        <v>104</v>
      </c>
      <c r="B104">
        <v>15</v>
      </c>
      <c r="C104">
        <f t="shared" si="5"/>
        <v>1409</v>
      </c>
      <c r="D104" s="12">
        <f t="shared" si="4"/>
        <v>312000</v>
      </c>
    </row>
    <row r="105" spans="1:4" x14ac:dyDescent="0.3">
      <c r="A105">
        <v>105</v>
      </c>
      <c r="B105">
        <v>15</v>
      </c>
      <c r="C105">
        <f t="shared" si="5"/>
        <v>1424</v>
      </c>
      <c r="D105" s="12">
        <f t="shared" si="4"/>
        <v>315000</v>
      </c>
    </row>
    <row r="106" spans="1:4" x14ac:dyDescent="0.3">
      <c r="A106">
        <v>106</v>
      </c>
      <c r="B106">
        <v>15</v>
      </c>
      <c r="C106">
        <f t="shared" si="5"/>
        <v>1439</v>
      </c>
      <c r="D106" s="12">
        <f t="shared" si="4"/>
        <v>318000</v>
      </c>
    </row>
    <row r="107" spans="1:4" x14ac:dyDescent="0.3">
      <c r="A107">
        <v>107</v>
      </c>
      <c r="B107">
        <v>15</v>
      </c>
      <c r="C107">
        <f t="shared" si="5"/>
        <v>1454</v>
      </c>
      <c r="D107" s="12">
        <f t="shared" si="4"/>
        <v>321000</v>
      </c>
    </row>
    <row r="108" spans="1:4" x14ac:dyDescent="0.3">
      <c r="A108">
        <v>108</v>
      </c>
      <c r="B108">
        <v>15</v>
      </c>
      <c r="C108">
        <f t="shared" si="5"/>
        <v>1469</v>
      </c>
      <c r="D108" s="12">
        <f t="shared" si="4"/>
        <v>324000</v>
      </c>
    </row>
    <row r="109" spans="1:4" x14ac:dyDescent="0.3">
      <c r="A109">
        <v>109</v>
      </c>
      <c r="B109">
        <v>15</v>
      </c>
      <c r="C109">
        <f t="shared" si="5"/>
        <v>1484</v>
      </c>
      <c r="D109" s="12">
        <f t="shared" si="4"/>
        <v>327000</v>
      </c>
    </row>
    <row r="110" spans="1:4" x14ac:dyDescent="0.3">
      <c r="A110">
        <v>110</v>
      </c>
      <c r="B110">
        <v>15</v>
      </c>
      <c r="C110">
        <f t="shared" si="5"/>
        <v>1499</v>
      </c>
      <c r="D110" s="12">
        <f t="shared" si="4"/>
        <v>330000</v>
      </c>
    </row>
    <row r="111" spans="1:4" x14ac:dyDescent="0.3">
      <c r="A111">
        <v>111</v>
      </c>
      <c r="B111">
        <v>16</v>
      </c>
      <c r="C111">
        <f t="shared" si="5"/>
        <v>1515</v>
      </c>
      <c r="D111" s="12">
        <f t="shared" si="4"/>
        <v>333000</v>
      </c>
    </row>
    <row r="112" spans="1:4" x14ac:dyDescent="0.3">
      <c r="A112">
        <v>112</v>
      </c>
      <c r="B112">
        <v>16</v>
      </c>
      <c r="C112">
        <f t="shared" si="5"/>
        <v>1531</v>
      </c>
      <c r="D112" s="12">
        <f t="shared" si="4"/>
        <v>336000</v>
      </c>
    </row>
    <row r="113" spans="1:4" x14ac:dyDescent="0.3">
      <c r="A113">
        <v>113</v>
      </c>
      <c r="B113">
        <v>16</v>
      </c>
      <c r="C113">
        <f t="shared" si="5"/>
        <v>1547</v>
      </c>
      <c r="D113" s="12">
        <f t="shared" si="4"/>
        <v>339000</v>
      </c>
    </row>
    <row r="114" spans="1:4" x14ac:dyDescent="0.3">
      <c r="A114">
        <v>114</v>
      </c>
      <c r="B114">
        <v>16</v>
      </c>
      <c r="C114">
        <f t="shared" si="5"/>
        <v>1563</v>
      </c>
      <c r="D114" s="12">
        <f t="shared" si="4"/>
        <v>342000</v>
      </c>
    </row>
    <row r="115" spans="1:4" x14ac:dyDescent="0.3">
      <c r="A115">
        <v>115</v>
      </c>
      <c r="B115">
        <v>16</v>
      </c>
      <c r="C115">
        <f t="shared" si="5"/>
        <v>1579</v>
      </c>
      <c r="D115" s="12">
        <f t="shared" si="4"/>
        <v>345000</v>
      </c>
    </row>
    <row r="116" spans="1:4" x14ac:dyDescent="0.3">
      <c r="A116">
        <v>116</v>
      </c>
      <c r="B116">
        <v>16</v>
      </c>
      <c r="C116">
        <f t="shared" si="5"/>
        <v>1595</v>
      </c>
      <c r="D116" s="12">
        <f t="shared" si="4"/>
        <v>348000</v>
      </c>
    </row>
    <row r="117" spans="1:4" x14ac:dyDescent="0.3">
      <c r="A117">
        <v>117</v>
      </c>
      <c r="B117">
        <v>16</v>
      </c>
      <c r="C117">
        <f t="shared" si="5"/>
        <v>1611</v>
      </c>
      <c r="D117" s="12">
        <f t="shared" si="4"/>
        <v>351000</v>
      </c>
    </row>
    <row r="118" spans="1:4" x14ac:dyDescent="0.3">
      <c r="A118">
        <v>118</v>
      </c>
      <c r="B118">
        <v>16</v>
      </c>
      <c r="C118">
        <f t="shared" si="5"/>
        <v>1627</v>
      </c>
      <c r="D118" s="12">
        <f t="shared" si="4"/>
        <v>354000</v>
      </c>
    </row>
    <row r="119" spans="1:4" x14ac:dyDescent="0.3">
      <c r="A119">
        <v>119</v>
      </c>
      <c r="B119">
        <v>16</v>
      </c>
      <c r="C119">
        <f t="shared" si="5"/>
        <v>1643</v>
      </c>
      <c r="D119" s="12">
        <f t="shared" si="4"/>
        <v>357000</v>
      </c>
    </row>
    <row r="120" spans="1:4" x14ac:dyDescent="0.3">
      <c r="A120">
        <v>120</v>
      </c>
      <c r="B120">
        <v>16</v>
      </c>
      <c r="C120">
        <f t="shared" si="5"/>
        <v>1659</v>
      </c>
      <c r="D120" s="12">
        <f t="shared" si="4"/>
        <v>360000</v>
      </c>
    </row>
    <row r="121" spans="1:4" x14ac:dyDescent="0.3">
      <c r="A121">
        <v>121</v>
      </c>
      <c r="B121">
        <v>16</v>
      </c>
      <c r="C121">
        <f t="shared" si="5"/>
        <v>1675</v>
      </c>
      <c r="D121" s="12">
        <f t="shared" si="4"/>
        <v>363000</v>
      </c>
    </row>
    <row r="122" spans="1:4" x14ac:dyDescent="0.3">
      <c r="A122">
        <v>122</v>
      </c>
      <c r="B122">
        <v>16</v>
      </c>
      <c r="C122">
        <f t="shared" si="5"/>
        <v>1691</v>
      </c>
      <c r="D122" s="12">
        <f t="shared" si="4"/>
        <v>366000</v>
      </c>
    </row>
    <row r="123" spans="1:4" x14ac:dyDescent="0.3">
      <c r="A123">
        <v>123</v>
      </c>
      <c r="B123">
        <v>16</v>
      </c>
      <c r="C123">
        <f t="shared" si="5"/>
        <v>1707</v>
      </c>
      <c r="D123" s="12">
        <f t="shared" si="4"/>
        <v>369000</v>
      </c>
    </row>
    <row r="124" spans="1:4" x14ac:dyDescent="0.3">
      <c r="A124">
        <v>124</v>
      </c>
      <c r="B124">
        <v>16</v>
      </c>
      <c r="C124">
        <f t="shared" si="5"/>
        <v>1723</v>
      </c>
      <c r="D124" s="12">
        <f t="shared" si="4"/>
        <v>372000</v>
      </c>
    </row>
    <row r="125" spans="1:4" x14ac:dyDescent="0.3">
      <c r="A125">
        <v>125</v>
      </c>
      <c r="B125">
        <v>16</v>
      </c>
      <c r="C125">
        <f t="shared" si="5"/>
        <v>1739</v>
      </c>
      <c r="D125" s="12">
        <f t="shared" si="4"/>
        <v>375000</v>
      </c>
    </row>
    <row r="126" spans="1:4" x14ac:dyDescent="0.3">
      <c r="A126">
        <v>126</v>
      </c>
      <c r="B126">
        <v>16</v>
      </c>
      <c r="C126">
        <f t="shared" si="5"/>
        <v>1755</v>
      </c>
      <c r="D126" s="12">
        <f t="shared" si="4"/>
        <v>378000</v>
      </c>
    </row>
    <row r="127" spans="1:4" x14ac:dyDescent="0.3">
      <c r="A127">
        <v>127</v>
      </c>
      <c r="B127">
        <v>16</v>
      </c>
      <c r="C127">
        <f t="shared" si="5"/>
        <v>1771</v>
      </c>
      <c r="D127" s="12">
        <f t="shared" si="4"/>
        <v>381000</v>
      </c>
    </row>
    <row r="128" spans="1:4" x14ac:dyDescent="0.3">
      <c r="A128">
        <v>128</v>
      </c>
      <c r="B128">
        <v>16</v>
      </c>
      <c r="C128">
        <f t="shared" si="5"/>
        <v>1787</v>
      </c>
      <c r="D128" s="12">
        <f t="shared" si="4"/>
        <v>384000</v>
      </c>
    </row>
    <row r="129" spans="1:4" x14ac:dyDescent="0.3">
      <c r="A129">
        <v>129</v>
      </c>
      <c r="B129">
        <v>16</v>
      </c>
      <c r="C129">
        <f t="shared" si="5"/>
        <v>1803</v>
      </c>
      <c r="D129" s="12">
        <f t="shared" si="4"/>
        <v>387000</v>
      </c>
    </row>
    <row r="130" spans="1:4" x14ac:dyDescent="0.3">
      <c r="A130">
        <v>130</v>
      </c>
      <c r="B130">
        <v>16</v>
      </c>
      <c r="C130">
        <f t="shared" si="5"/>
        <v>1819</v>
      </c>
      <c r="D130" s="12">
        <f t="shared" ref="D130:D193" si="6">A130*3000</f>
        <v>390000</v>
      </c>
    </row>
    <row r="131" spans="1:4" x14ac:dyDescent="0.3">
      <c r="A131">
        <v>131</v>
      </c>
      <c r="B131">
        <v>16</v>
      </c>
      <c r="C131">
        <f t="shared" ref="C131:C194" si="7">C130+B131</f>
        <v>1835</v>
      </c>
      <c r="D131" s="12">
        <f t="shared" si="6"/>
        <v>393000</v>
      </c>
    </row>
    <row r="132" spans="1:4" x14ac:dyDescent="0.3">
      <c r="A132">
        <v>132</v>
      </c>
      <c r="B132">
        <v>16</v>
      </c>
      <c r="C132">
        <f t="shared" si="7"/>
        <v>1851</v>
      </c>
      <c r="D132" s="12">
        <f t="shared" si="6"/>
        <v>396000</v>
      </c>
    </row>
    <row r="133" spans="1:4" x14ac:dyDescent="0.3">
      <c r="A133">
        <v>133</v>
      </c>
      <c r="B133">
        <v>16</v>
      </c>
      <c r="C133">
        <f t="shared" si="7"/>
        <v>1867</v>
      </c>
      <c r="D133" s="12">
        <f t="shared" si="6"/>
        <v>399000</v>
      </c>
    </row>
    <row r="134" spans="1:4" x14ac:dyDescent="0.3">
      <c r="A134">
        <v>134</v>
      </c>
      <c r="B134">
        <v>16</v>
      </c>
      <c r="C134">
        <f t="shared" si="7"/>
        <v>1883</v>
      </c>
      <c r="D134" s="12">
        <f t="shared" si="6"/>
        <v>402000</v>
      </c>
    </row>
    <row r="135" spans="1:4" x14ac:dyDescent="0.3">
      <c r="A135">
        <v>135</v>
      </c>
      <c r="B135">
        <v>16</v>
      </c>
      <c r="C135">
        <f t="shared" si="7"/>
        <v>1899</v>
      </c>
      <c r="D135" s="12">
        <f t="shared" si="6"/>
        <v>405000</v>
      </c>
    </row>
    <row r="136" spans="1:4" x14ac:dyDescent="0.3">
      <c r="A136">
        <v>136</v>
      </c>
      <c r="B136">
        <v>16</v>
      </c>
      <c r="C136">
        <f t="shared" si="7"/>
        <v>1915</v>
      </c>
      <c r="D136" s="12">
        <f t="shared" si="6"/>
        <v>408000</v>
      </c>
    </row>
    <row r="137" spans="1:4" x14ac:dyDescent="0.3">
      <c r="A137">
        <v>137</v>
      </c>
      <c r="B137">
        <v>16</v>
      </c>
      <c r="C137">
        <f t="shared" si="7"/>
        <v>1931</v>
      </c>
      <c r="D137" s="12">
        <f t="shared" si="6"/>
        <v>411000</v>
      </c>
    </row>
    <row r="138" spans="1:4" x14ac:dyDescent="0.3">
      <c r="A138">
        <v>138</v>
      </c>
      <c r="B138">
        <v>16</v>
      </c>
      <c r="C138">
        <f t="shared" si="7"/>
        <v>1947</v>
      </c>
      <c r="D138" s="12">
        <f t="shared" si="6"/>
        <v>414000</v>
      </c>
    </row>
    <row r="139" spans="1:4" x14ac:dyDescent="0.3">
      <c r="A139">
        <v>139</v>
      </c>
      <c r="B139">
        <v>16</v>
      </c>
      <c r="C139">
        <f t="shared" si="7"/>
        <v>1963</v>
      </c>
      <c r="D139" s="12">
        <f t="shared" si="6"/>
        <v>417000</v>
      </c>
    </row>
    <row r="140" spans="1:4" x14ac:dyDescent="0.3">
      <c r="A140">
        <v>140</v>
      </c>
      <c r="B140">
        <v>16</v>
      </c>
      <c r="C140">
        <f t="shared" si="7"/>
        <v>1979</v>
      </c>
      <c r="D140" s="12">
        <f t="shared" si="6"/>
        <v>420000</v>
      </c>
    </row>
    <row r="141" spans="1:4" x14ac:dyDescent="0.3">
      <c r="A141">
        <v>141</v>
      </c>
      <c r="B141">
        <v>16</v>
      </c>
      <c r="C141">
        <f t="shared" si="7"/>
        <v>1995</v>
      </c>
      <c r="D141" s="12">
        <f t="shared" si="6"/>
        <v>423000</v>
      </c>
    </row>
    <row r="142" spans="1:4" x14ac:dyDescent="0.3">
      <c r="A142">
        <v>142</v>
      </c>
      <c r="B142">
        <v>16</v>
      </c>
      <c r="C142">
        <f t="shared" si="7"/>
        <v>2011</v>
      </c>
      <c r="D142" s="12">
        <f t="shared" si="6"/>
        <v>426000</v>
      </c>
    </row>
    <row r="143" spans="1:4" x14ac:dyDescent="0.3">
      <c r="A143">
        <v>143</v>
      </c>
      <c r="B143">
        <v>16</v>
      </c>
      <c r="C143">
        <f t="shared" si="7"/>
        <v>2027</v>
      </c>
      <c r="D143" s="12">
        <f t="shared" si="6"/>
        <v>429000</v>
      </c>
    </row>
    <row r="144" spans="1:4" x14ac:dyDescent="0.3">
      <c r="A144">
        <v>144</v>
      </c>
      <c r="B144">
        <v>16</v>
      </c>
      <c r="C144">
        <f t="shared" si="7"/>
        <v>2043</v>
      </c>
      <c r="D144" s="12">
        <f t="shared" si="6"/>
        <v>432000</v>
      </c>
    </row>
    <row r="145" spans="1:4" x14ac:dyDescent="0.3">
      <c r="A145">
        <v>145</v>
      </c>
      <c r="B145">
        <v>16</v>
      </c>
      <c r="C145">
        <f t="shared" si="7"/>
        <v>2059</v>
      </c>
      <c r="D145" s="12">
        <f t="shared" si="6"/>
        <v>435000</v>
      </c>
    </row>
    <row r="146" spans="1:4" x14ac:dyDescent="0.3">
      <c r="A146">
        <v>146</v>
      </c>
      <c r="B146">
        <v>16</v>
      </c>
      <c r="C146">
        <f t="shared" si="7"/>
        <v>2075</v>
      </c>
      <c r="D146" s="12">
        <f t="shared" si="6"/>
        <v>438000</v>
      </c>
    </row>
    <row r="147" spans="1:4" x14ac:dyDescent="0.3">
      <c r="A147">
        <v>147</v>
      </c>
      <c r="B147">
        <v>16</v>
      </c>
      <c r="C147">
        <f t="shared" si="7"/>
        <v>2091</v>
      </c>
      <c r="D147" s="12">
        <f t="shared" si="6"/>
        <v>441000</v>
      </c>
    </row>
    <row r="148" spans="1:4" x14ac:dyDescent="0.3">
      <c r="A148">
        <v>148</v>
      </c>
      <c r="B148">
        <v>16</v>
      </c>
      <c r="C148">
        <f t="shared" si="7"/>
        <v>2107</v>
      </c>
      <c r="D148" s="12">
        <f t="shared" si="6"/>
        <v>444000</v>
      </c>
    </row>
    <row r="149" spans="1:4" x14ac:dyDescent="0.3">
      <c r="A149">
        <v>149</v>
      </c>
      <c r="B149">
        <v>16</v>
      </c>
      <c r="C149">
        <f t="shared" si="7"/>
        <v>2123</v>
      </c>
      <c r="D149" s="12">
        <f t="shared" si="6"/>
        <v>447000</v>
      </c>
    </row>
    <row r="150" spans="1:4" x14ac:dyDescent="0.3">
      <c r="A150">
        <v>150</v>
      </c>
      <c r="B150">
        <v>16</v>
      </c>
      <c r="C150">
        <f t="shared" si="7"/>
        <v>2139</v>
      </c>
      <c r="D150" s="12">
        <f t="shared" si="6"/>
        <v>450000</v>
      </c>
    </row>
    <row r="151" spans="1:4" x14ac:dyDescent="0.3">
      <c r="A151">
        <v>151</v>
      </c>
      <c r="B151">
        <v>16</v>
      </c>
      <c r="C151">
        <f t="shared" si="7"/>
        <v>2155</v>
      </c>
      <c r="D151" s="12">
        <f t="shared" si="6"/>
        <v>453000</v>
      </c>
    </row>
    <row r="152" spans="1:4" x14ac:dyDescent="0.3">
      <c r="A152">
        <v>152</v>
      </c>
      <c r="B152">
        <v>16</v>
      </c>
      <c r="C152">
        <f t="shared" si="7"/>
        <v>2171</v>
      </c>
      <c r="D152" s="12">
        <f t="shared" si="6"/>
        <v>456000</v>
      </c>
    </row>
    <row r="153" spans="1:4" x14ac:dyDescent="0.3">
      <c r="A153">
        <v>153</v>
      </c>
      <c r="B153">
        <v>16</v>
      </c>
      <c r="C153">
        <f t="shared" si="7"/>
        <v>2187</v>
      </c>
      <c r="D153" s="12">
        <f t="shared" si="6"/>
        <v>459000</v>
      </c>
    </row>
    <row r="154" spans="1:4" x14ac:dyDescent="0.3">
      <c r="A154">
        <v>154</v>
      </c>
      <c r="B154">
        <v>16</v>
      </c>
      <c r="C154">
        <f t="shared" si="7"/>
        <v>2203</v>
      </c>
      <c r="D154" s="12">
        <f t="shared" si="6"/>
        <v>462000</v>
      </c>
    </row>
    <row r="155" spans="1:4" x14ac:dyDescent="0.3">
      <c r="A155">
        <v>155</v>
      </c>
      <c r="B155">
        <v>16</v>
      </c>
      <c r="C155">
        <f t="shared" si="7"/>
        <v>2219</v>
      </c>
      <c r="D155" s="12">
        <f t="shared" si="6"/>
        <v>465000</v>
      </c>
    </row>
    <row r="156" spans="1:4" x14ac:dyDescent="0.3">
      <c r="A156">
        <v>156</v>
      </c>
      <c r="B156">
        <v>16</v>
      </c>
      <c r="C156">
        <f t="shared" si="7"/>
        <v>2235</v>
      </c>
      <c r="D156" s="12">
        <f t="shared" si="6"/>
        <v>468000</v>
      </c>
    </row>
    <row r="157" spans="1:4" x14ac:dyDescent="0.3">
      <c r="A157">
        <v>157</v>
      </c>
      <c r="B157">
        <v>16</v>
      </c>
      <c r="C157">
        <f t="shared" si="7"/>
        <v>2251</v>
      </c>
      <c r="D157" s="12">
        <f t="shared" si="6"/>
        <v>471000</v>
      </c>
    </row>
    <row r="158" spans="1:4" x14ac:dyDescent="0.3">
      <c r="A158">
        <v>158</v>
      </c>
      <c r="B158">
        <v>16</v>
      </c>
      <c r="C158">
        <f t="shared" si="7"/>
        <v>2267</v>
      </c>
      <c r="D158" s="12">
        <f t="shared" si="6"/>
        <v>474000</v>
      </c>
    </row>
    <row r="159" spans="1:4" x14ac:dyDescent="0.3">
      <c r="A159">
        <v>159</v>
      </c>
      <c r="B159">
        <v>16</v>
      </c>
      <c r="C159">
        <f t="shared" si="7"/>
        <v>2283</v>
      </c>
      <c r="D159" s="12">
        <f t="shared" si="6"/>
        <v>477000</v>
      </c>
    </row>
    <row r="160" spans="1:4" x14ac:dyDescent="0.3">
      <c r="A160">
        <v>160</v>
      </c>
      <c r="B160">
        <v>16</v>
      </c>
      <c r="C160">
        <f t="shared" si="7"/>
        <v>2299</v>
      </c>
      <c r="D160" s="12">
        <f t="shared" si="6"/>
        <v>480000</v>
      </c>
    </row>
    <row r="161" spans="1:4" x14ac:dyDescent="0.3">
      <c r="A161">
        <v>161</v>
      </c>
      <c r="B161">
        <v>17</v>
      </c>
      <c r="C161">
        <f t="shared" si="7"/>
        <v>2316</v>
      </c>
      <c r="D161" s="12">
        <f t="shared" si="6"/>
        <v>483000</v>
      </c>
    </row>
    <row r="162" spans="1:4" x14ac:dyDescent="0.3">
      <c r="A162">
        <v>162</v>
      </c>
      <c r="B162">
        <v>17</v>
      </c>
      <c r="C162">
        <f t="shared" si="7"/>
        <v>2333</v>
      </c>
      <c r="D162" s="12">
        <f t="shared" si="6"/>
        <v>486000</v>
      </c>
    </row>
    <row r="163" spans="1:4" x14ac:dyDescent="0.3">
      <c r="A163">
        <v>163</v>
      </c>
      <c r="B163">
        <v>17</v>
      </c>
      <c r="C163">
        <f t="shared" si="7"/>
        <v>2350</v>
      </c>
      <c r="D163" s="12">
        <f t="shared" si="6"/>
        <v>489000</v>
      </c>
    </row>
    <row r="164" spans="1:4" x14ac:dyDescent="0.3">
      <c r="A164">
        <v>164</v>
      </c>
      <c r="B164">
        <v>17</v>
      </c>
      <c r="C164">
        <f t="shared" si="7"/>
        <v>2367</v>
      </c>
      <c r="D164" s="12">
        <f t="shared" si="6"/>
        <v>492000</v>
      </c>
    </row>
    <row r="165" spans="1:4" x14ac:dyDescent="0.3">
      <c r="A165">
        <v>165</v>
      </c>
      <c r="B165">
        <v>17</v>
      </c>
      <c r="C165">
        <f t="shared" si="7"/>
        <v>2384</v>
      </c>
      <c r="D165" s="12">
        <f t="shared" si="6"/>
        <v>495000</v>
      </c>
    </row>
    <row r="166" spans="1:4" x14ac:dyDescent="0.3">
      <c r="A166">
        <v>166</v>
      </c>
      <c r="B166">
        <v>17</v>
      </c>
      <c r="C166">
        <f t="shared" si="7"/>
        <v>2401</v>
      </c>
      <c r="D166" s="12">
        <f t="shared" si="6"/>
        <v>498000</v>
      </c>
    </row>
    <row r="167" spans="1:4" x14ac:dyDescent="0.3">
      <c r="A167">
        <v>167</v>
      </c>
      <c r="B167">
        <v>17</v>
      </c>
      <c r="C167">
        <f t="shared" si="7"/>
        <v>2418</v>
      </c>
      <c r="D167" s="12">
        <f t="shared" si="6"/>
        <v>501000</v>
      </c>
    </row>
    <row r="168" spans="1:4" x14ac:dyDescent="0.3">
      <c r="A168">
        <v>168</v>
      </c>
      <c r="B168">
        <v>17</v>
      </c>
      <c r="C168">
        <f t="shared" si="7"/>
        <v>2435</v>
      </c>
      <c r="D168" s="12">
        <f t="shared" si="6"/>
        <v>504000</v>
      </c>
    </row>
    <row r="169" spans="1:4" x14ac:dyDescent="0.3">
      <c r="A169">
        <v>169</v>
      </c>
      <c r="B169">
        <v>17</v>
      </c>
      <c r="C169">
        <f t="shared" si="7"/>
        <v>2452</v>
      </c>
      <c r="D169" s="12">
        <f t="shared" si="6"/>
        <v>507000</v>
      </c>
    </row>
    <row r="170" spans="1:4" x14ac:dyDescent="0.3">
      <c r="A170">
        <v>170</v>
      </c>
      <c r="B170">
        <v>17</v>
      </c>
      <c r="C170">
        <f t="shared" si="7"/>
        <v>2469</v>
      </c>
      <c r="D170" s="12">
        <f t="shared" si="6"/>
        <v>510000</v>
      </c>
    </row>
    <row r="171" spans="1:4" x14ac:dyDescent="0.3">
      <c r="A171">
        <v>171</v>
      </c>
      <c r="B171">
        <v>17</v>
      </c>
      <c r="C171">
        <f t="shared" si="7"/>
        <v>2486</v>
      </c>
      <c r="D171" s="12">
        <f t="shared" si="6"/>
        <v>513000</v>
      </c>
    </row>
    <row r="172" spans="1:4" x14ac:dyDescent="0.3">
      <c r="A172">
        <v>172</v>
      </c>
      <c r="B172">
        <v>17</v>
      </c>
      <c r="C172">
        <f t="shared" si="7"/>
        <v>2503</v>
      </c>
      <c r="D172" s="12">
        <f t="shared" si="6"/>
        <v>516000</v>
      </c>
    </row>
    <row r="173" spans="1:4" x14ac:dyDescent="0.3">
      <c r="A173">
        <v>173</v>
      </c>
      <c r="B173">
        <v>17</v>
      </c>
      <c r="C173">
        <f t="shared" si="7"/>
        <v>2520</v>
      </c>
      <c r="D173" s="12">
        <f t="shared" si="6"/>
        <v>519000</v>
      </c>
    </row>
    <row r="174" spans="1:4" x14ac:dyDescent="0.3">
      <c r="A174">
        <v>174</v>
      </c>
      <c r="B174">
        <v>17</v>
      </c>
      <c r="C174">
        <f t="shared" si="7"/>
        <v>2537</v>
      </c>
      <c r="D174" s="12">
        <f t="shared" si="6"/>
        <v>522000</v>
      </c>
    </row>
    <row r="175" spans="1:4" x14ac:dyDescent="0.3">
      <c r="A175">
        <v>175</v>
      </c>
      <c r="B175">
        <v>17</v>
      </c>
      <c r="C175">
        <f t="shared" si="7"/>
        <v>2554</v>
      </c>
      <c r="D175" s="12">
        <f t="shared" si="6"/>
        <v>525000</v>
      </c>
    </row>
    <row r="176" spans="1:4" x14ac:dyDescent="0.3">
      <c r="A176">
        <v>176</v>
      </c>
      <c r="B176">
        <v>17</v>
      </c>
      <c r="C176">
        <f t="shared" si="7"/>
        <v>2571</v>
      </c>
      <c r="D176" s="12">
        <f t="shared" si="6"/>
        <v>528000</v>
      </c>
    </row>
    <row r="177" spans="1:4" x14ac:dyDescent="0.3">
      <c r="A177">
        <v>177</v>
      </c>
      <c r="B177">
        <v>17</v>
      </c>
      <c r="C177">
        <f t="shared" si="7"/>
        <v>2588</v>
      </c>
      <c r="D177" s="12">
        <f t="shared" si="6"/>
        <v>531000</v>
      </c>
    </row>
    <row r="178" spans="1:4" x14ac:dyDescent="0.3">
      <c r="A178">
        <v>178</v>
      </c>
      <c r="B178">
        <v>17</v>
      </c>
      <c r="C178">
        <f t="shared" si="7"/>
        <v>2605</v>
      </c>
      <c r="D178" s="12">
        <f t="shared" si="6"/>
        <v>534000</v>
      </c>
    </row>
    <row r="179" spans="1:4" x14ac:dyDescent="0.3">
      <c r="A179">
        <v>179</v>
      </c>
      <c r="B179">
        <v>17</v>
      </c>
      <c r="C179">
        <f t="shared" si="7"/>
        <v>2622</v>
      </c>
      <c r="D179" s="12">
        <f t="shared" si="6"/>
        <v>537000</v>
      </c>
    </row>
    <row r="180" spans="1:4" x14ac:dyDescent="0.3">
      <c r="A180">
        <v>180</v>
      </c>
      <c r="B180">
        <v>17</v>
      </c>
      <c r="C180">
        <f t="shared" si="7"/>
        <v>2639</v>
      </c>
      <c r="D180" s="12">
        <f t="shared" si="6"/>
        <v>540000</v>
      </c>
    </row>
    <row r="181" spans="1:4" x14ac:dyDescent="0.3">
      <c r="A181">
        <v>181</v>
      </c>
      <c r="B181">
        <v>17</v>
      </c>
      <c r="C181">
        <f t="shared" si="7"/>
        <v>2656</v>
      </c>
      <c r="D181" s="12">
        <f t="shared" si="6"/>
        <v>543000</v>
      </c>
    </row>
    <row r="182" spans="1:4" x14ac:dyDescent="0.3">
      <c r="A182">
        <v>182</v>
      </c>
      <c r="B182">
        <v>17</v>
      </c>
      <c r="C182">
        <f t="shared" si="7"/>
        <v>2673</v>
      </c>
      <c r="D182" s="12">
        <f t="shared" si="6"/>
        <v>546000</v>
      </c>
    </row>
    <row r="183" spans="1:4" x14ac:dyDescent="0.3">
      <c r="A183">
        <v>183</v>
      </c>
      <c r="B183">
        <v>17</v>
      </c>
      <c r="C183">
        <f t="shared" si="7"/>
        <v>2690</v>
      </c>
      <c r="D183" s="12">
        <f t="shared" si="6"/>
        <v>549000</v>
      </c>
    </row>
    <row r="184" spans="1:4" x14ac:dyDescent="0.3">
      <c r="A184">
        <v>184</v>
      </c>
      <c r="B184">
        <v>17</v>
      </c>
      <c r="C184">
        <f t="shared" si="7"/>
        <v>2707</v>
      </c>
      <c r="D184" s="12">
        <f t="shared" si="6"/>
        <v>552000</v>
      </c>
    </row>
    <row r="185" spans="1:4" x14ac:dyDescent="0.3">
      <c r="A185">
        <v>185</v>
      </c>
      <c r="B185">
        <v>17</v>
      </c>
      <c r="C185">
        <f t="shared" si="7"/>
        <v>2724</v>
      </c>
      <c r="D185" s="12">
        <f t="shared" si="6"/>
        <v>555000</v>
      </c>
    </row>
    <row r="186" spans="1:4" x14ac:dyDescent="0.3">
      <c r="A186">
        <v>186</v>
      </c>
      <c r="B186">
        <v>17</v>
      </c>
      <c r="C186">
        <f t="shared" si="7"/>
        <v>2741</v>
      </c>
      <c r="D186" s="12">
        <f t="shared" si="6"/>
        <v>558000</v>
      </c>
    </row>
    <row r="187" spans="1:4" x14ac:dyDescent="0.3">
      <c r="A187">
        <v>187</v>
      </c>
      <c r="B187">
        <v>17</v>
      </c>
      <c r="C187">
        <f t="shared" si="7"/>
        <v>2758</v>
      </c>
      <c r="D187" s="12">
        <f t="shared" si="6"/>
        <v>561000</v>
      </c>
    </row>
    <row r="188" spans="1:4" x14ac:dyDescent="0.3">
      <c r="A188">
        <v>188</v>
      </c>
      <c r="B188">
        <v>17</v>
      </c>
      <c r="C188">
        <f t="shared" si="7"/>
        <v>2775</v>
      </c>
      <c r="D188" s="12">
        <f t="shared" si="6"/>
        <v>564000</v>
      </c>
    </row>
    <row r="189" spans="1:4" x14ac:dyDescent="0.3">
      <c r="A189">
        <v>189</v>
      </c>
      <c r="B189">
        <v>17</v>
      </c>
      <c r="C189">
        <f t="shared" si="7"/>
        <v>2792</v>
      </c>
      <c r="D189" s="12">
        <f t="shared" si="6"/>
        <v>567000</v>
      </c>
    </row>
    <row r="190" spans="1:4" x14ac:dyDescent="0.3">
      <c r="A190">
        <v>190</v>
      </c>
      <c r="B190">
        <v>17</v>
      </c>
      <c r="C190">
        <f t="shared" si="7"/>
        <v>2809</v>
      </c>
      <c r="D190" s="12">
        <f t="shared" si="6"/>
        <v>570000</v>
      </c>
    </row>
    <row r="191" spans="1:4" x14ac:dyDescent="0.3">
      <c r="A191">
        <v>191</v>
      </c>
      <c r="B191">
        <v>17</v>
      </c>
      <c r="C191">
        <f t="shared" si="7"/>
        <v>2826</v>
      </c>
      <c r="D191" s="12">
        <f t="shared" si="6"/>
        <v>573000</v>
      </c>
    </row>
    <row r="192" spans="1:4" x14ac:dyDescent="0.3">
      <c r="A192">
        <v>192</v>
      </c>
      <c r="B192">
        <v>17</v>
      </c>
      <c r="C192">
        <f t="shared" si="7"/>
        <v>2843</v>
      </c>
      <c r="D192" s="12">
        <f t="shared" si="6"/>
        <v>576000</v>
      </c>
    </row>
    <row r="193" spans="1:4" x14ac:dyDescent="0.3">
      <c r="A193">
        <v>193</v>
      </c>
      <c r="B193">
        <v>17</v>
      </c>
      <c r="C193">
        <f t="shared" si="7"/>
        <v>2860</v>
      </c>
      <c r="D193" s="12">
        <f t="shared" si="6"/>
        <v>579000</v>
      </c>
    </row>
    <row r="194" spans="1:4" x14ac:dyDescent="0.3">
      <c r="A194">
        <v>194</v>
      </c>
      <c r="B194">
        <v>17</v>
      </c>
      <c r="C194">
        <f t="shared" si="7"/>
        <v>2877</v>
      </c>
      <c r="D194" s="12">
        <f t="shared" ref="D194:D257" si="8">A194*3000</f>
        <v>582000</v>
      </c>
    </row>
    <row r="195" spans="1:4" x14ac:dyDescent="0.3">
      <c r="A195">
        <v>195</v>
      </c>
      <c r="B195">
        <v>17</v>
      </c>
      <c r="C195">
        <f t="shared" ref="C195:C258" si="9">C194+B195</f>
        <v>2894</v>
      </c>
      <c r="D195" s="12">
        <f t="shared" si="8"/>
        <v>585000</v>
      </c>
    </row>
    <row r="196" spans="1:4" x14ac:dyDescent="0.3">
      <c r="A196">
        <v>196</v>
      </c>
      <c r="B196">
        <v>17</v>
      </c>
      <c r="C196">
        <f t="shared" si="9"/>
        <v>2911</v>
      </c>
      <c r="D196" s="12">
        <f t="shared" si="8"/>
        <v>588000</v>
      </c>
    </row>
    <row r="197" spans="1:4" x14ac:dyDescent="0.3">
      <c r="A197">
        <v>197</v>
      </c>
      <c r="B197">
        <v>17</v>
      </c>
      <c r="C197">
        <f t="shared" si="9"/>
        <v>2928</v>
      </c>
      <c r="D197" s="12">
        <f t="shared" si="8"/>
        <v>591000</v>
      </c>
    </row>
    <row r="198" spans="1:4" x14ac:dyDescent="0.3">
      <c r="A198">
        <v>198</v>
      </c>
      <c r="B198">
        <v>17</v>
      </c>
      <c r="C198">
        <f t="shared" si="9"/>
        <v>2945</v>
      </c>
      <c r="D198" s="12">
        <f t="shared" si="8"/>
        <v>594000</v>
      </c>
    </row>
    <row r="199" spans="1:4" x14ac:dyDescent="0.3">
      <c r="A199">
        <v>199</v>
      </c>
      <c r="B199">
        <v>17</v>
      </c>
      <c r="C199">
        <f t="shared" si="9"/>
        <v>2962</v>
      </c>
      <c r="D199" s="12">
        <f t="shared" si="8"/>
        <v>597000</v>
      </c>
    </row>
    <row r="200" spans="1:4" x14ac:dyDescent="0.3">
      <c r="A200">
        <v>200</v>
      </c>
      <c r="B200">
        <v>17</v>
      </c>
      <c r="C200">
        <f t="shared" si="9"/>
        <v>2979</v>
      </c>
      <c r="D200" s="12">
        <f t="shared" si="8"/>
        <v>600000</v>
      </c>
    </row>
    <row r="201" spans="1:4" x14ac:dyDescent="0.3">
      <c r="A201">
        <v>201</v>
      </c>
      <c r="B201">
        <v>17</v>
      </c>
      <c r="C201">
        <f t="shared" si="9"/>
        <v>2996</v>
      </c>
      <c r="D201" s="12">
        <f t="shared" si="8"/>
        <v>603000</v>
      </c>
    </row>
    <row r="202" spans="1:4" x14ac:dyDescent="0.3">
      <c r="A202">
        <v>202</v>
      </c>
      <c r="B202">
        <v>17</v>
      </c>
      <c r="C202">
        <f t="shared" si="9"/>
        <v>3013</v>
      </c>
      <c r="D202" s="12">
        <f t="shared" si="8"/>
        <v>606000</v>
      </c>
    </row>
    <row r="203" spans="1:4" x14ac:dyDescent="0.3">
      <c r="A203">
        <v>203</v>
      </c>
      <c r="B203">
        <v>17</v>
      </c>
      <c r="C203">
        <f t="shared" si="9"/>
        <v>3030</v>
      </c>
      <c r="D203" s="12">
        <f t="shared" si="8"/>
        <v>609000</v>
      </c>
    </row>
    <row r="204" spans="1:4" x14ac:dyDescent="0.3">
      <c r="A204">
        <v>204</v>
      </c>
      <c r="B204">
        <v>17</v>
      </c>
      <c r="C204">
        <f t="shared" si="9"/>
        <v>3047</v>
      </c>
      <c r="D204" s="12">
        <f t="shared" si="8"/>
        <v>612000</v>
      </c>
    </row>
    <row r="205" spans="1:4" x14ac:dyDescent="0.3">
      <c r="A205">
        <v>205</v>
      </c>
      <c r="B205">
        <v>17</v>
      </c>
      <c r="C205">
        <f t="shared" si="9"/>
        <v>3064</v>
      </c>
      <c r="D205" s="12">
        <f t="shared" si="8"/>
        <v>615000</v>
      </c>
    </row>
    <row r="206" spans="1:4" x14ac:dyDescent="0.3">
      <c r="A206">
        <v>206</v>
      </c>
      <c r="B206">
        <v>17</v>
      </c>
      <c r="C206">
        <f t="shared" si="9"/>
        <v>3081</v>
      </c>
      <c r="D206" s="12">
        <f t="shared" si="8"/>
        <v>618000</v>
      </c>
    </row>
    <row r="207" spans="1:4" x14ac:dyDescent="0.3">
      <c r="A207">
        <v>207</v>
      </c>
      <c r="B207">
        <v>17</v>
      </c>
      <c r="C207">
        <f t="shared" si="9"/>
        <v>3098</v>
      </c>
      <c r="D207" s="12">
        <f t="shared" si="8"/>
        <v>621000</v>
      </c>
    </row>
    <row r="208" spans="1:4" x14ac:dyDescent="0.3">
      <c r="A208">
        <v>208</v>
      </c>
      <c r="B208">
        <v>17</v>
      </c>
      <c r="C208">
        <f t="shared" si="9"/>
        <v>3115</v>
      </c>
      <c r="D208" s="12">
        <f t="shared" si="8"/>
        <v>624000</v>
      </c>
    </row>
    <row r="209" spans="1:4" x14ac:dyDescent="0.3">
      <c r="A209">
        <v>209</v>
      </c>
      <c r="B209">
        <v>17</v>
      </c>
      <c r="C209">
        <f t="shared" si="9"/>
        <v>3132</v>
      </c>
      <c r="D209" s="12">
        <f t="shared" si="8"/>
        <v>627000</v>
      </c>
    </row>
    <row r="210" spans="1:4" x14ac:dyDescent="0.3">
      <c r="A210">
        <v>210</v>
      </c>
      <c r="B210">
        <v>17</v>
      </c>
      <c r="C210">
        <f t="shared" si="9"/>
        <v>3149</v>
      </c>
      <c r="D210" s="12">
        <f t="shared" si="8"/>
        <v>630000</v>
      </c>
    </row>
    <row r="211" spans="1:4" x14ac:dyDescent="0.3">
      <c r="A211">
        <v>211</v>
      </c>
      <c r="B211">
        <v>17</v>
      </c>
      <c r="C211">
        <f t="shared" si="9"/>
        <v>3166</v>
      </c>
      <c r="D211" s="12">
        <f t="shared" si="8"/>
        <v>633000</v>
      </c>
    </row>
    <row r="212" spans="1:4" x14ac:dyDescent="0.3">
      <c r="A212">
        <v>212</v>
      </c>
      <c r="B212">
        <v>17</v>
      </c>
      <c r="C212">
        <f t="shared" si="9"/>
        <v>3183</v>
      </c>
      <c r="D212" s="12">
        <f t="shared" si="8"/>
        <v>636000</v>
      </c>
    </row>
    <row r="213" spans="1:4" x14ac:dyDescent="0.3">
      <c r="A213">
        <v>213</v>
      </c>
      <c r="B213">
        <v>17</v>
      </c>
      <c r="C213">
        <f t="shared" si="9"/>
        <v>3200</v>
      </c>
      <c r="D213" s="12">
        <f t="shared" si="8"/>
        <v>639000</v>
      </c>
    </row>
    <row r="214" spans="1:4" x14ac:dyDescent="0.3">
      <c r="A214">
        <v>214</v>
      </c>
      <c r="B214">
        <v>17</v>
      </c>
      <c r="C214">
        <f t="shared" si="9"/>
        <v>3217</v>
      </c>
      <c r="D214" s="12">
        <f t="shared" si="8"/>
        <v>642000</v>
      </c>
    </row>
    <row r="215" spans="1:4" x14ac:dyDescent="0.3">
      <c r="A215">
        <v>215</v>
      </c>
      <c r="B215">
        <v>17</v>
      </c>
      <c r="C215">
        <f t="shared" si="9"/>
        <v>3234</v>
      </c>
      <c r="D215" s="12">
        <f t="shared" si="8"/>
        <v>645000</v>
      </c>
    </row>
    <row r="216" spans="1:4" x14ac:dyDescent="0.3">
      <c r="A216">
        <v>216</v>
      </c>
      <c r="B216">
        <v>17</v>
      </c>
      <c r="C216">
        <f t="shared" si="9"/>
        <v>3251</v>
      </c>
      <c r="D216" s="12">
        <f t="shared" si="8"/>
        <v>648000</v>
      </c>
    </row>
    <row r="217" spans="1:4" x14ac:dyDescent="0.3">
      <c r="A217">
        <v>217</v>
      </c>
      <c r="B217">
        <v>17</v>
      </c>
      <c r="C217">
        <f t="shared" si="9"/>
        <v>3268</v>
      </c>
      <c r="D217" s="12">
        <f t="shared" si="8"/>
        <v>651000</v>
      </c>
    </row>
    <row r="218" spans="1:4" x14ac:dyDescent="0.3">
      <c r="A218">
        <v>218</v>
      </c>
      <c r="B218">
        <v>17</v>
      </c>
      <c r="C218">
        <f t="shared" si="9"/>
        <v>3285</v>
      </c>
      <c r="D218" s="12">
        <f t="shared" si="8"/>
        <v>654000</v>
      </c>
    </row>
    <row r="219" spans="1:4" x14ac:dyDescent="0.3">
      <c r="A219">
        <v>219</v>
      </c>
      <c r="B219">
        <v>17</v>
      </c>
      <c r="C219">
        <f t="shared" si="9"/>
        <v>3302</v>
      </c>
      <c r="D219" s="12">
        <f t="shared" si="8"/>
        <v>657000</v>
      </c>
    </row>
    <row r="220" spans="1:4" x14ac:dyDescent="0.3">
      <c r="A220">
        <v>220</v>
      </c>
      <c r="B220">
        <v>17</v>
      </c>
      <c r="C220">
        <f t="shared" si="9"/>
        <v>3319</v>
      </c>
      <c r="D220" s="12">
        <f t="shared" si="8"/>
        <v>660000</v>
      </c>
    </row>
    <row r="221" spans="1:4" x14ac:dyDescent="0.3">
      <c r="A221">
        <v>221</v>
      </c>
      <c r="B221">
        <v>17</v>
      </c>
      <c r="C221">
        <f t="shared" si="9"/>
        <v>3336</v>
      </c>
      <c r="D221" s="12">
        <f t="shared" si="8"/>
        <v>663000</v>
      </c>
    </row>
    <row r="222" spans="1:4" x14ac:dyDescent="0.3">
      <c r="A222">
        <v>222</v>
      </c>
      <c r="B222">
        <v>17</v>
      </c>
      <c r="C222">
        <f t="shared" si="9"/>
        <v>3353</v>
      </c>
      <c r="D222" s="12">
        <f t="shared" si="8"/>
        <v>666000</v>
      </c>
    </row>
    <row r="223" spans="1:4" x14ac:dyDescent="0.3">
      <c r="A223">
        <v>223</v>
      </c>
      <c r="B223">
        <v>17</v>
      </c>
      <c r="C223">
        <f t="shared" si="9"/>
        <v>3370</v>
      </c>
      <c r="D223" s="12">
        <f t="shared" si="8"/>
        <v>669000</v>
      </c>
    </row>
    <row r="224" spans="1:4" x14ac:dyDescent="0.3">
      <c r="A224">
        <v>224</v>
      </c>
      <c r="B224">
        <v>17</v>
      </c>
      <c r="C224">
        <f t="shared" si="9"/>
        <v>3387</v>
      </c>
      <c r="D224" s="12">
        <f t="shared" si="8"/>
        <v>672000</v>
      </c>
    </row>
    <row r="225" spans="1:4" x14ac:dyDescent="0.3">
      <c r="A225">
        <v>225</v>
      </c>
      <c r="B225">
        <v>18</v>
      </c>
      <c r="C225">
        <f t="shared" si="9"/>
        <v>3405</v>
      </c>
      <c r="D225" s="12">
        <f t="shared" si="8"/>
        <v>675000</v>
      </c>
    </row>
    <row r="226" spans="1:4" x14ac:dyDescent="0.3">
      <c r="A226">
        <v>226</v>
      </c>
      <c r="B226">
        <v>18</v>
      </c>
      <c r="C226">
        <f t="shared" si="9"/>
        <v>3423</v>
      </c>
      <c r="D226" s="12">
        <f t="shared" si="8"/>
        <v>678000</v>
      </c>
    </row>
    <row r="227" spans="1:4" x14ac:dyDescent="0.3">
      <c r="A227">
        <v>227</v>
      </c>
      <c r="B227">
        <v>18</v>
      </c>
      <c r="C227">
        <f t="shared" si="9"/>
        <v>3441</v>
      </c>
      <c r="D227" s="12">
        <f t="shared" si="8"/>
        <v>681000</v>
      </c>
    </row>
    <row r="228" spans="1:4" x14ac:dyDescent="0.3">
      <c r="A228">
        <v>228</v>
      </c>
      <c r="B228">
        <v>18</v>
      </c>
      <c r="C228">
        <f t="shared" si="9"/>
        <v>3459</v>
      </c>
      <c r="D228" s="12">
        <f t="shared" si="8"/>
        <v>684000</v>
      </c>
    </row>
    <row r="229" spans="1:4" x14ac:dyDescent="0.3">
      <c r="A229">
        <v>229</v>
      </c>
      <c r="B229">
        <v>18</v>
      </c>
      <c r="C229">
        <f t="shared" si="9"/>
        <v>3477</v>
      </c>
      <c r="D229" s="12">
        <f t="shared" si="8"/>
        <v>687000</v>
      </c>
    </row>
    <row r="230" spans="1:4" x14ac:dyDescent="0.3">
      <c r="A230">
        <v>230</v>
      </c>
      <c r="B230">
        <v>18</v>
      </c>
      <c r="C230">
        <f t="shared" si="9"/>
        <v>3495</v>
      </c>
      <c r="D230" s="12">
        <f t="shared" si="8"/>
        <v>690000</v>
      </c>
    </row>
    <row r="231" spans="1:4" x14ac:dyDescent="0.3">
      <c r="A231">
        <v>231</v>
      </c>
      <c r="B231">
        <v>18</v>
      </c>
      <c r="C231">
        <f t="shared" si="9"/>
        <v>3513</v>
      </c>
      <c r="D231" s="12">
        <f t="shared" si="8"/>
        <v>693000</v>
      </c>
    </row>
    <row r="232" spans="1:4" x14ac:dyDescent="0.3">
      <c r="A232">
        <v>232</v>
      </c>
      <c r="B232">
        <v>18</v>
      </c>
      <c r="C232">
        <f t="shared" si="9"/>
        <v>3531</v>
      </c>
      <c r="D232" s="12">
        <f t="shared" si="8"/>
        <v>696000</v>
      </c>
    </row>
    <row r="233" spans="1:4" x14ac:dyDescent="0.3">
      <c r="A233">
        <v>233</v>
      </c>
      <c r="B233">
        <v>18</v>
      </c>
      <c r="C233">
        <f t="shared" si="9"/>
        <v>3549</v>
      </c>
      <c r="D233" s="12">
        <f t="shared" si="8"/>
        <v>699000</v>
      </c>
    </row>
    <row r="234" spans="1:4" x14ac:dyDescent="0.3">
      <c r="A234">
        <v>234</v>
      </c>
      <c r="B234">
        <v>18</v>
      </c>
      <c r="C234">
        <f t="shared" si="9"/>
        <v>3567</v>
      </c>
      <c r="D234" s="12">
        <f t="shared" si="8"/>
        <v>702000</v>
      </c>
    </row>
    <row r="235" spans="1:4" x14ac:dyDescent="0.3">
      <c r="A235">
        <v>235</v>
      </c>
      <c r="B235">
        <v>18</v>
      </c>
      <c r="C235">
        <f t="shared" si="9"/>
        <v>3585</v>
      </c>
      <c r="D235" s="12">
        <f t="shared" si="8"/>
        <v>705000</v>
      </c>
    </row>
    <row r="236" spans="1:4" x14ac:dyDescent="0.3">
      <c r="A236">
        <v>236</v>
      </c>
      <c r="B236">
        <v>18</v>
      </c>
      <c r="C236">
        <f t="shared" si="9"/>
        <v>3603</v>
      </c>
      <c r="D236" s="12">
        <f t="shared" si="8"/>
        <v>708000</v>
      </c>
    </row>
    <row r="237" spans="1:4" x14ac:dyDescent="0.3">
      <c r="A237">
        <v>237</v>
      </c>
      <c r="B237">
        <v>18</v>
      </c>
      <c r="C237">
        <f t="shared" si="9"/>
        <v>3621</v>
      </c>
      <c r="D237" s="12">
        <f t="shared" si="8"/>
        <v>711000</v>
      </c>
    </row>
    <row r="238" spans="1:4" x14ac:dyDescent="0.3">
      <c r="A238">
        <v>238</v>
      </c>
      <c r="B238">
        <v>18</v>
      </c>
      <c r="C238">
        <f t="shared" si="9"/>
        <v>3639</v>
      </c>
      <c r="D238" s="12">
        <f t="shared" si="8"/>
        <v>714000</v>
      </c>
    </row>
    <row r="239" spans="1:4" x14ac:dyDescent="0.3">
      <c r="A239">
        <v>239</v>
      </c>
      <c r="B239">
        <v>18</v>
      </c>
      <c r="C239">
        <f t="shared" si="9"/>
        <v>3657</v>
      </c>
      <c r="D239" s="12">
        <f t="shared" si="8"/>
        <v>717000</v>
      </c>
    </row>
    <row r="240" spans="1:4" x14ac:dyDescent="0.3">
      <c r="A240">
        <v>240</v>
      </c>
      <c r="B240">
        <v>18</v>
      </c>
      <c r="C240">
        <f t="shared" si="9"/>
        <v>3675</v>
      </c>
      <c r="D240" s="12">
        <f t="shared" si="8"/>
        <v>720000</v>
      </c>
    </row>
    <row r="241" spans="1:4" x14ac:dyDescent="0.3">
      <c r="A241">
        <v>241</v>
      </c>
      <c r="B241">
        <v>18</v>
      </c>
      <c r="C241">
        <f t="shared" si="9"/>
        <v>3693</v>
      </c>
      <c r="D241" s="12">
        <f t="shared" si="8"/>
        <v>723000</v>
      </c>
    </row>
    <row r="242" spans="1:4" x14ac:dyDescent="0.3">
      <c r="A242">
        <v>242</v>
      </c>
      <c r="B242">
        <v>18</v>
      </c>
      <c r="C242">
        <f t="shared" si="9"/>
        <v>3711</v>
      </c>
      <c r="D242" s="12">
        <f t="shared" si="8"/>
        <v>726000</v>
      </c>
    </row>
    <row r="243" spans="1:4" x14ac:dyDescent="0.3">
      <c r="A243">
        <v>243</v>
      </c>
      <c r="B243">
        <v>18</v>
      </c>
      <c r="C243">
        <f t="shared" si="9"/>
        <v>3729</v>
      </c>
      <c r="D243" s="12">
        <f t="shared" si="8"/>
        <v>729000</v>
      </c>
    </row>
    <row r="244" spans="1:4" x14ac:dyDescent="0.3">
      <c r="A244">
        <v>244</v>
      </c>
      <c r="B244">
        <v>18</v>
      </c>
      <c r="C244">
        <f t="shared" si="9"/>
        <v>3747</v>
      </c>
      <c r="D244" s="12">
        <f t="shared" si="8"/>
        <v>732000</v>
      </c>
    </row>
    <row r="245" spans="1:4" x14ac:dyDescent="0.3">
      <c r="A245">
        <v>245</v>
      </c>
      <c r="B245">
        <v>18</v>
      </c>
      <c r="C245">
        <f t="shared" si="9"/>
        <v>3765</v>
      </c>
      <c r="D245" s="12">
        <f t="shared" si="8"/>
        <v>735000</v>
      </c>
    </row>
    <row r="246" spans="1:4" x14ac:dyDescent="0.3">
      <c r="A246">
        <v>246</v>
      </c>
      <c r="B246">
        <v>18</v>
      </c>
      <c r="C246">
        <f t="shared" si="9"/>
        <v>3783</v>
      </c>
      <c r="D246" s="12">
        <f t="shared" si="8"/>
        <v>738000</v>
      </c>
    </row>
    <row r="247" spans="1:4" x14ac:dyDescent="0.3">
      <c r="A247">
        <v>247</v>
      </c>
      <c r="B247">
        <v>18</v>
      </c>
      <c r="C247">
        <f t="shared" si="9"/>
        <v>3801</v>
      </c>
      <c r="D247" s="12">
        <f t="shared" si="8"/>
        <v>741000</v>
      </c>
    </row>
    <row r="248" spans="1:4" x14ac:dyDescent="0.3">
      <c r="A248">
        <v>248</v>
      </c>
      <c r="B248">
        <v>18</v>
      </c>
      <c r="C248">
        <f t="shared" si="9"/>
        <v>3819</v>
      </c>
      <c r="D248" s="12">
        <f t="shared" si="8"/>
        <v>744000</v>
      </c>
    </row>
    <row r="249" spans="1:4" x14ac:dyDescent="0.3">
      <c r="A249">
        <v>249</v>
      </c>
      <c r="B249">
        <v>18</v>
      </c>
      <c r="C249">
        <f t="shared" si="9"/>
        <v>3837</v>
      </c>
      <c r="D249" s="12">
        <f t="shared" si="8"/>
        <v>747000</v>
      </c>
    </row>
    <row r="250" spans="1:4" x14ac:dyDescent="0.3">
      <c r="A250">
        <v>250</v>
      </c>
      <c r="B250">
        <v>18</v>
      </c>
      <c r="C250">
        <f t="shared" si="9"/>
        <v>3855</v>
      </c>
      <c r="D250" s="12">
        <f t="shared" si="8"/>
        <v>750000</v>
      </c>
    </row>
    <row r="251" spans="1:4" x14ac:dyDescent="0.3">
      <c r="A251">
        <v>251</v>
      </c>
      <c r="B251">
        <v>18</v>
      </c>
      <c r="C251">
        <f t="shared" si="9"/>
        <v>3873</v>
      </c>
      <c r="D251" s="12">
        <f t="shared" si="8"/>
        <v>753000</v>
      </c>
    </row>
    <row r="252" spans="1:4" x14ac:dyDescent="0.3">
      <c r="A252">
        <v>252</v>
      </c>
      <c r="B252">
        <v>18</v>
      </c>
      <c r="C252">
        <f t="shared" si="9"/>
        <v>3891</v>
      </c>
      <c r="D252" s="12">
        <f t="shared" si="8"/>
        <v>756000</v>
      </c>
    </row>
    <row r="253" spans="1:4" x14ac:dyDescent="0.3">
      <c r="A253">
        <v>253</v>
      </c>
      <c r="B253">
        <v>18</v>
      </c>
      <c r="C253">
        <f t="shared" si="9"/>
        <v>3909</v>
      </c>
      <c r="D253" s="12">
        <f t="shared" si="8"/>
        <v>759000</v>
      </c>
    </row>
    <row r="254" spans="1:4" x14ac:dyDescent="0.3">
      <c r="A254">
        <v>254</v>
      </c>
      <c r="B254">
        <v>18</v>
      </c>
      <c r="C254">
        <f t="shared" si="9"/>
        <v>3927</v>
      </c>
      <c r="D254" s="12">
        <f t="shared" si="8"/>
        <v>762000</v>
      </c>
    </row>
    <row r="255" spans="1:4" x14ac:dyDescent="0.3">
      <c r="A255">
        <v>255</v>
      </c>
      <c r="B255">
        <v>18</v>
      </c>
      <c r="C255">
        <f t="shared" si="9"/>
        <v>3945</v>
      </c>
      <c r="D255" s="12">
        <f t="shared" si="8"/>
        <v>765000</v>
      </c>
    </row>
    <row r="256" spans="1:4" x14ac:dyDescent="0.3">
      <c r="A256">
        <v>256</v>
      </c>
      <c r="B256">
        <v>18</v>
      </c>
      <c r="C256">
        <f t="shared" si="9"/>
        <v>3963</v>
      </c>
      <c r="D256" s="12">
        <f t="shared" si="8"/>
        <v>768000</v>
      </c>
    </row>
    <row r="257" spans="1:4" x14ac:dyDescent="0.3">
      <c r="A257">
        <v>257</v>
      </c>
      <c r="B257">
        <v>18</v>
      </c>
      <c r="C257">
        <f t="shared" si="9"/>
        <v>3981</v>
      </c>
      <c r="D257" s="12">
        <f t="shared" si="8"/>
        <v>771000</v>
      </c>
    </row>
    <row r="258" spans="1:4" x14ac:dyDescent="0.3">
      <c r="A258">
        <v>258</v>
      </c>
      <c r="B258">
        <v>18</v>
      </c>
      <c r="C258">
        <f t="shared" si="9"/>
        <v>3999</v>
      </c>
      <c r="D258" s="12">
        <f t="shared" ref="D258:D321" si="10">A258*3000</f>
        <v>774000</v>
      </c>
    </row>
    <row r="259" spans="1:4" x14ac:dyDescent="0.3">
      <c r="A259">
        <v>259</v>
      </c>
      <c r="B259">
        <v>18</v>
      </c>
      <c r="C259">
        <f t="shared" ref="C259:C322" si="11">C258+B259</f>
        <v>4017</v>
      </c>
      <c r="D259" s="12">
        <f t="shared" si="10"/>
        <v>777000</v>
      </c>
    </row>
    <row r="260" spans="1:4" x14ac:dyDescent="0.3">
      <c r="A260">
        <v>260</v>
      </c>
      <c r="B260">
        <v>18</v>
      </c>
      <c r="C260">
        <f t="shared" si="11"/>
        <v>4035</v>
      </c>
      <c r="D260" s="12">
        <f t="shared" si="10"/>
        <v>780000</v>
      </c>
    </row>
    <row r="261" spans="1:4" x14ac:dyDescent="0.3">
      <c r="A261">
        <v>261</v>
      </c>
      <c r="B261">
        <v>18</v>
      </c>
      <c r="C261">
        <f t="shared" si="11"/>
        <v>4053</v>
      </c>
      <c r="D261" s="12">
        <f t="shared" si="10"/>
        <v>783000</v>
      </c>
    </row>
    <row r="262" spans="1:4" x14ac:dyDescent="0.3">
      <c r="A262">
        <v>262</v>
      </c>
      <c r="B262">
        <v>18</v>
      </c>
      <c r="C262">
        <f t="shared" si="11"/>
        <v>4071</v>
      </c>
      <c r="D262" s="12">
        <f t="shared" si="10"/>
        <v>786000</v>
      </c>
    </row>
    <row r="263" spans="1:4" x14ac:dyDescent="0.3">
      <c r="A263">
        <v>263</v>
      </c>
      <c r="B263">
        <v>18</v>
      </c>
      <c r="C263">
        <f t="shared" si="11"/>
        <v>4089</v>
      </c>
      <c r="D263" s="12">
        <f t="shared" si="10"/>
        <v>789000</v>
      </c>
    </row>
    <row r="264" spans="1:4" x14ac:dyDescent="0.3">
      <c r="A264">
        <v>264</v>
      </c>
      <c r="B264">
        <v>18</v>
      </c>
      <c r="C264">
        <f t="shared" si="11"/>
        <v>4107</v>
      </c>
      <c r="D264" s="12">
        <f t="shared" si="10"/>
        <v>792000</v>
      </c>
    </row>
    <row r="265" spans="1:4" x14ac:dyDescent="0.3">
      <c r="A265">
        <v>265</v>
      </c>
      <c r="B265">
        <v>18</v>
      </c>
      <c r="C265">
        <f t="shared" si="11"/>
        <v>4125</v>
      </c>
      <c r="D265" s="12">
        <f t="shared" si="10"/>
        <v>795000</v>
      </c>
    </row>
    <row r="266" spans="1:4" x14ac:dyDescent="0.3">
      <c r="A266">
        <v>266</v>
      </c>
      <c r="B266">
        <v>18</v>
      </c>
      <c r="C266">
        <f t="shared" si="11"/>
        <v>4143</v>
      </c>
      <c r="D266" s="12">
        <f t="shared" si="10"/>
        <v>798000</v>
      </c>
    </row>
    <row r="267" spans="1:4" x14ac:dyDescent="0.3">
      <c r="A267">
        <v>267</v>
      </c>
      <c r="B267">
        <v>18</v>
      </c>
      <c r="C267">
        <f t="shared" si="11"/>
        <v>4161</v>
      </c>
      <c r="D267" s="12">
        <f t="shared" si="10"/>
        <v>801000</v>
      </c>
    </row>
    <row r="268" spans="1:4" x14ac:dyDescent="0.3">
      <c r="A268">
        <v>268</v>
      </c>
      <c r="B268">
        <v>18</v>
      </c>
      <c r="C268">
        <f t="shared" si="11"/>
        <v>4179</v>
      </c>
      <c r="D268" s="12">
        <f t="shared" si="10"/>
        <v>804000</v>
      </c>
    </row>
    <row r="269" spans="1:4" x14ac:dyDescent="0.3">
      <c r="A269">
        <v>269</v>
      </c>
      <c r="B269">
        <v>18</v>
      </c>
      <c r="C269">
        <f t="shared" si="11"/>
        <v>4197</v>
      </c>
      <c r="D269" s="12">
        <f t="shared" si="10"/>
        <v>807000</v>
      </c>
    </row>
    <row r="270" spans="1:4" x14ac:dyDescent="0.3">
      <c r="A270">
        <v>270</v>
      </c>
      <c r="B270">
        <v>18</v>
      </c>
      <c r="C270">
        <f t="shared" si="11"/>
        <v>4215</v>
      </c>
      <c r="D270" s="12">
        <f t="shared" si="10"/>
        <v>810000</v>
      </c>
    </row>
    <row r="271" spans="1:4" x14ac:dyDescent="0.3">
      <c r="A271">
        <v>271</v>
      </c>
      <c r="B271">
        <v>18</v>
      </c>
      <c r="C271">
        <f t="shared" si="11"/>
        <v>4233</v>
      </c>
      <c r="D271" s="12">
        <f t="shared" si="10"/>
        <v>813000</v>
      </c>
    </row>
    <row r="272" spans="1:4" x14ac:dyDescent="0.3">
      <c r="A272">
        <v>272</v>
      </c>
      <c r="B272">
        <v>18</v>
      </c>
      <c r="C272">
        <f t="shared" si="11"/>
        <v>4251</v>
      </c>
      <c r="D272" s="12">
        <f t="shared" si="10"/>
        <v>816000</v>
      </c>
    </row>
    <row r="273" spans="1:4" x14ac:dyDescent="0.3">
      <c r="A273">
        <v>273</v>
      </c>
      <c r="B273">
        <v>18</v>
      </c>
      <c r="C273">
        <f t="shared" si="11"/>
        <v>4269</v>
      </c>
      <c r="D273" s="12">
        <f t="shared" si="10"/>
        <v>819000</v>
      </c>
    </row>
    <row r="274" spans="1:4" x14ac:dyDescent="0.3">
      <c r="A274">
        <v>274</v>
      </c>
      <c r="B274">
        <v>18</v>
      </c>
      <c r="C274">
        <f t="shared" si="11"/>
        <v>4287</v>
      </c>
      <c r="D274" s="12">
        <f t="shared" si="10"/>
        <v>822000</v>
      </c>
    </row>
    <row r="275" spans="1:4" x14ac:dyDescent="0.3">
      <c r="A275">
        <v>275</v>
      </c>
      <c r="B275">
        <v>18</v>
      </c>
      <c r="C275">
        <f t="shared" si="11"/>
        <v>4305</v>
      </c>
      <c r="D275" s="12">
        <f t="shared" si="10"/>
        <v>825000</v>
      </c>
    </row>
    <row r="276" spans="1:4" x14ac:dyDescent="0.3">
      <c r="A276">
        <v>276</v>
      </c>
      <c r="B276">
        <v>18</v>
      </c>
      <c r="C276">
        <f t="shared" si="11"/>
        <v>4323</v>
      </c>
      <c r="D276" s="12">
        <f t="shared" si="10"/>
        <v>828000</v>
      </c>
    </row>
    <row r="277" spans="1:4" x14ac:dyDescent="0.3">
      <c r="A277">
        <v>277</v>
      </c>
      <c r="B277">
        <v>18</v>
      </c>
      <c r="C277">
        <f t="shared" si="11"/>
        <v>4341</v>
      </c>
      <c r="D277" s="12">
        <f t="shared" si="10"/>
        <v>831000</v>
      </c>
    </row>
    <row r="278" spans="1:4" x14ac:dyDescent="0.3">
      <c r="A278">
        <v>278</v>
      </c>
      <c r="B278">
        <v>18</v>
      </c>
      <c r="C278">
        <f t="shared" si="11"/>
        <v>4359</v>
      </c>
      <c r="D278" s="12">
        <f t="shared" si="10"/>
        <v>834000</v>
      </c>
    </row>
    <row r="279" spans="1:4" x14ac:dyDescent="0.3">
      <c r="A279">
        <v>279</v>
      </c>
      <c r="B279">
        <v>18</v>
      </c>
      <c r="C279">
        <f t="shared" si="11"/>
        <v>4377</v>
      </c>
      <c r="D279" s="12">
        <f t="shared" si="10"/>
        <v>837000</v>
      </c>
    </row>
    <row r="280" spans="1:4" x14ac:dyDescent="0.3">
      <c r="A280">
        <v>280</v>
      </c>
      <c r="B280">
        <v>18</v>
      </c>
      <c r="C280">
        <f t="shared" si="11"/>
        <v>4395</v>
      </c>
      <c r="D280" s="12">
        <f t="shared" si="10"/>
        <v>840000</v>
      </c>
    </row>
    <row r="281" spans="1:4" x14ac:dyDescent="0.3">
      <c r="A281">
        <v>281</v>
      </c>
      <c r="B281">
        <v>18</v>
      </c>
      <c r="C281">
        <f t="shared" si="11"/>
        <v>4413</v>
      </c>
      <c r="D281" s="12">
        <f t="shared" si="10"/>
        <v>843000</v>
      </c>
    </row>
    <row r="282" spans="1:4" x14ac:dyDescent="0.3">
      <c r="A282">
        <v>282</v>
      </c>
      <c r="B282">
        <v>18</v>
      </c>
      <c r="C282">
        <f t="shared" si="11"/>
        <v>4431</v>
      </c>
      <c r="D282" s="12">
        <f t="shared" si="10"/>
        <v>846000</v>
      </c>
    </row>
    <row r="283" spans="1:4" x14ac:dyDescent="0.3">
      <c r="A283">
        <v>283</v>
      </c>
      <c r="B283">
        <v>18</v>
      </c>
      <c r="C283">
        <f t="shared" si="11"/>
        <v>4449</v>
      </c>
      <c r="D283" s="12">
        <f t="shared" si="10"/>
        <v>849000</v>
      </c>
    </row>
    <row r="284" spans="1:4" x14ac:dyDescent="0.3">
      <c r="A284">
        <v>284</v>
      </c>
      <c r="B284">
        <v>18</v>
      </c>
      <c r="C284">
        <f t="shared" si="11"/>
        <v>4467</v>
      </c>
      <c r="D284" s="12">
        <f t="shared" si="10"/>
        <v>852000</v>
      </c>
    </row>
    <row r="285" spans="1:4" x14ac:dyDescent="0.3">
      <c r="A285">
        <v>285</v>
      </c>
      <c r="B285">
        <v>18</v>
      </c>
      <c r="C285">
        <f t="shared" si="11"/>
        <v>4485</v>
      </c>
      <c r="D285" s="12">
        <f t="shared" si="10"/>
        <v>855000</v>
      </c>
    </row>
    <row r="286" spans="1:4" x14ac:dyDescent="0.3">
      <c r="A286">
        <v>286</v>
      </c>
      <c r="B286">
        <v>18</v>
      </c>
      <c r="C286">
        <f t="shared" si="11"/>
        <v>4503</v>
      </c>
      <c r="D286" s="12">
        <f t="shared" si="10"/>
        <v>858000</v>
      </c>
    </row>
    <row r="287" spans="1:4" x14ac:dyDescent="0.3">
      <c r="A287">
        <v>287</v>
      </c>
      <c r="B287">
        <v>18</v>
      </c>
      <c r="C287">
        <f t="shared" si="11"/>
        <v>4521</v>
      </c>
      <c r="D287" s="12">
        <f t="shared" si="10"/>
        <v>861000</v>
      </c>
    </row>
    <row r="288" spans="1:4" x14ac:dyDescent="0.3">
      <c r="A288">
        <v>288</v>
      </c>
      <c r="B288">
        <v>18</v>
      </c>
      <c r="C288">
        <f t="shared" si="11"/>
        <v>4539</v>
      </c>
      <c r="D288" s="12">
        <f t="shared" si="10"/>
        <v>864000</v>
      </c>
    </row>
    <row r="289" spans="1:4" x14ac:dyDescent="0.3">
      <c r="A289">
        <v>289</v>
      </c>
      <c r="B289">
        <v>18</v>
      </c>
      <c r="C289">
        <f t="shared" si="11"/>
        <v>4557</v>
      </c>
      <c r="D289" s="12">
        <f t="shared" si="10"/>
        <v>867000</v>
      </c>
    </row>
    <row r="290" spans="1:4" x14ac:dyDescent="0.3">
      <c r="A290">
        <v>290</v>
      </c>
      <c r="B290">
        <v>18</v>
      </c>
      <c r="C290">
        <f t="shared" si="11"/>
        <v>4575</v>
      </c>
      <c r="D290" s="12">
        <f t="shared" si="10"/>
        <v>870000</v>
      </c>
    </row>
    <row r="291" spans="1:4" x14ac:dyDescent="0.3">
      <c r="A291">
        <v>291</v>
      </c>
      <c r="B291">
        <v>18</v>
      </c>
      <c r="C291">
        <f t="shared" si="11"/>
        <v>4593</v>
      </c>
      <c r="D291" s="12">
        <f t="shared" si="10"/>
        <v>873000</v>
      </c>
    </row>
    <row r="292" spans="1:4" x14ac:dyDescent="0.3">
      <c r="A292">
        <v>292</v>
      </c>
      <c r="B292">
        <v>18</v>
      </c>
      <c r="C292">
        <f t="shared" si="11"/>
        <v>4611</v>
      </c>
      <c r="D292" s="12">
        <f t="shared" si="10"/>
        <v>876000</v>
      </c>
    </row>
    <row r="293" spans="1:4" x14ac:dyDescent="0.3">
      <c r="A293">
        <v>293</v>
      </c>
      <c r="B293">
        <v>18</v>
      </c>
      <c r="C293">
        <f t="shared" si="11"/>
        <v>4629</v>
      </c>
      <c r="D293" s="12">
        <f t="shared" si="10"/>
        <v>879000</v>
      </c>
    </row>
    <row r="294" spans="1:4" x14ac:dyDescent="0.3">
      <c r="A294">
        <v>294</v>
      </c>
      <c r="B294">
        <v>18</v>
      </c>
      <c r="C294">
        <f t="shared" si="11"/>
        <v>4647</v>
      </c>
      <c r="D294" s="12">
        <f t="shared" si="10"/>
        <v>882000</v>
      </c>
    </row>
    <row r="295" spans="1:4" x14ac:dyDescent="0.3">
      <c r="A295">
        <v>295</v>
      </c>
      <c r="B295">
        <v>18</v>
      </c>
      <c r="C295">
        <f t="shared" si="11"/>
        <v>4665</v>
      </c>
      <c r="D295" s="12">
        <f t="shared" si="10"/>
        <v>885000</v>
      </c>
    </row>
    <row r="296" spans="1:4" x14ac:dyDescent="0.3">
      <c r="A296">
        <v>296</v>
      </c>
      <c r="B296">
        <v>18</v>
      </c>
      <c r="C296">
        <f t="shared" si="11"/>
        <v>4683</v>
      </c>
      <c r="D296" s="12">
        <f t="shared" si="10"/>
        <v>888000</v>
      </c>
    </row>
    <row r="297" spans="1:4" x14ac:dyDescent="0.3">
      <c r="A297">
        <v>297</v>
      </c>
      <c r="B297">
        <v>18</v>
      </c>
      <c r="C297">
        <f t="shared" si="11"/>
        <v>4701</v>
      </c>
      <c r="D297" s="12">
        <f t="shared" si="10"/>
        <v>891000</v>
      </c>
    </row>
    <row r="298" spans="1:4" x14ac:dyDescent="0.3">
      <c r="A298">
        <v>298</v>
      </c>
      <c r="B298">
        <v>18</v>
      </c>
      <c r="C298">
        <f t="shared" si="11"/>
        <v>4719</v>
      </c>
      <c r="D298" s="12">
        <f t="shared" si="10"/>
        <v>894000</v>
      </c>
    </row>
    <row r="299" spans="1:4" x14ac:dyDescent="0.3">
      <c r="A299">
        <v>299</v>
      </c>
      <c r="B299">
        <v>18</v>
      </c>
      <c r="C299">
        <f t="shared" si="11"/>
        <v>4737</v>
      </c>
      <c r="D299" s="12">
        <f t="shared" si="10"/>
        <v>897000</v>
      </c>
    </row>
    <row r="300" spans="1:4" x14ac:dyDescent="0.3">
      <c r="A300">
        <v>300</v>
      </c>
      <c r="B300">
        <v>18</v>
      </c>
      <c r="C300">
        <f t="shared" si="11"/>
        <v>4755</v>
      </c>
      <c r="D300" s="12">
        <f t="shared" si="10"/>
        <v>900000</v>
      </c>
    </row>
    <row r="301" spans="1:4" x14ac:dyDescent="0.3">
      <c r="A301">
        <v>301</v>
      </c>
      <c r="B301">
        <v>18</v>
      </c>
      <c r="C301">
        <f t="shared" si="11"/>
        <v>4773</v>
      </c>
      <c r="D301" s="12">
        <f t="shared" si="10"/>
        <v>903000</v>
      </c>
    </row>
    <row r="302" spans="1:4" x14ac:dyDescent="0.3">
      <c r="A302">
        <v>302</v>
      </c>
      <c r="B302">
        <v>18</v>
      </c>
      <c r="C302">
        <f t="shared" si="11"/>
        <v>4791</v>
      </c>
      <c r="D302" s="12">
        <f t="shared" si="10"/>
        <v>906000</v>
      </c>
    </row>
    <row r="303" spans="1:4" x14ac:dyDescent="0.3">
      <c r="A303">
        <v>303</v>
      </c>
      <c r="B303">
        <v>18</v>
      </c>
      <c r="C303">
        <f t="shared" si="11"/>
        <v>4809</v>
      </c>
      <c r="D303" s="12">
        <f t="shared" si="10"/>
        <v>909000</v>
      </c>
    </row>
    <row r="304" spans="1:4" x14ac:dyDescent="0.3">
      <c r="A304">
        <v>304</v>
      </c>
      <c r="B304">
        <v>18</v>
      </c>
      <c r="C304">
        <f t="shared" si="11"/>
        <v>4827</v>
      </c>
      <c r="D304" s="12">
        <f t="shared" si="10"/>
        <v>912000</v>
      </c>
    </row>
    <row r="305" spans="1:4" x14ac:dyDescent="0.3">
      <c r="A305">
        <v>305</v>
      </c>
      <c r="B305">
        <v>18</v>
      </c>
      <c r="C305">
        <f t="shared" si="11"/>
        <v>4845</v>
      </c>
      <c r="D305" s="12">
        <f t="shared" si="10"/>
        <v>915000</v>
      </c>
    </row>
    <row r="306" spans="1:4" x14ac:dyDescent="0.3">
      <c r="A306">
        <v>306</v>
      </c>
      <c r="B306">
        <v>18</v>
      </c>
      <c r="C306">
        <f t="shared" si="11"/>
        <v>4863</v>
      </c>
      <c r="D306" s="12">
        <f t="shared" si="10"/>
        <v>918000</v>
      </c>
    </row>
    <row r="307" spans="1:4" x14ac:dyDescent="0.3">
      <c r="A307">
        <v>307</v>
      </c>
      <c r="B307">
        <v>18</v>
      </c>
      <c r="C307">
        <f t="shared" si="11"/>
        <v>4881</v>
      </c>
      <c r="D307" s="12">
        <f t="shared" si="10"/>
        <v>921000</v>
      </c>
    </row>
    <row r="308" spans="1:4" x14ac:dyDescent="0.3">
      <c r="A308">
        <v>308</v>
      </c>
      <c r="B308">
        <v>18</v>
      </c>
      <c r="C308">
        <f t="shared" si="11"/>
        <v>4899</v>
      </c>
      <c r="D308" s="12">
        <f t="shared" si="10"/>
        <v>924000</v>
      </c>
    </row>
    <row r="309" spans="1:4" x14ac:dyDescent="0.3">
      <c r="A309">
        <v>309</v>
      </c>
      <c r="B309">
        <v>19</v>
      </c>
      <c r="C309">
        <f t="shared" si="11"/>
        <v>4918</v>
      </c>
      <c r="D309" s="12">
        <f t="shared" si="10"/>
        <v>927000</v>
      </c>
    </row>
    <row r="310" spans="1:4" x14ac:dyDescent="0.3">
      <c r="A310">
        <v>310</v>
      </c>
      <c r="B310">
        <v>19</v>
      </c>
      <c r="C310">
        <f t="shared" si="11"/>
        <v>4937</v>
      </c>
      <c r="D310" s="12">
        <f t="shared" si="10"/>
        <v>930000</v>
      </c>
    </row>
    <row r="311" spans="1:4" x14ac:dyDescent="0.3">
      <c r="A311">
        <v>311</v>
      </c>
      <c r="B311">
        <v>19</v>
      </c>
      <c r="C311">
        <f t="shared" si="11"/>
        <v>4956</v>
      </c>
      <c r="D311" s="12">
        <f t="shared" si="10"/>
        <v>933000</v>
      </c>
    </row>
    <row r="312" spans="1:4" x14ac:dyDescent="0.3">
      <c r="A312">
        <v>312</v>
      </c>
      <c r="B312">
        <v>19</v>
      </c>
      <c r="C312">
        <f t="shared" si="11"/>
        <v>4975</v>
      </c>
      <c r="D312" s="12">
        <f t="shared" si="10"/>
        <v>936000</v>
      </c>
    </row>
    <row r="313" spans="1:4" x14ac:dyDescent="0.3">
      <c r="A313">
        <v>313</v>
      </c>
      <c r="B313">
        <v>19</v>
      </c>
      <c r="C313">
        <f t="shared" si="11"/>
        <v>4994</v>
      </c>
      <c r="D313" s="12">
        <f t="shared" si="10"/>
        <v>939000</v>
      </c>
    </row>
    <row r="314" spans="1:4" x14ac:dyDescent="0.3">
      <c r="A314">
        <v>314</v>
      </c>
      <c r="B314">
        <v>19</v>
      </c>
      <c r="C314">
        <f t="shared" si="11"/>
        <v>5013</v>
      </c>
      <c r="D314" s="12">
        <f t="shared" si="10"/>
        <v>942000</v>
      </c>
    </row>
    <row r="315" spans="1:4" x14ac:dyDescent="0.3">
      <c r="A315">
        <v>315</v>
      </c>
      <c r="B315">
        <v>19</v>
      </c>
      <c r="C315">
        <f t="shared" si="11"/>
        <v>5032</v>
      </c>
      <c r="D315" s="12">
        <f t="shared" si="10"/>
        <v>945000</v>
      </c>
    </row>
    <row r="316" spans="1:4" x14ac:dyDescent="0.3">
      <c r="A316">
        <v>316</v>
      </c>
      <c r="B316">
        <v>19</v>
      </c>
      <c r="C316">
        <f t="shared" si="11"/>
        <v>5051</v>
      </c>
      <c r="D316" s="12">
        <f t="shared" si="10"/>
        <v>948000</v>
      </c>
    </row>
    <row r="317" spans="1:4" x14ac:dyDescent="0.3">
      <c r="A317">
        <v>317</v>
      </c>
      <c r="B317">
        <v>19</v>
      </c>
      <c r="C317">
        <f t="shared" si="11"/>
        <v>5070</v>
      </c>
      <c r="D317" s="12">
        <f t="shared" si="10"/>
        <v>951000</v>
      </c>
    </row>
    <row r="318" spans="1:4" x14ac:dyDescent="0.3">
      <c r="A318">
        <v>318</v>
      </c>
      <c r="B318">
        <v>19</v>
      </c>
      <c r="C318">
        <f t="shared" si="11"/>
        <v>5089</v>
      </c>
      <c r="D318" s="12">
        <f t="shared" si="10"/>
        <v>954000</v>
      </c>
    </row>
    <row r="319" spans="1:4" x14ac:dyDescent="0.3">
      <c r="A319">
        <v>319</v>
      </c>
      <c r="B319">
        <v>19</v>
      </c>
      <c r="C319">
        <f t="shared" si="11"/>
        <v>5108</v>
      </c>
      <c r="D319" s="12">
        <f t="shared" si="10"/>
        <v>957000</v>
      </c>
    </row>
    <row r="320" spans="1:4" x14ac:dyDescent="0.3">
      <c r="A320">
        <v>320</v>
      </c>
      <c r="B320">
        <v>19</v>
      </c>
      <c r="C320">
        <f t="shared" si="11"/>
        <v>5127</v>
      </c>
      <c r="D320" s="12">
        <f t="shared" si="10"/>
        <v>960000</v>
      </c>
    </row>
    <row r="321" spans="1:4" x14ac:dyDescent="0.3">
      <c r="A321">
        <v>321</v>
      </c>
      <c r="B321">
        <v>19</v>
      </c>
      <c r="C321">
        <f t="shared" si="11"/>
        <v>5146</v>
      </c>
      <c r="D321" s="12">
        <f t="shared" si="10"/>
        <v>963000</v>
      </c>
    </row>
    <row r="322" spans="1:4" x14ac:dyDescent="0.3">
      <c r="A322">
        <v>322</v>
      </c>
      <c r="B322">
        <v>19</v>
      </c>
      <c r="C322">
        <f t="shared" si="11"/>
        <v>5165</v>
      </c>
      <c r="D322" s="12">
        <f t="shared" ref="D322:D385" si="12">A322*3000</f>
        <v>966000</v>
      </c>
    </row>
    <row r="323" spans="1:4" x14ac:dyDescent="0.3">
      <c r="A323">
        <v>323</v>
      </c>
      <c r="B323">
        <v>19</v>
      </c>
      <c r="C323">
        <f t="shared" ref="C323:C386" si="13">C322+B323</f>
        <v>5184</v>
      </c>
      <c r="D323" s="12">
        <f t="shared" si="12"/>
        <v>969000</v>
      </c>
    </row>
    <row r="324" spans="1:4" x14ac:dyDescent="0.3">
      <c r="A324">
        <v>324</v>
      </c>
      <c r="B324">
        <v>19</v>
      </c>
      <c r="C324">
        <f t="shared" si="13"/>
        <v>5203</v>
      </c>
      <c r="D324" s="12">
        <f t="shared" si="12"/>
        <v>972000</v>
      </c>
    </row>
    <row r="325" spans="1:4" x14ac:dyDescent="0.3">
      <c r="A325">
        <v>325</v>
      </c>
      <c r="B325">
        <v>19</v>
      </c>
      <c r="C325">
        <f t="shared" si="13"/>
        <v>5222</v>
      </c>
      <c r="D325" s="12">
        <f t="shared" si="12"/>
        <v>975000</v>
      </c>
    </row>
    <row r="326" spans="1:4" x14ac:dyDescent="0.3">
      <c r="A326">
        <v>326</v>
      </c>
      <c r="B326">
        <v>19</v>
      </c>
      <c r="C326">
        <f t="shared" si="13"/>
        <v>5241</v>
      </c>
      <c r="D326" s="12">
        <f t="shared" si="12"/>
        <v>978000</v>
      </c>
    </row>
    <row r="327" spans="1:4" x14ac:dyDescent="0.3">
      <c r="A327">
        <v>327</v>
      </c>
      <c r="B327">
        <v>19</v>
      </c>
      <c r="C327">
        <f t="shared" si="13"/>
        <v>5260</v>
      </c>
      <c r="D327" s="12">
        <f t="shared" si="12"/>
        <v>981000</v>
      </c>
    </row>
    <row r="328" spans="1:4" x14ac:dyDescent="0.3">
      <c r="A328">
        <v>328</v>
      </c>
      <c r="B328">
        <v>19</v>
      </c>
      <c r="C328">
        <f t="shared" si="13"/>
        <v>5279</v>
      </c>
      <c r="D328" s="12">
        <f t="shared" si="12"/>
        <v>984000</v>
      </c>
    </row>
    <row r="329" spans="1:4" x14ac:dyDescent="0.3">
      <c r="A329">
        <v>329</v>
      </c>
      <c r="B329">
        <v>19</v>
      </c>
      <c r="C329">
        <f t="shared" si="13"/>
        <v>5298</v>
      </c>
      <c r="D329" s="12">
        <f t="shared" si="12"/>
        <v>987000</v>
      </c>
    </row>
    <row r="330" spans="1:4" x14ac:dyDescent="0.3">
      <c r="A330">
        <v>330</v>
      </c>
      <c r="B330">
        <v>19</v>
      </c>
      <c r="C330">
        <f t="shared" si="13"/>
        <v>5317</v>
      </c>
      <c r="D330" s="12">
        <f t="shared" si="12"/>
        <v>990000</v>
      </c>
    </row>
    <row r="331" spans="1:4" x14ac:dyDescent="0.3">
      <c r="A331">
        <v>331</v>
      </c>
      <c r="B331">
        <v>19</v>
      </c>
      <c r="C331">
        <f t="shared" si="13"/>
        <v>5336</v>
      </c>
      <c r="D331" s="12">
        <f t="shared" si="12"/>
        <v>993000</v>
      </c>
    </row>
    <row r="332" spans="1:4" x14ac:dyDescent="0.3">
      <c r="A332">
        <v>332</v>
      </c>
      <c r="B332">
        <v>19</v>
      </c>
      <c r="C332">
        <f t="shared" si="13"/>
        <v>5355</v>
      </c>
      <c r="D332" s="12">
        <f t="shared" si="12"/>
        <v>996000</v>
      </c>
    </row>
    <row r="333" spans="1:4" x14ac:dyDescent="0.3">
      <c r="A333">
        <v>333</v>
      </c>
      <c r="B333">
        <v>19</v>
      </c>
      <c r="C333">
        <f t="shared" si="13"/>
        <v>5374</v>
      </c>
      <c r="D333" s="12">
        <f t="shared" si="12"/>
        <v>999000</v>
      </c>
    </row>
    <row r="334" spans="1:4" x14ac:dyDescent="0.3">
      <c r="A334">
        <v>334</v>
      </c>
      <c r="B334">
        <v>19</v>
      </c>
      <c r="C334">
        <f t="shared" si="13"/>
        <v>5393</v>
      </c>
      <c r="D334" s="12">
        <f t="shared" si="12"/>
        <v>1002000</v>
      </c>
    </row>
    <row r="335" spans="1:4" x14ac:dyDescent="0.3">
      <c r="A335">
        <v>335</v>
      </c>
      <c r="B335">
        <v>19</v>
      </c>
      <c r="C335">
        <f t="shared" si="13"/>
        <v>5412</v>
      </c>
      <c r="D335" s="12">
        <f t="shared" si="12"/>
        <v>1005000</v>
      </c>
    </row>
    <row r="336" spans="1:4" x14ac:dyDescent="0.3">
      <c r="A336">
        <v>336</v>
      </c>
      <c r="B336">
        <v>19</v>
      </c>
      <c r="C336">
        <f t="shared" si="13"/>
        <v>5431</v>
      </c>
      <c r="D336" s="12">
        <f t="shared" si="12"/>
        <v>1008000</v>
      </c>
    </row>
    <row r="337" spans="1:4" x14ac:dyDescent="0.3">
      <c r="A337">
        <v>337</v>
      </c>
      <c r="B337">
        <v>19</v>
      </c>
      <c r="C337">
        <f t="shared" si="13"/>
        <v>5450</v>
      </c>
      <c r="D337" s="12">
        <f t="shared" si="12"/>
        <v>1011000</v>
      </c>
    </row>
    <row r="338" spans="1:4" x14ac:dyDescent="0.3">
      <c r="A338">
        <v>338</v>
      </c>
      <c r="B338">
        <v>19</v>
      </c>
      <c r="C338">
        <f t="shared" si="13"/>
        <v>5469</v>
      </c>
      <c r="D338" s="12">
        <f t="shared" si="12"/>
        <v>1014000</v>
      </c>
    </row>
    <row r="339" spans="1:4" x14ac:dyDescent="0.3">
      <c r="A339">
        <v>339</v>
      </c>
      <c r="B339">
        <v>19</v>
      </c>
      <c r="C339">
        <f t="shared" si="13"/>
        <v>5488</v>
      </c>
      <c r="D339" s="12">
        <f t="shared" si="12"/>
        <v>1017000</v>
      </c>
    </row>
    <row r="340" spans="1:4" x14ac:dyDescent="0.3">
      <c r="A340">
        <v>340</v>
      </c>
      <c r="B340">
        <v>19</v>
      </c>
      <c r="C340">
        <f t="shared" si="13"/>
        <v>5507</v>
      </c>
      <c r="D340" s="12">
        <f t="shared" si="12"/>
        <v>1020000</v>
      </c>
    </row>
    <row r="341" spans="1:4" x14ac:dyDescent="0.3">
      <c r="A341">
        <v>341</v>
      </c>
      <c r="B341">
        <v>19</v>
      </c>
      <c r="C341">
        <f t="shared" si="13"/>
        <v>5526</v>
      </c>
      <c r="D341" s="12">
        <f t="shared" si="12"/>
        <v>1023000</v>
      </c>
    </row>
    <row r="342" spans="1:4" x14ac:dyDescent="0.3">
      <c r="A342">
        <v>342</v>
      </c>
      <c r="B342">
        <v>19</v>
      </c>
      <c r="C342">
        <f t="shared" si="13"/>
        <v>5545</v>
      </c>
      <c r="D342" s="12">
        <f t="shared" si="12"/>
        <v>1026000</v>
      </c>
    </row>
    <row r="343" spans="1:4" x14ac:dyDescent="0.3">
      <c r="A343">
        <v>343</v>
      </c>
      <c r="B343">
        <v>19</v>
      </c>
      <c r="C343">
        <f t="shared" si="13"/>
        <v>5564</v>
      </c>
      <c r="D343" s="12">
        <f t="shared" si="12"/>
        <v>1029000</v>
      </c>
    </row>
    <row r="344" spans="1:4" x14ac:dyDescent="0.3">
      <c r="A344">
        <v>344</v>
      </c>
      <c r="B344">
        <v>19</v>
      </c>
      <c r="C344">
        <f t="shared" si="13"/>
        <v>5583</v>
      </c>
      <c r="D344" s="12">
        <f t="shared" si="12"/>
        <v>1032000</v>
      </c>
    </row>
    <row r="345" spans="1:4" x14ac:dyDescent="0.3">
      <c r="A345">
        <v>345</v>
      </c>
      <c r="B345">
        <v>19</v>
      </c>
      <c r="C345">
        <f t="shared" si="13"/>
        <v>5602</v>
      </c>
      <c r="D345" s="12">
        <f t="shared" si="12"/>
        <v>1035000</v>
      </c>
    </row>
    <row r="346" spans="1:4" x14ac:dyDescent="0.3">
      <c r="A346">
        <v>346</v>
      </c>
      <c r="B346">
        <v>19</v>
      </c>
      <c r="C346">
        <f t="shared" si="13"/>
        <v>5621</v>
      </c>
      <c r="D346" s="12">
        <f t="shared" si="12"/>
        <v>1038000</v>
      </c>
    </row>
    <row r="347" spans="1:4" x14ac:dyDescent="0.3">
      <c r="A347">
        <v>347</v>
      </c>
      <c r="B347">
        <v>19</v>
      </c>
      <c r="C347">
        <f t="shared" si="13"/>
        <v>5640</v>
      </c>
      <c r="D347" s="12">
        <f t="shared" si="12"/>
        <v>1041000</v>
      </c>
    </row>
    <row r="348" spans="1:4" x14ac:dyDescent="0.3">
      <c r="A348">
        <v>348</v>
      </c>
      <c r="B348">
        <v>19</v>
      </c>
      <c r="C348">
        <f t="shared" si="13"/>
        <v>5659</v>
      </c>
      <c r="D348" s="12">
        <f t="shared" si="12"/>
        <v>1044000</v>
      </c>
    </row>
    <row r="349" spans="1:4" x14ac:dyDescent="0.3">
      <c r="A349">
        <v>349</v>
      </c>
      <c r="B349">
        <v>19</v>
      </c>
      <c r="C349">
        <f t="shared" si="13"/>
        <v>5678</v>
      </c>
      <c r="D349" s="12">
        <f t="shared" si="12"/>
        <v>1047000</v>
      </c>
    </row>
    <row r="350" spans="1:4" x14ac:dyDescent="0.3">
      <c r="A350">
        <v>350</v>
      </c>
      <c r="B350">
        <v>19</v>
      </c>
      <c r="C350">
        <f t="shared" si="13"/>
        <v>5697</v>
      </c>
      <c r="D350" s="12">
        <f t="shared" si="12"/>
        <v>1050000</v>
      </c>
    </row>
    <row r="351" spans="1:4" x14ac:dyDescent="0.3">
      <c r="A351">
        <v>351</v>
      </c>
      <c r="B351">
        <v>19</v>
      </c>
      <c r="C351">
        <f t="shared" si="13"/>
        <v>5716</v>
      </c>
      <c r="D351" s="12">
        <f t="shared" si="12"/>
        <v>1053000</v>
      </c>
    </row>
    <row r="352" spans="1:4" x14ac:dyDescent="0.3">
      <c r="A352">
        <v>352</v>
      </c>
      <c r="B352">
        <v>19</v>
      </c>
      <c r="C352">
        <f t="shared" si="13"/>
        <v>5735</v>
      </c>
      <c r="D352" s="12">
        <f t="shared" si="12"/>
        <v>1056000</v>
      </c>
    </row>
    <row r="353" spans="1:4" x14ac:dyDescent="0.3">
      <c r="A353">
        <v>353</v>
      </c>
      <c r="B353">
        <v>19</v>
      </c>
      <c r="C353">
        <f t="shared" si="13"/>
        <v>5754</v>
      </c>
      <c r="D353" s="12">
        <f t="shared" si="12"/>
        <v>1059000</v>
      </c>
    </row>
    <row r="354" spans="1:4" x14ac:dyDescent="0.3">
      <c r="A354">
        <v>354</v>
      </c>
      <c r="B354">
        <v>19</v>
      </c>
      <c r="C354">
        <f t="shared" si="13"/>
        <v>5773</v>
      </c>
      <c r="D354" s="12">
        <f t="shared" si="12"/>
        <v>1062000</v>
      </c>
    </row>
    <row r="355" spans="1:4" x14ac:dyDescent="0.3">
      <c r="A355">
        <v>355</v>
      </c>
      <c r="B355">
        <v>19</v>
      </c>
      <c r="C355">
        <f t="shared" si="13"/>
        <v>5792</v>
      </c>
      <c r="D355" s="12">
        <f t="shared" si="12"/>
        <v>1065000</v>
      </c>
    </row>
    <row r="356" spans="1:4" x14ac:dyDescent="0.3">
      <c r="A356">
        <v>356</v>
      </c>
      <c r="B356">
        <v>19</v>
      </c>
      <c r="C356">
        <f t="shared" si="13"/>
        <v>5811</v>
      </c>
      <c r="D356" s="12">
        <f t="shared" si="12"/>
        <v>1068000</v>
      </c>
    </row>
    <row r="357" spans="1:4" x14ac:dyDescent="0.3">
      <c r="A357">
        <v>357</v>
      </c>
      <c r="B357">
        <v>19</v>
      </c>
      <c r="C357">
        <f t="shared" si="13"/>
        <v>5830</v>
      </c>
      <c r="D357" s="12">
        <f t="shared" si="12"/>
        <v>1071000</v>
      </c>
    </row>
    <row r="358" spans="1:4" x14ac:dyDescent="0.3">
      <c r="A358">
        <v>358</v>
      </c>
      <c r="B358">
        <v>19</v>
      </c>
      <c r="C358">
        <f t="shared" si="13"/>
        <v>5849</v>
      </c>
      <c r="D358" s="12">
        <f t="shared" si="12"/>
        <v>1074000</v>
      </c>
    </row>
    <row r="359" spans="1:4" x14ac:dyDescent="0.3">
      <c r="A359">
        <v>359</v>
      </c>
      <c r="B359">
        <v>19</v>
      </c>
      <c r="C359">
        <f t="shared" si="13"/>
        <v>5868</v>
      </c>
      <c r="D359" s="12">
        <f t="shared" si="12"/>
        <v>1077000</v>
      </c>
    </row>
    <row r="360" spans="1:4" x14ac:dyDescent="0.3">
      <c r="A360">
        <v>360</v>
      </c>
      <c r="B360">
        <v>19</v>
      </c>
      <c r="C360">
        <f t="shared" si="13"/>
        <v>5887</v>
      </c>
      <c r="D360" s="12">
        <f t="shared" si="12"/>
        <v>1080000</v>
      </c>
    </row>
    <row r="361" spans="1:4" x14ac:dyDescent="0.3">
      <c r="A361">
        <v>361</v>
      </c>
      <c r="B361">
        <v>19</v>
      </c>
      <c r="C361">
        <f t="shared" si="13"/>
        <v>5906</v>
      </c>
      <c r="D361" s="12">
        <f t="shared" si="12"/>
        <v>1083000</v>
      </c>
    </row>
    <row r="362" spans="1:4" x14ac:dyDescent="0.3">
      <c r="A362">
        <v>362</v>
      </c>
      <c r="B362">
        <v>19</v>
      </c>
      <c r="C362">
        <f t="shared" si="13"/>
        <v>5925</v>
      </c>
      <c r="D362" s="12">
        <f t="shared" si="12"/>
        <v>1086000</v>
      </c>
    </row>
    <row r="363" spans="1:4" x14ac:dyDescent="0.3">
      <c r="A363">
        <v>363</v>
      </c>
      <c r="B363">
        <v>19</v>
      </c>
      <c r="C363">
        <f t="shared" si="13"/>
        <v>5944</v>
      </c>
      <c r="D363" s="12">
        <f t="shared" si="12"/>
        <v>1089000</v>
      </c>
    </row>
    <row r="364" spans="1:4" x14ac:dyDescent="0.3">
      <c r="A364">
        <v>364</v>
      </c>
      <c r="B364">
        <v>19</v>
      </c>
      <c r="C364">
        <f t="shared" si="13"/>
        <v>5963</v>
      </c>
      <c r="D364" s="12">
        <f t="shared" si="12"/>
        <v>1092000</v>
      </c>
    </row>
    <row r="365" spans="1:4" x14ac:dyDescent="0.3">
      <c r="A365">
        <v>365</v>
      </c>
      <c r="B365">
        <v>19</v>
      </c>
      <c r="C365">
        <f t="shared" si="13"/>
        <v>5982</v>
      </c>
      <c r="D365" s="12">
        <f t="shared" si="12"/>
        <v>1095000</v>
      </c>
    </row>
    <row r="366" spans="1:4" x14ac:dyDescent="0.3">
      <c r="A366">
        <v>366</v>
      </c>
      <c r="B366">
        <v>19</v>
      </c>
      <c r="C366">
        <f t="shared" si="13"/>
        <v>6001</v>
      </c>
      <c r="D366" s="12">
        <f t="shared" si="12"/>
        <v>1098000</v>
      </c>
    </row>
    <row r="367" spans="1:4" x14ac:dyDescent="0.3">
      <c r="A367">
        <v>367</v>
      </c>
      <c r="B367">
        <v>19</v>
      </c>
      <c r="C367">
        <f t="shared" si="13"/>
        <v>6020</v>
      </c>
      <c r="D367" s="12">
        <f t="shared" si="12"/>
        <v>1101000</v>
      </c>
    </row>
    <row r="368" spans="1:4" x14ac:dyDescent="0.3">
      <c r="A368">
        <v>368</v>
      </c>
      <c r="B368">
        <v>19</v>
      </c>
      <c r="C368">
        <f t="shared" si="13"/>
        <v>6039</v>
      </c>
      <c r="D368" s="12">
        <f t="shared" si="12"/>
        <v>1104000</v>
      </c>
    </row>
    <row r="369" spans="1:4" x14ac:dyDescent="0.3">
      <c r="A369">
        <v>369</v>
      </c>
      <c r="B369">
        <v>19</v>
      </c>
      <c r="C369">
        <f t="shared" si="13"/>
        <v>6058</v>
      </c>
      <c r="D369" s="12">
        <f t="shared" si="12"/>
        <v>1107000</v>
      </c>
    </row>
    <row r="370" spans="1:4" x14ac:dyDescent="0.3">
      <c r="A370">
        <v>370</v>
      </c>
      <c r="B370">
        <v>19</v>
      </c>
      <c r="C370">
        <f t="shared" si="13"/>
        <v>6077</v>
      </c>
      <c r="D370" s="12">
        <f t="shared" si="12"/>
        <v>1110000</v>
      </c>
    </row>
    <row r="371" spans="1:4" x14ac:dyDescent="0.3">
      <c r="A371">
        <v>371</v>
      </c>
      <c r="B371">
        <v>19</v>
      </c>
      <c r="C371">
        <f t="shared" si="13"/>
        <v>6096</v>
      </c>
      <c r="D371" s="12">
        <f t="shared" si="12"/>
        <v>1113000</v>
      </c>
    </row>
    <row r="372" spans="1:4" x14ac:dyDescent="0.3">
      <c r="A372">
        <v>372</v>
      </c>
      <c r="B372">
        <v>19</v>
      </c>
      <c r="C372">
        <f t="shared" si="13"/>
        <v>6115</v>
      </c>
      <c r="D372" s="12">
        <f t="shared" si="12"/>
        <v>1116000</v>
      </c>
    </row>
    <row r="373" spans="1:4" x14ac:dyDescent="0.3">
      <c r="A373">
        <v>373</v>
      </c>
      <c r="B373">
        <v>19</v>
      </c>
      <c r="C373">
        <f t="shared" si="13"/>
        <v>6134</v>
      </c>
      <c r="D373" s="12">
        <f t="shared" si="12"/>
        <v>1119000</v>
      </c>
    </row>
    <row r="374" spans="1:4" x14ac:dyDescent="0.3">
      <c r="A374">
        <v>374</v>
      </c>
      <c r="B374">
        <v>19</v>
      </c>
      <c r="C374">
        <f t="shared" si="13"/>
        <v>6153</v>
      </c>
      <c r="D374" s="12">
        <f t="shared" si="12"/>
        <v>1122000</v>
      </c>
    </row>
    <row r="375" spans="1:4" x14ac:dyDescent="0.3">
      <c r="A375">
        <v>375</v>
      </c>
      <c r="B375">
        <v>19</v>
      </c>
      <c r="C375">
        <f t="shared" si="13"/>
        <v>6172</v>
      </c>
      <c r="D375" s="12">
        <f t="shared" si="12"/>
        <v>1125000</v>
      </c>
    </row>
    <row r="376" spans="1:4" x14ac:dyDescent="0.3">
      <c r="A376">
        <v>376</v>
      </c>
      <c r="B376">
        <v>19</v>
      </c>
      <c r="C376">
        <f t="shared" si="13"/>
        <v>6191</v>
      </c>
      <c r="D376" s="12">
        <f t="shared" si="12"/>
        <v>1128000</v>
      </c>
    </row>
    <row r="377" spans="1:4" x14ac:dyDescent="0.3">
      <c r="A377">
        <v>377</v>
      </c>
      <c r="B377">
        <v>19</v>
      </c>
      <c r="C377">
        <f t="shared" si="13"/>
        <v>6210</v>
      </c>
      <c r="D377" s="12">
        <f t="shared" si="12"/>
        <v>1131000</v>
      </c>
    </row>
    <row r="378" spans="1:4" x14ac:dyDescent="0.3">
      <c r="A378">
        <v>378</v>
      </c>
      <c r="B378">
        <v>19</v>
      </c>
      <c r="C378">
        <f t="shared" si="13"/>
        <v>6229</v>
      </c>
      <c r="D378" s="12">
        <f t="shared" si="12"/>
        <v>1134000</v>
      </c>
    </row>
    <row r="379" spans="1:4" x14ac:dyDescent="0.3">
      <c r="A379">
        <v>379</v>
      </c>
      <c r="B379">
        <v>19</v>
      </c>
      <c r="C379">
        <f t="shared" si="13"/>
        <v>6248</v>
      </c>
      <c r="D379" s="12">
        <f t="shared" si="12"/>
        <v>1137000</v>
      </c>
    </row>
    <row r="380" spans="1:4" x14ac:dyDescent="0.3">
      <c r="A380">
        <v>380</v>
      </c>
      <c r="B380">
        <v>19</v>
      </c>
      <c r="C380">
        <f t="shared" si="13"/>
        <v>6267</v>
      </c>
      <c r="D380" s="12">
        <f t="shared" si="12"/>
        <v>1140000</v>
      </c>
    </row>
    <row r="381" spans="1:4" x14ac:dyDescent="0.3">
      <c r="A381">
        <v>381</v>
      </c>
      <c r="B381">
        <v>19</v>
      </c>
      <c r="C381">
        <f t="shared" si="13"/>
        <v>6286</v>
      </c>
      <c r="D381" s="12">
        <f t="shared" si="12"/>
        <v>1143000</v>
      </c>
    </row>
    <row r="382" spans="1:4" x14ac:dyDescent="0.3">
      <c r="A382">
        <v>382</v>
      </c>
      <c r="B382">
        <v>19</v>
      </c>
      <c r="C382">
        <f t="shared" si="13"/>
        <v>6305</v>
      </c>
      <c r="D382" s="12">
        <f t="shared" si="12"/>
        <v>1146000</v>
      </c>
    </row>
    <row r="383" spans="1:4" x14ac:dyDescent="0.3">
      <c r="A383">
        <v>383</v>
      </c>
      <c r="B383">
        <v>19</v>
      </c>
      <c r="C383">
        <f t="shared" si="13"/>
        <v>6324</v>
      </c>
      <c r="D383" s="12">
        <f t="shared" si="12"/>
        <v>1149000</v>
      </c>
    </row>
    <row r="384" spans="1:4" x14ac:dyDescent="0.3">
      <c r="A384">
        <v>384</v>
      </c>
      <c r="B384">
        <v>19</v>
      </c>
      <c r="C384">
        <f t="shared" si="13"/>
        <v>6343</v>
      </c>
      <c r="D384" s="12">
        <f t="shared" si="12"/>
        <v>1152000</v>
      </c>
    </row>
    <row r="385" spans="1:4" x14ac:dyDescent="0.3">
      <c r="A385">
        <v>385</v>
      </c>
      <c r="B385">
        <v>19</v>
      </c>
      <c r="C385">
        <f t="shared" si="13"/>
        <v>6362</v>
      </c>
      <c r="D385" s="12">
        <f t="shared" si="12"/>
        <v>1155000</v>
      </c>
    </row>
    <row r="386" spans="1:4" x14ac:dyDescent="0.3">
      <c r="A386">
        <v>386</v>
      </c>
      <c r="B386">
        <v>19</v>
      </c>
      <c r="C386">
        <f t="shared" si="13"/>
        <v>6381</v>
      </c>
      <c r="D386" s="12">
        <f t="shared" ref="D386:D449" si="14">A386*3000</f>
        <v>1158000</v>
      </c>
    </row>
    <row r="387" spans="1:4" x14ac:dyDescent="0.3">
      <c r="A387">
        <v>387</v>
      </c>
      <c r="B387">
        <v>19</v>
      </c>
      <c r="C387">
        <f t="shared" ref="C387:C450" si="15">C386+B387</f>
        <v>6400</v>
      </c>
      <c r="D387" s="12">
        <f t="shared" si="14"/>
        <v>1161000</v>
      </c>
    </row>
    <row r="388" spans="1:4" x14ac:dyDescent="0.3">
      <c r="A388">
        <v>388</v>
      </c>
      <c r="B388">
        <v>19</v>
      </c>
      <c r="C388">
        <f t="shared" si="15"/>
        <v>6419</v>
      </c>
      <c r="D388" s="12">
        <f t="shared" si="14"/>
        <v>1164000</v>
      </c>
    </row>
    <row r="389" spans="1:4" x14ac:dyDescent="0.3">
      <c r="A389">
        <v>389</v>
      </c>
      <c r="B389">
        <v>19</v>
      </c>
      <c r="C389">
        <f t="shared" si="15"/>
        <v>6438</v>
      </c>
      <c r="D389" s="12">
        <f t="shared" si="14"/>
        <v>1167000</v>
      </c>
    </row>
    <row r="390" spans="1:4" x14ac:dyDescent="0.3">
      <c r="A390">
        <v>390</v>
      </c>
      <c r="B390">
        <v>19</v>
      </c>
      <c r="C390">
        <f t="shared" si="15"/>
        <v>6457</v>
      </c>
      <c r="D390" s="12">
        <f t="shared" si="14"/>
        <v>1170000</v>
      </c>
    </row>
    <row r="391" spans="1:4" x14ac:dyDescent="0.3">
      <c r="A391">
        <v>391</v>
      </c>
      <c r="B391">
        <v>19</v>
      </c>
      <c r="C391">
        <f t="shared" si="15"/>
        <v>6476</v>
      </c>
      <c r="D391" s="12">
        <f t="shared" si="14"/>
        <v>1173000</v>
      </c>
    </row>
    <row r="392" spans="1:4" x14ac:dyDescent="0.3">
      <c r="A392">
        <v>392</v>
      </c>
      <c r="B392">
        <v>19</v>
      </c>
      <c r="C392">
        <f t="shared" si="15"/>
        <v>6495</v>
      </c>
      <c r="D392" s="12">
        <f t="shared" si="14"/>
        <v>1176000</v>
      </c>
    </row>
    <row r="393" spans="1:4" x14ac:dyDescent="0.3">
      <c r="A393">
        <v>393</v>
      </c>
      <c r="B393">
        <v>19</v>
      </c>
      <c r="C393">
        <f t="shared" si="15"/>
        <v>6514</v>
      </c>
      <c r="D393" s="12">
        <f t="shared" si="14"/>
        <v>1179000</v>
      </c>
    </row>
    <row r="394" spans="1:4" x14ac:dyDescent="0.3">
      <c r="A394">
        <v>394</v>
      </c>
      <c r="B394">
        <v>19</v>
      </c>
      <c r="C394">
        <f t="shared" si="15"/>
        <v>6533</v>
      </c>
      <c r="D394" s="12">
        <f t="shared" si="14"/>
        <v>1182000</v>
      </c>
    </row>
    <row r="395" spans="1:4" x14ac:dyDescent="0.3">
      <c r="A395">
        <v>395</v>
      </c>
      <c r="B395">
        <v>19</v>
      </c>
      <c r="C395">
        <f t="shared" si="15"/>
        <v>6552</v>
      </c>
      <c r="D395" s="12">
        <f t="shared" si="14"/>
        <v>1185000</v>
      </c>
    </row>
    <row r="396" spans="1:4" x14ac:dyDescent="0.3">
      <c r="A396">
        <v>396</v>
      </c>
      <c r="B396">
        <v>19</v>
      </c>
      <c r="C396">
        <f t="shared" si="15"/>
        <v>6571</v>
      </c>
      <c r="D396" s="12">
        <f t="shared" si="14"/>
        <v>1188000</v>
      </c>
    </row>
    <row r="397" spans="1:4" x14ac:dyDescent="0.3">
      <c r="A397">
        <v>397</v>
      </c>
      <c r="B397">
        <v>19</v>
      </c>
      <c r="C397">
        <f t="shared" si="15"/>
        <v>6590</v>
      </c>
      <c r="D397" s="12">
        <f t="shared" si="14"/>
        <v>1191000</v>
      </c>
    </row>
    <row r="398" spans="1:4" x14ac:dyDescent="0.3">
      <c r="A398">
        <v>398</v>
      </c>
      <c r="B398">
        <v>19</v>
      </c>
      <c r="C398">
        <f t="shared" si="15"/>
        <v>6609</v>
      </c>
      <c r="D398" s="12">
        <f t="shared" si="14"/>
        <v>1194000</v>
      </c>
    </row>
    <row r="399" spans="1:4" x14ac:dyDescent="0.3">
      <c r="A399">
        <v>399</v>
      </c>
      <c r="B399">
        <v>19</v>
      </c>
      <c r="C399">
        <f t="shared" si="15"/>
        <v>6628</v>
      </c>
      <c r="D399" s="12">
        <f t="shared" si="14"/>
        <v>1197000</v>
      </c>
    </row>
    <row r="400" spans="1:4" x14ac:dyDescent="0.3">
      <c r="A400">
        <v>400</v>
      </c>
      <c r="B400">
        <v>19</v>
      </c>
      <c r="C400">
        <f t="shared" si="15"/>
        <v>6647</v>
      </c>
      <c r="D400" s="12">
        <f t="shared" si="14"/>
        <v>1200000</v>
      </c>
    </row>
    <row r="401" spans="1:4" x14ac:dyDescent="0.3">
      <c r="A401">
        <v>401</v>
      </c>
      <c r="B401">
        <v>19</v>
      </c>
      <c r="C401">
        <f t="shared" si="15"/>
        <v>6666</v>
      </c>
      <c r="D401" s="12">
        <f t="shared" si="14"/>
        <v>1203000</v>
      </c>
    </row>
    <row r="402" spans="1:4" x14ac:dyDescent="0.3">
      <c r="A402">
        <v>402</v>
      </c>
      <c r="B402">
        <v>19</v>
      </c>
      <c r="C402">
        <f t="shared" si="15"/>
        <v>6685</v>
      </c>
      <c r="D402" s="12">
        <f t="shared" si="14"/>
        <v>1206000</v>
      </c>
    </row>
    <row r="403" spans="1:4" x14ac:dyDescent="0.3">
      <c r="A403">
        <v>403</v>
      </c>
      <c r="B403">
        <v>19</v>
      </c>
      <c r="C403">
        <f t="shared" si="15"/>
        <v>6704</v>
      </c>
      <c r="D403" s="12">
        <f t="shared" si="14"/>
        <v>1209000</v>
      </c>
    </row>
    <row r="404" spans="1:4" x14ac:dyDescent="0.3">
      <c r="A404">
        <v>404</v>
      </c>
      <c r="B404">
        <v>19</v>
      </c>
      <c r="C404">
        <f t="shared" si="15"/>
        <v>6723</v>
      </c>
      <c r="D404" s="12">
        <f t="shared" si="14"/>
        <v>1212000</v>
      </c>
    </row>
    <row r="405" spans="1:4" x14ac:dyDescent="0.3">
      <c r="A405">
        <v>405</v>
      </c>
      <c r="B405">
        <v>19</v>
      </c>
      <c r="C405">
        <f t="shared" si="15"/>
        <v>6742</v>
      </c>
      <c r="D405" s="12">
        <f t="shared" si="14"/>
        <v>1215000</v>
      </c>
    </row>
    <row r="406" spans="1:4" x14ac:dyDescent="0.3">
      <c r="A406">
        <v>406</v>
      </c>
      <c r="B406">
        <v>19</v>
      </c>
      <c r="C406">
        <f t="shared" si="15"/>
        <v>6761</v>
      </c>
      <c r="D406" s="12">
        <f t="shared" si="14"/>
        <v>1218000</v>
      </c>
    </row>
    <row r="407" spans="1:4" x14ac:dyDescent="0.3">
      <c r="A407">
        <v>407</v>
      </c>
      <c r="B407">
        <v>19</v>
      </c>
      <c r="C407">
        <f t="shared" si="15"/>
        <v>6780</v>
      </c>
      <c r="D407" s="12">
        <f t="shared" si="14"/>
        <v>1221000</v>
      </c>
    </row>
    <row r="408" spans="1:4" x14ac:dyDescent="0.3">
      <c r="A408">
        <v>408</v>
      </c>
      <c r="B408">
        <v>19</v>
      </c>
      <c r="C408">
        <f t="shared" si="15"/>
        <v>6799</v>
      </c>
      <c r="D408" s="12">
        <f t="shared" si="14"/>
        <v>1224000</v>
      </c>
    </row>
    <row r="409" spans="1:4" x14ac:dyDescent="0.3">
      <c r="A409">
        <v>409</v>
      </c>
      <c r="B409">
        <v>19</v>
      </c>
      <c r="C409">
        <f t="shared" si="15"/>
        <v>6818</v>
      </c>
      <c r="D409" s="12">
        <f t="shared" si="14"/>
        <v>1227000</v>
      </c>
    </row>
    <row r="410" spans="1:4" x14ac:dyDescent="0.3">
      <c r="A410">
        <v>410</v>
      </c>
      <c r="B410">
        <v>19</v>
      </c>
      <c r="C410">
        <f t="shared" si="15"/>
        <v>6837</v>
      </c>
      <c r="D410" s="12">
        <f t="shared" si="14"/>
        <v>1230000</v>
      </c>
    </row>
    <row r="411" spans="1:4" x14ac:dyDescent="0.3">
      <c r="A411">
        <v>411</v>
      </c>
      <c r="B411">
        <v>19</v>
      </c>
      <c r="C411">
        <f t="shared" si="15"/>
        <v>6856</v>
      </c>
      <c r="D411" s="12">
        <f t="shared" si="14"/>
        <v>1233000</v>
      </c>
    </row>
    <row r="412" spans="1:4" x14ac:dyDescent="0.3">
      <c r="A412">
        <v>412</v>
      </c>
      <c r="B412">
        <v>19</v>
      </c>
      <c r="C412">
        <f t="shared" si="15"/>
        <v>6875</v>
      </c>
      <c r="D412" s="12">
        <f t="shared" si="14"/>
        <v>1236000</v>
      </c>
    </row>
    <row r="413" spans="1:4" x14ac:dyDescent="0.3">
      <c r="A413">
        <v>413</v>
      </c>
      <c r="B413">
        <v>19</v>
      </c>
      <c r="C413">
        <f t="shared" si="15"/>
        <v>6894</v>
      </c>
      <c r="D413" s="12">
        <f t="shared" si="14"/>
        <v>1239000</v>
      </c>
    </row>
    <row r="414" spans="1:4" x14ac:dyDescent="0.3">
      <c r="A414">
        <v>414</v>
      </c>
      <c r="B414">
        <v>19</v>
      </c>
      <c r="C414">
        <f t="shared" si="15"/>
        <v>6913</v>
      </c>
      <c r="D414" s="12">
        <f t="shared" si="14"/>
        <v>1242000</v>
      </c>
    </row>
    <row r="415" spans="1:4" x14ac:dyDescent="0.3">
      <c r="A415">
        <v>415</v>
      </c>
      <c r="B415">
        <v>19</v>
      </c>
      <c r="C415">
        <f t="shared" si="15"/>
        <v>6932</v>
      </c>
      <c r="D415" s="12">
        <f t="shared" si="14"/>
        <v>1245000</v>
      </c>
    </row>
    <row r="416" spans="1:4" x14ac:dyDescent="0.3">
      <c r="A416">
        <v>416</v>
      </c>
      <c r="B416">
        <v>20</v>
      </c>
      <c r="C416">
        <f t="shared" si="15"/>
        <v>6952</v>
      </c>
      <c r="D416" s="12">
        <f t="shared" si="14"/>
        <v>1248000</v>
      </c>
    </row>
    <row r="417" spans="1:4" x14ac:dyDescent="0.3">
      <c r="A417">
        <v>417</v>
      </c>
      <c r="B417">
        <v>20</v>
      </c>
      <c r="C417">
        <f t="shared" si="15"/>
        <v>6972</v>
      </c>
      <c r="D417" s="12">
        <f t="shared" si="14"/>
        <v>1251000</v>
      </c>
    </row>
    <row r="418" spans="1:4" x14ac:dyDescent="0.3">
      <c r="A418">
        <v>418</v>
      </c>
      <c r="B418">
        <v>20</v>
      </c>
      <c r="C418">
        <f t="shared" si="15"/>
        <v>6992</v>
      </c>
      <c r="D418" s="12">
        <f t="shared" si="14"/>
        <v>1254000</v>
      </c>
    </row>
    <row r="419" spans="1:4" x14ac:dyDescent="0.3">
      <c r="A419">
        <v>419</v>
      </c>
      <c r="B419">
        <v>20</v>
      </c>
      <c r="C419">
        <f t="shared" si="15"/>
        <v>7012</v>
      </c>
      <c r="D419" s="12">
        <f t="shared" si="14"/>
        <v>1257000</v>
      </c>
    </row>
    <row r="420" spans="1:4" x14ac:dyDescent="0.3">
      <c r="A420">
        <v>420</v>
      </c>
      <c r="B420">
        <v>20</v>
      </c>
      <c r="C420">
        <f t="shared" si="15"/>
        <v>7032</v>
      </c>
      <c r="D420" s="12">
        <f t="shared" si="14"/>
        <v>1260000</v>
      </c>
    </row>
    <row r="421" spans="1:4" x14ac:dyDescent="0.3">
      <c r="A421">
        <v>421</v>
      </c>
      <c r="B421">
        <v>20</v>
      </c>
      <c r="C421">
        <f t="shared" si="15"/>
        <v>7052</v>
      </c>
      <c r="D421" s="12">
        <f t="shared" si="14"/>
        <v>1263000</v>
      </c>
    </row>
    <row r="422" spans="1:4" x14ac:dyDescent="0.3">
      <c r="A422">
        <v>422</v>
      </c>
      <c r="B422">
        <v>20</v>
      </c>
      <c r="C422">
        <f t="shared" si="15"/>
        <v>7072</v>
      </c>
      <c r="D422" s="12">
        <f t="shared" si="14"/>
        <v>1266000</v>
      </c>
    </row>
    <row r="423" spans="1:4" x14ac:dyDescent="0.3">
      <c r="A423">
        <v>423</v>
      </c>
      <c r="B423">
        <v>20</v>
      </c>
      <c r="C423">
        <f t="shared" si="15"/>
        <v>7092</v>
      </c>
      <c r="D423" s="12">
        <f t="shared" si="14"/>
        <v>1269000</v>
      </c>
    </row>
    <row r="424" spans="1:4" x14ac:dyDescent="0.3">
      <c r="A424">
        <v>424</v>
      </c>
      <c r="B424">
        <v>20</v>
      </c>
      <c r="C424">
        <f t="shared" si="15"/>
        <v>7112</v>
      </c>
      <c r="D424" s="12">
        <f t="shared" si="14"/>
        <v>1272000</v>
      </c>
    </row>
    <row r="425" spans="1:4" x14ac:dyDescent="0.3">
      <c r="A425">
        <v>425</v>
      </c>
      <c r="B425">
        <v>20</v>
      </c>
      <c r="C425">
        <f t="shared" si="15"/>
        <v>7132</v>
      </c>
      <c r="D425" s="12">
        <f t="shared" si="14"/>
        <v>1275000</v>
      </c>
    </row>
    <row r="426" spans="1:4" x14ac:dyDescent="0.3">
      <c r="A426">
        <v>426</v>
      </c>
      <c r="B426">
        <v>20</v>
      </c>
      <c r="C426">
        <f t="shared" si="15"/>
        <v>7152</v>
      </c>
      <c r="D426" s="12">
        <f t="shared" si="14"/>
        <v>1278000</v>
      </c>
    </row>
    <row r="427" spans="1:4" x14ac:dyDescent="0.3">
      <c r="A427">
        <v>427</v>
      </c>
      <c r="B427">
        <v>20</v>
      </c>
      <c r="C427">
        <f t="shared" si="15"/>
        <v>7172</v>
      </c>
      <c r="D427" s="12">
        <f t="shared" si="14"/>
        <v>1281000</v>
      </c>
    </row>
    <row r="428" spans="1:4" x14ac:dyDescent="0.3">
      <c r="A428">
        <v>428</v>
      </c>
      <c r="B428">
        <v>20</v>
      </c>
      <c r="C428">
        <f t="shared" si="15"/>
        <v>7192</v>
      </c>
      <c r="D428" s="12">
        <f t="shared" si="14"/>
        <v>1284000</v>
      </c>
    </row>
    <row r="429" spans="1:4" x14ac:dyDescent="0.3">
      <c r="A429">
        <v>429</v>
      </c>
      <c r="B429">
        <v>20</v>
      </c>
      <c r="C429">
        <f t="shared" si="15"/>
        <v>7212</v>
      </c>
      <c r="D429" s="12">
        <f t="shared" si="14"/>
        <v>1287000</v>
      </c>
    </row>
    <row r="430" spans="1:4" x14ac:dyDescent="0.3">
      <c r="A430">
        <v>430</v>
      </c>
      <c r="B430">
        <v>20</v>
      </c>
      <c r="C430">
        <f t="shared" si="15"/>
        <v>7232</v>
      </c>
      <c r="D430" s="12">
        <f t="shared" si="14"/>
        <v>1290000</v>
      </c>
    </row>
    <row r="431" spans="1:4" x14ac:dyDescent="0.3">
      <c r="A431">
        <v>431</v>
      </c>
      <c r="B431">
        <v>20</v>
      </c>
      <c r="C431">
        <f t="shared" si="15"/>
        <v>7252</v>
      </c>
      <c r="D431" s="12">
        <f t="shared" si="14"/>
        <v>1293000</v>
      </c>
    </row>
    <row r="432" spans="1:4" x14ac:dyDescent="0.3">
      <c r="A432">
        <v>432</v>
      </c>
      <c r="B432">
        <v>20</v>
      </c>
      <c r="C432">
        <f t="shared" si="15"/>
        <v>7272</v>
      </c>
      <c r="D432" s="12">
        <f t="shared" si="14"/>
        <v>1296000</v>
      </c>
    </row>
    <row r="433" spans="1:4" x14ac:dyDescent="0.3">
      <c r="A433">
        <v>433</v>
      </c>
      <c r="B433">
        <v>20</v>
      </c>
      <c r="C433">
        <f t="shared" si="15"/>
        <v>7292</v>
      </c>
      <c r="D433" s="12">
        <f t="shared" si="14"/>
        <v>1299000</v>
      </c>
    </row>
    <row r="434" spans="1:4" x14ac:dyDescent="0.3">
      <c r="A434">
        <v>434</v>
      </c>
      <c r="B434">
        <v>20</v>
      </c>
      <c r="C434">
        <f t="shared" si="15"/>
        <v>7312</v>
      </c>
      <c r="D434" s="12">
        <f t="shared" si="14"/>
        <v>1302000</v>
      </c>
    </row>
    <row r="435" spans="1:4" x14ac:dyDescent="0.3">
      <c r="A435">
        <v>435</v>
      </c>
      <c r="B435">
        <v>20</v>
      </c>
      <c r="C435">
        <f t="shared" si="15"/>
        <v>7332</v>
      </c>
      <c r="D435" s="12">
        <f t="shared" si="14"/>
        <v>1305000</v>
      </c>
    </row>
    <row r="436" spans="1:4" x14ac:dyDescent="0.3">
      <c r="A436">
        <v>436</v>
      </c>
      <c r="B436">
        <v>20</v>
      </c>
      <c r="C436">
        <f t="shared" si="15"/>
        <v>7352</v>
      </c>
      <c r="D436" s="12">
        <f t="shared" si="14"/>
        <v>1308000</v>
      </c>
    </row>
    <row r="437" spans="1:4" x14ac:dyDescent="0.3">
      <c r="A437">
        <v>437</v>
      </c>
      <c r="B437">
        <v>20</v>
      </c>
      <c r="C437">
        <f t="shared" si="15"/>
        <v>7372</v>
      </c>
      <c r="D437" s="12">
        <f t="shared" si="14"/>
        <v>1311000</v>
      </c>
    </row>
    <row r="438" spans="1:4" x14ac:dyDescent="0.3">
      <c r="A438">
        <v>438</v>
      </c>
      <c r="B438">
        <v>20</v>
      </c>
      <c r="C438">
        <f t="shared" si="15"/>
        <v>7392</v>
      </c>
      <c r="D438" s="12">
        <f t="shared" si="14"/>
        <v>1314000</v>
      </c>
    </row>
    <row r="439" spans="1:4" x14ac:dyDescent="0.3">
      <c r="A439">
        <v>439</v>
      </c>
      <c r="B439">
        <v>20</v>
      </c>
      <c r="C439">
        <f t="shared" si="15"/>
        <v>7412</v>
      </c>
      <c r="D439" s="12">
        <f t="shared" si="14"/>
        <v>1317000</v>
      </c>
    </row>
    <row r="440" spans="1:4" x14ac:dyDescent="0.3">
      <c r="A440">
        <v>440</v>
      </c>
      <c r="B440">
        <v>20</v>
      </c>
      <c r="C440">
        <f t="shared" si="15"/>
        <v>7432</v>
      </c>
      <c r="D440" s="12">
        <f t="shared" si="14"/>
        <v>1320000</v>
      </c>
    </row>
    <row r="441" spans="1:4" x14ac:dyDescent="0.3">
      <c r="A441">
        <v>441</v>
      </c>
      <c r="B441">
        <v>20</v>
      </c>
      <c r="C441">
        <f t="shared" si="15"/>
        <v>7452</v>
      </c>
      <c r="D441" s="12">
        <f t="shared" si="14"/>
        <v>1323000</v>
      </c>
    </row>
    <row r="442" spans="1:4" x14ac:dyDescent="0.3">
      <c r="A442">
        <v>442</v>
      </c>
      <c r="B442">
        <v>20</v>
      </c>
      <c r="C442">
        <f t="shared" si="15"/>
        <v>7472</v>
      </c>
      <c r="D442" s="12">
        <f t="shared" si="14"/>
        <v>1326000</v>
      </c>
    </row>
    <row r="443" spans="1:4" x14ac:dyDescent="0.3">
      <c r="A443">
        <v>443</v>
      </c>
      <c r="B443">
        <v>20</v>
      </c>
      <c r="C443">
        <f t="shared" si="15"/>
        <v>7492</v>
      </c>
      <c r="D443" s="12">
        <f t="shared" si="14"/>
        <v>1329000</v>
      </c>
    </row>
    <row r="444" spans="1:4" x14ac:dyDescent="0.3">
      <c r="A444">
        <v>444</v>
      </c>
      <c r="B444">
        <v>20</v>
      </c>
      <c r="C444">
        <f t="shared" si="15"/>
        <v>7512</v>
      </c>
      <c r="D444" s="12">
        <f t="shared" si="14"/>
        <v>1332000</v>
      </c>
    </row>
    <row r="445" spans="1:4" x14ac:dyDescent="0.3">
      <c r="A445">
        <v>445</v>
      </c>
      <c r="B445">
        <v>20</v>
      </c>
      <c r="C445">
        <f t="shared" si="15"/>
        <v>7532</v>
      </c>
      <c r="D445" s="12">
        <f t="shared" si="14"/>
        <v>1335000</v>
      </c>
    </row>
    <row r="446" spans="1:4" x14ac:dyDescent="0.3">
      <c r="A446">
        <v>446</v>
      </c>
      <c r="B446">
        <v>20</v>
      </c>
      <c r="C446">
        <f t="shared" si="15"/>
        <v>7552</v>
      </c>
      <c r="D446" s="12">
        <f t="shared" si="14"/>
        <v>1338000</v>
      </c>
    </row>
    <row r="447" spans="1:4" x14ac:dyDescent="0.3">
      <c r="A447">
        <v>447</v>
      </c>
      <c r="B447">
        <v>20</v>
      </c>
      <c r="C447">
        <f t="shared" si="15"/>
        <v>7572</v>
      </c>
      <c r="D447" s="12">
        <f t="shared" si="14"/>
        <v>1341000</v>
      </c>
    </row>
    <row r="448" spans="1:4" x14ac:dyDescent="0.3">
      <c r="A448">
        <v>448</v>
      </c>
      <c r="B448">
        <v>20</v>
      </c>
      <c r="C448">
        <f t="shared" si="15"/>
        <v>7592</v>
      </c>
      <c r="D448" s="12">
        <f t="shared" si="14"/>
        <v>1344000</v>
      </c>
    </row>
    <row r="449" spans="1:4" x14ac:dyDescent="0.3">
      <c r="A449">
        <v>449</v>
      </c>
      <c r="B449">
        <v>20</v>
      </c>
      <c r="C449">
        <f t="shared" si="15"/>
        <v>7612</v>
      </c>
      <c r="D449" s="12">
        <f t="shared" si="14"/>
        <v>1347000</v>
      </c>
    </row>
    <row r="450" spans="1:4" x14ac:dyDescent="0.3">
      <c r="A450">
        <v>450</v>
      </c>
      <c r="B450">
        <v>20</v>
      </c>
      <c r="C450">
        <f t="shared" si="15"/>
        <v>7632</v>
      </c>
      <c r="D450" s="12">
        <f t="shared" ref="D450:D513" si="16">A450*3000</f>
        <v>1350000</v>
      </c>
    </row>
    <row r="451" spans="1:4" x14ac:dyDescent="0.3">
      <c r="A451">
        <v>451</v>
      </c>
      <c r="B451">
        <v>20</v>
      </c>
      <c r="C451">
        <f t="shared" ref="C451:C514" si="17">C450+B451</f>
        <v>7652</v>
      </c>
      <c r="D451" s="12">
        <f t="shared" si="16"/>
        <v>1353000</v>
      </c>
    </row>
    <row r="452" spans="1:4" x14ac:dyDescent="0.3">
      <c r="A452">
        <v>452</v>
      </c>
      <c r="B452">
        <v>20</v>
      </c>
      <c r="C452">
        <f t="shared" si="17"/>
        <v>7672</v>
      </c>
      <c r="D452" s="12">
        <f t="shared" si="16"/>
        <v>1356000</v>
      </c>
    </row>
    <row r="453" spans="1:4" x14ac:dyDescent="0.3">
      <c r="A453">
        <v>453</v>
      </c>
      <c r="B453">
        <v>20</v>
      </c>
      <c r="C453">
        <f t="shared" si="17"/>
        <v>7692</v>
      </c>
      <c r="D453" s="12">
        <f t="shared" si="16"/>
        <v>1359000</v>
      </c>
    </row>
    <row r="454" spans="1:4" x14ac:dyDescent="0.3">
      <c r="A454">
        <v>454</v>
      </c>
      <c r="B454">
        <v>20</v>
      </c>
      <c r="C454">
        <f t="shared" si="17"/>
        <v>7712</v>
      </c>
      <c r="D454" s="12">
        <f t="shared" si="16"/>
        <v>1362000</v>
      </c>
    </row>
    <row r="455" spans="1:4" x14ac:dyDescent="0.3">
      <c r="A455">
        <v>455</v>
      </c>
      <c r="B455">
        <v>20</v>
      </c>
      <c r="C455">
        <f t="shared" si="17"/>
        <v>7732</v>
      </c>
      <c r="D455" s="12">
        <f t="shared" si="16"/>
        <v>1365000</v>
      </c>
    </row>
    <row r="456" spans="1:4" x14ac:dyDescent="0.3">
      <c r="A456">
        <v>456</v>
      </c>
      <c r="B456">
        <v>20</v>
      </c>
      <c r="C456">
        <f t="shared" si="17"/>
        <v>7752</v>
      </c>
      <c r="D456" s="12">
        <f t="shared" si="16"/>
        <v>1368000</v>
      </c>
    </row>
    <row r="457" spans="1:4" x14ac:dyDescent="0.3">
      <c r="A457">
        <v>457</v>
      </c>
      <c r="B457">
        <v>20</v>
      </c>
      <c r="C457">
        <f t="shared" si="17"/>
        <v>7772</v>
      </c>
      <c r="D457" s="12">
        <f t="shared" si="16"/>
        <v>1371000</v>
      </c>
    </row>
    <row r="458" spans="1:4" x14ac:dyDescent="0.3">
      <c r="A458">
        <v>458</v>
      </c>
      <c r="B458">
        <v>20</v>
      </c>
      <c r="C458">
        <f t="shared" si="17"/>
        <v>7792</v>
      </c>
      <c r="D458" s="12">
        <f t="shared" si="16"/>
        <v>1374000</v>
      </c>
    </row>
    <row r="459" spans="1:4" x14ac:dyDescent="0.3">
      <c r="A459">
        <v>459</v>
      </c>
      <c r="B459">
        <v>20</v>
      </c>
      <c r="C459">
        <f t="shared" si="17"/>
        <v>7812</v>
      </c>
      <c r="D459" s="12">
        <f t="shared" si="16"/>
        <v>1377000</v>
      </c>
    </row>
    <row r="460" spans="1:4" x14ac:dyDescent="0.3">
      <c r="A460">
        <v>460</v>
      </c>
      <c r="B460">
        <v>20</v>
      </c>
      <c r="C460">
        <f t="shared" si="17"/>
        <v>7832</v>
      </c>
      <c r="D460" s="12">
        <f t="shared" si="16"/>
        <v>1380000</v>
      </c>
    </row>
    <row r="461" spans="1:4" x14ac:dyDescent="0.3">
      <c r="A461">
        <v>461</v>
      </c>
      <c r="B461">
        <v>20</v>
      </c>
      <c r="C461">
        <f t="shared" si="17"/>
        <v>7852</v>
      </c>
      <c r="D461" s="12">
        <f t="shared" si="16"/>
        <v>1383000</v>
      </c>
    </row>
    <row r="462" spans="1:4" x14ac:dyDescent="0.3">
      <c r="A462">
        <v>462</v>
      </c>
      <c r="B462">
        <v>20</v>
      </c>
      <c r="C462">
        <f t="shared" si="17"/>
        <v>7872</v>
      </c>
      <c r="D462" s="12">
        <f t="shared" si="16"/>
        <v>1386000</v>
      </c>
    </row>
    <row r="463" spans="1:4" x14ac:dyDescent="0.3">
      <c r="A463">
        <v>463</v>
      </c>
      <c r="B463">
        <v>20</v>
      </c>
      <c r="C463">
        <f t="shared" si="17"/>
        <v>7892</v>
      </c>
      <c r="D463" s="12">
        <f t="shared" si="16"/>
        <v>1389000</v>
      </c>
    </row>
    <row r="464" spans="1:4" x14ac:dyDescent="0.3">
      <c r="A464">
        <v>464</v>
      </c>
      <c r="B464">
        <v>20</v>
      </c>
      <c r="C464">
        <f t="shared" si="17"/>
        <v>7912</v>
      </c>
      <c r="D464" s="12">
        <f t="shared" si="16"/>
        <v>1392000</v>
      </c>
    </row>
    <row r="465" spans="1:4" x14ac:dyDescent="0.3">
      <c r="A465">
        <v>465</v>
      </c>
      <c r="B465">
        <v>20</v>
      </c>
      <c r="C465">
        <f t="shared" si="17"/>
        <v>7932</v>
      </c>
      <c r="D465" s="12">
        <f t="shared" si="16"/>
        <v>1395000</v>
      </c>
    </row>
    <row r="466" spans="1:4" x14ac:dyDescent="0.3">
      <c r="A466">
        <v>466</v>
      </c>
      <c r="B466">
        <v>20</v>
      </c>
      <c r="C466">
        <f t="shared" si="17"/>
        <v>7952</v>
      </c>
      <c r="D466" s="12">
        <f t="shared" si="16"/>
        <v>1398000</v>
      </c>
    </row>
    <row r="467" spans="1:4" x14ac:dyDescent="0.3">
      <c r="A467">
        <v>467</v>
      </c>
      <c r="B467">
        <v>20</v>
      </c>
      <c r="C467">
        <f t="shared" si="17"/>
        <v>7972</v>
      </c>
      <c r="D467" s="12">
        <f t="shared" si="16"/>
        <v>1401000</v>
      </c>
    </row>
    <row r="468" spans="1:4" x14ac:dyDescent="0.3">
      <c r="A468">
        <v>468</v>
      </c>
      <c r="B468">
        <v>20</v>
      </c>
      <c r="C468">
        <f t="shared" si="17"/>
        <v>7992</v>
      </c>
      <c r="D468" s="12">
        <f t="shared" si="16"/>
        <v>1404000</v>
      </c>
    </row>
    <row r="469" spans="1:4" x14ac:dyDescent="0.3">
      <c r="A469">
        <v>469</v>
      </c>
      <c r="B469">
        <v>20</v>
      </c>
      <c r="C469">
        <f t="shared" si="17"/>
        <v>8012</v>
      </c>
      <c r="D469" s="12">
        <f t="shared" si="16"/>
        <v>1407000</v>
      </c>
    </row>
    <row r="470" spans="1:4" x14ac:dyDescent="0.3">
      <c r="A470">
        <v>470</v>
      </c>
      <c r="B470">
        <v>20</v>
      </c>
      <c r="C470">
        <f t="shared" si="17"/>
        <v>8032</v>
      </c>
      <c r="D470" s="12">
        <f t="shared" si="16"/>
        <v>1410000</v>
      </c>
    </row>
    <row r="471" spans="1:4" x14ac:dyDescent="0.3">
      <c r="A471">
        <v>471</v>
      </c>
      <c r="B471">
        <v>20</v>
      </c>
      <c r="C471">
        <f t="shared" si="17"/>
        <v>8052</v>
      </c>
      <c r="D471" s="12">
        <f t="shared" si="16"/>
        <v>1413000</v>
      </c>
    </row>
    <row r="472" spans="1:4" x14ac:dyDescent="0.3">
      <c r="A472">
        <v>472</v>
      </c>
      <c r="B472">
        <v>20</v>
      </c>
      <c r="C472">
        <f t="shared" si="17"/>
        <v>8072</v>
      </c>
      <c r="D472" s="12">
        <f t="shared" si="16"/>
        <v>1416000</v>
      </c>
    </row>
    <row r="473" spans="1:4" x14ac:dyDescent="0.3">
      <c r="A473">
        <v>473</v>
      </c>
      <c r="B473">
        <v>20</v>
      </c>
      <c r="C473">
        <f t="shared" si="17"/>
        <v>8092</v>
      </c>
      <c r="D473" s="12">
        <f t="shared" si="16"/>
        <v>1419000</v>
      </c>
    </row>
    <row r="474" spans="1:4" x14ac:dyDescent="0.3">
      <c r="A474">
        <v>474</v>
      </c>
      <c r="B474">
        <v>20</v>
      </c>
      <c r="C474">
        <f t="shared" si="17"/>
        <v>8112</v>
      </c>
      <c r="D474" s="12">
        <f t="shared" si="16"/>
        <v>1422000</v>
      </c>
    </row>
    <row r="475" spans="1:4" x14ac:dyDescent="0.3">
      <c r="A475">
        <v>475</v>
      </c>
      <c r="B475">
        <v>20</v>
      </c>
      <c r="C475">
        <f t="shared" si="17"/>
        <v>8132</v>
      </c>
      <c r="D475" s="12">
        <f t="shared" si="16"/>
        <v>1425000</v>
      </c>
    </row>
    <row r="476" spans="1:4" x14ac:dyDescent="0.3">
      <c r="A476">
        <v>476</v>
      </c>
      <c r="B476">
        <v>20</v>
      </c>
      <c r="C476">
        <f t="shared" si="17"/>
        <v>8152</v>
      </c>
      <c r="D476" s="12">
        <f t="shared" si="16"/>
        <v>1428000</v>
      </c>
    </row>
    <row r="477" spans="1:4" x14ac:dyDescent="0.3">
      <c r="A477">
        <v>477</v>
      </c>
      <c r="B477">
        <v>20</v>
      </c>
      <c r="C477">
        <f t="shared" si="17"/>
        <v>8172</v>
      </c>
      <c r="D477" s="12">
        <f t="shared" si="16"/>
        <v>1431000</v>
      </c>
    </row>
    <row r="478" spans="1:4" x14ac:dyDescent="0.3">
      <c r="A478">
        <v>478</v>
      </c>
      <c r="B478">
        <v>20</v>
      </c>
      <c r="C478">
        <f t="shared" si="17"/>
        <v>8192</v>
      </c>
      <c r="D478" s="12">
        <f t="shared" si="16"/>
        <v>1434000</v>
      </c>
    </row>
    <row r="479" spans="1:4" x14ac:dyDescent="0.3">
      <c r="A479">
        <v>479</v>
      </c>
      <c r="B479">
        <v>20</v>
      </c>
      <c r="C479">
        <f t="shared" si="17"/>
        <v>8212</v>
      </c>
      <c r="D479" s="12">
        <f t="shared" si="16"/>
        <v>1437000</v>
      </c>
    </row>
    <row r="480" spans="1:4" x14ac:dyDescent="0.3">
      <c r="A480">
        <v>480</v>
      </c>
      <c r="B480">
        <v>20</v>
      </c>
      <c r="C480">
        <f t="shared" si="17"/>
        <v>8232</v>
      </c>
      <c r="D480" s="12">
        <f t="shared" si="16"/>
        <v>1440000</v>
      </c>
    </row>
    <row r="481" spans="1:4" x14ac:dyDescent="0.3">
      <c r="A481">
        <v>481</v>
      </c>
      <c r="B481">
        <v>20</v>
      </c>
      <c r="C481">
        <f t="shared" si="17"/>
        <v>8252</v>
      </c>
      <c r="D481" s="12">
        <f t="shared" si="16"/>
        <v>1443000</v>
      </c>
    </row>
    <row r="482" spans="1:4" x14ac:dyDescent="0.3">
      <c r="A482">
        <v>482</v>
      </c>
      <c r="B482">
        <v>20</v>
      </c>
      <c r="C482">
        <f t="shared" si="17"/>
        <v>8272</v>
      </c>
      <c r="D482" s="12">
        <f t="shared" si="16"/>
        <v>1446000</v>
      </c>
    </row>
    <row r="483" spans="1:4" x14ac:dyDescent="0.3">
      <c r="A483">
        <v>483</v>
      </c>
      <c r="B483">
        <v>20</v>
      </c>
      <c r="C483">
        <f t="shared" si="17"/>
        <v>8292</v>
      </c>
      <c r="D483" s="12">
        <f t="shared" si="16"/>
        <v>1449000</v>
      </c>
    </row>
    <row r="484" spans="1:4" x14ac:dyDescent="0.3">
      <c r="A484">
        <v>484</v>
      </c>
      <c r="B484">
        <v>20</v>
      </c>
      <c r="C484">
        <f t="shared" si="17"/>
        <v>8312</v>
      </c>
      <c r="D484" s="12">
        <f t="shared" si="16"/>
        <v>1452000</v>
      </c>
    </row>
    <row r="485" spans="1:4" x14ac:dyDescent="0.3">
      <c r="A485">
        <v>485</v>
      </c>
      <c r="B485">
        <v>20</v>
      </c>
      <c r="C485">
        <f t="shared" si="17"/>
        <v>8332</v>
      </c>
      <c r="D485" s="12">
        <f t="shared" si="16"/>
        <v>1455000</v>
      </c>
    </row>
    <row r="486" spans="1:4" x14ac:dyDescent="0.3">
      <c r="A486">
        <v>486</v>
      </c>
      <c r="B486">
        <v>20</v>
      </c>
      <c r="C486">
        <f t="shared" si="17"/>
        <v>8352</v>
      </c>
      <c r="D486" s="12">
        <f t="shared" si="16"/>
        <v>1458000</v>
      </c>
    </row>
    <row r="487" spans="1:4" x14ac:dyDescent="0.3">
      <c r="A487">
        <v>487</v>
      </c>
      <c r="B487">
        <v>20</v>
      </c>
      <c r="C487">
        <f t="shared" si="17"/>
        <v>8372</v>
      </c>
      <c r="D487" s="12">
        <f t="shared" si="16"/>
        <v>1461000</v>
      </c>
    </row>
    <row r="488" spans="1:4" x14ac:dyDescent="0.3">
      <c r="A488">
        <v>488</v>
      </c>
      <c r="B488">
        <v>20</v>
      </c>
      <c r="C488">
        <f t="shared" si="17"/>
        <v>8392</v>
      </c>
      <c r="D488" s="12">
        <f t="shared" si="16"/>
        <v>1464000</v>
      </c>
    </row>
    <row r="489" spans="1:4" x14ac:dyDescent="0.3">
      <c r="A489">
        <v>489</v>
      </c>
      <c r="B489">
        <v>20</v>
      </c>
      <c r="C489">
        <f t="shared" si="17"/>
        <v>8412</v>
      </c>
      <c r="D489" s="12">
        <f t="shared" si="16"/>
        <v>1467000</v>
      </c>
    </row>
    <row r="490" spans="1:4" x14ac:dyDescent="0.3">
      <c r="A490">
        <v>490</v>
      </c>
      <c r="B490">
        <v>20</v>
      </c>
      <c r="C490">
        <f t="shared" si="17"/>
        <v>8432</v>
      </c>
      <c r="D490" s="12">
        <f t="shared" si="16"/>
        <v>1470000</v>
      </c>
    </row>
    <row r="491" spans="1:4" x14ac:dyDescent="0.3">
      <c r="A491">
        <v>491</v>
      </c>
      <c r="B491">
        <v>20</v>
      </c>
      <c r="C491">
        <f t="shared" si="17"/>
        <v>8452</v>
      </c>
      <c r="D491" s="12">
        <f t="shared" si="16"/>
        <v>1473000</v>
      </c>
    </row>
    <row r="492" spans="1:4" x14ac:dyDescent="0.3">
      <c r="A492">
        <v>492</v>
      </c>
      <c r="B492">
        <v>20</v>
      </c>
      <c r="C492">
        <f t="shared" si="17"/>
        <v>8472</v>
      </c>
      <c r="D492" s="12">
        <f t="shared" si="16"/>
        <v>1476000</v>
      </c>
    </row>
    <row r="493" spans="1:4" x14ac:dyDescent="0.3">
      <c r="A493">
        <v>493</v>
      </c>
      <c r="B493">
        <v>20</v>
      </c>
      <c r="C493">
        <f t="shared" si="17"/>
        <v>8492</v>
      </c>
      <c r="D493" s="12">
        <f t="shared" si="16"/>
        <v>1479000</v>
      </c>
    </row>
    <row r="494" spans="1:4" x14ac:dyDescent="0.3">
      <c r="A494">
        <v>494</v>
      </c>
      <c r="B494">
        <v>20</v>
      </c>
      <c r="C494">
        <f t="shared" si="17"/>
        <v>8512</v>
      </c>
      <c r="D494" s="12">
        <f t="shared" si="16"/>
        <v>1482000</v>
      </c>
    </row>
    <row r="495" spans="1:4" x14ac:dyDescent="0.3">
      <c r="A495">
        <v>495</v>
      </c>
      <c r="B495">
        <v>20</v>
      </c>
      <c r="C495">
        <f t="shared" si="17"/>
        <v>8532</v>
      </c>
      <c r="D495" s="12">
        <f t="shared" si="16"/>
        <v>1485000</v>
      </c>
    </row>
    <row r="496" spans="1:4" x14ac:dyDescent="0.3">
      <c r="A496">
        <v>496</v>
      </c>
      <c r="B496">
        <v>20</v>
      </c>
      <c r="C496">
        <f t="shared" si="17"/>
        <v>8552</v>
      </c>
      <c r="D496" s="12">
        <f t="shared" si="16"/>
        <v>1488000</v>
      </c>
    </row>
    <row r="497" spans="1:4" x14ac:dyDescent="0.3">
      <c r="A497">
        <v>497</v>
      </c>
      <c r="B497">
        <v>20</v>
      </c>
      <c r="C497">
        <f t="shared" si="17"/>
        <v>8572</v>
      </c>
      <c r="D497" s="12">
        <f t="shared" si="16"/>
        <v>1491000</v>
      </c>
    </row>
    <row r="498" spans="1:4" x14ac:dyDescent="0.3">
      <c r="A498">
        <v>498</v>
      </c>
      <c r="B498">
        <v>20</v>
      </c>
      <c r="C498">
        <f t="shared" si="17"/>
        <v>8592</v>
      </c>
      <c r="D498" s="12">
        <f t="shared" si="16"/>
        <v>1494000</v>
      </c>
    </row>
    <row r="499" spans="1:4" x14ac:dyDescent="0.3">
      <c r="A499">
        <v>499</v>
      </c>
      <c r="B499">
        <v>20</v>
      </c>
      <c r="C499">
        <f t="shared" si="17"/>
        <v>8612</v>
      </c>
      <c r="D499" s="12">
        <f t="shared" si="16"/>
        <v>1497000</v>
      </c>
    </row>
    <row r="500" spans="1:4" x14ac:dyDescent="0.3">
      <c r="A500">
        <v>500</v>
      </c>
      <c r="B500">
        <v>20</v>
      </c>
      <c r="C500">
        <f t="shared" si="17"/>
        <v>8632</v>
      </c>
      <c r="D500" s="12">
        <f t="shared" si="16"/>
        <v>1500000</v>
      </c>
    </row>
    <row r="501" spans="1:4" x14ac:dyDescent="0.3">
      <c r="A501">
        <v>501</v>
      </c>
      <c r="B501">
        <v>20</v>
      </c>
      <c r="C501">
        <f t="shared" si="17"/>
        <v>8652</v>
      </c>
      <c r="D501" s="12">
        <f t="shared" si="16"/>
        <v>1503000</v>
      </c>
    </row>
    <row r="502" spans="1:4" x14ac:dyDescent="0.3">
      <c r="A502">
        <v>502</v>
      </c>
      <c r="B502">
        <v>20</v>
      </c>
      <c r="C502">
        <f t="shared" si="17"/>
        <v>8672</v>
      </c>
      <c r="D502" s="12">
        <f t="shared" si="16"/>
        <v>1506000</v>
      </c>
    </row>
    <row r="503" spans="1:4" x14ac:dyDescent="0.3">
      <c r="A503">
        <v>503</v>
      </c>
      <c r="B503">
        <v>20</v>
      </c>
      <c r="C503">
        <f t="shared" si="17"/>
        <v>8692</v>
      </c>
      <c r="D503" s="12">
        <f t="shared" si="16"/>
        <v>1509000</v>
      </c>
    </row>
    <row r="504" spans="1:4" x14ac:dyDescent="0.3">
      <c r="A504">
        <v>504</v>
      </c>
      <c r="B504">
        <v>20</v>
      </c>
      <c r="C504">
        <f t="shared" si="17"/>
        <v>8712</v>
      </c>
      <c r="D504" s="12">
        <f t="shared" si="16"/>
        <v>1512000</v>
      </c>
    </row>
    <row r="505" spans="1:4" x14ac:dyDescent="0.3">
      <c r="A505">
        <v>505</v>
      </c>
      <c r="B505">
        <v>20</v>
      </c>
      <c r="C505">
        <f t="shared" si="17"/>
        <v>8732</v>
      </c>
      <c r="D505" s="12">
        <f t="shared" si="16"/>
        <v>1515000</v>
      </c>
    </row>
    <row r="506" spans="1:4" x14ac:dyDescent="0.3">
      <c r="A506">
        <v>506</v>
      </c>
      <c r="B506">
        <v>20</v>
      </c>
      <c r="C506">
        <f t="shared" si="17"/>
        <v>8752</v>
      </c>
      <c r="D506" s="12">
        <f t="shared" si="16"/>
        <v>1518000</v>
      </c>
    </row>
    <row r="507" spans="1:4" x14ac:dyDescent="0.3">
      <c r="A507">
        <v>507</v>
      </c>
      <c r="B507">
        <v>20</v>
      </c>
      <c r="C507">
        <f t="shared" si="17"/>
        <v>8772</v>
      </c>
      <c r="D507" s="12">
        <f t="shared" si="16"/>
        <v>1521000</v>
      </c>
    </row>
    <row r="508" spans="1:4" x14ac:dyDescent="0.3">
      <c r="A508">
        <v>508</v>
      </c>
      <c r="B508">
        <v>20</v>
      </c>
      <c r="C508">
        <f t="shared" si="17"/>
        <v>8792</v>
      </c>
      <c r="D508" s="12">
        <f t="shared" si="16"/>
        <v>1524000</v>
      </c>
    </row>
    <row r="509" spans="1:4" x14ac:dyDescent="0.3">
      <c r="A509">
        <v>509</v>
      </c>
      <c r="B509">
        <v>20</v>
      </c>
      <c r="C509">
        <f t="shared" si="17"/>
        <v>8812</v>
      </c>
      <c r="D509" s="12">
        <f t="shared" si="16"/>
        <v>1527000</v>
      </c>
    </row>
    <row r="510" spans="1:4" x14ac:dyDescent="0.3">
      <c r="A510">
        <v>510</v>
      </c>
      <c r="B510">
        <v>20</v>
      </c>
      <c r="C510">
        <f t="shared" si="17"/>
        <v>8832</v>
      </c>
      <c r="D510" s="12">
        <f t="shared" si="16"/>
        <v>1530000</v>
      </c>
    </row>
    <row r="511" spans="1:4" x14ac:dyDescent="0.3">
      <c r="A511">
        <v>511</v>
      </c>
      <c r="B511">
        <v>20</v>
      </c>
      <c r="C511">
        <f t="shared" si="17"/>
        <v>8852</v>
      </c>
      <c r="D511" s="12">
        <f t="shared" si="16"/>
        <v>1533000</v>
      </c>
    </row>
    <row r="512" spans="1:4" x14ac:dyDescent="0.3">
      <c r="A512">
        <v>512</v>
      </c>
      <c r="B512">
        <v>20</v>
      </c>
      <c r="C512">
        <f t="shared" si="17"/>
        <v>8872</v>
      </c>
      <c r="D512" s="12">
        <f t="shared" si="16"/>
        <v>1536000</v>
      </c>
    </row>
    <row r="513" spans="1:4" x14ac:dyDescent="0.3">
      <c r="A513">
        <v>513</v>
      </c>
      <c r="B513">
        <v>20</v>
      </c>
      <c r="C513">
        <f t="shared" si="17"/>
        <v>8892</v>
      </c>
      <c r="D513" s="12">
        <f t="shared" si="16"/>
        <v>1539000</v>
      </c>
    </row>
    <row r="514" spans="1:4" x14ac:dyDescent="0.3">
      <c r="A514">
        <v>514</v>
      </c>
      <c r="B514">
        <v>20</v>
      </c>
      <c r="C514">
        <f t="shared" si="17"/>
        <v>8912</v>
      </c>
      <c r="D514" s="12">
        <f t="shared" ref="D514:D577" si="18">A514*3000</f>
        <v>1542000</v>
      </c>
    </row>
    <row r="515" spans="1:4" x14ac:dyDescent="0.3">
      <c r="A515">
        <v>515</v>
      </c>
      <c r="B515">
        <v>20</v>
      </c>
      <c r="C515">
        <f t="shared" ref="C515:C578" si="19">C514+B515</f>
        <v>8932</v>
      </c>
      <c r="D515" s="12">
        <f t="shared" si="18"/>
        <v>1545000</v>
      </c>
    </row>
    <row r="516" spans="1:4" x14ac:dyDescent="0.3">
      <c r="A516">
        <v>516</v>
      </c>
      <c r="B516">
        <v>20</v>
      </c>
      <c r="C516">
        <f t="shared" si="19"/>
        <v>8952</v>
      </c>
      <c r="D516" s="12">
        <f t="shared" si="18"/>
        <v>1548000</v>
      </c>
    </row>
    <row r="517" spans="1:4" x14ac:dyDescent="0.3">
      <c r="A517">
        <v>517</v>
      </c>
      <c r="B517">
        <v>20</v>
      </c>
      <c r="C517">
        <f t="shared" si="19"/>
        <v>8972</v>
      </c>
      <c r="D517" s="12">
        <f t="shared" si="18"/>
        <v>1551000</v>
      </c>
    </row>
    <row r="518" spans="1:4" x14ac:dyDescent="0.3">
      <c r="A518">
        <v>518</v>
      </c>
      <c r="B518">
        <v>20</v>
      </c>
      <c r="C518">
        <f t="shared" si="19"/>
        <v>8992</v>
      </c>
      <c r="D518" s="12">
        <f t="shared" si="18"/>
        <v>1554000</v>
      </c>
    </row>
    <row r="519" spans="1:4" x14ac:dyDescent="0.3">
      <c r="A519">
        <v>519</v>
      </c>
      <c r="B519">
        <v>20</v>
      </c>
      <c r="C519">
        <f t="shared" si="19"/>
        <v>9012</v>
      </c>
      <c r="D519" s="12">
        <f t="shared" si="18"/>
        <v>1557000</v>
      </c>
    </row>
    <row r="520" spans="1:4" x14ac:dyDescent="0.3">
      <c r="A520">
        <v>520</v>
      </c>
      <c r="B520">
        <v>20</v>
      </c>
      <c r="C520">
        <f t="shared" si="19"/>
        <v>9032</v>
      </c>
      <c r="D520" s="12">
        <f t="shared" si="18"/>
        <v>1560000</v>
      </c>
    </row>
    <row r="521" spans="1:4" x14ac:dyDescent="0.3">
      <c r="A521">
        <v>521</v>
      </c>
      <c r="B521">
        <v>20</v>
      </c>
      <c r="C521">
        <f t="shared" si="19"/>
        <v>9052</v>
      </c>
      <c r="D521" s="12">
        <f t="shared" si="18"/>
        <v>1563000</v>
      </c>
    </row>
    <row r="522" spans="1:4" x14ac:dyDescent="0.3">
      <c r="A522">
        <v>522</v>
      </c>
      <c r="B522">
        <v>20</v>
      </c>
      <c r="C522">
        <f t="shared" si="19"/>
        <v>9072</v>
      </c>
      <c r="D522" s="12">
        <f t="shared" si="18"/>
        <v>1566000</v>
      </c>
    </row>
    <row r="523" spans="1:4" x14ac:dyDescent="0.3">
      <c r="A523">
        <v>523</v>
      </c>
      <c r="B523">
        <v>20</v>
      </c>
      <c r="C523">
        <f t="shared" si="19"/>
        <v>9092</v>
      </c>
      <c r="D523" s="12">
        <f t="shared" si="18"/>
        <v>1569000</v>
      </c>
    </row>
    <row r="524" spans="1:4" x14ac:dyDescent="0.3">
      <c r="A524">
        <v>524</v>
      </c>
      <c r="B524">
        <v>20</v>
      </c>
      <c r="C524">
        <f t="shared" si="19"/>
        <v>9112</v>
      </c>
      <c r="D524" s="12">
        <f t="shared" si="18"/>
        <v>1572000</v>
      </c>
    </row>
    <row r="525" spans="1:4" x14ac:dyDescent="0.3">
      <c r="A525">
        <v>525</v>
      </c>
      <c r="B525">
        <v>20</v>
      </c>
      <c r="C525">
        <f t="shared" si="19"/>
        <v>9132</v>
      </c>
      <c r="D525" s="12">
        <f t="shared" si="18"/>
        <v>1575000</v>
      </c>
    </row>
    <row r="526" spans="1:4" x14ac:dyDescent="0.3">
      <c r="A526">
        <v>526</v>
      </c>
      <c r="B526">
        <v>20</v>
      </c>
      <c r="C526">
        <f t="shared" si="19"/>
        <v>9152</v>
      </c>
      <c r="D526" s="12">
        <f t="shared" si="18"/>
        <v>1578000</v>
      </c>
    </row>
    <row r="527" spans="1:4" x14ac:dyDescent="0.3">
      <c r="A527">
        <v>527</v>
      </c>
      <c r="B527">
        <v>20</v>
      </c>
      <c r="C527">
        <f t="shared" si="19"/>
        <v>9172</v>
      </c>
      <c r="D527" s="12">
        <f t="shared" si="18"/>
        <v>1581000</v>
      </c>
    </row>
    <row r="528" spans="1:4" x14ac:dyDescent="0.3">
      <c r="A528">
        <v>528</v>
      </c>
      <c r="B528">
        <v>20</v>
      </c>
      <c r="C528">
        <f t="shared" si="19"/>
        <v>9192</v>
      </c>
      <c r="D528" s="12">
        <f t="shared" si="18"/>
        <v>1584000</v>
      </c>
    </row>
    <row r="529" spans="1:4" x14ac:dyDescent="0.3">
      <c r="A529">
        <v>529</v>
      </c>
      <c r="B529">
        <v>20</v>
      </c>
      <c r="C529">
        <f t="shared" si="19"/>
        <v>9212</v>
      </c>
      <c r="D529" s="12">
        <f t="shared" si="18"/>
        <v>1587000</v>
      </c>
    </row>
    <row r="530" spans="1:4" x14ac:dyDescent="0.3">
      <c r="A530">
        <v>530</v>
      </c>
      <c r="B530">
        <v>20</v>
      </c>
      <c r="C530">
        <f t="shared" si="19"/>
        <v>9232</v>
      </c>
      <c r="D530" s="12">
        <f t="shared" si="18"/>
        <v>1590000</v>
      </c>
    </row>
    <row r="531" spans="1:4" x14ac:dyDescent="0.3">
      <c r="A531">
        <v>531</v>
      </c>
      <c r="B531">
        <v>20</v>
      </c>
      <c r="C531">
        <f t="shared" si="19"/>
        <v>9252</v>
      </c>
      <c r="D531" s="12">
        <f t="shared" si="18"/>
        <v>1593000</v>
      </c>
    </row>
    <row r="532" spans="1:4" x14ac:dyDescent="0.3">
      <c r="A532">
        <v>532</v>
      </c>
      <c r="B532">
        <v>20</v>
      </c>
      <c r="C532">
        <f t="shared" si="19"/>
        <v>9272</v>
      </c>
      <c r="D532" s="12">
        <f t="shared" si="18"/>
        <v>1596000</v>
      </c>
    </row>
    <row r="533" spans="1:4" x14ac:dyDescent="0.3">
      <c r="A533">
        <v>533</v>
      </c>
      <c r="B533">
        <v>20</v>
      </c>
      <c r="C533">
        <f t="shared" si="19"/>
        <v>9292</v>
      </c>
      <c r="D533" s="12">
        <f t="shared" si="18"/>
        <v>1599000</v>
      </c>
    </row>
    <row r="534" spans="1:4" x14ac:dyDescent="0.3">
      <c r="A534">
        <v>534</v>
      </c>
      <c r="B534">
        <v>20</v>
      </c>
      <c r="C534">
        <f t="shared" si="19"/>
        <v>9312</v>
      </c>
      <c r="D534" s="12">
        <f t="shared" si="18"/>
        <v>1602000</v>
      </c>
    </row>
    <row r="535" spans="1:4" x14ac:dyDescent="0.3">
      <c r="A535">
        <v>535</v>
      </c>
      <c r="B535">
        <v>20</v>
      </c>
      <c r="C535">
        <f t="shared" si="19"/>
        <v>9332</v>
      </c>
      <c r="D535" s="12">
        <f t="shared" si="18"/>
        <v>1605000</v>
      </c>
    </row>
    <row r="536" spans="1:4" x14ac:dyDescent="0.3">
      <c r="A536">
        <v>536</v>
      </c>
      <c r="B536">
        <v>20</v>
      </c>
      <c r="C536">
        <f t="shared" si="19"/>
        <v>9352</v>
      </c>
      <c r="D536" s="12">
        <f t="shared" si="18"/>
        <v>1608000</v>
      </c>
    </row>
    <row r="537" spans="1:4" x14ac:dyDescent="0.3">
      <c r="A537">
        <v>537</v>
      </c>
      <c r="B537">
        <v>20</v>
      </c>
      <c r="C537">
        <f t="shared" si="19"/>
        <v>9372</v>
      </c>
      <c r="D537" s="12">
        <f t="shared" si="18"/>
        <v>1611000</v>
      </c>
    </row>
    <row r="538" spans="1:4" x14ac:dyDescent="0.3">
      <c r="A538">
        <v>538</v>
      </c>
      <c r="B538">
        <v>20</v>
      </c>
      <c r="C538">
        <f t="shared" si="19"/>
        <v>9392</v>
      </c>
      <c r="D538" s="12">
        <f t="shared" si="18"/>
        <v>1614000</v>
      </c>
    </row>
    <row r="539" spans="1:4" x14ac:dyDescent="0.3">
      <c r="A539">
        <v>539</v>
      </c>
      <c r="B539">
        <v>20</v>
      </c>
      <c r="C539">
        <f t="shared" si="19"/>
        <v>9412</v>
      </c>
      <c r="D539" s="12">
        <f t="shared" si="18"/>
        <v>1617000</v>
      </c>
    </row>
    <row r="540" spans="1:4" x14ac:dyDescent="0.3">
      <c r="A540">
        <v>540</v>
      </c>
      <c r="B540">
        <v>20</v>
      </c>
      <c r="C540">
        <f t="shared" si="19"/>
        <v>9432</v>
      </c>
      <c r="D540" s="12">
        <f t="shared" si="18"/>
        <v>1620000</v>
      </c>
    </row>
    <row r="541" spans="1:4" x14ac:dyDescent="0.3">
      <c r="A541">
        <v>541</v>
      </c>
      <c r="B541">
        <v>20</v>
      </c>
      <c r="C541">
        <f t="shared" si="19"/>
        <v>9452</v>
      </c>
      <c r="D541" s="12">
        <f t="shared" si="18"/>
        <v>1623000</v>
      </c>
    </row>
    <row r="542" spans="1:4" x14ac:dyDescent="0.3">
      <c r="A542">
        <v>542</v>
      </c>
      <c r="B542">
        <v>20</v>
      </c>
      <c r="C542">
        <f t="shared" si="19"/>
        <v>9472</v>
      </c>
      <c r="D542" s="12">
        <f t="shared" si="18"/>
        <v>1626000</v>
      </c>
    </row>
    <row r="543" spans="1:4" x14ac:dyDescent="0.3">
      <c r="A543">
        <v>543</v>
      </c>
      <c r="B543">
        <v>20</v>
      </c>
      <c r="C543">
        <f t="shared" si="19"/>
        <v>9492</v>
      </c>
      <c r="D543" s="12">
        <f t="shared" si="18"/>
        <v>1629000</v>
      </c>
    </row>
    <row r="544" spans="1:4" x14ac:dyDescent="0.3">
      <c r="A544">
        <v>544</v>
      </c>
      <c r="B544">
        <v>20</v>
      </c>
      <c r="C544">
        <f t="shared" si="19"/>
        <v>9512</v>
      </c>
      <c r="D544" s="12">
        <f t="shared" si="18"/>
        <v>1632000</v>
      </c>
    </row>
    <row r="545" spans="1:4" x14ac:dyDescent="0.3">
      <c r="A545">
        <v>545</v>
      </c>
      <c r="B545">
        <v>20</v>
      </c>
      <c r="C545">
        <f t="shared" si="19"/>
        <v>9532</v>
      </c>
      <c r="D545" s="12">
        <f t="shared" si="18"/>
        <v>1635000</v>
      </c>
    </row>
    <row r="546" spans="1:4" x14ac:dyDescent="0.3">
      <c r="A546">
        <v>546</v>
      </c>
      <c r="B546">
        <v>20</v>
      </c>
      <c r="C546">
        <f t="shared" si="19"/>
        <v>9552</v>
      </c>
      <c r="D546" s="12">
        <f t="shared" si="18"/>
        <v>1638000</v>
      </c>
    </row>
    <row r="547" spans="1:4" x14ac:dyDescent="0.3">
      <c r="A547">
        <v>547</v>
      </c>
      <c r="B547">
        <v>20</v>
      </c>
      <c r="C547">
        <f t="shared" si="19"/>
        <v>9572</v>
      </c>
      <c r="D547" s="12">
        <f t="shared" si="18"/>
        <v>1641000</v>
      </c>
    </row>
    <row r="548" spans="1:4" x14ac:dyDescent="0.3">
      <c r="A548">
        <v>548</v>
      </c>
      <c r="B548">
        <v>20</v>
      </c>
      <c r="C548">
        <f t="shared" si="19"/>
        <v>9592</v>
      </c>
      <c r="D548" s="12">
        <f t="shared" si="18"/>
        <v>1644000</v>
      </c>
    </row>
    <row r="549" spans="1:4" x14ac:dyDescent="0.3">
      <c r="A549">
        <v>549</v>
      </c>
      <c r="B549">
        <v>20</v>
      </c>
      <c r="C549">
        <f t="shared" si="19"/>
        <v>9612</v>
      </c>
      <c r="D549" s="12">
        <f t="shared" si="18"/>
        <v>1647000</v>
      </c>
    </row>
    <row r="550" spans="1:4" x14ac:dyDescent="0.3">
      <c r="A550">
        <v>550</v>
      </c>
      <c r="B550">
        <v>20</v>
      </c>
      <c r="C550">
        <f t="shared" si="19"/>
        <v>9632</v>
      </c>
      <c r="D550" s="12">
        <f t="shared" si="18"/>
        <v>1650000</v>
      </c>
    </row>
    <row r="551" spans="1:4" x14ac:dyDescent="0.3">
      <c r="A551">
        <v>551</v>
      </c>
      <c r="B551">
        <v>20</v>
      </c>
      <c r="C551">
        <f t="shared" si="19"/>
        <v>9652</v>
      </c>
      <c r="D551" s="12">
        <f t="shared" si="18"/>
        <v>1653000</v>
      </c>
    </row>
    <row r="552" spans="1:4" x14ac:dyDescent="0.3">
      <c r="A552">
        <v>552</v>
      </c>
      <c r="B552">
        <v>20</v>
      </c>
      <c r="C552">
        <f t="shared" si="19"/>
        <v>9672</v>
      </c>
      <c r="D552" s="12">
        <f t="shared" si="18"/>
        <v>1656000</v>
      </c>
    </row>
    <row r="553" spans="1:4" x14ac:dyDescent="0.3">
      <c r="A553">
        <v>553</v>
      </c>
      <c r="B553">
        <v>20</v>
      </c>
      <c r="C553">
        <f t="shared" si="19"/>
        <v>9692</v>
      </c>
      <c r="D553" s="12">
        <f t="shared" si="18"/>
        <v>1659000</v>
      </c>
    </row>
    <row r="554" spans="1:4" x14ac:dyDescent="0.3">
      <c r="A554">
        <v>554</v>
      </c>
      <c r="B554">
        <v>20</v>
      </c>
      <c r="C554">
        <f t="shared" si="19"/>
        <v>9712</v>
      </c>
      <c r="D554" s="12">
        <f t="shared" si="18"/>
        <v>1662000</v>
      </c>
    </row>
    <row r="555" spans="1:4" x14ac:dyDescent="0.3">
      <c r="A555">
        <v>555</v>
      </c>
      <c r="B555">
        <v>20</v>
      </c>
      <c r="C555">
        <f t="shared" si="19"/>
        <v>9732</v>
      </c>
      <c r="D555" s="12">
        <f t="shared" si="18"/>
        <v>1665000</v>
      </c>
    </row>
    <row r="556" spans="1:4" x14ac:dyDescent="0.3">
      <c r="A556">
        <v>556</v>
      </c>
      <c r="B556">
        <v>20</v>
      </c>
      <c r="C556">
        <f t="shared" si="19"/>
        <v>9752</v>
      </c>
      <c r="D556" s="12">
        <f t="shared" si="18"/>
        <v>1668000</v>
      </c>
    </row>
    <row r="557" spans="1:4" x14ac:dyDescent="0.3">
      <c r="A557">
        <v>557</v>
      </c>
      <c r="B557">
        <v>20</v>
      </c>
      <c r="C557">
        <f t="shared" si="19"/>
        <v>9772</v>
      </c>
      <c r="D557" s="12">
        <f t="shared" si="18"/>
        <v>1671000</v>
      </c>
    </row>
    <row r="558" spans="1:4" x14ac:dyDescent="0.3">
      <c r="A558">
        <v>558</v>
      </c>
      <c r="B558">
        <v>20</v>
      </c>
      <c r="C558">
        <f t="shared" si="19"/>
        <v>9792</v>
      </c>
      <c r="D558" s="12">
        <f t="shared" si="18"/>
        <v>1674000</v>
      </c>
    </row>
    <row r="559" spans="1:4" x14ac:dyDescent="0.3">
      <c r="A559">
        <v>559</v>
      </c>
      <c r="B559">
        <v>20</v>
      </c>
      <c r="C559">
        <f t="shared" si="19"/>
        <v>9812</v>
      </c>
      <c r="D559" s="12">
        <f t="shared" si="18"/>
        <v>1677000</v>
      </c>
    </row>
    <row r="560" spans="1:4" x14ac:dyDescent="0.3">
      <c r="A560">
        <v>560</v>
      </c>
      <c r="B560">
        <v>20</v>
      </c>
      <c r="C560">
        <f t="shared" si="19"/>
        <v>9832</v>
      </c>
      <c r="D560" s="12">
        <f t="shared" si="18"/>
        <v>1680000</v>
      </c>
    </row>
    <row r="561" spans="1:4" x14ac:dyDescent="0.3">
      <c r="A561">
        <v>561</v>
      </c>
      <c r="B561">
        <v>20</v>
      </c>
      <c r="C561">
        <f t="shared" si="19"/>
        <v>9852</v>
      </c>
      <c r="D561" s="12">
        <f t="shared" si="18"/>
        <v>1683000</v>
      </c>
    </row>
    <row r="562" spans="1:4" x14ac:dyDescent="0.3">
      <c r="A562">
        <v>562</v>
      </c>
      <c r="B562">
        <v>20</v>
      </c>
      <c r="C562">
        <f t="shared" si="19"/>
        <v>9872</v>
      </c>
      <c r="D562" s="12">
        <f t="shared" si="18"/>
        <v>1686000</v>
      </c>
    </row>
    <row r="563" spans="1:4" x14ac:dyDescent="0.3">
      <c r="A563">
        <v>563</v>
      </c>
      <c r="B563">
        <v>20</v>
      </c>
      <c r="C563">
        <f t="shared" si="19"/>
        <v>9892</v>
      </c>
      <c r="D563" s="12">
        <f t="shared" si="18"/>
        <v>1689000</v>
      </c>
    </row>
    <row r="564" spans="1:4" x14ac:dyDescent="0.3">
      <c r="A564">
        <v>564</v>
      </c>
      <c r="B564">
        <v>20</v>
      </c>
      <c r="C564">
        <f t="shared" si="19"/>
        <v>9912</v>
      </c>
      <c r="D564" s="12">
        <f t="shared" si="18"/>
        <v>1692000</v>
      </c>
    </row>
    <row r="565" spans="1:4" x14ac:dyDescent="0.3">
      <c r="A565">
        <v>565</v>
      </c>
      <c r="B565">
        <v>20</v>
      </c>
      <c r="C565">
        <f t="shared" si="19"/>
        <v>9932</v>
      </c>
      <c r="D565" s="12">
        <f t="shared" si="18"/>
        <v>1695000</v>
      </c>
    </row>
    <row r="566" spans="1:4" x14ac:dyDescent="0.3">
      <c r="A566">
        <v>566</v>
      </c>
      <c r="B566">
        <v>20</v>
      </c>
      <c r="C566">
        <f t="shared" si="19"/>
        <v>9952</v>
      </c>
      <c r="D566" s="12">
        <f t="shared" si="18"/>
        <v>1698000</v>
      </c>
    </row>
    <row r="567" spans="1:4" x14ac:dyDescent="0.3">
      <c r="A567">
        <v>567</v>
      </c>
      <c r="B567">
        <v>20</v>
      </c>
      <c r="C567">
        <f t="shared" si="19"/>
        <v>9972</v>
      </c>
      <c r="D567" s="12">
        <f t="shared" si="18"/>
        <v>1701000</v>
      </c>
    </row>
    <row r="568" spans="1:4" x14ac:dyDescent="0.3">
      <c r="A568">
        <v>568</v>
      </c>
      <c r="B568">
        <v>20</v>
      </c>
      <c r="C568">
        <f t="shared" si="19"/>
        <v>9992</v>
      </c>
      <c r="D568" s="12">
        <f t="shared" si="18"/>
        <v>1704000</v>
      </c>
    </row>
    <row r="569" spans="1:4" x14ac:dyDescent="0.3">
      <c r="A569">
        <v>569</v>
      </c>
      <c r="B569">
        <v>21</v>
      </c>
      <c r="C569">
        <f t="shared" si="19"/>
        <v>10013</v>
      </c>
      <c r="D569" s="12">
        <f t="shared" si="18"/>
        <v>1707000</v>
      </c>
    </row>
    <row r="570" spans="1:4" x14ac:dyDescent="0.3">
      <c r="A570">
        <v>570</v>
      </c>
      <c r="B570">
        <v>21</v>
      </c>
      <c r="C570">
        <f t="shared" si="19"/>
        <v>10034</v>
      </c>
      <c r="D570" s="12">
        <f t="shared" si="18"/>
        <v>1710000</v>
      </c>
    </row>
    <row r="571" spans="1:4" x14ac:dyDescent="0.3">
      <c r="A571">
        <v>571</v>
      </c>
      <c r="B571">
        <v>21</v>
      </c>
      <c r="C571">
        <f t="shared" si="19"/>
        <v>10055</v>
      </c>
      <c r="D571" s="12">
        <f t="shared" si="18"/>
        <v>1713000</v>
      </c>
    </row>
    <row r="572" spans="1:4" x14ac:dyDescent="0.3">
      <c r="A572">
        <v>572</v>
      </c>
      <c r="B572">
        <v>21</v>
      </c>
      <c r="C572">
        <f t="shared" si="19"/>
        <v>10076</v>
      </c>
      <c r="D572" s="12">
        <f t="shared" si="18"/>
        <v>1716000</v>
      </c>
    </row>
    <row r="573" spans="1:4" x14ac:dyDescent="0.3">
      <c r="A573">
        <v>573</v>
      </c>
      <c r="B573">
        <v>21</v>
      </c>
      <c r="C573">
        <f t="shared" si="19"/>
        <v>10097</v>
      </c>
      <c r="D573" s="12">
        <f t="shared" si="18"/>
        <v>1719000</v>
      </c>
    </row>
    <row r="574" spans="1:4" x14ac:dyDescent="0.3">
      <c r="A574">
        <v>574</v>
      </c>
      <c r="B574">
        <v>21</v>
      </c>
      <c r="C574">
        <f t="shared" si="19"/>
        <v>10118</v>
      </c>
      <c r="D574" s="12">
        <f t="shared" si="18"/>
        <v>1722000</v>
      </c>
    </row>
    <row r="575" spans="1:4" x14ac:dyDescent="0.3">
      <c r="A575">
        <v>575</v>
      </c>
      <c r="B575">
        <v>21</v>
      </c>
      <c r="C575">
        <f t="shared" si="19"/>
        <v>10139</v>
      </c>
      <c r="D575" s="12">
        <f t="shared" si="18"/>
        <v>1725000</v>
      </c>
    </row>
    <row r="576" spans="1:4" x14ac:dyDescent="0.3">
      <c r="A576">
        <v>576</v>
      </c>
      <c r="B576">
        <v>21</v>
      </c>
      <c r="C576">
        <f t="shared" si="19"/>
        <v>10160</v>
      </c>
      <c r="D576" s="12">
        <f t="shared" si="18"/>
        <v>1728000</v>
      </c>
    </row>
    <row r="577" spans="1:4" x14ac:dyDescent="0.3">
      <c r="A577">
        <v>577</v>
      </c>
      <c r="B577">
        <v>21</v>
      </c>
      <c r="C577">
        <f t="shared" si="19"/>
        <v>10181</v>
      </c>
      <c r="D577" s="12">
        <f t="shared" si="18"/>
        <v>1731000</v>
      </c>
    </row>
    <row r="578" spans="1:4" x14ac:dyDescent="0.3">
      <c r="A578">
        <v>578</v>
      </c>
      <c r="B578">
        <v>21</v>
      </c>
      <c r="C578">
        <f t="shared" si="19"/>
        <v>10202</v>
      </c>
      <c r="D578" s="12">
        <f t="shared" ref="D578:D641" si="20">A578*3000</f>
        <v>1734000</v>
      </c>
    </row>
    <row r="579" spans="1:4" x14ac:dyDescent="0.3">
      <c r="A579">
        <v>579</v>
      </c>
      <c r="B579">
        <v>21</v>
      </c>
      <c r="C579">
        <f t="shared" ref="C579:C642" si="21">C578+B579</f>
        <v>10223</v>
      </c>
      <c r="D579" s="12">
        <f t="shared" si="20"/>
        <v>1737000</v>
      </c>
    </row>
    <row r="580" spans="1:4" x14ac:dyDescent="0.3">
      <c r="A580">
        <v>580</v>
      </c>
      <c r="B580">
        <v>21</v>
      </c>
      <c r="C580">
        <f t="shared" si="21"/>
        <v>10244</v>
      </c>
      <c r="D580" s="12">
        <f t="shared" si="20"/>
        <v>1740000</v>
      </c>
    </row>
    <row r="581" spans="1:4" x14ac:dyDescent="0.3">
      <c r="A581">
        <v>581</v>
      </c>
      <c r="B581">
        <v>21</v>
      </c>
      <c r="C581">
        <f t="shared" si="21"/>
        <v>10265</v>
      </c>
      <c r="D581" s="12">
        <f t="shared" si="20"/>
        <v>1743000</v>
      </c>
    </row>
    <row r="582" spans="1:4" x14ac:dyDescent="0.3">
      <c r="A582">
        <v>582</v>
      </c>
      <c r="B582">
        <v>21</v>
      </c>
      <c r="C582">
        <f t="shared" si="21"/>
        <v>10286</v>
      </c>
      <c r="D582" s="12">
        <f t="shared" si="20"/>
        <v>1746000</v>
      </c>
    </row>
    <row r="583" spans="1:4" x14ac:dyDescent="0.3">
      <c r="A583">
        <v>583</v>
      </c>
      <c r="B583">
        <v>21</v>
      </c>
      <c r="C583">
        <f t="shared" si="21"/>
        <v>10307</v>
      </c>
      <c r="D583" s="12">
        <f t="shared" si="20"/>
        <v>1749000</v>
      </c>
    </row>
    <row r="584" spans="1:4" x14ac:dyDescent="0.3">
      <c r="A584">
        <v>584</v>
      </c>
      <c r="B584">
        <v>21</v>
      </c>
      <c r="C584">
        <f t="shared" si="21"/>
        <v>10328</v>
      </c>
      <c r="D584" s="12">
        <f t="shared" si="20"/>
        <v>1752000</v>
      </c>
    </row>
    <row r="585" spans="1:4" x14ac:dyDescent="0.3">
      <c r="A585">
        <v>585</v>
      </c>
      <c r="B585">
        <v>21</v>
      </c>
      <c r="C585">
        <f t="shared" si="21"/>
        <v>10349</v>
      </c>
      <c r="D585" s="12">
        <f t="shared" si="20"/>
        <v>1755000</v>
      </c>
    </row>
    <row r="586" spans="1:4" x14ac:dyDescent="0.3">
      <c r="A586">
        <v>586</v>
      </c>
      <c r="B586">
        <v>21</v>
      </c>
      <c r="C586">
        <f t="shared" si="21"/>
        <v>10370</v>
      </c>
      <c r="D586" s="12">
        <f t="shared" si="20"/>
        <v>1758000</v>
      </c>
    </row>
    <row r="587" spans="1:4" x14ac:dyDescent="0.3">
      <c r="A587">
        <v>587</v>
      </c>
      <c r="B587">
        <v>21</v>
      </c>
      <c r="C587">
        <f t="shared" si="21"/>
        <v>10391</v>
      </c>
      <c r="D587" s="12">
        <f t="shared" si="20"/>
        <v>1761000</v>
      </c>
    </row>
    <row r="588" spans="1:4" x14ac:dyDescent="0.3">
      <c r="A588">
        <v>588</v>
      </c>
      <c r="B588">
        <v>21</v>
      </c>
      <c r="C588">
        <f t="shared" si="21"/>
        <v>10412</v>
      </c>
      <c r="D588" s="12">
        <f t="shared" si="20"/>
        <v>1764000</v>
      </c>
    </row>
    <row r="589" spans="1:4" x14ac:dyDescent="0.3">
      <c r="A589">
        <v>589</v>
      </c>
      <c r="B589">
        <v>21</v>
      </c>
      <c r="C589">
        <f t="shared" si="21"/>
        <v>10433</v>
      </c>
      <c r="D589" s="12">
        <f t="shared" si="20"/>
        <v>1767000</v>
      </c>
    </row>
    <row r="590" spans="1:4" x14ac:dyDescent="0.3">
      <c r="A590">
        <v>590</v>
      </c>
      <c r="B590">
        <v>21</v>
      </c>
      <c r="C590">
        <f t="shared" si="21"/>
        <v>10454</v>
      </c>
      <c r="D590" s="12">
        <f t="shared" si="20"/>
        <v>1770000</v>
      </c>
    </row>
    <row r="591" spans="1:4" x14ac:dyDescent="0.3">
      <c r="A591">
        <v>591</v>
      </c>
      <c r="B591">
        <v>21</v>
      </c>
      <c r="C591">
        <f t="shared" si="21"/>
        <v>10475</v>
      </c>
      <c r="D591" s="12">
        <f t="shared" si="20"/>
        <v>1773000</v>
      </c>
    </row>
    <row r="592" spans="1:4" x14ac:dyDescent="0.3">
      <c r="A592">
        <v>592</v>
      </c>
      <c r="B592">
        <v>21</v>
      </c>
      <c r="C592">
        <f t="shared" si="21"/>
        <v>10496</v>
      </c>
      <c r="D592" s="12">
        <f t="shared" si="20"/>
        <v>1776000</v>
      </c>
    </row>
    <row r="593" spans="1:4" x14ac:dyDescent="0.3">
      <c r="A593">
        <v>593</v>
      </c>
      <c r="B593">
        <v>21</v>
      </c>
      <c r="C593">
        <f t="shared" si="21"/>
        <v>10517</v>
      </c>
      <c r="D593" s="12">
        <f t="shared" si="20"/>
        <v>1779000</v>
      </c>
    </row>
    <row r="594" spans="1:4" x14ac:dyDescent="0.3">
      <c r="A594">
        <v>594</v>
      </c>
      <c r="B594">
        <v>21</v>
      </c>
      <c r="C594">
        <f t="shared" si="21"/>
        <v>10538</v>
      </c>
      <c r="D594" s="12">
        <f t="shared" si="20"/>
        <v>1782000</v>
      </c>
    </row>
    <row r="595" spans="1:4" x14ac:dyDescent="0.3">
      <c r="A595">
        <v>595</v>
      </c>
      <c r="B595">
        <v>21</v>
      </c>
      <c r="C595">
        <f t="shared" si="21"/>
        <v>10559</v>
      </c>
      <c r="D595" s="12">
        <f t="shared" si="20"/>
        <v>1785000</v>
      </c>
    </row>
    <row r="596" spans="1:4" x14ac:dyDescent="0.3">
      <c r="A596">
        <v>596</v>
      </c>
      <c r="B596">
        <v>21</v>
      </c>
      <c r="C596">
        <f t="shared" si="21"/>
        <v>10580</v>
      </c>
      <c r="D596" s="12">
        <f t="shared" si="20"/>
        <v>1788000</v>
      </c>
    </row>
    <row r="597" spans="1:4" x14ac:dyDescent="0.3">
      <c r="A597">
        <v>597</v>
      </c>
      <c r="B597">
        <v>21</v>
      </c>
      <c r="C597">
        <f t="shared" si="21"/>
        <v>10601</v>
      </c>
      <c r="D597" s="12">
        <f t="shared" si="20"/>
        <v>1791000</v>
      </c>
    </row>
    <row r="598" spans="1:4" x14ac:dyDescent="0.3">
      <c r="A598">
        <v>598</v>
      </c>
      <c r="B598">
        <v>21</v>
      </c>
      <c r="C598">
        <f t="shared" si="21"/>
        <v>10622</v>
      </c>
      <c r="D598" s="12">
        <f t="shared" si="20"/>
        <v>1794000</v>
      </c>
    </row>
    <row r="599" spans="1:4" x14ac:dyDescent="0.3">
      <c r="A599">
        <v>599</v>
      </c>
      <c r="B599">
        <v>21</v>
      </c>
      <c r="C599">
        <f t="shared" si="21"/>
        <v>10643</v>
      </c>
      <c r="D599" s="12">
        <f t="shared" si="20"/>
        <v>1797000</v>
      </c>
    </row>
    <row r="600" spans="1:4" x14ac:dyDescent="0.3">
      <c r="A600">
        <v>600</v>
      </c>
      <c r="B600">
        <v>21</v>
      </c>
      <c r="C600">
        <f t="shared" si="21"/>
        <v>10664</v>
      </c>
      <c r="D600" s="12">
        <f t="shared" si="20"/>
        <v>1800000</v>
      </c>
    </row>
    <row r="601" spans="1:4" x14ac:dyDescent="0.3">
      <c r="A601">
        <v>601</v>
      </c>
      <c r="B601">
        <v>21</v>
      </c>
      <c r="C601">
        <f t="shared" si="21"/>
        <v>10685</v>
      </c>
      <c r="D601" s="12">
        <f t="shared" si="20"/>
        <v>1803000</v>
      </c>
    </row>
    <row r="602" spans="1:4" x14ac:dyDescent="0.3">
      <c r="A602">
        <v>602</v>
      </c>
      <c r="B602">
        <v>21</v>
      </c>
      <c r="C602">
        <f t="shared" si="21"/>
        <v>10706</v>
      </c>
      <c r="D602" s="12">
        <f t="shared" si="20"/>
        <v>1806000</v>
      </c>
    </row>
    <row r="603" spans="1:4" x14ac:dyDescent="0.3">
      <c r="A603">
        <v>603</v>
      </c>
      <c r="B603">
        <v>21</v>
      </c>
      <c r="C603">
        <f t="shared" si="21"/>
        <v>10727</v>
      </c>
      <c r="D603" s="12">
        <f t="shared" si="20"/>
        <v>1809000</v>
      </c>
    </row>
    <row r="604" spans="1:4" x14ac:dyDescent="0.3">
      <c r="A604">
        <v>604</v>
      </c>
      <c r="B604">
        <v>21</v>
      </c>
      <c r="C604">
        <f t="shared" si="21"/>
        <v>10748</v>
      </c>
      <c r="D604" s="12">
        <f t="shared" si="20"/>
        <v>1812000</v>
      </c>
    </row>
    <row r="605" spans="1:4" x14ac:dyDescent="0.3">
      <c r="A605">
        <v>605</v>
      </c>
      <c r="B605">
        <v>21</v>
      </c>
      <c r="C605">
        <f t="shared" si="21"/>
        <v>10769</v>
      </c>
      <c r="D605" s="12">
        <f t="shared" si="20"/>
        <v>1815000</v>
      </c>
    </row>
    <row r="606" spans="1:4" x14ac:dyDescent="0.3">
      <c r="A606">
        <v>606</v>
      </c>
      <c r="B606">
        <v>21</v>
      </c>
      <c r="C606">
        <f t="shared" si="21"/>
        <v>10790</v>
      </c>
      <c r="D606" s="12">
        <f t="shared" si="20"/>
        <v>1818000</v>
      </c>
    </row>
    <row r="607" spans="1:4" x14ac:dyDescent="0.3">
      <c r="A607">
        <v>607</v>
      </c>
      <c r="B607">
        <v>21</v>
      </c>
      <c r="C607">
        <f t="shared" si="21"/>
        <v>10811</v>
      </c>
      <c r="D607" s="12">
        <f t="shared" si="20"/>
        <v>1821000</v>
      </c>
    </row>
    <row r="608" spans="1:4" x14ac:dyDescent="0.3">
      <c r="A608">
        <v>608</v>
      </c>
      <c r="B608">
        <v>21</v>
      </c>
      <c r="C608">
        <f t="shared" si="21"/>
        <v>10832</v>
      </c>
      <c r="D608" s="12">
        <f t="shared" si="20"/>
        <v>1824000</v>
      </c>
    </row>
    <row r="609" spans="1:4" x14ac:dyDescent="0.3">
      <c r="A609">
        <v>609</v>
      </c>
      <c r="B609">
        <v>21</v>
      </c>
      <c r="C609">
        <f t="shared" si="21"/>
        <v>10853</v>
      </c>
      <c r="D609" s="12">
        <f t="shared" si="20"/>
        <v>1827000</v>
      </c>
    </row>
    <row r="610" spans="1:4" x14ac:dyDescent="0.3">
      <c r="A610">
        <v>610</v>
      </c>
      <c r="B610">
        <v>21</v>
      </c>
      <c r="C610">
        <f t="shared" si="21"/>
        <v>10874</v>
      </c>
      <c r="D610" s="12">
        <f t="shared" si="20"/>
        <v>1830000</v>
      </c>
    </row>
    <row r="611" spans="1:4" x14ac:dyDescent="0.3">
      <c r="A611">
        <v>611</v>
      </c>
      <c r="B611">
        <v>21</v>
      </c>
      <c r="C611">
        <f t="shared" si="21"/>
        <v>10895</v>
      </c>
      <c r="D611" s="12">
        <f t="shared" si="20"/>
        <v>1833000</v>
      </c>
    </row>
    <row r="612" spans="1:4" x14ac:dyDescent="0.3">
      <c r="A612">
        <v>612</v>
      </c>
      <c r="B612">
        <v>21</v>
      </c>
      <c r="C612">
        <f t="shared" si="21"/>
        <v>10916</v>
      </c>
      <c r="D612" s="12">
        <f t="shared" si="20"/>
        <v>1836000</v>
      </c>
    </row>
    <row r="613" spans="1:4" x14ac:dyDescent="0.3">
      <c r="A613">
        <v>613</v>
      </c>
      <c r="B613">
        <v>21</v>
      </c>
      <c r="C613">
        <f t="shared" si="21"/>
        <v>10937</v>
      </c>
      <c r="D613" s="12">
        <f t="shared" si="20"/>
        <v>1839000</v>
      </c>
    </row>
    <row r="614" spans="1:4" x14ac:dyDescent="0.3">
      <c r="A614">
        <v>614</v>
      </c>
      <c r="B614">
        <v>21</v>
      </c>
      <c r="C614">
        <f t="shared" si="21"/>
        <v>10958</v>
      </c>
      <c r="D614" s="12">
        <f t="shared" si="20"/>
        <v>1842000</v>
      </c>
    </row>
    <row r="615" spans="1:4" x14ac:dyDescent="0.3">
      <c r="A615">
        <v>615</v>
      </c>
      <c r="B615">
        <v>21</v>
      </c>
      <c r="C615">
        <f t="shared" si="21"/>
        <v>10979</v>
      </c>
      <c r="D615" s="12">
        <f t="shared" si="20"/>
        <v>1845000</v>
      </c>
    </row>
    <row r="616" spans="1:4" x14ac:dyDescent="0.3">
      <c r="A616">
        <v>616</v>
      </c>
      <c r="B616">
        <v>21</v>
      </c>
      <c r="C616">
        <f t="shared" si="21"/>
        <v>11000</v>
      </c>
      <c r="D616" s="12">
        <f t="shared" si="20"/>
        <v>1848000</v>
      </c>
    </row>
    <row r="617" spans="1:4" x14ac:dyDescent="0.3">
      <c r="A617">
        <v>617</v>
      </c>
      <c r="B617">
        <v>21</v>
      </c>
      <c r="C617">
        <f t="shared" si="21"/>
        <v>11021</v>
      </c>
      <c r="D617" s="12">
        <f t="shared" si="20"/>
        <v>1851000</v>
      </c>
    </row>
    <row r="618" spans="1:4" x14ac:dyDescent="0.3">
      <c r="A618">
        <v>618</v>
      </c>
      <c r="B618">
        <v>21</v>
      </c>
      <c r="C618">
        <f t="shared" si="21"/>
        <v>11042</v>
      </c>
      <c r="D618" s="12">
        <f t="shared" si="20"/>
        <v>1854000</v>
      </c>
    </row>
    <row r="619" spans="1:4" x14ac:dyDescent="0.3">
      <c r="A619">
        <v>619</v>
      </c>
      <c r="B619">
        <v>21</v>
      </c>
      <c r="C619">
        <f t="shared" si="21"/>
        <v>11063</v>
      </c>
      <c r="D619" s="12">
        <f t="shared" si="20"/>
        <v>1857000</v>
      </c>
    </row>
    <row r="620" spans="1:4" x14ac:dyDescent="0.3">
      <c r="A620">
        <v>620</v>
      </c>
      <c r="B620">
        <v>21</v>
      </c>
      <c r="C620">
        <f t="shared" si="21"/>
        <v>11084</v>
      </c>
      <c r="D620" s="12">
        <f t="shared" si="20"/>
        <v>1860000</v>
      </c>
    </row>
    <row r="621" spans="1:4" x14ac:dyDescent="0.3">
      <c r="A621">
        <v>621</v>
      </c>
      <c r="B621">
        <v>21</v>
      </c>
      <c r="C621">
        <f t="shared" si="21"/>
        <v>11105</v>
      </c>
      <c r="D621" s="12">
        <f t="shared" si="20"/>
        <v>1863000</v>
      </c>
    </row>
    <row r="622" spans="1:4" x14ac:dyDescent="0.3">
      <c r="A622">
        <v>622</v>
      </c>
      <c r="B622">
        <v>21</v>
      </c>
      <c r="C622">
        <f t="shared" si="21"/>
        <v>11126</v>
      </c>
      <c r="D622" s="12">
        <f t="shared" si="20"/>
        <v>1866000</v>
      </c>
    </row>
    <row r="623" spans="1:4" x14ac:dyDescent="0.3">
      <c r="A623">
        <v>623</v>
      </c>
      <c r="B623">
        <v>21</v>
      </c>
      <c r="C623">
        <f t="shared" si="21"/>
        <v>11147</v>
      </c>
      <c r="D623" s="12">
        <f t="shared" si="20"/>
        <v>1869000</v>
      </c>
    </row>
    <row r="624" spans="1:4" x14ac:dyDescent="0.3">
      <c r="A624">
        <v>624</v>
      </c>
      <c r="B624">
        <v>21</v>
      </c>
      <c r="C624">
        <f t="shared" si="21"/>
        <v>11168</v>
      </c>
      <c r="D624" s="12">
        <f t="shared" si="20"/>
        <v>1872000</v>
      </c>
    </row>
    <row r="625" spans="1:4" x14ac:dyDescent="0.3">
      <c r="A625">
        <v>625</v>
      </c>
      <c r="B625">
        <v>21</v>
      </c>
      <c r="C625">
        <f t="shared" si="21"/>
        <v>11189</v>
      </c>
      <c r="D625" s="12">
        <f t="shared" si="20"/>
        <v>1875000</v>
      </c>
    </row>
    <row r="626" spans="1:4" x14ac:dyDescent="0.3">
      <c r="A626">
        <v>626</v>
      </c>
      <c r="B626">
        <v>21</v>
      </c>
      <c r="C626">
        <f t="shared" si="21"/>
        <v>11210</v>
      </c>
      <c r="D626" s="12">
        <f t="shared" si="20"/>
        <v>1878000</v>
      </c>
    </row>
    <row r="627" spans="1:4" x14ac:dyDescent="0.3">
      <c r="A627">
        <v>627</v>
      </c>
      <c r="B627">
        <v>21</v>
      </c>
      <c r="C627">
        <f t="shared" si="21"/>
        <v>11231</v>
      </c>
      <c r="D627" s="12">
        <f t="shared" si="20"/>
        <v>1881000</v>
      </c>
    </row>
    <row r="628" spans="1:4" x14ac:dyDescent="0.3">
      <c r="A628">
        <v>628</v>
      </c>
      <c r="B628">
        <v>21</v>
      </c>
      <c r="C628">
        <f t="shared" si="21"/>
        <v>11252</v>
      </c>
      <c r="D628" s="12">
        <f t="shared" si="20"/>
        <v>1884000</v>
      </c>
    </row>
    <row r="629" spans="1:4" x14ac:dyDescent="0.3">
      <c r="A629">
        <v>629</v>
      </c>
      <c r="B629">
        <v>21</v>
      </c>
      <c r="C629">
        <f t="shared" si="21"/>
        <v>11273</v>
      </c>
      <c r="D629" s="12">
        <f t="shared" si="20"/>
        <v>1887000</v>
      </c>
    </row>
    <row r="630" spans="1:4" x14ac:dyDescent="0.3">
      <c r="A630">
        <v>630</v>
      </c>
      <c r="B630">
        <v>21</v>
      </c>
      <c r="C630">
        <f t="shared" si="21"/>
        <v>11294</v>
      </c>
      <c r="D630" s="12">
        <f t="shared" si="20"/>
        <v>1890000</v>
      </c>
    </row>
    <row r="631" spans="1:4" x14ac:dyDescent="0.3">
      <c r="A631">
        <v>631</v>
      </c>
      <c r="B631">
        <v>21</v>
      </c>
      <c r="C631">
        <f t="shared" si="21"/>
        <v>11315</v>
      </c>
      <c r="D631" s="12">
        <f t="shared" si="20"/>
        <v>1893000</v>
      </c>
    </row>
    <row r="632" spans="1:4" x14ac:dyDescent="0.3">
      <c r="A632">
        <v>632</v>
      </c>
      <c r="B632">
        <v>21</v>
      </c>
      <c r="C632">
        <f t="shared" si="21"/>
        <v>11336</v>
      </c>
      <c r="D632" s="12">
        <f t="shared" si="20"/>
        <v>1896000</v>
      </c>
    </row>
    <row r="633" spans="1:4" x14ac:dyDescent="0.3">
      <c r="A633">
        <v>633</v>
      </c>
      <c r="B633">
        <v>21</v>
      </c>
      <c r="C633">
        <f t="shared" si="21"/>
        <v>11357</v>
      </c>
      <c r="D633" s="12">
        <f t="shared" si="20"/>
        <v>1899000</v>
      </c>
    </row>
    <row r="634" spans="1:4" x14ac:dyDescent="0.3">
      <c r="A634">
        <v>634</v>
      </c>
      <c r="B634">
        <v>21</v>
      </c>
      <c r="C634">
        <f t="shared" si="21"/>
        <v>11378</v>
      </c>
      <c r="D634" s="12">
        <f t="shared" si="20"/>
        <v>1902000</v>
      </c>
    </row>
    <row r="635" spans="1:4" x14ac:dyDescent="0.3">
      <c r="A635">
        <v>635</v>
      </c>
      <c r="B635">
        <v>21</v>
      </c>
      <c r="C635">
        <f t="shared" si="21"/>
        <v>11399</v>
      </c>
      <c r="D635" s="12">
        <f t="shared" si="20"/>
        <v>1905000</v>
      </c>
    </row>
    <row r="636" spans="1:4" x14ac:dyDescent="0.3">
      <c r="A636">
        <v>636</v>
      </c>
      <c r="B636">
        <v>21</v>
      </c>
      <c r="C636">
        <f t="shared" si="21"/>
        <v>11420</v>
      </c>
      <c r="D636" s="12">
        <f t="shared" si="20"/>
        <v>1908000</v>
      </c>
    </row>
    <row r="637" spans="1:4" x14ac:dyDescent="0.3">
      <c r="A637">
        <v>637</v>
      </c>
      <c r="B637">
        <v>21</v>
      </c>
      <c r="C637">
        <f t="shared" si="21"/>
        <v>11441</v>
      </c>
      <c r="D637" s="12">
        <f t="shared" si="20"/>
        <v>1911000</v>
      </c>
    </row>
    <row r="638" spans="1:4" x14ac:dyDescent="0.3">
      <c r="A638">
        <v>638</v>
      </c>
      <c r="B638">
        <v>21</v>
      </c>
      <c r="C638">
        <f t="shared" si="21"/>
        <v>11462</v>
      </c>
      <c r="D638" s="12">
        <f t="shared" si="20"/>
        <v>1914000</v>
      </c>
    </row>
    <row r="639" spans="1:4" x14ac:dyDescent="0.3">
      <c r="A639">
        <v>639</v>
      </c>
      <c r="B639">
        <v>21</v>
      </c>
      <c r="C639">
        <f t="shared" si="21"/>
        <v>11483</v>
      </c>
      <c r="D639" s="12">
        <f t="shared" si="20"/>
        <v>1917000</v>
      </c>
    </row>
    <row r="640" spans="1:4" x14ac:dyDescent="0.3">
      <c r="A640">
        <v>640</v>
      </c>
      <c r="B640">
        <v>21</v>
      </c>
      <c r="C640">
        <f t="shared" si="21"/>
        <v>11504</v>
      </c>
      <c r="D640" s="12">
        <f t="shared" si="20"/>
        <v>1920000</v>
      </c>
    </row>
    <row r="641" spans="1:4" x14ac:dyDescent="0.3">
      <c r="A641">
        <v>641</v>
      </c>
      <c r="B641">
        <v>21</v>
      </c>
      <c r="C641">
        <f t="shared" si="21"/>
        <v>11525</v>
      </c>
      <c r="D641" s="12">
        <f t="shared" si="20"/>
        <v>1923000</v>
      </c>
    </row>
    <row r="642" spans="1:4" x14ac:dyDescent="0.3">
      <c r="A642">
        <v>642</v>
      </c>
      <c r="B642">
        <v>21</v>
      </c>
      <c r="C642">
        <f t="shared" si="21"/>
        <v>11546</v>
      </c>
      <c r="D642" s="12">
        <f t="shared" ref="D642:D705" si="22">A642*3000</f>
        <v>1926000</v>
      </c>
    </row>
    <row r="643" spans="1:4" x14ac:dyDescent="0.3">
      <c r="A643">
        <v>643</v>
      </c>
      <c r="B643">
        <v>21</v>
      </c>
      <c r="C643">
        <f t="shared" ref="C643:C706" si="23">C642+B643</f>
        <v>11567</v>
      </c>
      <c r="D643" s="12">
        <f t="shared" si="22"/>
        <v>1929000</v>
      </c>
    </row>
    <row r="644" spans="1:4" x14ac:dyDescent="0.3">
      <c r="A644">
        <v>644</v>
      </c>
      <c r="B644">
        <v>21</v>
      </c>
      <c r="C644">
        <f t="shared" si="23"/>
        <v>11588</v>
      </c>
      <c r="D644" s="12">
        <f t="shared" si="22"/>
        <v>1932000</v>
      </c>
    </row>
    <row r="645" spans="1:4" x14ac:dyDescent="0.3">
      <c r="A645">
        <v>645</v>
      </c>
      <c r="B645">
        <v>21</v>
      </c>
      <c r="C645">
        <f t="shared" si="23"/>
        <v>11609</v>
      </c>
      <c r="D645" s="12">
        <f t="shared" si="22"/>
        <v>1935000</v>
      </c>
    </row>
    <row r="646" spans="1:4" x14ac:dyDescent="0.3">
      <c r="A646">
        <v>646</v>
      </c>
      <c r="B646">
        <v>21</v>
      </c>
      <c r="C646">
        <f t="shared" si="23"/>
        <v>11630</v>
      </c>
      <c r="D646" s="12">
        <f t="shared" si="22"/>
        <v>1938000</v>
      </c>
    </row>
    <row r="647" spans="1:4" x14ac:dyDescent="0.3">
      <c r="A647">
        <v>647</v>
      </c>
      <c r="B647">
        <v>21</v>
      </c>
      <c r="C647">
        <f t="shared" si="23"/>
        <v>11651</v>
      </c>
      <c r="D647" s="12">
        <f t="shared" si="22"/>
        <v>1941000</v>
      </c>
    </row>
    <row r="648" spans="1:4" x14ac:dyDescent="0.3">
      <c r="A648">
        <v>648</v>
      </c>
      <c r="B648">
        <v>21</v>
      </c>
      <c r="C648">
        <f t="shared" si="23"/>
        <v>11672</v>
      </c>
      <c r="D648" s="12">
        <f t="shared" si="22"/>
        <v>1944000</v>
      </c>
    </row>
    <row r="649" spans="1:4" x14ac:dyDescent="0.3">
      <c r="A649">
        <v>649</v>
      </c>
      <c r="B649">
        <v>21</v>
      </c>
      <c r="C649">
        <f t="shared" si="23"/>
        <v>11693</v>
      </c>
      <c r="D649" s="12">
        <f t="shared" si="22"/>
        <v>1947000</v>
      </c>
    </row>
    <row r="650" spans="1:4" x14ac:dyDescent="0.3">
      <c r="A650">
        <v>650</v>
      </c>
      <c r="B650">
        <v>21</v>
      </c>
      <c r="C650">
        <f t="shared" si="23"/>
        <v>11714</v>
      </c>
      <c r="D650" s="12">
        <f t="shared" si="22"/>
        <v>1950000</v>
      </c>
    </row>
    <row r="651" spans="1:4" x14ac:dyDescent="0.3">
      <c r="A651">
        <v>651</v>
      </c>
      <c r="B651">
        <v>21</v>
      </c>
      <c r="C651">
        <f t="shared" si="23"/>
        <v>11735</v>
      </c>
      <c r="D651" s="12">
        <f t="shared" si="22"/>
        <v>1953000</v>
      </c>
    </row>
    <row r="652" spans="1:4" x14ac:dyDescent="0.3">
      <c r="A652">
        <v>652</v>
      </c>
      <c r="B652">
        <v>21</v>
      </c>
      <c r="C652">
        <f t="shared" si="23"/>
        <v>11756</v>
      </c>
      <c r="D652" s="12">
        <f t="shared" si="22"/>
        <v>1956000</v>
      </c>
    </row>
    <row r="653" spans="1:4" x14ac:dyDescent="0.3">
      <c r="A653">
        <v>653</v>
      </c>
      <c r="B653">
        <v>21</v>
      </c>
      <c r="C653">
        <f t="shared" si="23"/>
        <v>11777</v>
      </c>
      <c r="D653" s="12">
        <f t="shared" si="22"/>
        <v>1959000</v>
      </c>
    </row>
    <row r="654" spans="1:4" x14ac:dyDescent="0.3">
      <c r="A654">
        <v>654</v>
      </c>
      <c r="B654">
        <v>21</v>
      </c>
      <c r="C654">
        <f t="shared" si="23"/>
        <v>11798</v>
      </c>
      <c r="D654" s="12">
        <f t="shared" si="22"/>
        <v>1962000</v>
      </c>
    </row>
    <row r="655" spans="1:4" x14ac:dyDescent="0.3">
      <c r="A655">
        <v>655</v>
      </c>
      <c r="B655">
        <v>21</v>
      </c>
      <c r="C655">
        <f t="shared" si="23"/>
        <v>11819</v>
      </c>
      <c r="D655" s="12">
        <f t="shared" si="22"/>
        <v>1965000</v>
      </c>
    </row>
    <row r="656" spans="1:4" x14ac:dyDescent="0.3">
      <c r="A656">
        <v>656</v>
      </c>
      <c r="B656">
        <v>21</v>
      </c>
      <c r="C656">
        <f t="shared" si="23"/>
        <v>11840</v>
      </c>
      <c r="D656" s="12">
        <f t="shared" si="22"/>
        <v>1968000</v>
      </c>
    </row>
    <row r="657" spans="1:4" x14ac:dyDescent="0.3">
      <c r="A657">
        <v>657</v>
      </c>
      <c r="B657">
        <v>21</v>
      </c>
      <c r="C657">
        <f t="shared" si="23"/>
        <v>11861</v>
      </c>
      <c r="D657" s="12">
        <f t="shared" si="22"/>
        <v>1971000</v>
      </c>
    </row>
    <row r="658" spans="1:4" x14ac:dyDescent="0.3">
      <c r="A658">
        <v>658</v>
      </c>
      <c r="B658">
        <v>21</v>
      </c>
      <c r="C658">
        <f t="shared" si="23"/>
        <v>11882</v>
      </c>
      <c r="D658" s="12">
        <f t="shared" si="22"/>
        <v>1974000</v>
      </c>
    </row>
    <row r="659" spans="1:4" x14ac:dyDescent="0.3">
      <c r="A659">
        <v>659</v>
      </c>
      <c r="B659">
        <v>21</v>
      </c>
      <c r="C659">
        <f t="shared" si="23"/>
        <v>11903</v>
      </c>
      <c r="D659" s="12">
        <f t="shared" si="22"/>
        <v>1977000</v>
      </c>
    </row>
    <row r="660" spans="1:4" x14ac:dyDescent="0.3">
      <c r="A660">
        <v>660</v>
      </c>
      <c r="B660">
        <v>21</v>
      </c>
      <c r="C660">
        <f t="shared" si="23"/>
        <v>11924</v>
      </c>
      <c r="D660" s="12">
        <f t="shared" si="22"/>
        <v>1980000</v>
      </c>
    </row>
    <row r="661" spans="1:4" x14ac:dyDescent="0.3">
      <c r="A661">
        <v>661</v>
      </c>
      <c r="B661">
        <v>21</v>
      </c>
      <c r="C661">
        <f t="shared" si="23"/>
        <v>11945</v>
      </c>
      <c r="D661" s="12">
        <f t="shared" si="22"/>
        <v>1983000</v>
      </c>
    </row>
    <row r="662" spans="1:4" x14ac:dyDescent="0.3">
      <c r="A662">
        <v>662</v>
      </c>
      <c r="B662">
        <v>21</v>
      </c>
      <c r="C662">
        <f t="shared" si="23"/>
        <v>11966</v>
      </c>
      <c r="D662" s="12">
        <f t="shared" si="22"/>
        <v>1986000</v>
      </c>
    </row>
    <row r="663" spans="1:4" x14ac:dyDescent="0.3">
      <c r="A663">
        <v>663</v>
      </c>
      <c r="B663">
        <v>21</v>
      </c>
      <c r="C663">
        <f t="shared" si="23"/>
        <v>11987</v>
      </c>
      <c r="D663" s="12">
        <f t="shared" si="22"/>
        <v>1989000</v>
      </c>
    </row>
    <row r="664" spans="1:4" x14ac:dyDescent="0.3">
      <c r="A664">
        <v>664</v>
      </c>
      <c r="B664">
        <v>21</v>
      </c>
      <c r="C664">
        <f t="shared" si="23"/>
        <v>12008</v>
      </c>
      <c r="D664" s="12">
        <f t="shared" si="22"/>
        <v>1992000</v>
      </c>
    </row>
    <row r="665" spans="1:4" x14ac:dyDescent="0.3">
      <c r="A665">
        <v>665</v>
      </c>
      <c r="B665">
        <v>21</v>
      </c>
      <c r="C665">
        <f t="shared" si="23"/>
        <v>12029</v>
      </c>
      <c r="D665" s="12">
        <f t="shared" si="22"/>
        <v>1995000</v>
      </c>
    </row>
    <row r="666" spans="1:4" x14ac:dyDescent="0.3">
      <c r="A666">
        <v>666</v>
      </c>
      <c r="B666">
        <v>21</v>
      </c>
      <c r="C666">
        <f t="shared" si="23"/>
        <v>12050</v>
      </c>
      <c r="D666" s="12">
        <f t="shared" si="22"/>
        <v>1998000</v>
      </c>
    </row>
    <row r="667" spans="1:4" x14ac:dyDescent="0.3">
      <c r="A667">
        <v>667</v>
      </c>
      <c r="B667">
        <v>21</v>
      </c>
      <c r="C667">
        <f t="shared" si="23"/>
        <v>12071</v>
      </c>
      <c r="D667" s="12">
        <f t="shared" si="22"/>
        <v>2001000</v>
      </c>
    </row>
    <row r="668" spans="1:4" x14ac:dyDescent="0.3">
      <c r="A668">
        <v>668</v>
      </c>
      <c r="B668">
        <v>21</v>
      </c>
      <c r="C668">
        <f t="shared" si="23"/>
        <v>12092</v>
      </c>
      <c r="D668" s="12">
        <f t="shared" si="22"/>
        <v>2004000</v>
      </c>
    </row>
    <row r="669" spans="1:4" x14ac:dyDescent="0.3">
      <c r="A669">
        <v>669</v>
      </c>
      <c r="B669">
        <v>21</v>
      </c>
      <c r="C669">
        <f t="shared" si="23"/>
        <v>12113</v>
      </c>
      <c r="D669" s="12">
        <f t="shared" si="22"/>
        <v>2007000</v>
      </c>
    </row>
    <row r="670" spans="1:4" x14ac:dyDescent="0.3">
      <c r="A670">
        <v>670</v>
      </c>
      <c r="B670">
        <v>21</v>
      </c>
      <c r="C670">
        <f t="shared" si="23"/>
        <v>12134</v>
      </c>
      <c r="D670" s="12">
        <f t="shared" si="22"/>
        <v>2010000</v>
      </c>
    </row>
    <row r="671" spans="1:4" x14ac:dyDescent="0.3">
      <c r="A671">
        <v>671</v>
      </c>
      <c r="B671">
        <v>21</v>
      </c>
      <c r="C671">
        <f t="shared" si="23"/>
        <v>12155</v>
      </c>
      <c r="D671" s="12">
        <f t="shared" si="22"/>
        <v>2013000</v>
      </c>
    </row>
    <row r="672" spans="1:4" x14ac:dyDescent="0.3">
      <c r="A672">
        <v>672</v>
      </c>
      <c r="B672">
        <v>21</v>
      </c>
      <c r="C672">
        <f t="shared" si="23"/>
        <v>12176</v>
      </c>
      <c r="D672" s="12">
        <f t="shared" si="22"/>
        <v>2016000</v>
      </c>
    </row>
    <row r="673" spans="1:4" x14ac:dyDescent="0.3">
      <c r="A673">
        <v>673</v>
      </c>
      <c r="B673">
        <v>21</v>
      </c>
      <c r="C673">
        <f t="shared" si="23"/>
        <v>12197</v>
      </c>
      <c r="D673" s="12">
        <f t="shared" si="22"/>
        <v>2019000</v>
      </c>
    </row>
    <row r="674" spans="1:4" x14ac:dyDescent="0.3">
      <c r="A674">
        <v>674</v>
      </c>
      <c r="B674">
        <v>21</v>
      </c>
      <c r="C674">
        <f t="shared" si="23"/>
        <v>12218</v>
      </c>
      <c r="D674" s="12">
        <f t="shared" si="22"/>
        <v>2022000</v>
      </c>
    </row>
    <row r="675" spans="1:4" x14ac:dyDescent="0.3">
      <c r="A675">
        <v>675</v>
      </c>
      <c r="B675">
        <v>21</v>
      </c>
      <c r="C675">
        <f t="shared" si="23"/>
        <v>12239</v>
      </c>
      <c r="D675" s="12">
        <f t="shared" si="22"/>
        <v>2025000</v>
      </c>
    </row>
    <row r="676" spans="1:4" x14ac:dyDescent="0.3">
      <c r="A676">
        <v>676</v>
      </c>
      <c r="B676">
        <v>21</v>
      </c>
      <c r="C676">
        <f t="shared" si="23"/>
        <v>12260</v>
      </c>
      <c r="D676" s="12">
        <f t="shared" si="22"/>
        <v>2028000</v>
      </c>
    </row>
    <row r="677" spans="1:4" x14ac:dyDescent="0.3">
      <c r="A677">
        <v>677</v>
      </c>
      <c r="B677">
        <v>21</v>
      </c>
      <c r="C677">
        <f t="shared" si="23"/>
        <v>12281</v>
      </c>
      <c r="D677" s="12">
        <f t="shared" si="22"/>
        <v>2031000</v>
      </c>
    </row>
    <row r="678" spans="1:4" x14ac:dyDescent="0.3">
      <c r="A678">
        <v>678</v>
      </c>
      <c r="B678">
        <v>21</v>
      </c>
      <c r="C678">
        <f t="shared" si="23"/>
        <v>12302</v>
      </c>
      <c r="D678" s="12">
        <f t="shared" si="22"/>
        <v>2034000</v>
      </c>
    </row>
    <row r="679" spans="1:4" x14ac:dyDescent="0.3">
      <c r="A679">
        <v>679</v>
      </c>
      <c r="B679">
        <v>21</v>
      </c>
      <c r="C679">
        <f t="shared" si="23"/>
        <v>12323</v>
      </c>
      <c r="D679" s="12">
        <f t="shared" si="22"/>
        <v>2037000</v>
      </c>
    </row>
    <row r="680" spans="1:4" x14ac:dyDescent="0.3">
      <c r="A680">
        <v>680</v>
      </c>
      <c r="B680">
        <v>21</v>
      </c>
      <c r="C680">
        <f t="shared" si="23"/>
        <v>12344</v>
      </c>
      <c r="D680" s="12">
        <f t="shared" si="22"/>
        <v>2040000</v>
      </c>
    </row>
    <row r="681" spans="1:4" x14ac:dyDescent="0.3">
      <c r="A681">
        <v>681</v>
      </c>
      <c r="B681">
        <v>21</v>
      </c>
      <c r="C681">
        <f t="shared" si="23"/>
        <v>12365</v>
      </c>
      <c r="D681" s="12">
        <f t="shared" si="22"/>
        <v>2043000</v>
      </c>
    </row>
    <row r="682" spans="1:4" x14ac:dyDescent="0.3">
      <c r="A682">
        <v>682</v>
      </c>
      <c r="B682">
        <v>21</v>
      </c>
      <c r="C682">
        <f t="shared" si="23"/>
        <v>12386</v>
      </c>
      <c r="D682" s="12">
        <f t="shared" si="22"/>
        <v>2046000</v>
      </c>
    </row>
    <row r="683" spans="1:4" x14ac:dyDescent="0.3">
      <c r="A683">
        <v>683</v>
      </c>
      <c r="B683">
        <v>21</v>
      </c>
      <c r="C683">
        <f t="shared" si="23"/>
        <v>12407</v>
      </c>
      <c r="D683" s="12">
        <f t="shared" si="22"/>
        <v>2049000</v>
      </c>
    </row>
    <row r="684" spans="1:4" x14ac:dyDescent="0.3">
      <c r="A684">
        <v>684</v>
      </c>
      <c r="B684">
        <v>21</v>
      </c>
      <c r="C684">
        <f t="shared" si="23"/>
        <v>12428</v>
      </c>
      <c r="D684" s="12">
        <f t="shared" si="22"/>
        <v>2052000</v>
      </c>
    </row>
    <row r="685" spans="1:4" x14ac:dyDescent="0.3">
      <c r="A685">
        <v>685</v>
      </c>
      <c r="B685">
        <v>21</v>
      </c>
      <c r="C685">
        <f t="shared" si="23"/>
        <v>12449</v>
      </c>
      <c r="D685" s="12">
        <f t="shared" si="22"/>
        <v>2055000</v>
      </c>
    </row>
    <row r="686" spans="1:4" x14ac:dyDescent="0.3">
      <c r="A686">
        <v>686</v>
      </c>
      <c r="B686">
        <v>21</v>
      </c>
      <c r="C686">
        <f t="shared" si="23"/>
        <v>12470</v>
      </c>
      <c r="D686" s="12">
        <f t="shared" si="22"/>
        <v>2058000</v>
      </c>
    </row>
    <row r="687" spans="1:4" x14ac:dyDescent="0.3">
      <c r="A687">
        <v>687</v>
      </c>
      <c r="B687">
        <v>21</v>
      </c>
      <c r="C687">
        <f t="shared" si="23"/>
        <v>12491</v>
      </c>
      <c r="D687" s="12">
        <f t="shared" si="22"/>
        <v>2061000</v>
      </c>
    </row>
    <row r="688" spans="1:4" x14ac:dyDescent="0.3">
      <c r="A688">
        <v>688</v>
      </c>
      <c r="B688">
        <v>21</v>
      </c>
      <c r="C688">
        <f t="shared" si="23"/>
        <v>12512</v>
      </c>
      <c r="D688" s="12">
        <f t="shared" si="22"/>
        <v>2064000</v>
      </c>
    </row>
    <row r="689" spans="1:4" x14ac:dyDescent="0.3">
      <c r="A689">
        <v>689</v>
      </c>
      <c r="B689">
        <v>21</v>
      </c>
      <c r="C689">
        <f t="shared" si="23"/>
        <v>12533</v>
      </c>
      <c r="D689" s="12">
        <f t="shared" si="22"/>
        <v>2067000</v>
      </c>
    </row>
    <row r="690" spans="1:4" x14ac:dyDescent="0.3">
      <c r="A690">
        <v>690</v>
      </c>
      <c r="B690">
        <v>21</v>
      </c>
      <c r="C690">
        <f t="shared" si="23"/>
        <v>12554</v>
      </c>
      <c r="D690" s="12">
        <f t="shared" si="22"/>
        <v>2070000</v>
      </c>
    </row>
    <row r="691" spans="1:4" x14ac:dyDescent="0.3">
      <c r="A691">
        <v>691</v>
      </c>
      <c r="B691">
        <v>21</v>
      </c>
      <c r="C691">
        <f t="shared" si="23"/>
        <v>12575</v>
      </c>
      <c r="D691" s="12">
        <f t="shared" si="22"/>
        <v>2073000</v>
      </c>
    </row>
    <row r="692" spans="1:4" x14ac:dyDescent="0.3">
      <c r="A692">
        <v>692</v>
      </c>
      <c r="B692">
        <v>21</v>
      </c>
      <c r="C692">
        <f t="shared" si="23"/>
        <v>12596</v>
      </c>
      <c r="D692" s="12">
        <f t="shared" si="22"/>
        <v>2076000</v>
      </c>
    </row>
    <row r="693" spans="1:4" x14ac:dyDescent="0.3">
      <c r="A693">
        <v>693</v>
      </c>
      <c r="B693">
        <v>21</v>
      </c>
      <c r="C693">
        <f t="shared" si="23"/>
        <v>12617</v>
      </c>
      <c r="D693" s="12">
        <f t="shared" si="22"/>
        <v>2079000</v>
      </c>
    </row>
    <row r="694" spans="1:4" x14ac:dyDescent="0.3">
      <c r="A694">
        <v>694</v>
      </c>
      <c r="B694">
        <v>21</v>
      </c>
      <c r="C694">
        <f t="shared" si="23"/>
        <v>12638</v>
      </c>
      <c r="D694" s="12">
        <f t="shared" si="22"/>
        <v>2082000</v>
      </c>
    </row>
    <row r="695" spans="1:4" x14ac:dyDescent="0.3">
      <c r="A695">
        <v>695</v>
      </c>
      <c r="B695">
        <v>21</v>
      </c>
      <c r="C695">
        <f t="shared" si="23"/>
        <v>12659</v>
      </c>
      <c r="D695" s="12">
        <f t="shared" si="22"/>
        <v>2085000</v>
      </c>
    </row>
    <row r="696" spans="1:4" x14ac:dyDescent="0.3">
      <c r="A696">
        <v>696</v>
      </c>
      <c r="B696">
        <v>21</v>
      </c>
      <c r="C696">
        <f t="shared" si="23"/>
        <v>12680</v>
      </c>
      <c r="D696" s="12">
        <f t="shared" si="22"/>
        <v>2088000</v>
      </c>
    </row>
    <row r="697" spans="1:4" x14ac:dyDescent="0.3">
      <c r="A697">
        <v>697</v>
      </c>
      <c r="B697">
        <v>21</v>
      </c>
      <c r="C697">
        <f t="shared" si="23"/>
        <v>12701</v>
      </c>
      <c r="D697" s="12">
        <f t="shared" si="22"/>
        <v>2091000</v>
      </c>
    </row>
    <row r="698" spans="1:4" x14ac:dyDescent="0.3">
      <c r="A698">
        <v>698</v>
      </c>
      <c r="B698">
        <v>21</v>
      </c>
      <c r="C698">
        <f t="shared" si="23"/>
        <v>12722</v>
      </c>
      <c r="D698" s="12">
        <f t="shared" si="22"/>
        <v>2094000</v>
      </c>
    </row>
    <row r="699" spans="1:4" x14ac:dyDescent="0.3">
      <c r="A699">
        <v>699</v>
      </c>
      <c r="B699">
        <v>21</v>
      </c>
      <c r="C699">
        <f t="shared" si="23"/>
        <v>12743</v>
      </c>
      <c r="D699" s="12">
        <f t="shared" si="22"/>
        <v>2097000</v>
      </c>
    </row>
    <row r="700" spans="1:4" x14ac:dyDescent="0.3">
      <c r="A700">
        <v>700</v>
      </c>
      <c r="B700">
        <v>21</v>
      </c>
      <c r="C700">
        <f t="shared" si="23"/>
        <v>12764</v>
      </c>
      <c r="D700" s="12">
        <f t="shared" si="22"/>
        <v>2100000</v>
      </c>
    </row>
    <row r="701" spans="1:4" x14ac:dyDescent="0.3">
      <c r="A701">
        <v>701</v>
      </c>
      <c r="B701">
        <v>21</v>
      </c>
      <c r="C701">
        <f t="shared" si="23"/>
        <v>12785</v>
      </c>
      <c r="D701" s="12">
        <f t="shared" si="22"/>
        <v>2103000</v>
      </c>
    </row>
    <row r="702" spans="1:4" x14ac:dyDescent="0.3">
      <c r="A702">
        <v>702</v>
      </c>
      <c r="B702">
        <v>21</v>
      </c>
      <c r="C702">
        <f t="shared" si="23"/>
        <v>12806</v>
      </c>
      <c r="D702" s="12">
        <f t="shared" si="22"/>
        <v>2106000</v>
      </c>
    </row>
    <row r="703" spans="1:4" x14ac:dyDescent="0.3">
      <c r="A703">
        <v>703</v>
      </c>
      <c r="B703">
        <v>21</v>
      </c>
      <c r="C703">
        <f t="shared" si="23"/>
        <v>12827</v>
      </c>
      <c r="D703" s="12">
        <f t="shared" si="22"/>
        <v>2109000</v>
      </c>
    </row>
    <row r="704" spans="1:4" x14ac:dyDescent="0.3">
      <c r="A704">
        <v>704</v>
      </c>
      <c r="B704">
        <v>21</v>
      </c>
      <c r="C704">
        <f t="shared" si="23"/>
        <v>12848</v>
      </c>
      <c r="D704" s="12">
        <f t="shared" si="22"/>
        <v>2112000</v>
      </c>
    </row>
    <row r="705" spans="1:4" x14ac:dyDescent="0.3">
      <c r="A705">
        <v>705</v>
      </c>
      <c r="B705">
        <v>21</v>
      </c>
      <c r="C705">
        <f t="shared" si="23"/>
        <v>12869</v>
      </c>
      <c r="D705" s="12">
        <f t="shared" si="22"/>
        <v>2115000</v>
      </c>
    </row>
    <row r="706" spans="1:4" x14ac:dyDescent="0.3">
      <c r="A706">
        <v>706</v>
      </c>
      <c r="B706">
        <v>21</v>
      </c>
      <c r="C706">
        <f t="shared" si="23"/>
        <v>12890</v>
      </c>
      <c r="D706" s="12">
        <f t="shared" ref="D706:D769" si="24">A706*3000</f>
        <v>2118000</v>
      </c>
    </row>
    <row r="707" spans="1:4" x14ac:dyDescent="0.3">
      <c r="A707">
        <v>707</v>
      </c>
      <c r="B707">
        <v>21</v>
      </c>
      <c r="C707">
        <f t="shared" ref="C707:C770" si="25">C706+B707</f>
        <v>12911</v>
      </c>
      <c r="D707" s="12">
        <f t="shared" si="24"/>
        <v>2121000</v>
      </c>
    </row>
    <row r="708" spans="1:4" x14ac:dyDescent="0.3">
      <c r="A708">
        <v>708</v>
      </c>
      <c r="B708">
        <v>21</v>
      </c>
      <c r="C708">
        <f t="shared" si="25"/>
        <v>12932</v>
      </c>
      <c r="D708" s="12">
        <f t="shared" si="24"/>
        <v>2124000</v>
      </c>
    </row>
    <row r="709" spans="1:4" x14ac:dyDescent="0.3">
      <c r="A709">
        <v>709</v>
      </c>
      <c r="B709">
        <v>21</v>
      </c>
      <c r="C709">
        <f t="shared" si="25"/>
        <v>12953</v>
      </c>
      <c r="D709" s="12">
        <f t="shared" si="24"/>
        <v>2127000</v>
      </c>
    </row>
    <row r="710" spans="1:4" x14ac:dyDescent="0.3">
      <c r="A710">
        <v>710</v>
      </c>
      <c r="B710">
        <v>21</v>
      </c>
      <c r="C710">
        <f t="shared" si="25"/>
        <v>12974</v>
      </c>
      <c r="D710" s="12">
        <f t="shared" si="24"/>
        <v>2130000</v>
      </c>
    </row>
    <row r="711" spans="1:4" x14ac:dyDescent="0.3">
      <c r="A711">
        <v>711</v>
      </c>
      <c r="B711">
        <v>21</v>
      </c>
      <c r="C711">
        <f t="shared" si="25"/>
        <v>12995</v>
      </c>
      <c r="D711" s="12">
        <f t="shared" si="24"/>
        <v>2133000</v>
      </c>
    </row>
    <row r="712" spans="1:4" x14ac:dyDescent="0.3">
      <c r="A712">
        <v>712</v>
      </c>
      <c r="B712">
        <v>21</v>
      </c>
      <c r="C712">
        <f t="shared" si="25"/>
        <v>13016</v>
      </c>
      <c r="D712" s="12">
        <f t="shared" si="24"/>
        <v>2136000</v>
      </c>
    </row>
    <row r="713" spans="1:4" x14ac:dyDescent="0.3">
      <c r="A713">
        <v>713</v>
      </c>
      <c r="B713">
        <v>21</v>
      </c>
      <c r="C713">
        <f t="shared" si="25"/>
        <v>13037</v>
      </c>
      <c r="D713" s="12">
        <f t="shared" si="24"/>
        <v>2139000</v>
      </c>
    </row>
    <row r="714" spans="1:4" x14ac:dyDescent="0.3">
      <c r="A714">
        <v>714</v>
      </c>
      <c r="B714">
        <v>21</v>
      </c>
      <c r="C714">
        <f t="shared" si="25"/>
        <v>13058</v>
      </c>
      <c r="D714" s="12">
        <f t="shared" si="24"/>
        <v>2142000</v>
      </c>
    </row>
    <row r="715" spans="1:4" x14ac:dyDescent="0.3">
      <c r="A715">
        <v>715</v>
      </c>
      <c r="B715">
        <v>21</v>
      </c>
      <c r="C715">
        <f t="shared" si="25"/>
        <v>13079</v>
      </c>
      <c r="D715" s="12">
        <f t="shared" si="24"/>
        <v>2145000</v>
      </c>
    </row>
    <row r="716" spans="1:4" x14ac:dyDescent="0.3">
      <c r="A716">
        <v>716</v>
      </c>
      <c r="B716">
        <v>21</v>
      </c>
      <c r="C716">
        <f t="shared" si="25"/>
        <v>13100</v>
      </c>
      <c r="D716" s="12">
        <f t="shared" si="24"/>
        <v>2148000</v>
      </c>
    </row>
    <row r="717" spans="1:4" x14ac:dyDescent="0.3">
      <c r="A717">
        <v>717</v>
      </c>
      <c r="B717">
        <v>21</v>
      </c>
      <c r="C717">
        <f t="shared" si="25"/>
        <v>13121</v>
      </c>
      <c r="D717" s="12">
        <f t="shared" si="24"/>
        <v>2151000</v>
      </c>
    </row>
    <row r="718" spans="1:4" x14ac:dyDescent="0.3">
      <c r="A718">
        <v>718</v>
      </c>
      <c r="B718">
        <v>21</v>
      </c>
      <c r="C718">
        <f t="shared" si="25"/>
        <v>13142</v>
      </c>
      <c r="D718" s="12">
        <f t="shared" si="24"/>
        <v>2154000</v>
      </c>
    </row>
    <row r="719" spans="1:4" x14ac:dyDescent="0.3">
      <c r="A719">
        <v>719</v>
      </c>
      <c r="B719">
        <v>21</v>
      </c>
      <c r="C719">
        <f t="shared" si="25"/>
        <v>13163</v>
      </c>
      <c r="D719" s="12">
        <f t="shared" si="24"/>
        <v>2157000</v>
      </c>
    </row>
    <row r="720" spans="1:4" x14ac:dyDescent="0.3">
      <c r="A720">
        <v>720</v>
      </c>
      <c r="B720">
        <v>21</v>
      </c>
      <c r="C720">
        <f t="shared" si="25"/>
        <v>13184</v>
      </c>
      <c r="D720" s="12">
        <f t="shared" si="24"/>
        <v>2160000</v>
      </c>
    </row>
    <row r="721" spans="1:4" x14ac:dyDescent="0.3">
      <c r="A721">
        <v>721</v>
      </c>
      <c r="B721">
        <v>21</v>
      </c>
      <c r="C721">
        <f t="shared" si="25"/>
        <v>13205</v>
      </c>
      <c r="D721" s="12">
        <f t="shared" si="24"/>
        <v>2163000</v>
      </c>
    </row>
    <row r="722" spans="1:4" x14ac:dyDescent="0.3">
      <c r="A722">
        <v>722</v>
      </c>
      <c r="B722">
        <v>21</v>
      </c>
      <c r="C722">
        <f t="shared" si="25"/>
        <v>13226</v>
      </c>
      <c r="D722" s="12">
        <f t="shared" si="24"/>
        <v>2166000</v>
      </c>
    </row>
    <row r="723" spans="1:4" x14ac:dyDescent="0.3">
      <c r="A723">
        <v>723</v>
      </c>
      <c r="B723">
        <v>21</v>
      </c>
      <c r="C723">
        <f t="shared" si="25"/>
        <v>13247</v>
      </c>
      <c r="D723" s="12">
        <f t="shared" si="24"/>
        <v>2169000</v>
      </c>
    </row>
    <row r="724" spans="1:4" x14ac:dyDescent="0.3">
      <c r="A724">
        <v>724</v>
      </c>
      <c r="B724">
        <v>21</v>
      </c>
      <c r="C724">
        <f t="shared" si="25"/>
        <v>13268</v>
      </c>
      <c r="D724" s="12">
        <f t="shared" si="24"/>
        <v>2172000</v>
      </c>
    </row>
    <row r="725" spans="1:4" x14ac:dyDescent="0.3">
      <c r="A725">
        <v>725</v>
      </c>
      <c r="B725">
        <v>21</v>
      </c>
      <c r="C725">
        <f t="shared" si="25"/>
        <v>13289</v>
      </c>
      <c r="D725" s="12">
        <f t="shared" si="24"/>
        <v>2175000</v>
      </c>
    </row>
    <row r="726" spans="1:4" x14ac:dyDescent="0.3">
      <c r="A726">
        <v>726</v>
      </c>
      <c r="B726">
        <v>21</v>
      </c>
      <c r="C726">
        <f t="shared" si="25"/>
        <v>13310</v>
      </c>
      <c r="D726" s="12">
        <f t="shared" si="24"/>
        <v>2178000</v>
      </c>
    </row>
    <row r="727" spans="1:4" x14ac:dyDescent="0.3">
      <c r="A727">
        <v>727</v>
      </c>
      <c r="B727">
        <v>21</v>
      </c>
      <c r="C727">
        <f t="shared" si="25"/>
        <v>13331</v>
      </c>
      <c r="D727" s="12">
        <f t="shared" si="24"/>
        <v>2181000</v>
      </c>
    </row>
    <row r="728" spans="1:4" x14ac:dyDescent="0.3">
      <c r="A728">
        <v>728</v>
      </c>
      <c r="B728">
        <v>21</v>
      </c>
      <c r="C728">
        <f t="shared" si="25"/>
        <v>13352</v>
      </c>
      <c r="D728" s="12">
        <f t="shared" si="24"/>
        <v>2184000</v>
      </c>
    </row>
    <row r="729" spans="1:4" x14ac:dyDescent="0.3">
      <c r="A729">
        <v>729</v>
      </c>
      <c r="B729">
        <v>21</v>
      </c>
      <c r="C729">
        <f t="shared" si="25"/>
        <v>13373</v>
      </c>
      <c r="D729" s="12">
        <f t="shared" si="24"/>
        <v>2187000</v>
      </c>
    </row>
    <row r="730" spans="1:4" x14ac:dyDescent="0.3">
      <c r="A730">
        <v>730</v>
      </c>
      <c r="B730">
        <v>21</v>
      </c>
      <c r="C730">
        <f t="shared" si="25"/>
        <v>13394</v>
      </c>
      <c r="D730" s="12">
        <f t="shared" si="24"/>
        <v>2190000</v>
      </c>
    </row>
    <row r="731" spans="1:4" x14ac:dyDescent="0.3">
      <c r="A731">
        <v>731</v>
      </c>
      <c r="B731">
        <v>21</v>
      </c>
      <c r="C731">
        <f t="shared" si="25"/>
        <v>13415</v>
      </c>
      <c r="D731" s="12">
        <f t="shared" si="24"/>
        <v>2193000</v>
      </c>
    </row>
    <row r="732" spans="1:4" x14ac:dyDescent="0.3">
      <c r="A732">
        <v>732</v>
      </c>
      <c r="B732">
        <v>21</v>
      </c>
      <c r="C732">
        <f t="shared" si="25"/>
        <v>13436</v>
      </c>
      <c r="D732" s="12">
        <f t="shared" si="24"/>
        <v>2196000</v>
      </c>
    </row>
    <row r="733" spans="1:4" x14ac:dyDescent="0.3">
      <c r="A733">
        <v>733</v>
      </c>
      <c r="B733">
        <v>21</v>
      </c>
      <c r="C733">
        <f t="shared" si="25"/>
        <v>13457</v>
      </c>
      <c r="D733" s="12">
        <f t="shared" si="24"/>
        <v>2199000</v>
      </c>
    </row>
    <row r="734" spans="1:4" x14ac:dyDescent="0.3">
      <c r="A734">
        <v>734</v>
      </c>
      <c r="B734">
        <v>21</v>
      </c>
      <c r="C734">
        <f t="shared" si="25"/>
        <v>13478</v>
      </c>
      <c r="D734" s="12">
        <f t="shared" si="24"/>
        <v>2202000</v>
      </c>
    </row>
    <row r="735" spans="1:4" x14ac:dyDescent="0.3">
      <c r="A735">
        <v>735</v>
      </c>
      <c r="B735">
        <v>21</v>
      </c>
      <c r="C735">
        <f t="shared" si="25"/>
        <v>13499</v>
      </c>
      <c r="D735" s="12">
        <f t="shared" si="24"/>
        <v>2205000</v>
      </c>
    </row>
    <row r="736" spans="1:4" x14ac:dyDescent="0.3">
      <c r="A736">
        <v>736</v>
      </c>
      <c r="B736">
        <v>21</v>
      </c>
      <c r="C736">
        <f t="shared" si="25"/>
        <v>13520</v>
      </c>
      <c r="D736" s="12">
        <f t="shared" si="24"/>
        <v>2208000</v>
      </c>
    </row>
    <row r="737" spans="1:4" x14ac:dyDescent="0.3">
      <c r="A737">
        <v>737</v>
      </c>
      <c r="B737">
        <v>21</v>
      </c>
      <c r="C737">
        <f t="shared" si="25"/>
        <v>13541</v>
      </c>
      <c r="D737" s="12">
        <f t="shared" si="24"/>
        <v>2211000</v>
      </c>
    </row>
    <row r="738" spans="1:4" x14ac:dyDescent="0.3">
      <c r="A738">
        <v>738</v>
      </c>
      <c r="B738">
        <v>21</v>
      </c>
      <c r="C738">
        <f t="shared" si="25"/>
        <v>13562</v>
      </c>
      <c r="D738" s="12">
        <f t="shared" si="24"/>
        <v>2214000</v>
      </c>
    </row>
    <row r="739" spans="1:4" x14ac:dyDescent="0.3">
      <c r="A739">
        <v>739</v>
      </c>
      <c r="B739">
        <v>21</v>
      </c>
      <c r="C739">
        <f t="shared" si="25"/>
        <v>13583</v>
      </c>
      <c r="D739" s="12">
        <f t="shared" si="24"/>
        <v>2217000</v>
      </c>
    </row>
    <row r="740" spans="1:4" x14ac:dyDescent="0.3">
      <c r="A740">
        <v>740</v>
      </c>
      <c r="B740">
        <v>21</v>
      </c>
      <c r="C740">
        <f t="shared" si="25"/>
        <v>13604</v>
      </c>
      <c r="D740" s="12">
        <f t="shared" si="24"/>
        <v>2220000</v>
      </c>
    </row>
    <row r="741" spans="1:4" x14ac:dyDescent="0.3">
      <c r="A741">
        <v>741</v>
      </c>
      <c r="B741">
        <v>21</v>
      </c>
      <c r="C741">
        <f t="shared" si="25"/>
        <v>13625</v>
      </c>
      <c r="D741" s="12">
        <f t="shared" si="24"/>
        <v>2223000</v>
      </c>
    </row>
    <row r="742" spans="1:4" x14ac:dyDescent="0.3">
      <c r="A742">
        <v>742</v>
      </c>
      <c r="B742">
        <v>21</v>
      </c>
      <c r="C742">
        <f t="shared" si="25"/>
        <v>13646</v>
      </c>
      <c r="D742" s="12">
        <f t="shared" si="24"/>
        <v>2226000</v>
      </c>
    </row>
    <row r="743" spans="1:4" x14ac:dyDescent="0.3">
      <c r="A743">
        <v>743</v>
      </c>
      <c r="B743">
        <v>21</v>
      </c>
      <c r="C743">
        <f t="shared" si="25"/>
        <v>13667</v>
      </c>
      <c r="D743" s="12">
        <f t="shared" si="24"/>
        <v>2229000</v>
      </c>
    </row>
    <row r="744" spans="1:4" x14ac:dyDescent="0.3">
      <c r="A744">
        <v>744</v>
      </c>
      <c r="B744">
        <v>21</v>
      </c>
      <c r="C744">
        <f t="shared" si="25"/>
        <v>13688</v>
      </c>
      <c r="D744" s="12">
        <f t="shared" si="24"/>
        <v>2232000</v>
      </c>
    </row>
    <row r="745" spans="1:4" x14ac:dyDescent="0.3">
      <c r="A745">
        <v>745</v>
      </c>
      <c r="B745">
        <v>21</v>
      </c>
      <c r="C745">
        <f t="shared" si="25"/>
        <v>13709</v>
      </c>
      <c r="D745" s="12">
        <f t="shared" si="24"/>
        <v>2235000</v>
      </c>
    </row>
    <row r="746" spans="1:4" x14ac:dyDescent="0.3">
      <c r="A746">
        <v>746</v>
      </c>
      <c r="B746">
        <v>21</v>
      </c>
      <c r="C746">
        <f t="shared" si="25"/>
        <v>13730</v>
      </c>
      <c r="D746" s="12">
        <f t="shared" si="24"/>
        <v>2238000</v>
      </c>
    </row>
    <row r="747" spans="1:4" x14ac:dyDescent="0.3">
      <c r="A747">
        <v>747</v>
      </c>
      <c r="B747">
        <v>21</v>
      </c>
      <c r="C747">
        <f t="shared" si="25"/>
        <v>13751</v>
      </c>
      <c r="D747" s="12">
        <f t="shared" si="24"/>
        <v>2241000</v>
      </c>
    </row>
    <row r="748" spans="1:4" x14ac:dyDescent="0.3">
      <c r="A748">
        <v>748</v>
      </c>
      <c r="B748">
        <v>21</v>
      </c>
      <c r="C748">
        <f t="shared" si="25"/>
        <v>13772</v>
      </c>
      <c r="D748" s="12">
        <f t="shared" si="24"/>
        <v>2244000</v>
      </c>
    </row>
    <row r="749" spans="1:4" x14ac:dyDescent="0.3">
      <c r="A749">
        <v>749</v>
      </c>
      <c r="B749">
        <v>21</v>
      </c>
      <c r="C749">
        <f t="shared" si="25"/>
        <v>13793</v>
      </c>
      <c r="D749" s="12">
        <f t="shared" si="24"/>
        <v>2247000</v>
      </c>
    </row>
    <row r="750" spans="1:4" x14ac:dyDescent="0.3">
      <c r="A750">
        <v>750</v>
      </c>
      <c r="B750">
        <v>21</v>
      </c>
      <c r="C750">
        <f t="shared" si="25"/>
        <v>13814</v>
      </c>
      <c r="D750" s="12">
        <f t="shared" si="24"/>
        <v>2250000</v>
      </c>
    </row>
    <row r="751" spans="1:4" x14ac:dyDescent="0.3">
      <c r="A751">
        <v>751</v>
      </c>
      <c r="B751">
        <v>21</v>
      </c>
      <c r="C751">
        <f t="shared" si="25"/>
        <v>13835</v>
      </c>
      <c r="D751" s="12">
        <f t="shared" si="24"/>
        <v>2253000</v>
      </c>
    </row>
    <row r="752" spans="1:4" x14ac:dyDescent="0.3">
      <c r="A752">
        <v>752</v>
      </c>
      <c r="B752">
        <v>21</v>
      </c>
      <c r="C752">
        <f t="shared" si="25"/>
        <v>13856</v>
      </c>
      <c r="D752" s="12">
        <f t="shared" si="24"/>
        <v>2256000</v>
      </c>
    </row>
    <row r="753" spans="1:4" x14ac:dyDescent="0.3">
      <c r="A753">
        <v>753</v>
      </c>
      <c r="B753">
        <v>21</v>
      </c>
      <c r="C753">
        <f t="shared" si="25"/>
        <v>13877</v>
      </c>
      <c r="D753" s="12">
        <f t="shared" si="24"/>
        <v>2259000</v>
      </c>
    </row>
    <row r="754" spans="1:4" x14ac:dyDescent="0.3">
      <c r="A754">
        <v>754</v>
      </c>
      <c r="B754">
        <v>21</v>
      </c>
      <c r="C754">
        <f t="shared" si="25"/>
        <v>13898</v>
      </c>
      <c r="D754" s="12">
        <f t="shared" si="24"/>
        <v>2262000</v>
      </c>
    </row>
    <row r="755" spans="1:4" x14ac:dyDescent="0.3">
      <c r="A755">
        <v>755</v>
      </c>
      <c r="B755">
        <v>21</v>
      </c>
      <c r="C755">
        <f t="shared" si="25"/>
        <v>13919</v>
      </c>
      <c r="D755" s="12">
        <f t="shared" si="24"/>
        <v>2265000</v>
      </c>
    </row>
    <row r="756" spans="1:4" x14ac:dyDescent="0.3">
      <c r="A756">
        <v>756</v>
      </c>
      <c r="B756">
        <v>21</v>
      </c>
      <c r="C756">
        <f t="shared" si="25"/>
        <v>13940</v>
      </c>
      <c r="D756" s="12">
        <f t="shared" si="24"/>
        <v>2268000</v>
      </c>
    </row>
    <row r="757" spans="1:4" x14ac:dyDescent="0.3">
      <c r="A757">
        <v>757</v>
      </c>
      <c r="B757">
        <v>21</v>
      </c>
      <c r="C757">
        <f t="shared" si="25"/>
        <v>13961</v>
      </c>
      <c r="D757" s="12">
        <f t="shared" si="24"/>
        <v>2271000</v>
      </c>
    </row>
    <row r="758" spans="1:4" x14ac:dyDescent="0.3">
      <c r="A758">
        <v>758</v>
      </c>
      <c r="B758">
        <v>21</v>
      </c>
      <c r="C758">
        <f t="shared" si="25"/>
        <v>13982</v>
      </c>
      <c r="D758" s="12">
        <f t="shared" si="24"/>
        <v>2274000</v>
      </c>
    </row>
    <row r="759" spans="1:4" x14ac:dyDescent="0.3">
      <c r="A759">
        <v>759</v>
      </c>
      <c r="B759">
        <v>21</v>
      </c>
      <c r="C759">
        <f t="shared" si="25"/>
        <v>14003</v>
      </c>
      <c r="D759" s="12">
        <f t="shared" si="24"/>
        <v>2277000</v>
      </c>
    </row>
    <row r="760" spans="1:4" x14ac:dyDescent="0.3">
      <c r="A760">
        <v>760</v>
      </c>
      <c r="B760">
        <v>21</v>
      </c>
      <c r="C760">
        <f t="shared" si="25"/>
        <v>14024</v>
      </c>
      <c r="D760" s="12">
        <f t="shared" si="24"/>
        <v>2280000</v>
      </c>
    </row>
    <row r="761" spans="1:4" x14ac:dyDescent="0.3">
      <c r="A761">
        <v>761</v>
      </c>
      <c r="B761">
        <v>21</v>
      </c>
      <c r="C761">
        <f t="shared" si="25"/>
        <v>14045</v>
      </c>
      <c r="D761" s="12">
        <f t="shared" si="24"/>
        <v>2283000</v>
      </c>
    </row>
    <row r="762" spans="1:4" x14ac:dyDescent="0.3">
      <c r="A762">
        <v>762</v>
      </c>
      <c r="B762">
        <v>21</v>
      </c>
      <c r="C762">
        <f t="shared" si="25"/>
        <v>14066</v>
      </c>
      <c r="D762" s="12">
        <f t="shared" si="24"/>
        <v>2286000</v>
      </c>
    </row>
    <row r="763" spans="1:4" x14ac:dyDescent="0.3">
      <c r="A763">
        <v>763</v>
      </c>
      <c r="B763">
        <v>21</v>
      </c>
      <c r="C763">
        <f t="shared" si="25"/>
        <v>14087</v>
      </c>
      <c r="D763" s="12">
        <f t="shared" si="24"/>
        <v>2289000</v>
      </c>
    </row>
    <row r="764" spans="1:4" x14ac:dyDescent="0.3">
      <c r="A764">
        <v>764</v>
      </c>
      <c r="B764">
        <v>21</v>
      </c>
      <c r="C764">
        <f t="shared" si="25"/>
        <v>14108</v>
      </c>
      <c r="D764" s="12">
        <f t="shared" si="24"/>
        <v>2292000</v>
      </c>
    </row>
    <row r="765" spans="1:4" x14ac:dyDescent="0.3">
      <c r="A765">
        <v>765</v>
      </c>
      <c r="B765">
        <v>21</v>
      </c>
      <c r="C765">
        <f t="shared" si="25"/>
        <v>14129</v>
      </c>
      <c r="D765" s="12">
        <f t="shared" si="24"/>
        <v>2295000</v>
      </c>
    </row>
    <row r="766" spans="1:4" x14ac:dyDescent="0.3">
      <c r="A766">
        <v>766</v>
      </c>
      <c r="B766">
        <v>21</v>
      </c>
      <c r="C766">
        <f t="shared" si="25"/>
        <v>14150</v>
      </c>
      <c r="D766" s="12">
        <f t="shared" si="24"/>
        <v>2298000</v>
      </c>
    </row>
    <row r="767" spans="1:4" x14ac:dyDescent="0.3">
      <c r="A767">
        <v>767</v>
      </c>
      <c r="B767">
        <v>21</v>
      </c>
      <c r="C767">
        <f t="shared" si="25"/>
        <v>14171</v>
      </c>
      <c r="D767" s="12">
        <f t="shared" si="24"/>
        <v>2301000</v>
      </c>
    </row>
    <row r="768" spans="1:4" x14ac:dyDescent="0.3">
      <c r="A768">
        <v>768</v>
      </c>
      <c r="B768">
        <v>21</v>
      </c>
      <c r="C768">
        <f t="shared" si="25"/>
        <v>14192</v>
      </c>
      <c r="D768" s="12">
        <f t="shared" si="24"/>
        <v>2304000</v>
      </c>
    </row>
    <row r="769" spans="1:4" x14ac:dyDescent="0.3">
      <c r="A769">
        <v>769</v>
      </c>
      <c r="B769">
        <v>21</v>
      </c>
      <c r="C769">
        <f t="shared" si="25"/>
        <v>14213</v>
      </c>
      <c r="D769" s="12">
        <f t="shared" si="24"/>
        <v>2307000</v>
      </c>
    </row>
    <row r="770" spans="1:4" x14ac:dyDescent="0.3">
      <c r="A770">
        <v>770</v>
      </c>
      <c r="B770">
        <v>21</v>
      </c>
      <c r="C770">
        <f t="shared" si="25"/>
        <v>14234</v>
      </c>
      <c r="D770" s="12">
        <f t="shared" ref="D770:D833" si="26">A770*3000</f>
        <v>2310000</v>
      </c>
    </row>
    <row r="771" spans="1:4" x14ac:dyDescent="0.3">
      <c r="A771">
        <v>771</v>
      </c>
      <c r="B771">
        <v>21</v>
      </c>
      <c r="C771">
        <f t="shared" ref="C771:C834" si="27">C770+B771</f>
        <v>14255</v>
      </c>
      <c r="D771" s="12">
        <f t="shared" si="26"/>
        <v>2313000</v>
      </c>
    </row>
    <row r="772" spans="1:4" x14ac:dyDescent="0.3">
      <c r="A772">
        <v>772</v>
      </c>
      <c r="B772">
        <v>21</v>
      </c>
      <c r="C772">
        <f t="shared" si="27"/>
        <v>14276</v>
      </c>
      <c r="D772" s="12">
        <f t="shared" si="26"/>
        <v>2316000</v>
      </c>
    </row>
    <row r="773" spans="1:4" x14ac:dyDescent="0.3">
      <c r="A773">
        <v>773</v>
      </c>
      <c r="B773">
        <v>21</v>
      </c>
      <c r="C773">
        <f t="shared" si="27"/>
        <v>14297</v>
      </c>
      <c r="D773" s="12">
        <f t="shared" si="26"/>
        <v>2319000</v>
      </c>
    </row>
    <row r="774" spans="1:4" x14ac:dyDescent="0.3">
      <c r="A774">
        <v>774</v>
      </c>
      <c r="B774">
        <v>21</v>
      </c>
      <c r="C774">
        <f t="shared" si="27"/>
        <v>14318</v>
      </c>
      <c r="D774" s="12">
        <f t="shared" si="26"/>
        <v>2322000</v>
      </c>
    </row>
    <row r="775" spans="1:4" x14ac:dyDescent="0.3">
      <c r="A775">
        <v>775</v>
      </c>
      <c r="B775">
        <v>21</v>
      </c>
      <c r="C775">
        <f t="shared" si="27"/>
        <v>14339</v>
      </c>
      <c r="D775" s="12">
        <f t="shared" si="26"/>
        <v>2325000</v>
      </c>
    </row>
    <row r="776" spans="1:4" x14ac:dyDescent="0.3">
      <c r="A776">
        <v>776</v>
      </c>
      <c r="B776">
        <v>21</v>
      </c>
      <c r="C776">
        <f t="shared" si="27"/>
        <v>14360</v>
      </c>
      <c r="D776" s="12">
        <f t="shared" si="26"/>
        <v>2328000</v>
      </c>
    </row>
    <row r="777" spans="1:4" x14ac:dyDescent="0.3">
      <c r="A777">
        <v>777</v>
      </c>
      <c r="B777">
        <v>21</v>
      </c>
      <c r="C777">
        <f t="shared" si="27"/>
        <v>14381</v>
      </c>
      <c r="D777" s="12">
        <f t="shared" si="26"/>
        <v>2331000</v>
      </c>
    </row>
    <row r="778" spans="1:4" x14ac:dyDescent="0.3">
      <c r="A778">
        <v>778</v>
      </c>
      <c r="B778">
        <v>21</v>
      </c>
      <c r="C778">
        <f t="shared" si="27"/>
        <v>14402</v>
      </c>
      <c r="D778" s="12">
        <f t="shared" si="26"/>
        <v>2334000</v>
      </c>
    </row>
    <row r="779" spans="1:4" x14ac:dyDescent="0.3">
      <c r="A779">
        <v>779</v>
      </c>
      <c r="B779">
        <v>21</v>
      </c>
      <c r="C779">
        <f t="shared" si="27"/>
        <v>14423</v>
      </c>
      <c r="D779" s="12">
        <f t="shared" si="26"/>
        <v>2337000</v>
      </c>
    </row>
    <row r="780" spans="1:4" x14ac:dyDescent="0.3">
      <c r="A780">
        <v>780</v>
      </c>
      <c r="B780">
        <v>21</v>
      </c>
      <c r="C780">
        <f t="shared" si="27"/>
        <v>14444</v>
      </c>
      <c r="D780" s="12">
        <f t="shared" si="26"/>
        <v>2340000</v>
      </c>
    </row>
    <row r="781" spans="1:4" x14ac:dyDescent="0.3">
      <c r="A781">
        <v>781</v>
      </c>
      <c r="B781">
        <v>21</v>
      </c>
      <c r="C781">
        <f t="shared" si="27"/>
        <v>14465</v>
      </c>
      <c r="D781" s="12">
        <f t="shared" si="26"/>
        <v>2343000</v>
      </c>
    </row>
    <row r="782" spans="1:4" x14ac:dyDescent="0.3">
      <c r="A782">
        <v>782</v>
      </c>
      <c r="B782">
        <v>21</v>
      </c>
      <c r="C782">
        <f t="shared" si="27"/>
        <v>14486</v>
      </c>
      <c r="D782" s="12">
        <f t="shared" si="26"/>
        <v>2346000</v>
      </c>
    </row>
    <row r="783" spans="1:4" x14ac:dyDescent="0.3">
      <c r="A783">
        <v>783</v>
      </c>
      <c r="B783">
        <v>21</v>
      </c>
      <c r="C783">
        <f t="shared" si="27"/>
        <v>14507</v>
      </c>
      <c r="D783" s="12">
        <f t="shared" si="26"/>
        <v>2349000</v>
      </c>
    </row>
    <row r="784" spans="1:4" x14ac:dyDescent="0.3">
      <c r="A784">
        <v>784</v>
      </c>
      <c r="B784">
        <v>21</v>
      </c>
      <c r="C784">
        <f t="shared" si="27"/>
        <v>14528</v>
      </c>
      <c r="D784" s="12">
        <f t="shared" si="26"/>
        <v>2352000</v>
      </c>
    </row>
    <row r="785" spans="1:4" x14ac:dyDescent="0.3">
      <c r="A785">
        <v>785</v>
      </c>
      <c r="B785">
        <v>21</v>
      </c>
      <c r="C785">
        <f t="shared" si="27"/>
        <v>14549</v>
      </c>
      <c r="D785" s="12">
        <f t="shared" si="26"/>
        <v>2355000</v>
      </c>
    </row>
    <row r="786" spans="1:4" x14ac:dyDescent="0.3">
      <c r="A786">
        <v>786</v>
      </c>
      <c r="B786">
        <v>21</v>
      </c>
      <c r="C786">
        <f t="shared" si="27"/>
        <v>14570</v>
      </c>
      <c r="D786" s="12">
        <f t="shared" si="26"/>
        <v>2358000</v>
      </c>
    </row>
    <row r="787" spans="1:4" x14ac:dyDescent="0.3">
      <c r="A787">
        <v>787</v>
      </c>
      <c r="B787">
        <v>21</v>
      </c>
      <c r="C787">
        <f t="shared" si="27"/>
        <v>14591</v>
      </c>
      <c r="D787" s="12">
        <f t="shared" si="26"/>
        <v>2361000</v>
      </c>
    </row>
    <row r="788" spans="1:4" x14ac:dyDescent="0.3">
      <c r="A788">
        <v>788</v>
      </c>
      <c r="B788">
        <v>21</v>
      </c>
      <c r="C788">
        <f t="shared" si="27"/>
        <v>14612</v>
      </c>
      <c r="D788" s="12">
        <f t="shared" si="26"/>
        <v>2364000</v>
      </c>
    </row>
    <row r="789" spans="1:4" x14ac:dyDescent="0.3">
      <c r="A789">
        <v>789</v>
      </c>
      <c r="B789">
        <v>21</v>
      </c>
      <c r="C789">
        <f t="shared" si="27"/>
        <v>14633</v>
      </c>
      <c r="D789" s="12">
        <f t="shared" si="26"/>
        <v>2367000</v>
      </c>
    </row>
    <row r="790" spans="1:4" x14ac:dyDescent="0.3">
      <c r="A790">
        <v>790</v>
      </c>
      <c r="B790">
        <v>21</v>
      </c>
      <c r="C790">
        <f t="shared" si="27"/>
        <v>14654</v>
      </c>
      <c r="D790" s="12">
        <f t="shared" si="26"/>
        <v>2370000</v>
      </c>
    </row>
    <row r="791" spans="1:4" x14ac:dyDescent="0.3">
      <c r="A791">
        <v>791</v>
      </c>
      <c r="B791">
        <v>21</v>
      </c>
      <c r="C791">
        <f t="shared" si="27"/>
        <v>14675</v>
      </c>
      <c r="D791" s="12">
        <f t="shared" si="26"/>
        <v>2373000</v>
      </c>
    </row>
    <row r="792" spans="1:4" x14ac:dyDescent="0.3">
      <c r="A792">
        <v>792</v>
      </c>
      <c r="B792">
        <v>21</v>
      </c>
      <c r="C792">
        <f t="shared" si="27"/>
        <v>14696</v>
      </c>
      <c r="D792" s="12">
        <f t="shared" si="26"/>
        <v>2376000</v>
      </c>
    </row>
    <row r="793" spans="1:4" x14ac:dyDescent="0.3">
      <c r="A793">
        <v>793</v>
      </c>
      <c r="B793">
        <v>21</v>
      </c>
      <c r="C793">
        <f t="shared" si="27"/>
        <v>14717</v>
      </c>
      <c r="D793" s="12">
        <f t="shared" si="26"/>
        <v>2379000</v>
      </c>
    </row>
    <row r="794" spans="1:4" x14ac:dyDescent="0.3">
      <c r="A794">
        <v>794</v>
      </c>
      <c r="B794">
        <v>21</v>
      </c>
      <c r="C794">
        <f t="shared" si="27"/>
        <v>14738</v>
      </c>
      <c r="D794" s="12">
        <f t="shared" si="26"/>
        <v>2382000</v>
      </c>
    </row>
    <row r="795" spans="1:4" x14ac:dyDescent="0.3">
      <c r="A795">
        <v>795</v>
      </c>
      <c r="B795">
        <v>21</v>
      </c>
      <c r="C795">
        <f t="shared" si="27"/>
        <v>14759</v>
      </c>
      <c r="D795" s="12">
        <f t="shared" si="26"/>
        <v>2385000</v>
      </c>
    </row>
    <row r="796" spans="1:4" x14ac:dyDescent="0.3">
      <c r="A796">
        <v>796</v>
      </c>
      <c r="B796">
        <v>21</v>
      </c>
      <c r="C796">
        <f t="shared" si="27"/>
        <v>14780</v>
      </c>
      <c r="D796" s="12">
        <f t="shared" si="26"/>
        <v>2388000</v>
      </c>
    </row>
    <row r="797" spans="1:4" x14ac:dyDescent="0.3">
      <c r="A797">
        <v>797</v>
      </c>
      <c r="B797">
        <v>21</v>
      </c>
      <c r="C797">
        <f t="shared" si="27"/>
        <v>14801</v>
      </c>
      <c r="D797" s="12">
        <f t="shared" si="26"/>
        <v>2391000</v>
      </c>
    </row>
    <row r="798" spans="1:4" x14ac:dyDescent="0.3">
      <c r="A798">
        <v>798</v>
      </c>
      <c r="B798">
        <v>21</v>
      </c>
      <c r="C798">
        <f t="shared" si="27"/>
        <v>14822</v>
      </c>
      <c r="D798" s="12">
        <f t="shared" si="26"/>
        <v>2394000</v>
      </c>
    </row>
    <row r="799" spans="1:4" x14ac:dyDescent="0.3">
      <c r="A799">
        <v>799</v>
      </c>
      <c r="B799">
        <v>21</v>
      </c>
      <c r="C799">
        <f t="shared" si="27"/>
        <v>14843</v>
      </c>
      <c r="D799" s="12">
        <f t="shared" si="26"/>
        <v>2397000</v>
      </c>
    </row>
    <row r="800" spans="1:4" x14ac:dyDescent="0.3">
      <c r="A800">
        <v>800</v>
      </c>
      <c r="B800">
        <v>21</v>
      </c>
      <c r="C800">
        <f t="shared" si="27"/>
        <v>14864</v>
      </c>
      <c r="D800" s="12">
        <f t="shared" si="26"/>
        <v>2400000</v>
      </c>
    </row>
    <row r="801" spans="1:4" x14ac:dyDescent="0.3">
      <c r="A801">
        <v>801</v>
      </c>
      <c r="B801">
        <v>21</v>
      </c>
      <c r="C801">
        <f t="shared" si="27"/>
        <v>14885</v>
      </c>
      <c r="D801" s="12">
        <f t="shared" si="26"/>
        <v>2403000</v>
      </c>
    </row>
    <row r="802" spans="1:4" x14ac:dyDescent="0.3">
      <c r="A802">
        <v>802</v>
      </c>
      <c r="B802">
        <v>21</v>
      </c>
      <c r="C802">
        <f t="shared" si="27"/>
        <v>14906</v>
      </c>
      <c r="D802" s="12">
        <f t="shared" si="26"/>
        <v>2406000</v>
      </c>
    </row>
    <row r="803" spans="1:4" x14ac:dyDescent="0.3">
      <c r="A803">
        <v>803</v>
      </c>
      <c r="B803">
        <v>21</v>
      </c>
      <c r="C803">
        <f t="shared" si="27"/>
        <v>14927</v>
      </c>
      <c r="D803" s="12">
        <f t="shared" si="26"/>
        <v>2409000</v>
      </c>
    </row>
    <row r="804" spans="1:4" x14ac:dyDescent="0.3">
      <c r="A804">
        <v>804</v>
      </c>
      <c r="B804">
        <v>21</v>
      </c>
      <c r="C804">
        <f t="shared" si="27"/>
        <v>14948</v>
      </c>
      <c r="D804" s="12">
        <f t="shared" si="26"/>
        <v>2412000</v>
      </c>
    </row>
    <row r="805" spans="1:4" x14ac:dyDescent="0.3">
      <c r="A805">
        <v>805</v>
      </c>
      <c r="B805">
        <v>21</v>
      </c>
      <c r="C805">
        <f t="shared" si="27"/>
        <v>14969</v>
      </c>
      <c r="D805" s="12">
        <f t="shared" si="26"/>
        <v>2415000</v>
      </c>
    </row>
    <row r="806" spans="1:4" x14ac:dyDescent="0.3">
      <c r="A806">
        <v>806</v>
      </c>
      <c r="B806">
        <v>21</v>
      </c>
      <c r="C806">
        <f t="shared" si="27"/>
        <v>14990</v>
      </c>
      <c r="D806" s="12">
        <f t="shared" si="26"/>
        <v>2418000</v>
      </c>
    </row>
    <row r="807" spans="1:4" x14ac:dyDescent="0.3">
      <c r="A807">
        <v>807</v>
      </c>
      <c r="B807">
        <v>21</v>
      </c>
      <c r="C807">
        <f t="shared" si="27"/>
        <v>15011</v>
      </c>
      <c r="D807" s="12">
        <f t="shared" si="26"/>
        <v>2421000</v>
      </c>
    </row>
    <row r="808" spans="1:4" x14ac:dyDescent="0.3">
      <c r="A808">
        <v>808</v>
      </c>
      <c r="B808">
        <v>21</v>
      </c>
      <c r="C808">
        <f t="shared" si="27"/>
        <v>15032</v>
      </c>
      <c r="D808" s="12">
        <f t="shared" si="26"/>
        <v>2424000</v>
      </c>
    </row>
    <row r="809" spans="1:4" x14ac:dyDescent="0.3">
      <c r="A809">
        <v>809</v>
      </c>
      <c r="B809">
        <v>21</v>
      </c>
      <c r="C809">
        <f t="shared" si="27"/>
        <v>15053</v>
      </c>
      <c r="D809" s="12">
        <f t="shared" si="26"/>
        <v>2427000</v>
      </c>
    </row>
    <row r="810" spans="1:4" x14ac:dyDescent="0.3">
      <c r="A810">
        <v>810</v>
      </c>
      <c r="B810">
        <v>21</v>
      </c>
      <c r="C810">
        <f t="shared" si="27"/>
        <v>15074</v>
      </c>
      <c r="D810" s="12">
        <f t="shared" si="26"/>
        <v>2430000</v>
      </c>
    </row>
    <row r="811" spans="1:4" x14ac:dyDescent="0.3">
      <c r="A811">
        <v>811</v>
      </c>
      <c r="B811">
        <v>21</v>
      </c>
      <c r="C811">
        <f t="shared" si="27"/>
        <v>15095</v>
      </c>
      <c r="D811" s="12">
        <f t="shared" si="26"/>
        <v>2433000</v>
      </c>
    </row>
    <row r="812" spans="1:4" x14ac:dyDescent="0.3">
      <c r="A812">
        <v>812</v>
      </c>
      <c r="B812">
        <v>21</v>
      </c>
      <c r="C812">
        <f t="shared" si="27"/>
        <v>15116</v>
      </c>
      <c r="D812" s="12">
        <f t="shared" si="26"/>
        <v>2436000</v>
      </c>
    </row>
    <row r="813" spans="1:4" x14ac:dyDescent="0.3">
      <c r="A813">
        <v>813</v>
      </c>
      <c r="B813">
        <v>21</v>
      </c>
      <c r="C813">
        <f t="shared" si="27"/>
        <v>15137</v>
      </c>
      <c r="D813" s="12">
        <f t="shared" si="26"/>
        <v>2439000</v>
      </c>
    </row>
    <row r="814" spans="1:4" x14ac:dyDescent="0.3">
      <c r="A814">
        <v>814</v>
      </c>
      <c r="B814">
        <v>21</v>
      </c>
      <c r="C814">
        <f t="shared" si="27"/>
        <v>15158</v>
      </c>
      <c r="D814" s="12">
        <f t="shared" si="26"/>
        <v>2442000</v>
      </c>
    </row>
    <row r="815" spans="1:4" x14ac:dyDescent="0.3">
      <c r="A815">
        <v>815</v>
      </c>
      <c r="B815">
        <v>21</v>
      </c>
      <c r="C815">
        <f t="shared" si="27"/>
        <v>15179</v>
      </c>
      <c r="D815" s="12">
        <f t="shared" si="26"/>
        <v>2445000</v>
      </c>
    </row>
    <row r="816" spans="1:4" x14ac:dyDescent="0.3">
      <c r="A816">
        <v>816</v>
      </c>
      <c r="B816">
        <v>21</v>
      </c>
      <c r="C816">
        <f t="shared" si="27"/>
        <v>15200</v>
      </c>
      <c r="D816" s="12">
        <f t="shared" si="26"/>
        <v>2448000</v>
      </c>
    </row>
    <row r="817" spans="1:4" x14ac:dyDescent="0.3">
      <c r="A817">
        <v>817</v>
      </c>
      <c r="B817">
        <v>21</v>
      </c>
      <c r="C817">
        <f t="shared" si="27"/>
        <v>15221</v>
      </c>
      <c r="D817" s="12">
        <f t="shared" si="26"/>
        <v>2451000</v>
      </c>
    </row>
    <row r="818" spans="1:4" x14ac:dyDescent="0.3">
      <c r="A818">
        <v>818</v>
      </c>
      <c r="B818">
        <v>21</v>
      </c>
      <c r="C818">
        <f t="shared" si="27"/>
        <v>15242</v>
      </c>
      <c r="D818" s="12">
        <f t="shared" si="26"/>
        <v>2454000</v>
      </c>
    </row>
    <row r="819" spans="1:4" x14ac:dyDescent="0.3">
      <c r="A819">
        <v>819</v>
      </c>
      <c r="B819">
        <v>21</v>
      </c>
      <c r="C819">
        <f t="shared" si="27"/>
        <v>15263</v>
      </c>
      <c r="D819" s="12">
        <f t="shared" si="26"/>
        <v>2457000</v>
      </c>
    </row>
    <row r="820" spans="1:4" x14ac:dyDescent="0.3">
      <c r="A820">
        <v>820</v>
      </c>
      <c r="B820">
        <v>21</v>
      </c>
      <c r="C820">
        <f t="shared" si="27"/>
        <v>15284</v>
      </c>
      <c r="D820" s="12">
        <f t="shared" si="26"/>
        <v>2460000</v>
      </c>
    </row>
    <row r="821" spans="1:4" x14ac:dyDescent="0.3">
      <c r="A821">
        <v>821</v>
      </c>
      <c r="B821">
        <v>21</v>
      </c>
      <c r="C821">
        <f t="shared" si="27"/>
        <v>15305</v>
      </c>
      <c r="D821" s="12">
        <f t="shared" si="26"/>
        <v>2463000</v>
      </c>
    </row>
    <row r="822" spans="1:4" x14ac:dyDescent="0.3">
      <c r="A822">
        <v>822</v>
      </c>
      <c r="B822">
        <v>21</v>
      </c>
      <c r="C822">
        <f t="shared" si="27"/>
        <v>15326</v>
      </c>
      <c r="D822" s="12">
        <f t="shared" si="26"/>
        <v>2466000</v>
      </c>
    </row>
    <row r="823" spans="1:4" x14ac:dyDescent="0.3">
      <c r="A823">
        <v>823</v>
      </c>
      <c r="B823">
        <v>21</v>
      </c>
      <c r="C823">
        <f t="shared" si="27"/>
        <v>15347</v>
      </c>
      <c r="D823" s="12">
        <f t="shared" si="26"/>
        <v>2469000</v>
      </c>
    </row>
    <row r="824" spans="1:4" x14ac:dyDescent="0.3">
      <c r="A824">
        <v>824</v>
      </c>
      <c r="B824">
        <v>21</v>
      </c>
      <c r="C824">
        <f t="shared" si="27"/>
        <v>15368</v>
      </c>
      <c r="D824" s="12">
        <f t="shared" si="26"/>
        <v>2472000</v>
      </c>
    </row>
    <row r="825" spans="1:4" x14ac:dyDescent="0.3">
      <c r="A825">
        <v>825</v>
      </c>
      <c r="B825">
        <v>21</v>
      </c>
      <c r="C825">
        <f t="shared" si="27"/>
        <v>15389</v>
      </c>
      <c r="D825" s="12">
        <f t="shared" si="26"/>
        <v>2475000</v>
      </c>
    </row>
    <row r="826" spans="1:4" x14ac:dyDescent="0.3">
      <c r="A826">
        <v>826</v>
      </c>
      <c r="B826">
        <v>21</v>
      </c>
      <c r="C826">
        <f t="shared" si="27"/>
        <v>15410</v>
      </c>
      <c r="D826" s="12">
        <f t="shared" si="26"/>
        <v>2478000</v>
      </c>
    </row>
    <row r="827" spans="1:4" x14ac:dyDescent="0.3">
      <c r="A827">
        <v>827</v>
      </c>
      <c r="B827">
        <v>21</v>
      </c>
      <c r="C827">
        <f t="shared" si="27"/>
        <v>15431</v>
      </c>
      <c r="D827" s="12">
        <f t="shared" si="26"/>
        <v>2481000</v>
      </c>
    </row>
    <row r="828" spans="1:4" x14ac:dyDescent="0.3">
      <c r="A828">
        <v>828</v>
      </c>
      <c r="B828">
        <v>21</v>
      </c>
      <c r="C828">
        <f t="shared" si="27"/>
        <v>15452</v>
      </c>
      <c r="D828" s="12">
        <f t="shared" si="26"/>
        <v>2484000</v>
      </c>
    </row>
    <row r="829" spans="1:4" x14ac:dyDescent="0.3">
      <c r="A829">
        <v>829</v>
      </c>
      <c r="B829">
        <v>21</v>
      </c>
      <c r="C829">
        <f t="shared" si="27"/>
        <v>15473</v>
      </c>
      <c r="D829" s="12">
        <f t="shared" si="26"/>
        <v>2487000</v>
      </c>
    </row>
    <row r="830" spans="1:4" x14ac:dyDescent="0.3">
      <c r="A830">
        <v>830</v>
      </c>
      <c r="B830">
        <v>21</v>
      </c>
      <c r="C830">
        <f t="shared" si="27"/>
        <v>15494</v>
      </c>
      <c r="D830" s="12">
        <f t="shared" si="26"/>
        <v>2490000</v>
      </c>
    </row>
    <row r="831" spans="1:4" x14ac:dyDescent="0.3">
      <c r="A831">
        <v>831</v>
      </c>
      <c r="B831">
        <v>21</v>
      </c>
      <c r="C831">
        <f t="shared" si="27"/>
        <v>15515</v>
      </c>
      <c r="D831" s="12">
        <f t="shared" si="26"/>
        <v>2493000</v>
      </c>
    </row>
    <row r="832" spans="1:4" x14ac:dyDescent="0.3">
      <c r="A832">
        <v>832</v>
      </c>
      <c r="B832">
        <v>21</v>
      </c>
      <c r="C832">
        <f t="shared" si="27"/>
        <v>15536</v>
      </c>
      <c r="D832" s="12">
        <f t="shared" si="26"/>
        <v>2496000</v>
      </c>
    </row>
    <row r="833" spans="1:4" x14ac:dyDescent="0.3">
      <c r="A833">
        <v>833</v>
      </c>
      <c r="B833">
        <v>21</v>
      </c>
      <c r="C833">
        <f t="shared" si="27"/>
        <v>15557</v>
      </c>
      <c r="D833" s="12">
        <f t="shared" si="26"/>
        <v>2499000</v>
      </c>
    </row>
    <row r="834" spans="1:4" x14ac:dyDescent="0.3">
      <c r="A834">
        <v>834</v>
      </c>
      <c r="B834">
        <v>21</v>
      </c>
      <c r="C834">
        <f t="shared" si="27"/>
        <v>15578</v>
      </c>
      <c r="D834" s="12">
        <f t="shared" ref="D834:D897" si="28">A834*3000</f>
        <v>2502000</v>
      </c>
    </row>
    <row r="835" spans="1:4" x14ac:dyDescent="0.3">
      <c r="A835">
        <v>835</v>
      </c>
      <c r="B835">
        <v>21</v>
      </c>
      <c r="C835">
        <f t="shared" ref="C835:C898" si="29">C834+B835</f>
        <v>15599</v>
      </c>
      <c r="D835" s="12">
        <f t="shared" si="28"/>
        <v>2505000</v>
      </c>
    </row>
    <row r="836" spans="1:4" x14ac:dyDescent="0.3">
      <c r="A836">
        <v>836</v>
      </c>
      <c r="B836">
        <v>21</v>
      </c>
      <c r="C836">
        <f t="shared" si="29"/>
        <v>15620</v>
      </c>
      <c r="D836" s="12">
        <f t="shared" si="28"/>
        <v>2508000</v>
      </c>
    </row>
    <row r="837" spans="1:4" x14ac:dyDescent="0.3">
      <c r="A837">
        <v>837</v>
      </c>
      <c r="B837">
        <v>21</v>
      </c>
      <c r="C837">
        <f t="shared" si="29"/>
        <v>15641</v>
      </c>
      <c r="D837" s="12">
        <f t="shared" si="28"/>
        <v>2511000</v>
      </c>
    </row>
    <row r="838" spans="1:4" x14ac:dyDescent="0.3">
      <c r="A838">
        <v>838</v>
      </c>
      <c r="B838">
        <v>21</v>
      </c>
      <c r="C838">
        <f t="shared" si="29"/>
        <v>15662</v>
      </c>
      <c r="D838" s="12">
        <f t="shared" si="28"/>
        <v>2514000</v>
      </c>
    </row>
    <row r="839" spans="1:4" x14ac:dyDescent="0.3">
      <c r="A839">
        <v>839</v>
      </c>
      <c r="B839">
        <v>21</v>
      </c>
      <c r="C839">
        <f t="shared" si="29"/>
        <v>15683</v>
      </c>
      <c r="D839" s="12">
        <f t="shared" si="28"/>
        <v>2517000</v>
      </c>
    </row>
    <row r="840" spans="1:4" x14ac:dyDescent="0.3">
      <c r="A840">
        <v>840</v>
      </c>
      <c r="B840">
        <v>21</v>
      </c>
      <c r="C840">
        <f t="shared" si="29"/>
        <v>15704</v>
      </c>
      <c r="D840" s="12">
        <f t="shared" si="28"/>
        <v>2520000</v>
      </c>
    </row>
    <row r="841" spans="1:4" x14ac:dyDescent="0.3">
      <c r="A841">
        <v>841</v>
      </c>
      <c r="B841">
        <v>21</v>
      </c>
      <c r="C841">
        <f t="shared" si="29"/>
        <v>15725</v>
      </c>
      <c r="D841" s="12">
        <f t="shared" si="28"/>
        <v>2523000</v>
      </c>
    </row>
    <row r="842" spans="1:4" x14ac:dyDescent="0.3">
      <c r="A842">
        <v>842</v>
      </c>
      <c r="B842">
        <v>21</v>
      </c>
      <c r="C842">
        <f t="shared" si="29"/>
        <v>15746</v>
      </c>
      <c r="D842" s="12">
        <f t="shared" si="28"/>
        <v>2526000</v>
      </c>
    </row>
    <row r="843" spans="1:4" x14ac:dyDescent="0.3">
      <c r="A843">
        <v>843</v>
      </c>
      <c r="B843">
        <v>21</v>
      </c>
      <c r="C843">
        <f t="shared" si="29"/>
        <v>15767</v>
      </c>
      <c r="D843" s="12">
        <f t="shared" si="28"/>
        <v>2529000</v>
      </c>
    </row>
    <row r="844" spans="1:4" x14ac:dyDescent="0.3">
      <c r="A844">
        <v>844</v>
      </c>
      <c r="B844">
        <v>21</v>
      </c>
      <c r="C844">
        <f t="shared" si="29"/>
        <v>15788</v>
      </c>
      <c r="D844" s="12">
        <f t="shared" si="28"/>
        <v>2532000</v>
      </c>
    </row>
    <row r="845" spans="1:4" x14ac:dyDescent="0.3">
      <c r="A845">
        <v>845</v>
      </c>
      <c r="B845">
        <v>21</v>
      </c>
      <c r="C845">
        <f t="shared" si="29"/>
        <v>15809</v>
      </c>
      <c r="D845" s="12">
        <f t="shared" si="28"/>
        <v>2535000</v>
      </c>
    </row>
    <row r="846" spans="1:4" x14ac:dyDescent="0.3">
      <c r="A846">
        <v>846</v>
      </c>
      <c r="B846">
        <v>21</v>
      </c>
      <c r="C846">
        <f t="shared" si="29"/>
        <v>15830</v>
      </c>
      <c r="D846" s="12">
        <f t="shared" si="28"/>
        <v>2538000</v>
      </c>
    </row>
    <row r="847" spans="1:4" x14ac:dyDescent="0.3">
      <c r="A847">
        <v>847</v>
      </c>
      <c r="B847">
        <v>21</v>
      </c>
      <c r="C847">
        <f t="shared" si="29"/>
        <v>15851</v>
      </c>
      <c r="D847" s="12">
        <f t="shared" si="28"/>
        <v>2541000</v>
      </c>
    </row>
    <row r="848" spans="1:4" x14ac:dyDescent="0.3">
      <c r="A848">
        <v>848</v>
      </c>
      <c r="B848">
        <v>21</v>
      </c>
      <c r="C848">
        <f t="shared" si="29"/>
        <v>15872</v>
      </c>
      <c r="D848" s="12">
        <f t="shared" si="28"/>
        <v>2544000</v>
      </c>
    </row>
    <row r="849" spans="1:4" x14ac:dyDescent="0.3">
      <c r="A849">
        <v>849</v>
      </c>
      <c r="B849">
        <v>21</v>
      </c>
      <c r="C849">
        <f t="shared" si="29"/>
        <v>15893</v>
      </c>
      <c r="D849" s="12">
        <f t="shared" si="28"/>
        <v>2547000</v>
      </c>
    </row>
    <row r="850" spans="1:4" x14ac:dyDescent="0.3">
      <c r="A850">
        <v>850</v>
      </c>
      <c r="B850">
        <v>21</v>
      </c>
      <c r="C850">
        <f t="shared" si="29"/>
        <v>15914</v>
      </c>
      <c r="D850" s="12">
        <f t="shared" si="28"/>
        <v>2550000</v>
      </c>
    </row>
    <row r="851" spans="1:4" x14ac:dyDescent="0.3">
      <c r="A851">
        <v>851</v>
      </c>
      <c r="B851">
        <v>21</v>
      </c>
      <c r="C851">
        <f t="shared" si="29"/>
        <v>15935</v>
      </c>
      <c r="D851" s="12">
        <f t="shared" si="28"/>
        <v>2553000</v>
      </c>
    </row>
    <row r="852" spans="1:4" x14ac:dyDescent="0.3">
      <c r="A852">
        <v>852</v>
      </c>
      <c r="B852">
        <v>21</v>
      </c>
      <c r="C852">
        <f t="shared" si="29"/>
        <v>15956</v>
      </c>
      <c r="D852" s="12">
        <f t="shared" si="28"/>
        <v>2556000</v>
      </c>
    </row>
    <row r="853" spans="1:4" x14ac:dyDescent="0.3">
      <c r="A853">
        <v>853</v>
      </c>
      <c r="B853">
        <v>21</v>
      </c>
      <c r="C853">
        <f t="shared" si="29"/>
        <v>15977</v>
      </c>
      <c r="D853" s="12">
        <f t="shared" si="28"/>
        <v>2559000</v>
      </c>
    </row>
    <row r="854" spans="1:4" x14ac:dyDescent="0.3">
      <c r="A854">
        <v>854</v>
      </c>
      <c r="B854">
        <v>21</v>
      </c>
      <c r="C854">
        <f t="shared" si="29"/>
        <v>15998</v>
      </c>
      <c r="D854" s="12">
        <f t="shared" si="28"/>
        <v>2562000</v>
      </c>
    </row>
    <row r="855" spans="1:4" x14ac:dyDescent="0.3">
      <c r="A855">
        <v>855</v>
      </c>
      <c r="B855">
        <v>21</v>
      </c>
      <c r="C855">
        <f t="shared" si="29"/>
        <v>16019</v>
      </c>
      <c r="D855" s="12">
        <f t="shared" si="28"/>
        <v>2565000</v>
      </c>
    </row>
    <row r="856" spans="1:4" x14ac:dyDescent="0.3">
      <c r="A856">
        <v>856</v>
      </c>
      <c r="B856">
        <v>21</v>
      </c>
      <c r="C856">
        <f t="shared" si="29"/>
        <v>16040</v>
      </c>
      <c r="D856" s="12">
        <f t="shared" si="28"/>
        <v>2568000</v>
      </c>
    </row>
    <row r="857" spans="1:4" x14ac:dyDescent="0.3">
      <c r="A857">
        <v>857</v>
      </c>
      <c r="B857">
        <v>21</v>
      </c>
      <c r="C857">
        <f t="shared" si="29"/>
        <v>16061</v>
      </c>
      <c r="D857" s="12">
        <f t="shared" si="28"/>
        <v>2571000</v>
      </c>
    </row>
    <row r="858" spans="1:4" x14ac:dyDescent="0.3">
      <c r="A858">
        <v>858</v>
      </c>
      <c r="B858">
        <v>21</v>
      </c>
      <c r="C858">
        <f t="shared" si="29"/>
        <v>16082</v>
      </c>
      <c r="D858" s="12">
        <f t="shared" si="28"/>
        <v>2574000</v>
      </c>
    </row>
    <row r="859" spans="1:4" x14ac:dyDescent="0.3">
      <c r="A859">
        <v>859</v>
      </c>
      <c r="B859">
        <v>21</v>
      </c>
      <c r="C859">
        <f t="shared" si="29"/>
        <v>16103</v>
      </c>
      <c r="D859" s="12">
        <f t="shared" si="28"/>
        <v>2577000</v>
      </c>
    </row>
    <row r="860" spans="1:4" x14ac:dyDescent="0.3">
      <c r="A860">
        <v>860</v>
      </c>
      <c r="B860">
        <v>21</v>
      </c>
      <c r="C860">
        <f t="shared" si="29"/>
        <v>16124</v>
      </c>
      <c r="D860" s="12">
        <f t="shared" si="28"/>
        <v>2580000</v>
      </c>
    </row>
    <row r="861" spans="1:4" x14ac:dyDescent="0.3">
      <c r="A861">
        <v>861</v>
      </c>
      <c r="B861">
        <v>21</v>
      </c>
      <c r="C861">
        <f t="shared" si="29"/>
        <v>16145</v>
      </c>
      <c r="D861" s="12">
        <f t="shared" si="28"/>
        <v>2583000</v>
      </c>
    </row>
    <row r="862" spans="1:4" x14ac:dyDescent="0.3">
      <c r="A862">
        <v>862</v>
      </c>
      <c r="B862">
        <v>21</v>
      </c>
      <c r="C862">
        <f t="shared" si="29"/>
        <v>16166</v>
      </c>
      <c r="D862" s="12">
        <f t="shared" si="28"/>
        <v>2586000</v>
      </c>
    </row>
    <row r="863" spans="1:4" x14ac:dyDescent="0.3">
      <c r="A863">
        <v>863</v>
      </c>
      <c r="B863">
        <v>21</v>
      </c>
      <c r="C863">
        <f t="shared" si="29"/>
        <v>16187</v>
      </c>
      <c r="D863" s="12">
        <f t="shared" si="28"/>
        <v>2589000</v>
      </c>
    </row>
    <row r="864" spans="1:4" x14ac:dyDescent="0.3">
      <c r="A864">
        <v>864</v>
      </c>
      <c r="B864">
        <v>21</v>
      </c>
      <c r="C864">
        <f t="shared" si="29"/>
        <v>16208</v>
      </c>
      <c r="D864" s="12">
        <f t="shared" si="28"/>
        <v>2592000</v>
      </c>
    </row>
    <row r="865" spans="1:4" x14ac:dyDescent="0.3">
      <c r="A865">
        <v>865</v>
      </c>
      <c r="B865">
        <v>21</v>
      </c>
      <c r="C865">
        <f t="shared" si="29"/>
        <v>16229</v>
      </c>
      <c r="D865" s="12">
        <f t="shared" si="28"/>
        <v>2595000</v>
      </c>
    </row>
    <row r="866" spans="1:4" x14ac:dyDescent="0.3">
      <c r="A866">
        <v>866</v>
      </c>
      <c r="B866">
        <v>21</v>
      </c>
      <c r="C866">
        <f t="shared" si="29"/>
        <v>16250</v>
      </c>
      <c r="D866" s="12">
        <f t="shared" si="28"/>
        <v>2598000</v>
      </c>
    </row>
    <row r="867" spans="1:4" x14ac:dyDescent="0.3">
      <c r="A867">
        <v>867</v>
      </c>
      <c r="B867">
        <v>21</v>
      </c>
      <c r="C867">
        <f t="shared" si="29"/>
        <v>16271</v>
      </c>
      <c r="D867" s="12">
        <f t="shared" si="28"/>
        <v>2601000</v>
      </c>
    </row>
    <row r="868" spans="1:4" x14ac:dyDescent="0.3">
      <c r="A868">
        <v>868</v>
      </c>
      <c r="B868">
        <v>21</v>
      </c>
      <c r="C868">
        <f t="shared" si="29"/>
        <v>16292</v>
      </c>
      <c r="D868" s="12">
        <f t="shared" si="28"/>
        <v>2604000</v>
      </c>
    </row>
    <row r="869" spans="1:4" x14ac:dyDescent="0.3">
      <c r="A869">
        <v>869</v>
      </c>
      <c r="B869">
        <v>21</v>
      </c>
      <c r="C869">
        <f t="shared" si="29"/>
        <v>16313</v>
      </c>
      <c r="D869" s="12">
        <f t="shared" si="28"/>
        <v>2607000</v>
      </c>
    </row>
    <row r="870" spans="1:4" x14ac:dyDescent="0.3">
      <c r="A870">
        <v>870</v>
      </c>
      <c r="B870">
        <v>21</v>
      </c>
      <c r="C870">
        <f t="shared" si="29"/>
        <v>16334</v>
      </c>
      <c r="D870" s="12">
        <f t="shared" si="28"/>
        <v>2610000</v>
      </c>
    </row>
    <row r="871" spans="1:4" x14ac:dyDescent="0.3">
      <c r="A871">
        <v>871</v>
      </c>
      <c r="B871">
        <v>21</v>
      </c>
      <c r="C871">
        <f t="shared" si="29"/>
        <v>16355</v>
      </c>
      <c r="D871" s="12">
        <f t="shared" si="28"/>
        <v>2613000</v>
      </c>
    </row>
    <row r="872" spans="1:4" x14ac:dyDescent="0.3">
      <c r="A872">
        <v>872</v>
      </c>
      <c r="B872">
        <v>21</v>
      </c>
      <c r="C872">
        <f t="shared" si="29"/>
        <v>16376</v>
      </c>
      <c r="D872" s="12">
        <f t="shared" si="28"/>
        <v>2616000</v>
      </c>
    </row>
    <row r="873" spans="1:4" x14ac:dyDescent="0.3">
      <c r="A873">
        <v>873</v>
      </c>
      <c r="B873">
        <v>21</v>
      </c>
      <c r="C873">
        <f t="shared" si="29"/>
        <v>16397</v>
      </c>
      <c r="D873" s="12">
        <f t="shared" si="28"/>
        <v>2619000</v>
      </c>
    </row>
    <row r="874" spans="1:4" x14ac:dyDescent="0.3">
      <c r="A874">
        <v>874</v>
      </c>
      <c r="B874">
        <v>21</v>
      </c>
      <c r="C874">
        <f t="shared" si="29"/>
        <v>16418</v>
      </c>
      <c r="D874" s="12">
        <f t="shared" si="28"/>
        <v>2622000</v>
      </c>
    </row>
    <row r="875" spans="1:4" x14ac:dyDescent="0.3">
      <c r="A875">
        <v>875</v>
      </c>
      <c r="B875">
        <v>21</v>
      </c>
      <c r="C875">
        <f t="shared" si="29"/>
        <v>16439</v>
      </c>
      <c r="D875" s="12">
        <f t="shared" si="28"/>
        <v>2625000</v>
      </c>
    </row>
    <row r="876" spans="1:4" x14ac:dyDescent="0.3">
      <c r="A876">
        <v>876</v>
      </c>
      <c r="B876">
        <v>21</v>
      </c>
      <c r="C876">
        <f t="shared" si="29"/>
        <v>16460</v>
      </c>
      <c r="D876" s="12">
        <f t="shared" si="28"/>
        <v>2628000</v>
      </c>
    </row>
    <row r="877" spans="1:4" x14ac:dyDescent="0.3">
      <c r="A877">
        <v>877</v>
      </c>
      <c r="B877">
        <v>21</v>
      </c>
      <c r="C877">
        <f t="shared" si="29"/>
        <v>16481</v>
      </c>
      <c r="D877" s="12">
        <f t="shared" si="28"/>
        <v>2631000</v>
      </c>
    </row>
    <row r="878" spans="1:4" x14ac:dyDescent="0.3">
      <c r="A878">
        <v>878</v>
      </c>
      <c r="B878">
        <v>21</v>
      </c>
      <c r="C878">
        <f t="shared" si="29"/>
        <v>16502</v>
      </c>
      <c r="D878" s="12">
        <f t="shared" si="28"/>
        <v>2634000</v>
      </c>
    </row>
    <row r="879" spans="1:4" x14ac:dyDescent="0.3">
      <c r="A879">
        <v>879</v>
      </c>
      <c r="B879">
        <v>21</v>
      </c>
      <c r="C879">
        <f t="shared" si="29"/>
        <v>16523</v>
      </c>
      <c r="D879" s="12">
        <f t="shared" si="28"/>
        <v>2637000</v>
      </c>
    </row>
    <row r="880" spans="1:4" x14ac:dyDescent="0.3">
      <c r="A880">
        <v>880</v>
      </c>
      <c r="B880">
        <v>21</v>
      </c>
      <c r="C880">
        <f t="shared" si="29"/>
        <v>16544</v>
      </c>
      <c r="D880" s="12">
        <f t="shared" si="28"/>
        <v>2640000</v>
      </c>
    </row>
    <row r="881" spans="1:4" x14ac:dyDescent="0.3">
      <c r="A881">
        <v>881</v>
      </c>
      <c r="B881">
        <v>21</v>
      </c>
      <c r="C881">
        <f t="shared" si="29"/>
        <v>16565</v>
      </c>
      <c r="D881" s="12">
        <f t="shared" si="28"/>
        <v>2643000</v>
      </c>
    </row>
    <row r="882" spans="1:4" x14ac:dyDescent="0.3">
      <c r="A882">
        <v>882</v>
      </c>
      <c r="B882">
        <v>21</v>
      </c>
      <c r="C882">
        <f t="shared" si="29"/>
        <v>16586</v>
      </c>
      <c r="D882" s="12">
        <f t="shared" si="28"/>
        <v>2646000</v>
      </c>
    </row>
    <row r="883" spans="1:4" x14ac:dyDescent="0.3">
      <c r="A883">
        <v>883</v>
      </c>
      <c r="B883">
        <v>21</v>
      </c>
      <c r="C883">
        <f t="shared" si="29"/>
        <v>16607</v>
      </c>
      <c r="D883" s="12">
        <f t="shared" si="28"/>
        <v>2649000</v>
      </c>
    </row>
    <row r="884" spans="1:4" x14ac:dyDescent="0.3">
      <c r="A884">
        <v>884</v>
      </c>
      <c r="B884">
        <v>21</v>
      </c>
      <c r="C884">
        <f t="shared" si="29"/>
        <v>16628</v>
      </c>
      <c r="D884" s="12">
        <f t="shared" si="28"/>
        <v>2652000</v>
      </c>
    </row>
    <row r="885" spans="1:4" x14ac:dyDescent="0.3">
      <c r="A885">
        <v>885</v>
      </c>
      <c r="B885">
        <v>21</v>
      </c>
      <c r="C885">
        <f t="shared" si="29"/>
        <v>16649</v>
      </c>
      <c r="D885" s="12">
        <f t="shared" si="28"/>
        <v>2655000</v>
      </c>
    </row>
    <row r="886" spans="1:4" x14ac:dyDescent="0.3">
      <c r="A886">
        <v>886</v>
      </c>
      <c r="B886">
        <v>21</v>
      </c>
      <c r="C886">
        <f t="shared" si="29"/>
        <v>16670</v>
      </c>
      <c r="D886" s="12">
        <f t="shared" si="28"/>
        <v>2658000</v>
      </c>
    </row>
    <row r="887" spans="1:4" x14ac:dyDescent="0.3">
      <c r="A887">
        <v>887</v>
      </c>
      <c r="B887">
        <v>21</v>
      </c>
      <c r="C887">
        <f t="shared" si="29"/>
        <v>16691</v>
      </c>
      <c r="D887" s="12">
        <f t="shared" si="28"/>
        <v>2661000</v>
      </c>
    </row>
    <row r="888" spans="1:4" x14ac:dyDescent="0.3">
      <c r="A888">
        <v>888</v>
      </c>
      <c r="B888">
        <v>21</v>
      </c>
      <c r="C888">
        <f t="shared" si="29"/>
        <v>16712</v>
      </c>
      <c r="D888" s="12">
        <f t="shared" si="28"/>
        <v>2664000</v>
      </c>
    </row>
    <row r="889" spans="1:4" x14ac:dyDescent="0.3">
      <c r="A889">
        <v>889</v>
      </c>
      <c r="B889">
        <v>21</v>
      </c>
      <c r="C889">
        <f t="shared" si="29"/>
        <v>16733</v>
      </c>
      <c r="D889" s="12">
        <f t="shared" si="28"/>
        <v>2667000</v>
      </c>
    </row>
    <row r="890" spans="1:4" x14ac:dyDescent="0.3">
      <c r="A890">
        <v>890</v>
      </c>
      <c r="B890">
        <v>21</v>
      </c>
      <c r="C890">
        <f t="shared" si="29"/>
        <v>16754</v>
      </c>
      <c r="D890" s="12">
        <f t="shared" si="28"/>
        <v>2670000</v>
      </c>
    </row>
    <row r="891" spans="1:4" x14ac:dyDescent="0.3">
      <c r="A891">
        <v>891</v>
      </c>
      <c r="B891">
        <v>21</v>
      </c>
      <c r="C891">
        <f t="shared" si="29"/>
        <v>16775</v>
      </c>
      <c r="D891" s="12">
        <f t="shared" si="28"/>
        <v>2673000</v>
      </c>
    </row>
    <row r="892" spans="1:4" x14ac:dyDescent="0.3">
      <c r="A892">
        <v>892</v>
      </c>
      <c r="B892">
        <v>21</v>
      </c>
      <c r="C892">
        <f t="shared" si="29"/>
        <v>16796</v>
      </c>
      <c r="D892" s="12">
        <f t="shared" si="28"/>
        <v>2676000</v>
      </c>
    </row>
    <row r="893" spans="1:4" x14ac:dyDescent="0.3">
      <c r="A893">
        <v>893</v>
      </c>
      <c r="B893">
        <v>21</v>
      </c>
      <c r="C893">
        <f t="shared" si="29"/>
        <v>16817</v>
      </c>
      <c r="D893" s="12">
        <f t="shared" si="28"/>
        <v>2679000</v>
      </c>
    </row>
    <row r="894" spans="1:4" x14ac:dyDescent="0.3">
      <c r="A894">
        <v>894</v>
      </c>
      <c r="B894">
        <v>21</v>
      </c>
      <c r="C894">
        <f t="shared" si="29"/>
        <v>16838</v>
      </c>
      <c r="D894" s="12">
        <f t="shared" si="28"/>
        <v>2682000</v>
      </c>
    </row>
    <row r="895" spans="1:4" x14ac:dyDescent="0.3">
      <c r="A895">
        <v>895</v>
      </c>
      <c r="B895">
        <v>21</v>
      </c>
      <c r="C895">
        <f t="shared" si="29"/>
        <v>16859</v>
      </c>
      <c r="D895" s="12">
        <f t="shared" si="28"/>
        <v>2685000</v>
      </c>
    </row>
    <row r="896" spans="1:4" x14ac:dyDescent="0.3">
      <c r="A896">
        <v>896</v>
      </c>
      <c r="B896">
        <v>21</v>
      </c>
      <c r="C896">
        <f t="shared" si="29"/>
        <v>16880</v>
      </c>
      <c r="D896" s="12">
        <f t="shared" si="28"/>
        <v>2688000</v>
      </c>
    </row>
    <row r="897" spans="1:4" x14ac:dyDescent="0.3">
      <c r="A897">
        <v>897</v>
      </c>
      <c r="B897">
        <v>21</v>
      </c>
      <c r="C897">
        <f t="shared" si="29"/>
        <v>16901</v>
      </c>
      <c r="D897" s="12">
        <f t="shared" si="28"/>
        <v>2691000</v>
      </c>
    </row>
    <row r="898" spans="1:4" x14ac:dyDescent="0.3">
      <c r="A898">
        <v>898</v>
      </c>
      <c r="B898">
        <v>21</v>
      </c>
      <c r="C898">
        <f t="shared" si="29"/>
        <v>16922</v>
      </c>
      <c r="D898" s="12">
        <f t="shared" ref="D898:D961" si="30">A898*3000</f>
        <v>2694000</v>
      </c>
    </row>
    <row r="899" spans="1:4" x14ac:dyDescent="0.3">
      <c r="A899">
        <v>899</v>
      </c>
      <c r="B899">
        <v>21</v>
      </c>
      <c r="C899">
        <f t="shared" ref="C899:C962" si="31">C898+B899</f>
        <v>16943</v>
      </c>
      <c r="D899" s="12">
        <f t="shared" si="30"/>
        <v>2697000</v>
      </c>
    </row>
    <row r="900" spans="1:4" x14ac:dyDescent="0.3">
      <c r="A900">
        <v>900</v>
      </c>
      <c r="B900">
        <v>21</v>
      </c>
      <c r="C900">
        <f t="shared" si="31"/>
        <v>16964</v>
      </c>
      <c r="D900" s="12">
        <f t="shared" si="30"/>
        <v>2700000</v>
      </c>
    </row>
    <row r="901" spans="1:4" x14ac:dyDescent="0.3">
      <c r="A901">
        <v>901</v>
      </c>
      <c r="B901">
        <v>21</v>
      </c>
      <c r="C901">
        <f t="shared" si="31"/>
        <v>16985</v>
      </c>
      <c r="D901" s="12">
        <f t="shared" si="30"/>
        <v>2703000</v>
      </c>
    </row>
    <row r="902" spans="1:4" x14ac:dyDescent="0.3">
      <c r="A902">
        <v>902</v>
      </c>
      <c r="B902">
        <v>21</v>
      </c>
      <c r="C902">
        <f t="shared" si="31"/>
        <v>17006</v>
      </c>
      <c r="D902" s="12">
        <f t="shared" si="30"/>
        <v>2706000</v>
      </c>
    </row>
    <row r="903" spans="1:4" x14ac:dyDescent="0.3">
      <c r="A903">
        <v>903</v>
      </c>
      <c r="B903">
        <v>21</v>
      </c>
      <c r="C903">
        <f t="shared" si="31"/>
        <v>17027</v>
      </c>
      <c r="D903" s="12">
        <f t="shared" si="30"/>
        <v>2709000</v>
      </c>
    </row>
    <row r="904" spans="1:4" x14ac:dyDescent="0.3">
      <c r="A904">
        <v>904</v>
      </c>
      <c r="B904">
        <v>21</v>
      </c>
      <c r="C904">
        <f t="shared" si="31"/>
        <v>17048</v>
      </c>
      <c r="D904" s="12">
        <f t="shared" si="30"/>
        <v>2712000</v>
      </c>
    </row>
    <row r="905" spans="1:4" x14ac:dyDescent="0.3">
      <c r="A905">
        <v>905</v>
      </c>
      <c r="B905">
        <v>21</v>
      </c>
      <c r="C905">
        <f t="shared" si="31"/>
        <v>17069</v>
      </c>
      <c r="D905" s="12">
        <f t="shared" si="30"/>
        <v>2715000</v>
      </c>
    </row>
    <row r="906" spans="1:4" x14ac:dyDescent="0.3">
      <c r="A906">
        <v>906</v>
      </c>
      <c r="B906">
        <v>21</v>
      </c>
      <c r="C906">
        <f t="shared" si="31"/>
        <v>17090</v>
      </c>
      <c r="D906" s="12">
        <f t="shared" si="30"/>
        <v>2718000</v>
      </c>
    </row>
    <row r="907" spans="1:4" x14ac:dyDescent="0.3">
      <c r="A907">
        <v>907</v>
      </c>
      <c r="B907">
        <v>21</v>
      </c>
      <c r="C907">
        <f t="shared" si="31"/>
        <v>17111</v>
      </c>
      <c r="D907" s="12">
        <f t="shared" si="30"/>
        <v>2721000</v>
      </c>
    </row>
    <row r="908" spans="1:4" x14ac:dyDescent="0.3">
      <c r="A908">
        <v>908</v>
      </c>
      <c r="B908">
        <v>21</v>
      </c>
      <c r="C908">
        <f t="shared" si="31"/>
        <v>17132</v>
      </c>
      <c r="D908" s="12">
        <f t="shared" si="30"/>
        <v>2724000</v>
      </c>
    </row>
    <row r="909" spans="1:4" x14ac:dyDescent="0.3">
      <c r="A909">
        <v>909</v>
      </c>
      <c r="B909">
        <v>21</v>
      </c>
      <c r="C909">
        <f t="shared" si="31"/>
        <v>17153</v>
      </c>
      <c r="D909" s="12">
        <f t="shared" si="30"/>
        <v>2727000</v>
      </c>
    </row>
    <row r="910" spans="1:4" x14ac:dyDescent="0.3">
      <c r="A910">
        <v>910</v>
      </c>
      <c r="B910">
        <v>21</v>
      </c>
      <c r="C910">
        <f t="shared" si="31"/>
        <v>17174</v>
      </c>
      <c r="D910" s="12">
        <f t="shared" si="30"/>
        <v>2730000</v>
      </c>
    </row>
    <row r="911" spans="1:4" x14ac:dyDescent="0.3">
      <c r="A911">
        <v>911</v>
      </c>
      <c r="B911">
        <v>21</v>
      </c>
      <c r="C911">
        <f t="shared" si="31"/>
        <v>17195</v>
      </c>
      <c r="D911" s="12">
        <f t="shared" si="30"/>
        <v>2733000</v>
      </c>
    </row>
    <row r="912" spans="1:4" x14ac:dyDescent="0.3">
      <c r="A912">
        <v>912</v>
      </c>
      <c r="B912">
        <v>21</v>
      </c>
      <c r="C912">
        <f t="shared" si="31"/>
        <v>17216</v>
      </c>
      <c r="D912" s="12">
        <f t="shared" si="30"/>
        <v>2736000</v>
      </c>
    </row>
    <row r="913" spans="1:4" x14ac:dyDescent="0.3">
      <c r="A913">
        <v>913</v>
      </c>
      <c r="B913">
        <v>21</v>
      </c>
      <c r="C913">
        <f t="shared" si="31"/>
        <v>17237</v>
      </c>
      <c r="D913" s="12">
        <f t="shared" si="30"/>
        <v>2739000</v>
      </c>
    </row>
    <row r="914" spans="1:4" x14ac:dyDescent="0.3">
      <c r="A914">
        <v>914</v>
      </c>
      <c r="B914">
        <v>21</v>
      </c>
      <c r="C914">
        <f t="shared" si="31"/>
        <v>17258</v>
      </c>
      <c r="D914" s="12">
        <f t="shared" si="30"/>
        <v>2742000</v>
      </c>
    </row>
    <row r="915" spans="1:4" x14ac:dyDescent="0.3">
      <c r="A915">
        <v>915</v>
      </c>
      <c r="B915">
        <v>21</v>
      </c>
      <c r="C915">
        <f t="shared" si="31"/>
        <v>17279</v>
      </c>
      <c r="D915" s="12">
        <f t="shared" si="30"/>
        <v>2745000</v>
      </c>
    </row>
    <row r="916" spans="1:4" x14ac:dyDescent="0.3">
      <c r="A916">
        <v>916</v>
      </c>
      <c r="B916">
        <v>21</v>
      </c>
      <c r="C916">
        <f t="shared" si="31"/>
        <v>17300</v>
      </c>
      <c r="D916" s="12">
        <f t="shared" si="30"/>
        <v>2748000</v>
      </c>
    </row>
    <row r="917" spans="1:4" x14ac:dyDescent="0.3">
      <c r="A917">
        <v>917</v>
      </c>
      <c r="B917">
        <v>21</v>
      </c>
      <c r="C917">
        <f t="shared" si="31"/>
        <v>17321</v>
      </c>
      <c r="D917" s="12">
        <f t="shared" si="30"/>
        <v>2751000</v>
      </c>
    </row>
    <row r="918" spans="1:4" x14ac:dyDescent="0.3">
      <c r="A918">
        <v>918</v>
      </c>
      <c r="B918">
        <v>21</v>
      </c>
      <c r="C918">
        <f t="shared" si="31"/>
        <v>17342</v>
      </c>
      <c r="D918" s="12">
        <f t="shared" si="30"/>
        <v>2754000</v>
      </c>
    </row>
    <row r="919" spans="1:4" x14ac:dyDescent="0.3">
      <c r="A919">
        <v>919</v>
      </c>
      <c r="B919">
        <v>21</v>
      </c>
      <c r="C919">
        <f t="shared" si="31"/>
        <v>17363</v>
      </c>
      <c r="D919" s="12">
        <f t="shared" si="30"/>
        <v>2757000</v>
      </c>
    </row>
    <row r="920" spans="1:4" x14ac:dyDescent="0.3">
      <c r="A920">
        <v>920</v>
      </c>
      <c r="B920">
        <v>21</v>
      </c>
      <c r="C920">
        <f t="shared" si="31"/>
        <v>17384</v>
      </c>
      <c r="D920" s="12">
        <f t="shared" si="30"/>
        <v>2760000</v>
      </c>
    </row>
    <row r="921" spans="1:4" x14ac:dyDescent="0.3">
      <c r="A921">
        <v>921</v>
      </c>
      <c r="B921">
        <v>21</v>
      </c>
      <c r="C921">
        <f t="shared" si="31"/>
        <v>17405</v>
      </c>
      <c r="D921" s="12">
        <f t="shared" si="30"/>
        <v>2763000</v>
      </c>
    </row>
    <row r="922" spans="1:4" x14ac:dyDescent="0.3">
      <c r="A922">
        <v>922</v>
      </c>
      <c r="B922">
        <v>21</v>
      </c>
      <c r="C922">
        <f t="shared" si="31"/>
        <v>17426</v>
      </c>
      <c r="D922" s="12">
        <f t="shared" si="30"/>
        <v>2766000</v>
      </c>
    </row>
    <row r="923" spans="1:4" x14ac:dyDescent="0.3">
      <c r="A923">
        <v>923</v>
      </c>
      <c r="B923">
        <v>21</v>
      </c>
      <c r="C923">
        <f t="shared" si="31"/>
        <v>17447</v>
      </c>
      <c r="D923" s="12">
        <f t="shared" si="30"/>
        <v>2769000</v>
      </c>
    </row>
    <row r="924" spans="1:4" x14ac:dyDescent="0.3">
      <c r="A924">
        <v>924</v>
      </c>
      <c r="B924">
        <v>21</v>
      </c>
      <c r="C924">
        <f t="shared" si="31"/>
        <v>17468</v>
      </c>
      <c r="D924" s="12">
        <f t="shared" si="30"/>
        <v>2772000</v>
      </c>
    </row>
    <row r="925" spans="1:4" x14ac:dyDescent="0.3">
      <c r="A925">
        <v>925</v>
      </c>
      <c r="B925">
        <v>21</v>
      </c>
      <c r="C925">
        <f t="shared" si="31"/>
        <v>17489</v>
      </c>
      <c r="D925" s="12">
        <f t="shared" si="30"/>
        <v>2775000</v>
      </c>
    </row>
    <row r="926" spans="1:4" x14ac:dyDescent="0.3">
      <c r="A926">
        <v>926</v>
      </c>
      <c r="B926">
        <v>21</v>
      </c>
      <c r="C926">
        <f t="shared" si="31"/>
        <v>17510</v>
      </c>
      <c r="D926" s="12">
        <f t="shared" si="30"/>
        <v>2778000</v>
      </c>
    </row>
    <row r="927" spans="1:4" x14ac:dyDescent="0.3">
      <c r="A927">
        <v>927</v>
      </c>
      <c r="B927">
        <v>21</v>
      </c>
      <c r="C927">
        <f t="shared" si="31"/>
        <v>17531</v>
      </c>
      <c r="D927" s="12">
        <f t="shared" si="30"/>
        <v>2781000</v>
      </c>
    </row>
    <row r="928" spans="1:4" x14ac:dyDescent="0.3">
      <c r="A928">
        <v>928</v>
      </c>
      <c r="B928">
        <v>21</v>
      </c>
      <c r="C928">
        <f t="shared" si="31"/>
        <v>17552</v>
      </c>
      <c r="D928" s="12">
        <f t="shared" si="30"/>
        <v>2784000</v>
      </c>
    </row>
    <row r="929" spans="1:4" x14ac:dyDescent="0.3">
      <c r="A929">
        <v>929</v>
      </c>
      <c r="B929">
        <v>21</v>
      </c>
      <c r="C929">
        <f t="shared" si="31"/>
        <v>17573</v>
      </c>
      <c r="D929" s="12">
        <f t="shared" si="30"/>
        <v>2787000</v>
      </c>
    </row>
    <row r="930" spans="1:4" x14ac:dyDescent="0.3">
      <c r="A930">
        <v>930</v>
      </c>
      <c r="B930">
        <v>21</v>
      </c>
      <c r="C930">
        <f t="shared" si="31"/>
        <v>17594</v>
      </c>
      <c r="D930" s="12">
        <f t="shared" si="30"/>
        <v>2790000</v>
      </c>
    </row>
    <row r="931" spans="1:4" x14ac:dyDescent="0.3">
      <c r="A931">
        <v>931</v>
      </c>
      <c r="B931">
        <v>21</v>
      </c>
      <c r="C931">
        <f t="shared" si="31"/>
        <v>17615</v>
      </c>
      <c r="D931" s="12">
        <f t="shared" si="30"/>
        <v>2793000</v>
      </c>
    </row>
    <row r="932" spans="1:4" x14ac:dyDescent="0.3">
      <c r="A932">
        <v>932</v>
      </c>
      <c r="B932">
        <v>21</v>
      </c>
      <c r="C932">
        <f t="shared" si="31"/>
        <v>17636</v>
      </c>
      <c r="D932" s="12">
        <f t="shared" si="30"/>
        <v>2796000</v>
      </c>
    </row>
    <row r="933" spans="1:4" x14ac:dyDescent="0.3">
      <c r="A933">
        <v>933</v>
      </c>
      <c r="B933">
        <v>21</v>
      </c>
      <c r="C933">
        <f t="shared" si="31"/>
        <v>17657</v>
      </c>
      <c r="D933" s="12">
        <f t="shared" si="30"/>
        <v>2799000</v>
      </c>
    </row>
    <row r="934" spans="1:4" x14ac:dyDescent="0.3">
      <c r="A934">
        <v>934</v>
      </c>
      <c r="B934">
        <v>21</v>
      </c>
      <c r="C934">
        <f t="shared" si="31"/>
        <v>17678</v>
      </c>
      <c r="D934" s="12">
        <f t="shared" si="30"/>
        <v>2802000</v>
      </c>
    </row>
    <row r="935" spans="1:4" x14ac:dyDescent="0.3">
      <c r="A935">
        <v>935</v>
      </c>
      <c r="B935">
        <v>21</v>
      </c>
      <c r="C935">
        <f t="shared" si="31"/>
        <v>17699</v>
      </c>
      <c r="D935" s="12">
        <f t="shared" si="30"/>
        <v>2805000</v>
      </c>
    </row>
    <row r="936" spans="1:4" x14ac:dyDescent="0.3">
      <c r="A936">
        <v>936</v>
      </c>
      <c r="B936">
        <v>21</v>
      </c>
      <c r="C936">
        <f t="shared" si="31"/>
        <v>17720</v>
      </c>
      <c r="D936" s="12">
        <f t="shared" si="30"/>
        <v>2808000</v>
      </c>
    </row>
    <row r="937" spans="1:4" x14ac:dyDescent="0.3">
      <c r="A937">
        <v>937</v>
      </c>
      <c r="B937">
        <v>21</v>
      </c>
      <c r="C937">
        <f t="shared" si="31"/>
        <v>17741</v>
      </c>
      <c r="D937" s="12">
        <f t="shared" si="30"/>
        <v>2811000</v>
      </c>
    </row>
    <row r="938" spans="1:4" x14ac:dyDescent="0.3">
      <c r="A938">
        <v>938</v>
      </c>
      <c r="B938">
        <v>21</v>
      </c>
      <c r="C938">
        <f t="shared" si="31"/>
        <v>17762</v>
      </c>
      <c r="D938" s="12">
        <f t="shared" si="30"/>
        <v>2814000</v>
      </c>
    </row>
    <row r="939" spans="1:4" x14ac:dyDescent="0.3">
      <c r="A939">
        <v>939</v>
      </c>
      <c r="B939">
        <v>21</v>
      </c>
      <c r="C939">
        <f t="shared" si="31"/>
        <v>17783</v>
      </c>
      <c r="D939" s="12">
        <f t="shared" si="30"/>
        <v>2817000</v>
      </c>
    </row>
    <row r="940" spans="1:4" x14ac:dyDescent="0.3">
      <c r="A940">
        <v>940</v>
      </c>
      <c r="B940">
        <v>21</v>
      </c>
      <c r="C940">
        <f t="shared" si="31"/>
        <v>17804</v>
      </c>
      <c r="D940" s="12">
        <f t="shared" si="30"/>
        <v>2820000</v>
      </c>
    </row>
    <row r="941" spans="1:4" x14ac:dyDescent="0.3">
      <c r="A941">
        <v>941</v>
      </c>
      <c r="B941">
        <v>21</v>
      </c>
      <c r="C941">
        <f t="shared" si="31"/>
        <v>17825</v>
      </c>
      <c r="D941" s="12">
        <f t="shared" si="30"/>
        <v>2823000</v>
      </c>
    </row>
    <row r="942" spans="1:4" x14ac:dyDescent="0.3">
      <c r="A942">
        <v>942</v>
      </c>
      <c r="B942">
        <v>21</v>
      </c>
      <c r="C942">
        <f t="shared" si="31"/>
        <v>17846</v>
      </c>
      <c r="D942" s="12">
        <f t="shared" si="30"/>
        <v>2826000</v>
      </c>
    </row>
    <row r="943" spans="1:4" x14ac:dyDescent="0.3">
      <c r="A943">
        <v>943</v>
      </c>
      <c r="B943">
        <v>21</v>
      </c>
      <c r="C943">
        <f t="shared" si="31"/>
        <v>17867</v>
      </c>
      <c r="D943" s="12">
        <f t="shared" si="30"/>
        <v>2829000</v>
      </c>
    </row>
    <row r="944" spans="1:4" x14ac:dyDescent="0.3">
      <c r="A944">
        <v>944</v>
      </c>
      <c r="B944">
        <v>21</v>
      </c>
      <c r="C944">
        <f t="shared" si="31"/>
        <v>17888</v>
      </c>
      <c r="D944" s="12">
        <f t="shared" si="30"/>
        <v>2832000</v>
      </c>
    </row>
    <row r="945" spans="1:4" x14ac:dyDescent="0.3">
      <c r="A945">
        <v>945</v>
      </c>
      <c r="B945">
        <v>21</v>
      </c>
      <c r="C945">
        <f t="shared" si="31"/>
        <v>17909</v>
      </c>
      <c r="D945" s="12">
        <f t="shared" si="30"/>
        <v>2835000</v>
      </c>
    </row>
    <row r="946" spans="1:4" x14ac:dyDescent="0.3">
      <c r="A946">
        <v>946</v>
      </c>
      <c r="B946">
        <v>21</v>
      </c>
      <c r="C946">
        <f t="shared" si="31"/>
        <v>17930</v>
      </c>
      <c r="D946" s="12">
        <f t="shared" si="30"/>
        <v>2838000</v>
      </c>
    </row>
    <row r="947" spans="1:4" x14ac:dyDescent="0.3">
      <c r="A947">
        <v>947</v>
      </c>
      <c r="B947">
        <v>21</v>
      </c>
      <c r="C947">
        <f t="shared" si="31"/>
        <v>17951</v>
      </c>
      <c r="D947" s="12">
        <f t="shared" si="30"/>
        <v>2841000</v>
      </c>
    </row>
    <row r="948" spans="1:4" x14ac:dyDescent="0.3">
      <c r="A948">
        <v>948</v>
      </c>
      <c r="B948">
        <v>21</v>
      </c>
      <c r="C948">
        <f t="shared" si="31"/>
        <v>17972</v>
      </c>
      <c r="D948" s="12">
        <f t="shared" si="30"/>
        <v>2844000</v>
      </c>
    </row>
    <row r="949" spans="1:4" x14ac:dyDescent="0.3">
      <c r="A949">
        <v>949</v>
      </c>
      <c r="B949">
        <v>21</v>
      </c>
      <c r="C949">
        <f t="shared" si="31"/>
        <v>17993</v>
      </c>
      <c r="D949" s="12">
        <f t="shared" si="30"/>
        <v>2847000</v>
      </c>
    </row>
    <row r="950" spans="1:4" x14ac:dyDescent="0.3">
      <c r="A950">
        <v>950</v>
      </c>
      <c r="B950">
        <v>21</v>
      </c>
      <c r="C950">
        <f t="shared" si="31"/>
        <v>18014</v>
      </c>
      <c r="D950" s="12">
        <f t="shared" si="30"/>
        <v>2850000</v>
      </c>
    </row>
    <row r="951" spans="1:4" x14ac:dyDescent="0.3">
      <c r="A951">
        <v>951</v>
      </c>
      <c r="B951">
        <v>21</v>
      </c>
      <c r="C951">
        <f t="shared" si="31"/>
        <v>18035</v>
      </c>
      <c r="D951" s="12">
        <f t="shared" si="30"/>
        <v>2853000</v>
      </c>
    </row>
    <row r="952" spans="1:4" x14ac:dyDescent="0.3">
      <c r="A952">
        <v>952</v>
      </c>
      <c r="B952">
        <v>21</v>
      </c>
      <c r="C952">
        <f t="shared" si="31"/>
        <v>18056</v>
      </c>
      <c r="D952" s="12">
        <f t="shared" si="30"/>
        <v>2856000</v>
      </c>
    </row>
    <row r="953" spans="1:4" x14ac:dyDescent="0.3">
      <c r="A953">
        <v>953</v>
      </c>
      <c r="B953">
        <v>21</v>
      </c>
      <c r="C953">
        <f t="shared" si="31"/>
        <v>18077</v>
      </c>
      <c r="D953" s="12">
        <f t="shared" si="30"/>
        <v>2859000</v>
      </c>
    </row>
    <row r="954" spans="1:4" x14ac:dyDescent="0.3">
      <c r="A954">
        <v>954</v>
      </c>
      <c r="B954">
        <v>21</v>
      </c>
      <c r="C954">
        <f t="shared" si="31"/>
        <v>18098</v>
      </c>
      <c r="D954" s="12">
        <f t="shared" si="30"/>
        <v>2862000</v>
      </c>
    </row>
    <row r="955" spans="1:4" x14ac:dyDescent="0.3">
      <c r="A955">
        <v>955</v>
      </c>
      <c r="B955">
        <v>21</v>
      </c>
      <c r="C955">
        <f t="shared" si="31"/>
        <v>18119</v>
      </c>
      <c r="D955" s="12">
        <f t="shared" si="30"/>
        <v>2865000</v>
      </c>
    </row>
    <row r="956" spans="1:4" x14ac:dyDescent="0.3">
      <c r="A956">
        <v>956</v>
      </c>
      <c r="B956">
        <v>21</v>
      </c>
      <c r="C956">
        <f t="shared" si="31"/>
        <v>18140</v>
      </c>
      <c r="D956" s="12">
        <f t="shared" si="30"/>
        <v>2868000</v>
      </c>
    </row>
    <row r="957" spans="1:4" x14ac:dyDescent="0.3">
      <c r="A957">
        <v>957</v>
      </c>
      <c r="B957">
        <v>21</v>
      </c>
      <c r="C957">
        <f t="shared" si="31"/>
        <v>18161</v>
      </c>
      <c r="D957" s="12">
        <f t="shared" si="30"/>
        <v>2871000</v>
      </c>
    </row>
    <row r="958" spans="1:4" x14ac:dyDescent="0.3">
      <c r="A958">
        <v>958</v>
      </c>
      <c r="B958">
        <v>21</v>
      </c>
      <c r="C958">
        <f t="shared" si="31"/>
        <v>18182</v>
      </c>
      <c r="D958" s="12">
        <f t="shared" si="30"/>
        <v>2874000</v>
      </c>
    </row>
    <row r="959" spans="1:4" x14ac:dyDescent="0.3">
      <c r="A959">
        <v>959</v>
      </c>
      <c r="B959">
        <v>21</v>
      </c>
      <c r="C959">
        <f t="shared" si="31"/>
        <v>18203</v>
      </c>
      <c r="D959" s="12">
        <f t="shared" si="30"/>
        <v>2877000</v>
      </c>
    </row>
    <row r="960" spans="1:4" x14ac:dyDescent="0.3">
      <c r="A960">
        <v>960</v>
      </c>
      <c r="B960">
        <v>21</v>
      </c>
      <c r="C960">
        <f t="shared" si="31"/>
        <v>18224</v>
      </c>
      <c r="D960" s="12">
        <f t="shared" si="30"/>
        <v>2880000</v>
      </c>
    </row>
    <row r="961" spans="1:4" x14ac:dyDescent="0.3">
      <c r="A961">
        <v>961</v>
      </c>
      <c r="B961">
        <v>21</v>
      </c>
      <c r="C961">
        <f t="shared" si="31"/>
        <v>18245</v>
      </c>
      <c r="D961" s="12">
        <f t="shared" si="30"/>
        <v>2883000</v>
      </c>
    </row>
    <row r="962" spans="1:4" x14ac:dyDescent="0.3">
      <c r="A962">
        <v>962</v>
      </c>
      <c r="B962">
        <v>21</v>
      </c>
      <c r="C962">
        <f t="shared" si="31"/>
        <v>18266</v>
      </c>
      <c r="D962" s="12">
        <f t="shared" ref="D962:D1003" si="32">A962*3000</f>
        <v>2886000</v>
      </c>
    </row>
    <row r="963" spans="1:4" x14ac:dyDescent="0.3">
      <c r="A963">
        <v>963</v>
      </c>
      <c r="B963">
        <v>21</v>
      </c>
      <c r="C963">
        <f t="shared" ref="C963:C1003" si="33">C962+B963</f>
        <v>18287</v>
      </c>
      <c r="D963" s="12">
        <f t="shared" si="32"/>
        <v>2889000</v>
      </c>
    </row>
    <row r="964" spans="1:4" x14ac:dyDescent="0.3">
      <c r="A964">
        <v>964</v>
      </c>
      <c r="B964">
        <v>21</v>
      </c>
      <c r="C964">
        <f t="shared" si="33"/>
        <v>18308</v>
      </c>
      <c r="D964" s="12">
        <f t="shared" si="32"/>
        <v>2892000</v>
      </c>
    </row>
    <row r="965" spans="1:4" x14ac:dyDescent="0.3">
      <c r="A965">
        <v>965</v>
      </c>
      <c r="B965">
        <v>21</v>
      </c>
      <c r="C965">
        <f t="shared" si="33"/>
        <v>18329</v>
      </c>
      <c r="D965" s="12">
        <f t="shared" si="32"/>
        <v>2895000</v>
      </c>
    </row>
    <row r="966" spans="1:4" x14ac:dyDescent="0.3">
      <c r="A966">
        <v>966</v>
      </c>
      <c r="B966">
        <v>21</v>
      </c>
      <c r="C966">
        <f t="shared" si="33"/>
        <v>18350</v>
      </c>
      <c r="D966" s="12">
        <f t="shared" si="32"/>
        <v>2898000</v>
      </c>
    </row>
    <row r="967" spans="1:4" x14ac:dyDescent="0.3">
      <c r="A967">
        <v>967</v>
      </c>
      <c r="B967">
        <v>21</v>
      </c>
      <c r="C967">
        <f t="shared" si="33"/>
        <v>18371</v>
      </c>
      <c r="D967" s="12">
        <f t="shared" si="32"/>
        <v>2901000</v>
      </c>
    </row>
    <row r="968" spans="1:4" x14ac:dyDescent="0.3">
      <c r="A968">
        <v>968</v>
      </c>
      <c r="B968">
        <v>21</v>
      </c>
      <c r="C968">
        <f t="shared" si="33"/>
        <v>18392</v>
      </c>
      <c r="D968" s="12">
        <f t="shared" si="32"/>
        <v>2904000</v>
      </c>
    </row>
    <row r="969" spans="1:4" x14ac:dyDescent="0.3">
      <c r="A969">
        <v>969</v>
      </c>
      <c r="B969">
        <v>21</v>
      </c>
      <c r="C969">
        <f t="shared" si="33"/>
        <v>18413</v>
      </c>
      <c r="D969" s="12">
        <f t="shared" si="32"/>
        <v>2907000</v>
      </c>
    </row>
    <row r="970" spans="1:4" x14ac:dyDescent="0.3">
      <c r="A970">
        <v>970</v>
      </c>
      <c r="B970">
        <v>21</v>
      </c>
      <c r="C970">
        <f t="shared" si="33"/>
        <v>18434</v>
      </c>
      <c r="D970" s="12">
        <f t="shared" si="32"/>
        <v>2910000</v>
      </c>
    </row>
    <row r="971" spans="1:4" x14ac:dyDescent="0.3">
      <c r="A971">
        <v>971</v>
      </c>
      <c r="B971">
        <v>21</v>
      </c>
      <c r="C971">
        <f t="shared" si="33"/>
        <v>18455</v>
      </c>
      <c r="D971" s="12">
        <f t="shared" si="32"/>
        <v>2913000</v>
      </c>
    </row>
    <row r="972" spans="1:4" x14ac:dyDescent="0.3">
      <c r="A972">
        <v>972</v>
      </c>
      <c r="B972">
        <v>21</v>
      </c>
      <c r="C972">
        <f t="shared" si="33"/>
        <v>18476</v>
      </c>
      <c r="D972" s="12">
        <f t="shared" si="32"/>
        <v>2916000</v>
      </c>
    </row>
    <row r="973" spans="1:4" x14ac:dyDescent="0.3">
      <c r="A973">
        <v>973</v>
      </c>
      <c r="B973">
        <v>21</v>
      </c>
      <c r="C973">
        <f t="shared" si="33"/>
        <v>18497</v>
      </c>
      <c r="D973" s="12">
        <f t="shared" si="32"/>
        <v>2919000</v>
      </c>
    </row>
    <row r="974" spans="1:4" x14ac:dyDescent="0.3">
      <c r="A974">
        <v>974</v>
      </c>
      <c r="B974">
        <v>21</v>
      </c>
      <c r="C974">
        <f t="shared" si="33"/>
        <v>18518</v>
      </c>
      <c r="D974" s="12">
        <f t="shared" si="32"/>
        <v>2922000</v>
      </c>
    </row>
    <row r="975" spans="1:4" x14ac:dyDescent="0.3">
      <c r="A975">
        <v>975</v>
      </c>
      <c r="B975">
        <v>21</v>
      </c>
      <c r="C975">
        <f t="shared" si="33"/>
        <v>18539</v>
      </c>
      <c r="D975" s="12">
        <f t="shared" si="32"/>
        <v>2925000</v>
      </c>
    </row>
    <row r="976" spans="1:4" x14ac:dyDescent="0.3">
      <c r="A976">
        <v>976</v>
      </c>
      <c r="B976">
        <v>21</v>
      </c>
      <c r="C976">
        <f t="shared" si="33"/>
        <v>18560</v>
      </c>
      <c r="D976" s="12">
        <f t="shared" si="32"/>
        <v>2928000</v>
      </c>
    </row>
    <row r="977" spans="1:4" x14ac:dyDescent="0.3">
      <c r="A977">
        <v>977</v>
      </c>
      <c r="B977">
        <v>21</v>
      </c>
      <c r="C977">
        <f t="shared" si="33"/>
        <v>18581</v>
      </c>
      <c r="D977" s="12">
        <f t="shared" si="32"/>
        <v>2931000</v>
      </c>
    </row>
    <row r="978" spans="1:4" x14ac:dyDescent="0.3">
      <c r="A978">
        <v>978</v>
      </c>
      <c r="B978">
        <v>21</v>
      </c>
      <c r="C978">
        <f t="shared" si="33"/>
        <v>18602</v>
      </c>
      <c r="D978" s="12">
        <f t="shared" si="32"/>
        <v>2934000</v>
      </c>
    </row>
    <row r="979" spans="1:4" x14ac:dyDescent="0.3">
      <c r="A979">
        <v>979</v>
      </c>
      <c r="B979">
        <v>21</v>
      </c>
      <c r="C979">
        <f t="shared" si="33"/>
        <v>18623</v>
      </c>
      <c r="D979" s="12">
        <f t="shared" si="32"/>
        <v>2937000</v>
      </c>
    </row>
    <row r="980" spans="1:4" x14ac:dyDescent="0.3">
      <c r="A980">
        <v>980</v>
      </c>
      <c r="B980">
        <v>21</v>
      </c>
      <c r="C980">
        <f t="shared" si="33"/>
        <v>18644</v>
      </c>
      <c r="D980" s="12">
        <f t="shared" si="32"/>
        <v>2940000</v>
      </c>
    </row>
    <row r="981" spans="1:4" x14ac:dyDescent="0.3">
      <c r="A981">
        <v>981</v>
      </c>
      <c r="B981">
        <v>21</v>
      </c>
      <c r="C981">
        <f t="shared" si="33"/>
        <v>18665</v>
      </c>
      <c r="D981" s="12">
        <f t="shared" si="32"/>
        <v>2943000</v>
      </c>
    </row>
    <row r="982" spans="1:4" x14ac:dyDescent="0.3">
      <c r="A982">
        <v>982</v>
      </c>
      <c r="B982">
        <v>21</v>
      </c>
      <c r="C982">
        <f t="shared" si="33"/>
        <v>18686</v>
      </c>
      <c r="D982" s="12">
        <f t="shared" si="32"/>
        <v>2946000</v>
      </c>
    </row>
    <row r="983" spans="1:4" x14ac:dyDescent="0.3">
      <c r="A983">
        <v>983</v>
      </c>
      <c r="B983">
        <v>21</v>
      </c>
      <c r="C983">
        <f t="shared" si="33"/>
        <v>18707</v>
      </c>
      <c r="D983" s="12">
        <f t="shared" si="32"/>
        <v>2949000</v>
      </c>
    </row>
    <row r="984" spans="1:4" x14ac:dyDescent="0.3">
      <c r="A984">
        <v>984</v>
      </c>
      <c r="B984">
        <v>21</v>
      </c>
      <c r="C984">
        <f t="shared" si="33"/>
        <v>18728</v>
      </c>
      <c r="D984" s="12">
        <f t="shared" si="32"/>
        <v>2952000</v>
      </c>
    </row>
    <row r="985" spans="1:4" x14ac:dyDescent="0.3">
      <c r="A985">
        <v>985</v>
      </c>
      <c r="B985">
        <v>21</v>
      </c>
      <c r="C985">
        <f t="shared" si="33"/>
        <v>18749</v>
      </c>
      <c r="D985" s="12">
        <f t="shared" si="32"/>
        <v>2955000</v>
      </c>
    </row>
    <row r="986" spans="1:4" x14ac:dyDescent="0.3">
      <c r="A986">
        <v>986</v>
      </c>
      <c r="B986">
        <v>21</v>
      </c>
      <c r="C986">
        <f t="shared" si="33"/>
        <v>18770</v>
      </c>
      <c r="D986" s="12">
        <f t="shared" si="32"/>
        <v>2958000</v>
      </c>
    </row>
    <row r="987" spans="1:4" x14ac:dyDescent="0.3">
      <c r="A987">
        <v>987</v>
      </c>
      <c r="B987">
        <v>21</v>
      </c>
      <c r="C987">
        <f t="shared" si="33"/>
        <v>18791</v>
      </c>
      <c r="D987" s="12">
        <f t="shared" si="32"/>
        <v>2961000</v>
      </c>
    </row>
    <row r="988" spans="1:4" x14ac:dyDescent="0.3">
      <c r="A988">
        <v>988</v>
      </c>
      <c r="B988">
        <v>21</v>
      </c>
      <c r="C988">
        <f t="shared" si="33"/>
        <v>18812</v>
      </c>
      <c r="D988" s="12">
        <f t="shared" si="32"/>
        <v>2964000</v>
      </c>
    </row>
    <row r="989" spans="1:4" x14ac:dyDescent="0.3">
      <c r="A989">
        <v>989</v>
      </c>
      <c r="B989">
        <v>21</v>
      </c>
      <c r="C989">
        <f t="shared" si="33"/>
        <v>18833</v>
      </c>
      <c r="D989" s="12">
        <f t="shared" si="32"/>
        <v>2967000</v>
      </c>
    </row>
    <row r="990" spans="1:4" x14ac:dyDescent="0.3">
      <c r="A990">
        <v>990</v>
      </c>
      <c r="B990">
        <v>21</v>
      </c>
      <c r="C990">
        <f t="shared" si="33"/>
        <v>18854</v>
      </c>
      <c r="D990" s="12">
        <f t="shared" si="32"/>
        <v>2970000</v>
      </c>
    </row>
    <row r="991" spans="1:4" x14ac:dyDescent="0.3">
      <c r="A991">
        <v>991</v>
      </c>
      <c r="B991">
        <v>21</v>
      </c>
      <c r="C991">
        <f t="shared" si="33"/>
        <v>18875</v>
      </c>
      <c r="D991" s="12">
        <f t="shared" si="32"/>
        <v>2973000</v>
      </c>
    </row>
    <row r="992" spans="1:4" x14ac:dyDescent="0.3">
      <c r="A992">
        <v>992</v>
      </c>
      <c r="B992">
        <v>21</v>
      </c>
      <c r="C992">
        <f t="shared" si="33"/>
        <v>18896</v>
      </c>
      <c r="D992" s="12">
        <f t="shared" si="32"/>
        <v>2976000</v>
      </c>
    </row>
    <row r="993" spans="1:4" x14ac:dyDescent="0.3">
      <c r="A993">
        <v>993</v>
      </c>
      <c r="B993">
        <v>21</v>
      </c>
      <c r="C993">
        <f t="shared" si="33"/>
        <v>18917</v>
      </c>
      <c r="D993" s="12">
        <f t="shared" si="32"/>
        <v>2979000</v>
      </c>
    </row>
    <row r="994" spans="1:4" x14ac:dyDescent="0.3">
      <c r="A994">
        <v>994</v>
      </c>
      <c r="B994">
        <v>21</v>
      </c>
      <c r="C994">
        <f t="shared" si="33"/>
        <v>18938</v>
      </c>
      <c r="D994" s="12">
        <f t="shared" si="32"/>
        <v>2982000</v>
      </c>
    </row>
    <row r="995" spans="1:4" x14ac:dyDescent="0.3">
      <c r="A995">
        <v>995</v>
      </c>
      <c r="B995">
        <v>21</v>
      </c>
      <c r="C995">
        <f t="shared" si="33"/>
        <v>18959</v>
      </c>
      <c r="D995" s="12">
        <f t="shared" si="32"/>
        <v>2985000</v>
      </c>
    </row>
    <row r="996" spans="1:4" x14ac:dyDescent="0.3">
      <c r="A996">
        <v>996</v>
      </c>
      <c r="B996">
        <v>21</v>
      </c>
      <c r="C996">
        <f t="shared" si="33"/>
        <v>18980</v>
      </c>
      <c r="D996" s="12">
        <f t="shared" si="32"/>
        <v>2988000</v>
      </c>
    </row>
    <row r="997" spans="1:4" x14ac:dyDescent="0.3">
      <c r="A997">
        <v>997</v>
      </c>
      <c r="B997">
        <v>21</v>
      </c>
      <c r="C997">
        <f t="shared" si="33"/>
        <v>19001</v>
      </c>
      <c r="D997" s="12">
        <f t="shared" si="32"/>
        <v>2991000</v>
      </c>
    </row>
    <row r="998" spans="1:4" x14ac:dyDescent="0.3">
      <c r="A998">
        <v>998</v>
      </c>
      <c r="B998">
        <v>21</v>
      </c>
      <c r="C998">
        <f t="shared" si="33"/>
        <v>19022</v>
      </c>
      <c r="D998" s="12">
        <f t="shared" si="32"/>
        <v>2994000</v>
      </c>
    </row>
    <row r="999" spans="1:4" x14ac:dyDescent="0.3">
      <c r="A999">
        <v>999</v>
      </c>
      <c r="B999">
        <v>21</v>
      </c>
      <c r="C999">
        <f t="shared" si="33"/>
        <v>19043</v>
      </c>
      <c r="D999" s="12">
        <f t="shared" si="32"/>
        <v>2997000</v>
      </c>
    </row>
    <row r="1000" spans="1:4" x14ac:dyDescent="0.3">
      <c r="A1000">
        <v>1000</v>
      </c>
      <c r="B1000">
        <v>21</v>
      </c>
      <c r="C1000">
        <f t="shared" si="33"/>
        <v>19064</v>
      </c>
      <c r="D1000" s="12">
        <f t="shared" si="32"/>
        <v>3000000</v>
      </c>
    </row>
    <row r="1001" spans="1:4" x14ac:dyDescent="0.3">
      <c r="A1001">
        <v>1001</v>
      </c>
      <c r="B1001">
        <v>21</v>
      </c>
      <c r="C1001">
        <f t="shared" si="33"/>
        <v>19085</v>
      </c>
      <c r="D1001" s="12">
        <f t="shared" si="32"/>
        <v>3003000</v>
      </c>
    </row>
    <row r="1002" spans="1:4" x14ac:dyDescent="0.3">
      <c r="A1002">
        <v>1002</v>
      </c>
      <c r="B1002">
        <v>21</v>
      </c>
      <c r="C1002">
        <f t="shared" si="33"/>
        <v>19106</v>
      </c>
      <c r="D1002" s="12">
        <f t="shared" si="32"/>
        <v>3006000</v>
      </c>
    </row>
    <row r="1003" spans="1:4" x14ac:dyDescent="0.3">
      <c r="A1003">
        <v>1003</v>
      </c>
      <c r="B1003">
        <v>21</v>
      </c>
      <c r="C1003">
        <f t="shared" si="33"/>
        <v>19127</v>
      </c>
      <c r="D1003" s="12">
        <f t="shared" si="32"/>
        <v>3009000</v>
      </c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8EEFDD-F861-4161-9E4C-FCE9DEFBEEBB}">
  <dimension ref="A1:CB1405"/>
  <sheetViews>
    <sheetView topLeftCell="AT1" workbookViewId="0">
      <selection activeCell="BL5" sqref="BL5"/>
    </sheetView>
  </sheetViews>
  <sheetFormatPr defaultRowHeight="16.5" x14ac:dyDescent="0.3"/>
  <cols>
    <col min="34" max="34" width="13.125" bestFit="1" customWidth="1"/>
    <col min="54" max="54" width="9.5" bestFit="1" customWidth="1"/>
    <col min="64" max="64" width="12.75" bestFit="1" customWidth="1"/>
  </cols>
  <sheetData>
    <row r="1" spans="1:80" ht="18" customHeight="1" thickBot="1" x14ac:dyDescent="0.35">
      <c r="A1" t="s">
        <v>121</v>
      </c>
      <c r="G1" t="s">
        <v>117</v>
      </c>
      <c r="AK1" t="s">
        <v>125</v>
      </c>
      <c r="AM1" t="s">
        <v>129</v>
      </c>
    </row>
    <row r="2" spans="1:80" ht="18" thickTop="1" thickBot="1" x14ac:dyDescent="0.25">
      <c r="A2" s="159" t="s">
        <v>118</v>
      </c>
      <c r="B2" s="160"/>
      <c r="D2" s="159" t="s">
        <v>126</v>
      </c>
      <c r="E2" s="160"/>
      <c r="G2" s="159" t="s">
        <v>114</v>
      </c>
      <c r="H2" s="160"/>
      <c r="AL2" t="s">
        <v>124</v>
      </c>
    </row>
    <row r="3" spans="1:80" ht="18" thickTop="1" thickBot="1" x14ac:dyDescent="0.25">
      <c r="A3" s="129" t="s">
        <v>119</v>
      </c>
      <c r="B3" s="130" t="s">
        <v>120</v>
      </c>
      <c r="D3" s="129" t="s">
        <v>127</v>
      </c>
      <c r="E3" s="130" t="s">
        <v>116</v>
      </c>
      <c r="G3" s="129" t="s">
        <v>115</v>
      </c>
      <c r="H3" s="130" t="s">
        <v>116</v>
      </c>
      <c r="J3" t="s">
        <v>4</v>
      </c>
      <c r="K3" t="s">
        <v>78</v>
      </c>
      <c r="M3" t="s">
        <v>4</v>
      </c>
      <c r="N3">
        <v>1</v>
      </c>
      <c r="O3">
        <v>2</v>
      </c>
      <c r="P3">
        <v>3</v>
      </c>
      <c r="Q3">
        <v>4</v>
      </c>
      <c r="R3">
        <v>5</v>
      </c>
      <c r="S3">
        <v>6</v>
      </c>
      <c r="T3">
        <v>7</v>
      </c>
      <c r="U3">
        <v>8</v>
      </c>
      <c r="V3">
        <v>9</v>
      </c>
      <c r="W3">
        <v>10</v>
      </c>
      <c r="X3">
        <v>11</v>
      </c>
      <c r="Y3">
        <v>12</v>
      </c>
      <c r="Z3">
        <v>13</v>
      </c>
      <c r="AA3">
        <v>14</v>
      </c>
      <c r="AB3">
        <v>15</v>
      </c>
      <c r="AC3">
        <v>16</v>
      </c>
      <c r="AD3">
        <v>17</v>
      </c>
      <c r="AE3">
        <v>18</v>
      </c>
      <c r="AF3">
        <v>19</v>
      </c>
      <c r="AG3">
        <v>20</v>
      </c>
      <c r="AH3">
        <v>0</v>
      </c>
      <c r="AL3" t="s">
        <v>128</v>
      </c>
      <c r="AM3" s="25">
        <f t="shared" ref="AM3:BK3" si="0">AM206/$BL$206</f>
        <v>0.38284845771144277</v>
      </c>
      <c r="AN3" s="25">
        <f t="shared" si="0"/>
        <v>0.54692636815920403</v>
      </c>
      <c r="AO3" s="25">
        <f t="shared" si="0"/>
        <v>0.82038955223880605</v>
      </c>
      <c r="AP3" s="25">
        <f t="shared" si="0"/>
        <v>1.0938527363184081</v>
      </c>
      <c r="AQ3" s="25">
        <f t="shared" si="0"/>
        <v>1.9142422885572141</v>
      </c>
      <c r="AR3" s="25">
        <f t="shared" si="0"/>
        <v>2.7346318407960202</v>
      </c>
      <c r="AS3" s="25">
        <f t="shared" si="0"/>
        <v>4.3754109452736323</v>
      </c>
      <c r="AT3" s="25">
        <f t="shared" si="0"/>
        <v>6.5631164179104484</v>
      </c>
      <c r="AU3" s="25">
        <f t="shared" si="0"/>
        <v>9.2977482587064681</v>
      </c>
      <c r="AV3" s="25">
        <f t="shared" si="0"/>
        <v>13.126232835820897</v>
      </c>
      <c r="AW3" s="25">
        <f t="shared" si="0"/>
        <v>18.048570149253734</v>
      </c>
      <c r="AX3" s="25">
        <f t="shared" si="0"/>
        <v>25.158612935323386</v>
      </c>
      <c r="AY3" s="25">
        <f t="shared" si="0"/>
        <v>43.754109452736323</v>
      </c>
      <c r="AZ3" s="25">
        <f t="shared" si="0"/>
        <v>82.038955223880606</v>
      </c>
      <c r="BA3" s="25">
        <f t="shared" si="0"/>
        <v>136.731592039801</v>
      </c>
      <c r="BB3" s="25">
        <f t="shared" si="0"/>
        <v>218.77054726368161</v>
      </c>
      <c r="BC3" s="25">
        <f t="shared" si="0"/>
        <v>546.926368159204</v>
      </c>
      <c r="BD3" s="25">
        <f t="shared" si="0"/>
        <v>820.389552238806</v>
      </c>
      <c r="BE3" s="25">
        <f t="shared" si="0"/>
        <v>1312.6232835820897</v>
      </c>
      <c r="BF3" s="25">
        <f t="shared" si="0"/>
        <v>1640.779104477612</v>
      </c>
      <c r="BG3" s="25">
        <f t="shared" si="0"/>
        <v>5469.2636815920396</v>
      </c>
      <c r="BH3" s="25">
        <f t="shared" si="0"/>
        <v>16407.791044776121</v>
      </c>
      <c r="BI3" s="25">
        <f t="shared" si="0"/>
        <v>46488.741293532337</v>
      </c>
      <c r="BJ3" s="25">
        <f t="shared" si="0"/>
        <v>164077.91044776121</v>
      </c>
      <c r="BK3" s="25">
        <f t="shared" si="0"/>
        <v>546926.36815920402</v>
      </c>
    </row>
    <row r="4" spans="1:80" ht="18" thickTop="1" thickBot="1" x14ac:dyDescent="0.25">
      <c r="A4" s="131">
        <v>0</v>
      </c>
      <c r="B4" s="132">
        <v>0</v>
      </c>
      <c r="D4" s="131">
        <v>0</v>
      </c>
      <c r="E4" s="132">
        <v>1</v>
      </c>
      <c r="G4" s="131">
        <v>1</v>
      </c>
      <c r="H4" s="132">
        <v>10</v>
      </c>
      <c r="I4" s="137">
        <v>7</v>
      </c>
      <c r="J4" t="s">
        <v>123</v>
      </c>
      <c r="K4" t="s">
        <v>122</v>
      </c>
      <c r="M4">
        <v>0</v>
      </c>
      <c r="N4">
        <f t="shared" ref="N4:AD4" si="1">(VLOOKUP(N$3,$G$4:$H$23,2,0)*VLOOKUP($M4+1,$A$4:$B$1404,2,0)
)</f>
        <v>102050</v>
      </c>
      <c r="O4">
        <f t="shared" si="1"/>
        <v>204100</v>
      </c>
      <c r="P4">
        <f t="shared" si="1"/>
        <v>306150</v>
      </c>
      <c r="Q4">
        <f t="shared" si="1"/>
        <v>408200</v>
      </c>
      <c r="R4">
        <f t="shared" si="1"/>
        <v>612300</v>
      </c>
      <c r="S4">
        <f t="shared" si="1"/>
        <v>714350</v>
      </c>
      <c r="T4">
        <f t="shared" si="1"/>
        <v>1020500</v>
      </c>
      <c r="U4">
        <f t="shared" si="1"/>
        <v>1530750</v>
      </c>
      <c r="V4">
        <f t="shared" si="1"/>
        <v>2449200</v>
      </c>
      <c r="W4">
        <f t="shared" si="1"/>
        <v>3673800</v>
      </c>
      <c r="X4">
        <f t="shared" si="1"/>
        <v>5102500</v>
      </c>
      <c r="Y4">
        <f t="shared" si="1"/>
        <v>6123000</v>
      </c>
      <c r="Z4">
        <f t="shared" si="1"/>
        <v>9796800</v>
      </c>
      <c r="AA4">
        <f t="shared" si="1"/>
        <v>10205000</v>
      </c>
      <c r="AB4">
        <f t="shared" si="1"/>
        <v>15307500</v>
      </c>
      <c r="AC4">
        <f t="shared" si="1"/>
        <v>24492000</v>
      </c>
      <c r="AD4">
        <f t="shared" si="1"/>
        <v>36738000</v>
      </c>
      <c r="AE4">
        <f t="shared" ref="AE4:AG19" si="2">(VLOOKUP(AE$3,$G$4:$H$23,2,0)*VLOOKUP($M4+1,$A$4:$B$1404,2,0)
)</f>
        <v>42861000</v>
      </c>
      <c r="AF4">
        <f t="shared" si="2"/>
        <v>56127500</v>
      </c>
      <c r="AG4">
        <f t="shared" si="2"/>
        <v>71435000</v>
      </c>
      <c r="AM4">
        <v>1</v>
      </c>
      <c r="AN4">
        <v>2</v>
      </c>
      <c r="AO4">
        <v>3</v>
      </c>
      <c r="AP4">
        <v>4</v>
      </c>
      <c r="AQ4">
        <v>5</v>
      </c>
      <c r="AR4">
        <v>6</v>
      </c>
      <c r="AS4">
        <v>7</v>
      </c>
      <c r="AT4">
        <v>8</v>
      </c>
      <c r="AU4">
        <v>9</v>
      </c>
      <c r="AV4">
        <v>10</v>
      </c>
      <c r="AW4">
        <v>11</v>
      </c>
      <c r="AX4">
        <v>12</v>
      </c>
      <c r="AY4">
        <v>13</v>
      </c>
      <c r="AZ4">
        <v>14</v>
      </c>
      <c r="BA4">
        <v>15</v>
      </c>
      <c r="BB4">
        <v>16</v>
      </c>
      <c r="BC4">
        <v>17</v>
      </c>
      <c r="BD4">
        <v>18</v>
      </c>
      <c r="BE4">
        <v>19</v>
      </c>
      <c r="BF4">
        <v>20</v>
      </c>
      <c r="BG4">
        <v>21</v>
      </c>
      <c r="BH4">
        <v>22</v>
      </c>
      <c r="BI4">
        <v>23</v>
      </c>
      <c r="BJ4">
        <v>24</v>
      </c>
      <c r="BK4">
        <v>25</v>
      </c>
    </row>
    <row r="5" spans="1:80" ht="18" thickTop="1" thickBot="1" x14ac:dyDescent="0.25">
      <c r="A5" s="131">
        <v>1</v>
      </c>
      <c r="B5" s="132">
        <v>10205</v>
      </c>
      <c r="D5" s="131">
        <v>1</v>
      </c>
      <c r="E5" s="132">
        <v>1.375</v>
      </c>
      <c r="G5" s="131">
        <v>2</v>
      </c>
      <c r="H5" s="132">
        <v>20</v>
      </c>
      <c r="I5" s="138">
        <v>10</v>
      </c>
      <c r="M5">
        <v>1</v>
      </c>
      <c r="N5">
        <f t="shared" ref="N5:AC68" si="3">(VLOOKUP(N$3,$G$4:$H$23,2,0)*VLOOKUP($M5+1,$A$4:$B$1404,2,0)
)</f>
        <v>282330</v>
      </c>
      <c r="O5">
        <f t="shared" ref="O5:AD17" si="4">(VLOOKUP(O$3,$G$4:$H$23,2,0)*VLOOKUP($M5+1,$A$4:$B$1404,2,0)
)</f>
        <v>564660</v>
      </c>
      <c r="P5">
        <f t="shared" si="4"/>
        <v>846990</v>
      </c>
      <c r="Q5">
        <f t="shared" si="4"/>
        <v>1129320</v>
      </c>
      <c r="R5">
        <f t="shared" si="4"/>
        <v>1693980</v>
      </c>
      <c r="S5">
        <f t="shared" si="4"/>
        <v>1976310</v>
      </c>
      <c r="T5">
        <f t="shared" si="4"/>
        <v>2823300</v>
      </c>
      <c r="U5">
        <f t="shared" si="4"/>
        <v>4234950</v>
      </c>
      <c r="V5">
        <f t="shared" si="4"/>
        <v>6775920</v>
      </c>
      <c r="W5">
        <f t="shared" si="4"/>
        <v>10163880</v>
      </c>
      <c r="X5">
        <f t="shared" si="4"/>
        <v>14116500</v>
      </c>
      <c r="Y5">
        <f t="shared" si="4"/>
        <v>16939800</v>
      </c>
      <c r="Z5">
        <f t="shared" si="4"/>
        <v>27103680</v>
      </c>
      <c r="AA5">
        <f t="shared" si="4"/>
        <v>28233000</v>
      </c>
      <c r="AB5">
        <f t="shared" si="4"/>
        <v>42349500</v>
      </c>
      <c r="AC5">
        <f t="shared" si="4"/>
        <v>67759200</v>
      </c>
      <c r="AD5">
        <f t="shared" si="4"/>
        <v>101638800</v>
      </c>
      <c r="AE5">
        <f t="shared" si="2"/>
        <v>118578600</v>
      </c>
      <c r="AF5">
        <f t="shared" si="2"/>
        <v>155281500</v>
      </c>
      <c r="AG5">
        <f t="shared" si="2"/>
        <v>197631000</v>
      </c>
      <c r="AM5" s="137">
        <v>7</v>
      </c>
      <c r="AN5" s="138">
        <v>10</v>
      </c>
      <c r="AO5" s="138">
        <v>15</v>
      </c>
      <c r="AP5" s="138">
        <v>20</v>
      </c>
      <c r="AQ5" s="139">
        <v>35</v>
      </c>
      <c r="AR5" s="139">
        <v>50</v>
      </c>
      <c r="AS5" s="139">
        <v>80</v>
      </c>
      <c r="AT5" s="139">
        <v>120</v>
      </c>
      <c r="AU5" s="140">
        <v>170</v>
      </c>
      <c r="AV5" s="140">
        <v>240</v>
      </c>
      <c r="AW5" s="140">
        <v>330</v>
      </c>
      <c r="AX5" s="140">
        <v>460</v>
      </c>
      <c r="AY5" s="141">
        <v>800</v>
      </c>
      <c r="AZ5" s="141">
        <v>1500</v>
      </c>
      <c r="BA5" s="141">
        <v>2500</v>
      </c>
      <c r="BB5" s="141">
        <v>4000</v>
      </c>
      <c r="BC5" s="142">
        <v>10000</v>
      </c>
      <c r="BD5" s="142">
        <v>15000</v>
      </c>
      <c r="BE5" s="142">
        <v>24000</v>
      </c>
      <c r="BF5" s="142">
        <v>30000</v>
      </c>
      <c r="BG5" s="143">
        <v>100000</v>
      </c>
      <c r="BH5" s="143">
        <v>300000</v>
      </c>
      <c r="BI5" s="143">
        <v>850000</v>
      </c>
      <c r="BJ5" s="143">
        <v>3000000</v>
      </c>
      <c r="BK5" s="144">
        <v>10000000</v>
      </c>
      <c r="BL5" s="147" cm="1">
        <f t="array" ref="BL5:CB5">'[1]슬키 비용'!$AV$3:$BL$3+[1]능력치!$Y$2670</f>
        <v>1.185549931632125E-5</v>
      </c>
      <c r="BM5">
        <v>1.6737175505394705E-5</v>
      </c>
      <c r="BN5">
        <v>2.301361631991772E-5</v>
      </c>
      <c r="BO5">
        <v>3.207958638533985E-5</v>
      </c>
      <c r="BP5">
        <v>5.5790585017982353E-5</v>
      </c>
      <c r="BQ5">
        <v>1.046073469087169E-4</v>
      </c>
      <c r="BR5">
        <v>1.7434557818119486E-4</v>
      </c>
      <c r="BS5">
        <v>2.7895292508991175E-4</v>
      </c>
      <c r="BT5">
        <v>6.9738231272477942E-4</v>
      </c>
      <c r="BU5">
        <v>1.0460734690871691E-3</v>
      </c>
      <c r="BV5">
        <v>1.6737175505394705E-3</v>
      </c>
      <c r="BW5">
        <v>2.0921469381743382E-3</v>
      </c>
      <c r="BX5">
        <v>6.9738231272477936E-3</v>
      </c>
      <c r="BY5">
        <v>2.0921469381743382E-2</v>
      </c>
      <c r="BZ5">
        <v>5.9277496581606248E-2</v>
      </c>
      <c r="CA5">
        <v>0.20921469381743382</v>
      </c>
      <c r="CB5">
        <v>0.69738231272477935</v>
      </c>
    </row>
    <row r="6" spans="1:80" ht="18" thickTop="1" thickBot="1" x14ac:dyDescent="0.25">
      <c r="A6" s="131">
        <v>2</v>
      </c>
      <c r="B6" s="132">
        <v>28233</v>
      </c>
      <c r="D6" s="131">
        <v>2</v>
      </c>
      <c r="E6" s="132">
        <v>1.70834</v>
      </c>
      <c r="G6" s="131">
        <v>3</v>
      </c>
      <c r="H6" s="132">
        <v>30</v>
      </c>
      <c r="I6" s="138">
        <v>15</v>
      </c>
      <c r="M6">
        <v>2</v>
      </c>
      <c r="N6">
        <f t="shared" si="3"/>
        <v>503110</v>
      </c>
      <c r="O6">
        <f t="shared" si="4"/>
        <v>1006220</v>
      </c>
      <c r="P6">
        <f t="shared" si="4"/>
        <v>1509330</v>
      </c>
      <c r="Q6">
        <f t="shared" si="4"/>
        <v>2012440</v>
      </c>
      <c r="R6">
        <f t="shared" si="4"/>
        <v>3018660</v>
      </c>
      <c r="S6">
        <f t="shared" si="4"/>
        <v>3521770</v>
      </c>
      <c r="T6">
        <f t="shared" si="4"/>
        <v>5031100</v>
      </c>
      <c r="U6">
        <f t="shared" si="4"/>
        <v>7546650</v>
      </c>
      <c r="V6">
        <f t="shared" si="4"/>
        <v>12074640</v>
      </c>
      <c r="W6">
        <f t="shared" si="4"/>
        <v>18111960</v>
      </c>
      <c r="X6">
        <f t="shared" si="4"/>
        <v>25155500</v>
      </c>
      <c r="Y6">
        <f t="shared" si="4"/>
        <v>30186600</v>
      </c>
      <c r="Z6">
        <f t="shared" si="4"/>
        <v>48298560</v>
      </c>
      <c r="AA6">
        <f t="shared" si="4"/>
        <v>50311000</v>
      </c>
      <c r="AB6">
        <f t="shared" si="4"/>
        <v>75466500</v>
      </c>
      <c r="AC6">
        <f t="shared" si="4"/>
        <v>120746400</v>
      </c>
      <c r="AD6">
        <f t="shared" si="4"/>
        <v>181119600</v>
      </c>
      <c r="AE6">
        <f t="shared" si="2"/>
        <v>211306200</v>
      </c>
      <c r="AF6">
        <f t="shared" si="2"/>
        <v>276710500</v>
      </c>
      <c r="AG6">
        <f t="shared" si="2"/>
        <v>352177000</v>
      </c>
      <c r="AJ6" s="137">
        <v>7</v>
      </c>
      <c r="AK6">
        <v>0</v>
      </c>
      <c r="AL6">
        <f>VLOOKUP(AK6,D$2:E$1404,2,FALSE)</f>
        <v>1</v>
      </c>
      <c r="AM6">
        <f>AM$5*VLOOKUP($AK6,$D$2:$E$1404,2,FALSE)</f>
        <v>7</v>
      </c>
      <c r="AN6">
        <f t="shared" ref="AN6:BK16" si="5">AN$5*VLOOKUP($AK6,$D$2:$E$1404,2,FALSE)</f>
        <v>10</v>
      </c>
      <c r="AO6">
        <f t="shared" si="5"/>
        <v>15</v>
      </c>
      <c r="AP6">
        <f t="shared" si="5"/>
        <v>20</v>
      </c>
      <c r="AQ6">
        <f t="shared" si="5"/>
        <v>35</v>
      </c>
      <c r="AR6">
        <f t="shared" si="5"/>
        <v>50</v>
      </c>
      <c r="AS6">
        <f t="shared" si="5"/>
        <v>80</v>
      </c>
      <c r="AT6">
        <f t="shared" si="5"/>
        <v>120</v>
      </c>
      <c r="AU6">
        <f t="shared" si="5"/>
        <v>170</v>
      </c>
      <c r="AV6">
        <f t="shared" si="5"/>
        <v>240</v>
      </c>
      <c r="AW6">
        <f t="shared" si="5"/>
        <v>330</v>
      </c>
      <c r="AX6">
        <f t="shared" si="5"/>
        <v>460</v>
      </c>
      <c r="AY6">
        <f t="shared" si="5"/>
        <v>800</v>
      </c>
      <c r="AZ6">
        <f t="shared" si="5"/>
        <v>1500</v>
      </c>
      <c r="BA6">
        <f t="shared" si="5"/>
        <v>2500</v>
      </c>
      <c r="BB6">
        <f t="shared" si="5"/>
        <v>4000</v>
      </c>
      <c r="BC6">
        <f t="shared" si="5"/>
        <v>10000</v>
      </c>
      <c r="BD6">
        <f t="shared" si="5"/>
        <v>15000</v>
      </c>
      <c r="BE6">
        <f t="shared" si="5"/>
        <v>24000</v>
      </c>
      <c r="BF6">
        <f t="shared" si="5"/>
        <v>30000</v>
      </c>
      <c r="BG6">
        <f t="shared" si="5"/>
        <v>100000</v>
      </c>
      <c r="BH6">
        <f t="shared" si="5"/>
        <v>300000</v>
      </c>
      <c r="BI6">
        <f t="shared" si="5"/>
        <v>850000</v>
      </c>
      <c r="BJ6">
        <f t="shared" si="5"/>
        <v>3000000</v>
      </c>
      <c r="BK6">
        <f t="shared" si="5"/>
        <v>10000000</v>
      </c>
      <c r="BL6">
        <v>1</v>
      </c>
    </row>
    <row r="7" spans="1:80" ht="17.25" thickBot="1" x14ac:dyDescent="0.25">
      <c r="A7" s="131">
        <v>3</v>
      </c>
      <c r="B7" s="132">
        <v>50311</v>
      </c>
      <c r="D7" s="131">
        <v>3</v>
      </c>
      <c r="E7" s="132">
        <v>2.00834</v>
      </c>
      <c r="G7" s="131">
        <v>4</v>
      </c>
      <c r="H7" s="132">
        <v>40</v>
      </c>
      <c r="I7" s="138">
        <v>20</v>
      </c>
      <c r="M7">
        <v>3</v>
      </c>
      <c r="N7">
        <f t="shared" si="3"/>
        <v>758050</v>
      </c>
      <c r="O7">
        <f t="shared" si="4"/>
        <v>1516100</v>
      </c>
      <c r="P7">
        <f t="shared" si="4"/>
        <v>2274150</v>
      </c>
      <c r="Q7">
        <f t="shared" si="4"/>
        <v>3032200</v>
      </c>
      <c r="R7">
        <f t="shared" si="4"/>
        <v>4548300</v>
      </c>
      <c r="S7">
        <f t="shared" si="4"/>
        <v>5306350</v>
      </c>
      <c r="T7">
        <f t="shared" si="4"/>
        <v>7580500</v>
      </c>
      <c r="U7">
        <f t="shared" si="4"/>
        <v>11370750</v>
      </c>
      <c r="V7">
        <f t="shared" si="4"/>
        <v>18193200</v>
      </c>
      <c r="W7">
        <f t="shared" si="4"/>
        <v>27289800</v>
      </c>
      <c r="X7">
        <f t="shared" si="4"/>
        <v>37902500</v>
      </c>
      <c r="Y7">
        <f t="shared" si="4"/>
        <v>45483000</v>
      </c>
      <c r="Z7">
        <f t="shared" si="4"/>
        <v>72772800</v>
      </c>
      <c r="AA7">
        <f t="shared" si="4"/>
        <v>75805000</v>
      </c>
      <c r="AB7">
        <f t="shared" si="4"/>
        <v>113707500</v>
      </c>
      <c r="AC7">
        <f t="shared" si="4"/>
        <v>181932000</v>
      </c>
      <c r="AD7">
        <f t="shared" si="4"/>
        <v>272898000</v>
      </c>
      <c r="AE7">
        <f t="shared" si="2"/>
        <v>318381000</v>
      </c>
      <c r="AF7">
        <f t="shared" si="2"/>
        <v>416927500</v>
      </c>
      <c r="AG7">
        <f t="shared" si="2"/>
        <v>530635000</v>
      </c>
      <c r="AJ7" s="138">
        <v>10</v>
      </c>
      <c r="AK7">
        <v>1</v>
      </c>
      <c r="AL7" s="24">
        <f t="shared" ref="AL7:AL70" si="6">VLOOKUP(AK7,D$2:E$1404,2,FALSE)</f>
        <v>1.375</v>
      </c>
      <c r="AM7">
        <f t="shared" ref="AM7:BB32" si="7">AM$5*VLOOKUP($AK7,$D$2:$E$1404,2,FALSE)</f>
        <v>9.625</v>
      </c>
      <c r="AN7">
        <f t="shared" si="5"/>
        <v>13.75</v>
      </c>
      <c r="AO7">
        <f t="shared" si="5"/>
        <v>20.625</v>
      </c>
      <c r="AP7">
        <f t="shared" si="5"/>
        <v>27.5</v>
      </c>
      <c r="AQ7">
        <f t="shared" si="5"/>
        <v>48.125</v>
      </c>
      <c r="AR7">
        <f t="shared" si="5"/>
        <v>68.75</v>
      </c>
      <c r="AS7">
        <f t="shared" si="5"/>
        <v>110</v>
      </c>
      <c r="AT7">
        <f t="shared" si="5"/>
        <v>165</v>
      </c>
      <c r="AU7">
        <f t="shared" si="5"/>
        <v>233.75</v>
      </c>
      <c r="AV7">
        <f t="shared" si="5"/>
        <v>330</v>
      </c>
      <c r="AW7">
        <f t="shared" si="5"/>
        <v>453.75</v>
      </c>
      <c r="AX7">
        <f t="shared" si="5"/>
        <v>632.5</v>
      </c>
      <c r="AY7">
        <f t="shared" si="5"/>
        <v>1100</v>
      </c>
      <c r="AZ7">
        <f t="shared" si="5"/>
        <v>2062.5</v>
      </c>
      <c r="BA7">
        <f t="shared" si="5"/>
        <v>3437.5</v>
      </c>
      <c r="BB7">
        <f t="shared" si="5"/>
        <v>5500</v>
      </c>
      <c r="BC7">
        <f t="shared" si="5"/>
        <v>13750</v>
      </c>
      <c r="BD7">
        <f t="shared" si="5"/>
        <v>20625</v>
      </c>
      <c r="BE7">
        <f t="shared" si="5"/>
        <v>33000</v>
      </c>
      <c r="BF7">
        <f t="shared" si="5"/>
        <v>41250</v>
      </c>
      <c r="BG7">
        <f t="shared" si="5"/>
        <v>137500</v>
      </c>
      <c r="BH7">
        <f t="shared" si="5"/>
        <v>412500</v>
      </c>
      <c r="BI7">
        <f t="shared" si="5"/>
        <v>1168750</v>
      </c>
      <c r="BJ7">
        <f t="shared" si="5"/>
        <v>4125000</v>
      </c>
      <c r="BK7">
        <f t="shared" si="5"/>
        <v>13750000</v>
      </c>
      <c r="BL7" s="145">
        <v>2</v>
      </c>
    </row>
    <row r="8" spans="1:80" ht="17.25" thickBot="1" x14ac:dyDescent="0.25">
      <c r="A8" s="131">
        <v>4</v>
      </c>
      <c r="B8" s="132">
        <v>75805</v>
      </c>
      <c r="D8" s="131">
        <v>4</v>
      </c>
      <c r="E8" s="132">
        <v>2.2810700000000002</v>
      </c>
      <c r="G8" s="131">
        <v>5</v>
      </c>
      <c r="H8" s="132">
        <v>60</v>
      </c>
      <c r="I8" s="139">
        <v>35</v>
      </c>
      <c r="M8">
        <v>4</v>
      </c>
      <c r="N8">
        <f t="shared" si="3"/>
        <v>1043050</v>
      </c>
      <c r="O8">
        <f t="shared" si="4"/>
        <v>2086100</v>
      </c>
      <c r="P8">
        <f t="shared" si="4"/>
        <v>3129150</v>
      </c>
      <c r="Q8">
        <f t="shared" si="4"/>
        <v>4172200</v>
      </c>
      <c r="R8">
        <f t="shared" si="4"/>
        <v>6258300</v>
      </c>
      <c r="S8">
        <f t="shared" si="4"/>
        <v>7301350</v>
      </c>
      <c r="T8">
        <f t="shared" si="4"/>
        <v>10430500</v>
      </c>
      <c r="U8">
        <f t="shared" si="4"/>
        <v>15645750</v>
      </c>
      <c r="V8">
        <f t="shared" si="4"/>
        <v>25033200</v>
      </c>
      <c r="W8">
        <f t="shared" si="4"/>
        <v>37549800</v>
      </c>
      <c r="X8">
        <f t="shared" si="4"/>
        <v>52152500</v>
      </c>
      <c r="Y8">
        <f t="shared" si="4"/>
        <v>62583000</v>
      </c>
      <c r="Z8">
        <f t="shared" si="4"/>
        <v>100132800</v>
      </c>
      <c r="AA8">
        <f t="shared" si="4"/>
        <v>104305000</v>
      </c>
      <c r="AB8">
        <f t="shared" si="4"/>
        <v>156457500</v>
      </c>
      <c r="AC8">
        <f t="shared" si="4"/>
        <v>250332000</v>
      </c>
      <c r="AD8">
        <f t="shared" si="4"/>
        <v>375498000</v>
      </c>
      <c r="AE8">
        <f t="shared" si="2"/>
        <v>438081000</v>
      </c>
      <c r="AF8">
        <f t="shared" si="2"/>
        <v>573677500</v>
      </c>
      <c r="AG8">
        <f t="shared" si="2"/>
        <v>730135000</v>
      </c>
      <c r="AJ8" s="138">
        <v>15</v>
      </c>
      <c r="AK8">
        <v>2</v>
      </c>
      <c r="AL8" s="24">
        <f t="shared" si="6"/>
        <v>1.70834</v>
      </c>
      <c r="AM8">
        <f t="shared" si="7"/>
        <v>11.95838</v>
      </c>
      <c r="AN8">
        <f t="shared" si="5"/>
        <v>17.083400000000001</v>
      </c>
      <c r="AO8">
        <f t="shared" si="5"/>
        <v>25.6251</v>
      </c>
      <c r="AP8">
        <f t="shared" si="5"/>
        <v>34.166800000000002</v>
      </c>
      <c r="AQ8">
        <f t="shared" si="5"/>
        <v>59.791899999999998</v>
      </c>
      <c r="AR8">
        <f t="shared" si="5"/>
        <v>85.417000000000002</v>
      </c>
      <c r="AS8">
        <f t="shared" si="5"/>
        <v>136.66720000000001</v>
      </c>
      <c r="AT8">
        <f t="shared" si="5"/>
        <v>205.0008</v>
      </c>
      <c r="AU8">
        <f t="shared" si="5"/>
        <v>290.4178</v>
      </c>
      <c r="AV8">
        <f t="shared" si="5"/>
        <v>410.0016</v>
      </c>
      <c r="AW8">
        <f t="shared" si="5"/>
        <v>563.75220000000002</v>
      </c>
      <c r="AX8">
        <f t="shared" si="5"/>
        <v>785.83640000000003</v>
      </c>
      <c r="AY8">
        <f t="shared" si="5"/>
        <v>1366.672</v>
      </c>
      <c r="AZ8">
        <f t="shared" si="5"/>
        <v>2562.5099999999998</v>
      </c>
      <c r="BA8">
        <f t="shared" si="5"/>
        <v>4270.8500000000004</v>
      </c>
      <c r="BB8">
        <f t="shared" si="5"/>
        <v>6833.36</v>
      </c>
      <c r="BC8">
        <f t="shared" si="5"/>
        <v>17083.400000000001</v>
      </c>
      <c r="BD8">
        <f t="shared" si="5"/>
        <v>25625.1</v>
      </c>
      <c r="BE8">
        <f t="shared" si="5"/>
        <v>41000.159999999996</v>
      </c>
      <c r="BF8">
        <f t="shared" si="5"/>
        <v>51250.2</v>
      </c>
      <c r="BG8">
        <f t="shared" si="5"/>
        <v>170834</v>
      </c>
      <c r="BH8">
        <f t="shared" si="5"/>
        <v>512502</v>
      </c>
      <c r="BI8">
        <f t="shared" si="5"/>
        <v>1452089</v>
      </c>
      <c r="BJ8">
        <f t="shared" si="5"/>
        <v>5125020</v>
      </c>
      <c r="BK8">
        <f t="shared" si="5"/>
        <v>17083400</v>
      </c>
      <c r="BL8">
        <v>3</v>
      </c>
    </row>
    <row r="9" spans="1:80" ht="17.25" thickBot="1" x14ac:dyDescent="0.25">
      <c r="A9" s="131">
        <v>5</v>
      </c>
      <c r="B9" s="132">
        <v>104305</v>
      </c>
      <c r="D9" s="131">
        <v>5</v>
      </c>
      <c r="E9" s="132">
        <v>2.5310700000000002</v>
      </c>
      <c r="G9" s="131">
        <v>6</v>
      </c>
      <c r="H9" s="132">
        <v>70</v>
      </c>
      <c r="I9" s="139">
        <v>50</v>
      </c>
      <c r="M9">
        <v>5</v>
      </c>
      <c r="N9">
        <f t="shared" si="3"/>
        <v>1355270</v>
      </c>
      <c r="O9">
        <f t="shared" si="4"/>
        <v>2710540</v>
      </c>
      <c r="P9">
        <f t="shared" si="4"/>
        <v>4065810</v>
      </c>
      <c r="Q9">
        <f t="shared" si="4"/>
        <v>5421080</v>
      </c>
      <c r="R9">
        <f t="shared" si="4"/>
        <v>8131620</v>
      </c>
      <c r="S9">
        <f t="shared" si="4"/>
        <v>9486890</v>
      </c>
      <c r="T9">
        <f t="shared" si="4"/>
        <v>13552700</v>
      </c>
      <c r="U9">
        <f t="shared" si="4"/>
        <v>20329050</v>
      </c>
      <c r="V9">
        <f t="shared" si="4"/>
        <v>32526480</v>
      </c>
      <c r="W9">
        <f t="shared" si="4"/>
        <v>48789720</v>
      </c>
      <c r="X9">
        <f t="shared" si="4"/>
        <v>67763500</v>
      </c>
      <c r="Y9">
        <f t="shared" si="4"/>
        <v>81316200</v>
      </c>
      <c r="Z9">
        <f t="shared" si="4"/>
        <v>130105920</v>
      </c>
      <c r="AA9">
        <f t="shared" si="4"/>
        <v>135527000</v>
      </c>
      <c r="AB9">
        <f t="shared" si="4"/>
        <v>203290500</v>
      </c>
      <c r="AC9">
        <f t="shared" si="4"/>
        <v>325264800</v>
      </c>
      <c r="AD9">
        <f t="shared" si="4"/>
        <v>487897200</v>
      </c>
      <c r="AE9">
        <f t="shared" si="2"/>
        <v>569213400</v>
      </c>
      <c r="AF9">
        <f t="shared" si="2"/>
        <v>745398500</v>
      </c>
      <c r="AG9">
        <f t="shared" si="2"/>
        <v>948689000</v>
      </c>
      <c r="AJ9" s="138">
        <v>20</v>
      </c>
      <c r="AK9">
        <v>3</v>
      </c>
      <c r="AL9" s="24">
        <f t="shared" si="6"/>
        <v>2.00834</v>
      </c>
      <c r="AM9">
        <f t="shared" si="7"/>
        <v>14.05838</v>
      </c>
      <c r="AN9">
        <f t="shared" si="5"/>
        <v>20.083400000000001</v>
      </c>
      <c r="AO9">
        <f t="shared" si="5"/>
        <v>30.1251</v>
      </c>
      <c r="AP9">
        <f t="shared" si="5"/>
        <v>40.166800000000002</v>
      </c>
      <c r="AQ9">
        <f t="shared" si="5"/>
        <v>70.291899999999998</v>
      </c>
      <c r="AR9">
        <f t="shared" si="5"/>
        <v>100.417</v>
      </c>
      <c r="AS9">
        <f t="shared" si="5"/>
        <v>160.66720000000001</v>
      </c>
      <c r="AT9">
        <f t="shared" si="5"/>
        <v>241.0008</v>
      </c>
      <c r="AU9">
        <f t="shared" si="5"/>
        <v>341.4178</v>
      </c>
      <c r="AV9">
        <f t="shared" si="5"/>
        <v>482.0016</v>
      </c>
      <c r="AW9">
        <f t="shared" si="5"/>
        <v>662.75220000000002</v>
      </c>
      <c r="AX9">
        <f t="shared" si="5"/>
        <v>923.83640000000003</v>
      </c>
      <c r="AY9">
        <f t="shared" si="5"/>
        <v>1606.672</v>
      </c>
      <c r="AZ9">
        <f t="shared" si="5"/>
        <v>3012.51</v>
      </c>
      <c r="BA9">
        <f t="shared" si="5"/>
        <v>5020.8500000000004</v>
      </c>
      <c r="BB9">
        <f t="shared" si="5"/>
        <v>8033.36</v>
      </c>
      <c r="BC9">
        <f t="shared" si="5"/>
        <v>20083.400000000001</v>
      </c>
      <c r="BD9">
        <f t="shared" si="5"/>
        <v>30125.1</v>
      </c>
      <c r="BE9">
        <f t="shared" si="5"/>
        <v>48200.160000000003</v>
      </c>
      <c r="BF9">
        <f t="shared" si="5"/>
        <v>60250.2</v>
      </c>
      <c r="BG9">
        <f t="shared" si="5"/>
        <v>200834</v>
      </c>
      <c r="BH9">
        <f t="shared" si="5"/>
        <v>602502</v>
      </c>
      <c r="BI9">
        <f t="shared" si="5"/>
        <v>1707089</v>
      </c>
      <c r="BJ9">
        <f t="shared" si="5"/>
        <v>6025020</v>
      </c>
      <c r="BK9">
        <f t="shared" si="5"/>
        <v>20083400</v>
      </c>
      <c r="BL9" s="145">
        <v>4</v>
      </c>
    </row>
    <row r="10" spans="1:80" ht="17.25" thickBot="1" x14ac:dyDescent="0.25">
      <c r="A10" s="131">
        <v>6</v>
      </c>
      <c r="B10" s="132">
        <v>135527</v>
      </c>
      <c r="D10" s="131">
        <v>6</v>
      </c>
      <c r="E10" s="132">
        <v>2.7618399999999999</v>
      </c>
      <c r="G10" s="131">
        <v>7</v>
      </c>
      <c r="H10" s="132">
        <v>100</v>
      </c>
      <c r="I10" s="139">
        <v>80</v>
      </c>
      <c r="M10">
        <v>6</v>
      </c>
      <c r="N10">
        <f t="shared" si="3"/>
        <v>1692500</v>
      </c>
      <c r="O10">
        <f t="shared" si="4"/>
        <v>3385000</v>
      </c>
      <c r="P10">
        <f t="shared" si="4"/>
        <v>5077500</v>
      </c>
      <c r="Q10">
        <f t="shared" si="4"/>
        <v>6770000</v>
      </c>
      <c r="R10">
        <f t="shared" si="4"/>
        <v>10155000</v>
      </c>
      <c r="S10">
        <f t="shared" si="4"/>
        <v>11847500</v>
      </c>
      <c r="T10">
        <f t="shared" si="4"/>
        <v>16925000</v>
      </c>
      <c r="U10">
        <f t="shared" si="4"/>
        <v>25387500</v>
      </c>
      <c r="V10">
        <f t="shared" si="4"/>
        <v>40620000</v>
      </c>
      <c r="W10">
        <f t="shared" si="4"/>
        <v>60930000</v>
      </c>
      <c r="X10">
        <f t="shared" si="4"/>
        <v>84625000</v>
      </c>
      <c r="Y10">
        <f t="shared" si="4"/>
        <v>101550000</v>
      </c>
      <c r="Z10">
        <f t="shared" si="4"/>
        <v>162480000</v>
      </c>
      <c r="AA10">
        <f t="shared" si="4"/>
        <v>169250000</v>
      </c>
      <c r="AB10">
        <f t="shared" si="4"/>
        <v>253875000</v>
      </c>
      <c r="AC10">
        <f t="shared" si="4"/>
        <v>406200000</v>
      </c>
      <c r="AD10">
        <f t="shared" si="4"/>
        <v>609300000</v>
      </c>
      <c r="AE10">
        <f t="shared" si="2"/>
        <v>710850000</v>
      </c>
      <c r="AF10">
        <f t="shared" si="2"/>
        <v>930875000</v>
      </c>
      <c r="AG10">
        <f t="shared" si="2"/>
        <v>1184750000</v>
      </c>
      <c r="AJ10" s="139">
        <v>35</v>
      </c>
      <c r="AK10">
        <v>4</v>
      </c>
      <c r="AL10" s="24">
        <f t="shared" si="6"/>
        <v>2.2810700000000002</v>
      </c>
      <c r="AM10">
        <f t="shared" si="7"/>
        <v>15.967490000000002</v>
      </c>
      <c r="AN10">
        <f t="shared" si="5"/>
        <v>22.810700000000001</v>
      </c>
      <c r="AO10">
        <f t="shared" si="5"/>
        <v>34.216050000000003</v>
      </c>
      <c r="AP10">
        <f t="shared" si="5"/>
        <v>45.621400000000001</v>
      </c>
      <c r="AQ10">
        <f t="shared" si="5"/>
        <v>79.837450000000004</v>
      </c>
      <c r="AR10">
        <f t="shared" si="5"/>
        <v>114.05350000000001</v>
      </c>
      <c r="AS10">
        <f t="shared" si="5"/>
        <v>182.48560000000001</v>
      </c>
      <c r="AT10">
        <f t="shared" si="5"/>
        <v>273.72840000000002</v>
      </c>
      <c r="AU10">
        <f t="shared" si="5"/>
        <v>387.78190000000001</v>
      </c>
      <c r="AV10">
        <f t="shared" si="5"/>
        <v>547.45680000000004</v>
      </c>
      <c r="AW10">
        <f t="shared" si="5"/>
        <v>752.75310000000002</v>
      </c>
      <c r="AX10">
        <f t="shared" si="5"/>
        <v>1049.2922000000001</v>
      </c>
      <c r="AY10">
        <f t="shared" si="5"/>
        <v>1824.8560000000002</v>
      </c>
      <c r="AZ10">
        <f t="shared" si="5"/>
        <v>3421.605</v>
      </c>
      <c r="BA10">
        <f t="shared" si="5"/>
        <v>5702.6750000000002</v>
      </c>
      <c r="BB10">
        <f t="shared" si="5"/>
        <v>9124.2800000000007</v>
      </c>
      <c r="BC10">
        <f t="shared" si="5"/>
        <v>22810.7</v>
      </c>
      <c r="BD10">
        <f t="shared" si="5"/>
        <v>34216.050000000003</v>
      </c>
      <c r="BE10">
        <f t="shared" si="5"/>
        <v>54745.68</v>
      </c>
      <c r="BF10">
        <f t="shared" si="5"/>
        <v>68432.100000000006</v>
      </c>
      <c r="BG10">
        <f t="shared" si="5"/>
        <v>228107.00000000003</v>
      </c>
      <c r="BH10">
        <f t="shared" si="5"/>
        <v>684321</v>
      </c>
      <c r="BI10">
        <f t="shared" si="5"/>
        <v>1938909.5000000002</v>
      </c>
      <c r="BJ10">
        <f t="shared" si="5"/>
        <v>6843210</v>
      </c>
      <c r="BK10">
        <f t="shared" si="5"/>
        <v>22810700</v>
      </c>
      <c r="BL10">
        <v>5</v>
      </c>
    </row>
    <row r="11" spans="1:80" ht="17.25" thickBot="1" x14ac:dyDescent="0.25">
      <c r="A11" s="131">
        <v>7</v>
      </c>
      <c r="B11" s="132">
        <v>169250</v>
      </c>
      <c r="D11" s="131">
        <v>7</v>
      </c>
      <c r="E11" s="132">
        <v>2.9761299999999999</v>
      </c>
      <c r="G11" s="131">
        <v>8</v>
      </c>
      <c r="H11" s="132">
        <v>150</v>
      </c>
      <c r="I11" s="139">
        <v>120</v>
      </c>
      <c r="M11">
        <v>7</v>
      </c>
      <c r="N11">
        <f t="shared" si="3"/>
        <v>2053000</v>
      </c>
      <c r="O11">
        <f t="shared" si="4"/>
        <v>4106000</v>
      </c>
      <c r="P11">
        <f t="shared" si="4"/>
        <v>6159000</v>
      </c>
      <c r="Q11">
        <f t="shared" si="4"/>
        <v>8212000</v>
      </c>
      <c r="R11">
        <f t="shared" si="4"/>
        <v>12318000</v>
      </c>
      <c r="S11">
        <f t="shared" si="4"/>
        <v>14371000</v>
      </c>
      <c r="T11">
        <f t="shared" si="4"/>
        <v>20530000</v>
      </c>
      <c r="U11">
        <f t="shared" si="4"/>
        <v>30795000</v>
      </c>
      <c r="V11">
        <f t="shared" si="4"/>
        <v>49272000</v>
      </c>
      <c r="W11">
        <f t="shared" si="4"/>
        <v>73908000</v>
      </c>
      <c r="X11">
        <f t="shared" si="4"/>
        <v>102650000</v>
      </c>
      <c r="Y11">
        <f t="shared" si="4"/>
        <v>123180000</v>
      </c>
      <c r="Z11">
        <f t="shared" si="4"/>
        <v>197088000</v>
      </c>
      <c r="AA11">
        <f t="shared" si="4"/>
        <v>205300000</v>
      </c>
      <c r="AB11">
        <f t="shared" si="4"/>
        <v>307950000</v>
      </c>
      <c r="AC11">
        <f t="shared" si="4"/>
        <v>492720000</v>
      </c>
      <c r="AD11">
        <f t="shared" si="4"/>
        <v>739080000</v>
      </c>
      <c r="AE11">
        <f t="shared" si="2"/>
        <v>862260000</v>
      </c>
      <c r="AF11">
        <f t="shared" si="2"/>
        <v>1129150000</v>
      </c>
      <c r="AG11">
        <f t="shared" si="2"/>
        <v>1437100000</v>
      </c>
      <c r="AJ11" s="139">
        <v>50</v>
      </c>
      <c r="AK11">
        <v>5</v>
      </c>
      <c r="AL11" s="24">
        <f t="shared" si="6"/>
        <v>2.5310700000000002</v>
      </c>
      <c r="AM11">
        <f t="shared" si="7"/>
        <v>17.717490000000002</v>
      </c>
      <c r="AN11">
        <f t="shared" si="5"/>
        <v>25.310700000000001</v>
      </c>
      <c r="AO11">
        <f t="shared" si="5"/>
        <v>37.966050000000003</v>
      </c>
      <c r="AP11">
        <f t="shared" si="5"/>
        <v>50.621400000000001</v>
      </c>
      <c r="AQ11">
        <f t="shared" si="5"/>
        <v>88.587450000000004</v>
      </c>
      <c r="AR11">
        <f t="shared" si="5"/>
        <v>126.55350000000001</v>
      </c>
      <c r="AS11">
        <f t="shared" si="5"/>
        <v>202.48560000000001</v>
      </c>
      <c r="AT11">
        <f t="shared" si="5"/>
        <v>303.72840000000002</v>
      </c>
      <c r="AU11">
        <f t="shared" si="5"/>
        <v>430.28190000000001</v>
      </c>
      <c r="AV11">
        <f t="shared" si="5"/>
        <v>607.45680000000004</v>
      </c>
      <c r="AW11">
        <f t="shared" si="5"/>
        <v>835.25310000000002</v>
      </c>
      <c r="AX11">
        <f t="shared" si="5"/>
        <v>1164.2922000000001</v>
      </c>
      <c r="AY11">
        <f t="shared" si="5"/>
        <v>2024.8560000000002</v>
      </c>
      <c r="AZ11">
        <f t="shared" si="5"/>
        <v>3796.605</v>
      </c>
      <c r="BA11">
        <f t="shared" si="5"/>
        <v>6327.6750000000002</v>
      </c>
      <c r="BB11">
        <f t="shared" si="5"/>
        <v>10124.280000000001</v>
      </c>
      <c r="BC11">
        <f t="shared" si="5"/>
        <v>25310.7</v>
      </c>
      <c r="BD11">
        <f t="shared" si="5"/>
        <v>37966.050000000003</v>
      </c>
      <c r="BE11">
        <f t="shared" si="5"/>
        <v>60745.68</v>
      </c>
      <c r="BF11">
        <f t="shared" si="5"/>
        <v>75932.100000000006</v>
      </c>
      <c r="BG11">
        <f t="shared" si="5"/>
        <v>253107.00000000003</v>
      </c>
      <c r="BH11">
        <f t="shared" si="5"/>
        <v>759321</v>
      </c>
      <c r="BI11">
        <f t="shared" si="5"/>
        <v>2151409.5</v>
      </c>
      <c r="BJ11">
        <f t="shared" si="5"/>
        <v>7593210</v>
      </c>
      <c r="BK11">
        <f t="shared" si="5"/>
        <v>25310700</v>
      </c>
      <c r="BL11" s="145">
        <v>6</v>
      </c>
    </row>
    <row r="12" spans="1:80" ht="17.25" thickBot="1" x14ac:dyDescent="0.25">
      <c r="A12" s="131">
        <v>8</v>
      </c>
      <c r="B12" s="132">
        <v>205300</v>
      </c>
      <c r="D12" s="131">
        <v>8</v>
      </c>
      <c r="E12" s="132">
        <v>3.1761400000000002</v>
      </c>
      <c r="G12" s="131">
        <v>9</v>
      </c>
      <c r="H12" s="132">
        <v>240</v>
      </c>
      <c r="I12" s="140">
        <v>170</v>
      </c>
      <c r="M12">
        <v>8</v>
      </c>
      <c r="N12">
        <f t="shared" si="3"/>
        <v>2435380</v>
      </c>
      <c r="O12">
        <f t="shared" si="4"/>
        <v>4870760</v>
      </c>
      <c r="P12">
        <f t="shared" si="4"/>
        <v>7306140</v>
      </c>
      <c r="Q12">
        <f t="shared" si="4"/>
        <v>9741520</v>
      </c>
      <c r="R12">
        <f t="shared" si="4"/>
        <v>14612280</v>
      </c>
      <c r="S12">
        <f t="shared" si="4"/>
        <v>17047660</v>
      </c>
      <c r="T12">
        <f t="shared" si="4"/>
        <v>24353800</v>
      </c>
      <c r="U12">
        <f t="shared" si="4"/>
        <v>36530700</v>
      </c>
      <c r="V12">
        <f t="shared" si="4"/>
        <v>58449120</v>
      </c>
      <c r="W12">
        <f t="shared" si="4"/>
        <v>87673680</v>
      </c>
      <c r="X12">
        <f t="shared" si="4"/>
        <v>121769000</v>
      </c>
      <c r="Y12">
        <f t="shared" si="4"/>
        <v>146122800</v>
      </c>
      <c r="Z12">
        <f t="shared" si="4"/>
        <v>233796480</v>
      </c>
      <c r="AA12">
        <f t="shared" si="4"/>
        <v>243538000</v>
      </c>
      <c r="AB12">
        <f t="shared" si="4"/>
        <v>365307000</v>
      </c>
      <c r="AC12">
        <f t="shared" si="4"/>
        <v>584491200</v>
      </c>
      <c r="AD12">
        <f t="shared" si="4"/>
        <v>876736800</v>
      </c>
      <c r="AE12">
        <f t="shared" si="2"/>
        <v>1022859600</v>
      </c>
      <c r="AF12">
        <f t="shared" si="2"/>
        <v>1339459000</v>
      </c>
      <c r="AG12">
        <f t="shared" si="2"/>
        <v>1704766000</v>
      </c>
      <c r="AJ12" s="139">
        <v>80</v>
      </c>
      <c r="AK12">
        <v>6</v>
      </c>
      <c r="AL12" s="24">
        <f t="shared" si="6"/>
        <v>2.7618399999999999</v>
      </c>
      <c r="AM12">
        <f t="shared" si="7"/>
        <v>19.332879999999999</v>
      </c>
      <c r="AN12">
        <f t="shared" si="5"/>
        <v>27.618399999999998</v>
      </c>
      <c r="AO12">
        <f t="shared" si="5"/>
        <v>41.427599999999998</v>
      </c>
      <c r="AP12">
        <f t="shared" si="5"/>
        <v>55.236799999999995</v>
      </c>
      <c r="AQ12">
        <f t="shared" si="5"/>
        <v>96.664400000000001</v>
      </c>
      <c r="AR12">
        <f t="shared" si="5"/>
        <v>138.09199999999998</v>
      </c>
      <c r="AS12">
        <f t="shared" si="5"/>
        <v>220.94719999999998</v>
      </c>
      <c r="AT12">
        <f t="shared" si="5"/>
        <v>331.42079999999999</v>
      </c>
      <c r="AU12">
        <f t="shared" si="5"/>
        <v>469.51279999999997</v>
      </c>
      <c r="AV12">
        <f t="shared" si="5"/>
        <v>662.84159999999997</v>
      </c>
      <c r="AW12">
        <f t="shared" si="5"/>
        <v>911.40719999999999</v>
      </c>
      <c r="AX12">
        <f t="shared" si="5"/>
        <v>1270.4464</v>
      </c>
      <c r="AY12">
        <f t="shared" si="5"/>
        <v>2209.4719999999998</v>
      </c>
      <c r="AZ12">
        <f t="shared" si="5"/>
        <v>4142.76</v>
      </c>
      <c r="BA12">
        <f t="shared" si="5"/>
        <v>6904.5999999999995</v>
      </c>
      <c r="BB12">
        <f t="shared" si="5"/>
        <v>11047.359999999999</v>
      </c>
      <c r="BC12">
        <f t="shared" si="5"/>
        <v>27618.399999999998</v>
      </c>
      <c r="BD12">
        <f t="shared" si="5"/>
        <v>41427.599999999999</v>
      </c>
      <c r="BE12">
        <f t="shared" si="5"/>
        <v>66284.160000000003</v>
      </c>
      <c r="BF12">
        <f t="shared" si="5"/>
        <v>82855.199999999997</v>
      </c>
      <c r="BG12">
        <f t="shared" si="5"/>
        <v>276184</v>
      </c>
      <c r="BH12">
        <f t="shared" si="5"/>
        <v>828552</v>
      </c>
      <c r="BI12">
        <f t="shared" si="5"/>
        <v>2347564</v>
      </c>
      <c r="BJ12">
        <f t="shared" si="5"/>
        <v>8285520</v>
      </c>
      <c r="BK12">
        <f t="shared" si="5"/>
        <v>27618400</v>
      </c>
      <c r="BL12">
        <v>7</v>
      </c>
    </row>
    <row r="13" spans="1:80" ht="17.25" thickBot="1" x14ac:dyDescent="0.25">
      <c r="A13" s="131">
        <v>9</v>
      </c>
      <c r="B13" s="132">
        <v>243538</v>
      </c>
      <c r="D13" s="131">
        <v>9</v>
      </c>
      <c r="E13" s="132">
        <v>3.3636400000000002</v>
      </c>
      <c r="G13" s="131">
        <v>10</v>
      </c>
      <c r="H13" s="132">
        <v>360</v>
      </c>
      <c r="I13" s="140">
        <v>240</v>
      </c>
      <c r="M13">
        <v>9</v>
      </c>
      <c r="N13">
        <f t="shared" si="3"/>
        <v>2838440</v>
      </c>
      <c r="O13">
        <f t="shared" si="4"/>
        <v>5676880</v>
      </c>
      <c r="P13">
        <f t="shared" si="4"/>
        <v>8515320</v>
      </c>
      <c r="Q13">
        <f t="shared" si="4"/>
        <v>11353760</v>
      </c>
      <c r="R13">
        <f t="shared" si="4"/>
        <v>17030640</v>
      </c>
      <c r="S13">
        <f t="shared" si="4"/>
        <v>19869080</v>
      </c>
      <c r="T13">
        <f t="shared" si="4"/>
        <v>28384400</v>
      </c>
      <c r="U13">
        <f t="shared" si="4"/>
        <v>42576600</v>
      </c>
      <c r="V13">
        <f t="shared" si="4"/>
        <v>68122560</v>
      </c>
      <c r="W13">
        <f t="shared" si="4"/>
        <v>102183840</v>
      </c>
      <c r="X13">
        <f t="shared" si="4"/>
        <v>141922000</v>
      </c>
      <c r="Y13">
        <f t="shared" si="4"/>
        <v>170306400</v>
      </c>
      <c r="Z13">
        <f t="shared" si="4"/>
        <v>272490240</v>
      </c>
      <c r="AA13">
        <f t="shared" si="4"/>
        <v>283844000</v>
      </c>
      <c r="AB13">
        <f t="shared" si="4"/>
        <v>425766000</v>
      </c>
      <c r="AC13">
        <f t="shared" si="4"/>
        <v>681225600</v>
      </c>
      <c r="AD13">
        <f t="shared" si="4"/>
        <v>1021838400</v>
      </c>
      <c r="AE13">
        <f t="shared" si="2"/>
        <v>1192144800</v>
      </c>
      <c r="AF13">
        <f t="shared" si="2"/>
        <v>1561142000</v>
      </c>
      <c r="AG13">
        <f t="shared" si="2"/>
        <v>1986908000</v>
      </c>
      <c r="AJ13" s="139">
        <v>120</v>
      </c>
      <c r="AK13">
        <v>7</v>
      </c>
      <c r="AL13" s="24">
        <f t="shared" si="6"/>
        <v>2.9761299999999999</v>
      </c>
      <c r="AM13">
        <f t="shared" si="7"/>
        <v>20.832909999999998</v>
      </c>
      <c r="AN13">
        <f t="shared" si="5"/>
        <v>29.761299999999999</v>
      </c>
      <c r="AO13">
        <f t="shared" si="5"/>
        <v>44.641950000000001</v>
      </c>
      <c r="AP13">
        <f t="shared" si="5"/>
        <v>59.522599999999997</v>
      </c>
      <c r="AQ13">
        <f t="shared" si="5"/>
        <v>104.16454999999999</v>
      </c>
      <c r="AR13">
        <f t="shared" si="5"/>
        <v>148.8065</v>
      </c>
      <c r="AS13">
        <f t="shared" si="5"/>
        <v>238.09039999999999</v>
      </c>
      <c r="AT13">
        <f t="shared" si="5"/>
        <v>357.13560000000001</v>
      </c>
      <c r="AU13">
        <f t="shared" si="5"/>
        <v>505.94209999999998</v>
      </c>
      <c r="AV13">
        <f t="shared" si="5"/>
        <v>714.27120000000002</v>
      </c>
      <c r="AW13">
        <f t="shared" si="5"/>
        <v>982.12289999999996</v>
      </c>
      <c r="AX13">
        <f t="shared" si="5"/>
        <v>1369.0198</v>
      </c>
      <c r="AY13">
        <f t="shared" si="5"/>
        <v>2380.904</v>
      </c>
      <c r="AZ13">
        <f t="shared" si="5"/>
        <v>4464.1949999999997</v>
      </c>
      <c r="BA13">
        <f t="shared" si="5"/>
        <v>7440.3249999999998</v>
      </c>
      <c r="BB13">
        <f t="shared" si="5"/>
        <v>11904.52</v>
      </c>
      <c r="BC13">
        <f t="shared" si="5"/>
        <v>29761.3</v>
      </c>
      <c r="BD13">
        <f t="shared" si="5"/>
        <v>44641.95</v>
      </c>
      <c r="BE13">
        <f t="shared" si="5"/>
        <v>71427.12</v>
      </c>
      <c r="BF13">
        <f t="shared" si="5"/>
        <v>89283.9</v>
      </c>
      <c r="BG13">
        <f t="shared" si="5"/>
        <v>297613</v>
      </c>
      <c r="BH13">
        <f t="shared" si="5"/>
        <v>892839</v>
      </c>
      <c r="BI13">
        <f t="shared" si="5"/>
        <v>2529710.5</v>
      </c>
      <c r="BJ13">
        <f t="shared" si="5"/>
        <v>8928390</v>
      </c>
      <c r="BK13">
        <f t="shared" si="5"/>
        <v>29761300</v>
      </c>
      <c r="BL13" s="145">
        <v>8</v>
      </c>
    </row>
    <row r="14" spans="1:80" ht="17.25" thickBot="1" x14ac:dyDescent="0.25">
      <c r="A14" s="131">
        <v>10</v>
      </c>
      <c r="B14" s="132">
        <v>283844</v>
      </c>
      <c r="D14" s="131">
        <v>10</v>
      </c>
      <c r="E14" s="132">
        <v>3.5401199999999999</v>
      </c>
      <c r="G14" s="131">
        <v>11</v>
      </c>
      <c r="H14" s="132">
        <v>500</v>
      </c>
      <c r="I14" s="140">
        <v>330</v>
      </c>
      <c r="M14">
        <v>10</v>
      </c>
      <c r="N14">
        <f t="shared" si="3"/>
        <v>3261220</v>
      </c>
      <c r="O14">
        <f t="shared" si="4"/>
        <v>6522440</v>
      </c>
      <c r="P14">
        <f t="shared" si="4"/>
        <v>9783660</v>
      </c>
      <c r="Q14">
        <f t="shared" si="4"/>
        <v>13044880</v>
      </c>
      <c r="R14">
        <f t="shared" si="4"/>
        <v>19567320</v>
      </c>
      <c r="S14">
        <f t="shared" si="4"/>
        <v>22828540</v>
      </c>
      <c r="T14">
        <f t="shared" si="4"/>
        <v>32612200</v>
      </c>
      <c r="U14">
        <f t="shared" si="4"/>
        <v>48918300</v>
      </c>
      <c r="V14">
        <f t="shared" si="4"/>
        <v>78269280</v>
      </c>
      <c r="W14">
        <f t="shared" si="4"/>
        <v>117403920</v>
      </c>
      <c r="X14">
        <f t="shared" si="4"/>
        <v>163061000</v>
      </c>
      <c r="Y14">
        <f t="shared" si="4"/>
        <v>195673200</v>
      </c>
      <c r="Z14">
        <f t="shared" si="4"/>
        <v>313077120</v>
      </c>
      <c r="AA14">
        <f t="shared" si="4"/>
        <v>326122000</v>
      </c>
      <c r="AB14">
        <f t="shared" si="4"/>
        <v>489183000</v>
      </c>
      <c r="AC14">
        <f t="shared" si="4"/>
        <v>782692800</v>
      </c>
      <c r="AD14">
        <f t="shared" si="4"/>
        <v>1174039200</v>
      </c>
      <c r="AE14">
        <f t="shared" si="2"/>
        <v>1369712400</v>
      </c>
      <c r="AF14">
        <f t="shared" si="2"/>
        <v>1793671000</v>
      </c>
      <c r="AG14">
        <f t="shared" si="2"/>
        <v>2282854000</v>
      </c>
      <c r="AJ14" s="140">
        <v>170</v>
      </c>
      <c r="AK14">
        <v>8</v>
      </c>
      <c r="AL14" s="24">
        <f t="shared" si="6"/>
        <v>3.1761400000000002</v>
      </c>
      <c r="AM14">
        <f t="shared" si="7"/>
        <v>22.232980000000001</v>
      </c>
      <c r="AN14">
        <f t="shared" si="5"/>
        <v>31.761400000000002</v>
      </c>
      <c r="AO14">
        <f t="shared" si="5"/>
        <v>47.642099999999999</v>
      </c>
      <c r="AP14">
        <f t="shared" si="5"/>
        <v>63.522800000000004</v>
      </c>
      <c r="AQ14">
        <f t="shared" si="5"/>
        <v>111.1649</v>
      </c>
      <c r="AR14">
        <f t="shared" si="5"/>
        <v>158.80700000000002</v>
      </c>
      <c r="AS14">
        <f t="shared" si="5"/>
        <v>254.09120000000001</v>
      </c>
      <c r="AT14">
        <f t="shared" si="5"/>
        <v>381.13679999999999</v>
      </c>
      <c r="AU14">
        <f t="shared" si="5"/>
        <v>539.94380000000001</v>
      </c>
      <c r="AV14">
        <f t="shared" si="5"/>
        <v>762.27359999999999</v>
      </c>
      <c r="AW14">
        <f t="shared" si="5"/>
        <v>1048.1262000000002</v>
      </c>
      <c r="AX14">
        <f t="shared" si="5"/>
        <v>1461.0244</v>
      </c>
      <c r="AY14">
        <f t="shared" si="5"/>
        <v>2540.9120000000003</v>
      </c>
      <c r="AZ14">
        <f t="shared" si="5"/>
        <v>4764.21</v>
      </c>
      <c r="BA14">
        <f t="shared" si="5"/>
        <v>7940.35</v>
      </c>
      <c r="BB14">
        <f t="shared" si="5"/>
        <v>12704.560000000001</v>
      </c>
      <c r="BC14">
        <f t="shared" si="5"/>
        <v>31761.4</v>
      </c>
      <c r="BD14">
        <f t="shared" si="5"/>
        <v>47642.100000000006</v>
      </c>
      <c r="BE14">
        <f t="shared" si="5"/>
        <v>76227.360000000001</v>
      </c>
      <c r="BF14">
        <f t="shared" si="5"/>
        <v>95284.200000000012</v>
      </c>
      <c r="BG14">
        <f t="shared" si="5"/>
        <v>317614</v>
      </c>
      <c r="BH14">
        <f t="shared" si="5"/>
        <v>952842</v>
      </c>
      <c r="BI14">
        <f t="shared" si="5"/>
        <v>2699719</v>
      </c>
      <c r="BJ14">
        <f t="shared" si="5"/>
        <v>9528420</v>
      </c>
      <c r="BK14">
        <f t="shared" si="5"/>
        <v>31761400</v>
      </c>
      <c r="BL14">
        <v>9</v>
      </c>
    </row>
    <row r="15" spans="1:80" ht="17.25" thickBot="1" x14ac:dyDescent="0.25">
      <c r="A15" s="131">
        <v>11</v>
      </c>
      <c r="B15" s="132">
        <v>326122</v>
      </c>
      <c r="D15" s="131">
        <v>11</v>
      </c>
      <c r="E15" s="132">
        <v>3.7067899999999998</v>
      </c>
      <c r="G15" s="131">
        <v>12</v>
      </c>
      <c r="H15" s="132">
        <v>600</v>
      </c>
      <c r="I15" s="140">
        <v>460</v>
      </c>
      <c r="M15">
        <v>11</v>
      </c>
      <c r="N15">
        <f t="shared" si="3"/>
        <v>3702770</v>
      </c>
      <c r="O15">
        <f t="shared" si="4"/>
        <v>7405540</v>
      </c>
      <c r="P15">
        <f t="shared" si="4"/>
        <v>11108310</v>
      </c>
      <c r="Q15">
        <f t="shared" si="4"/>
        <v>14811080</v>
      </c>
      <c r="R15">
        <f t="shared" si="4"/>
        <v>22216620</v>
      </c>
      <c r="S15">
        <f t="shared" si="4"/>
        <v>25919390</v>
      </c>
      <c r="T15">
        <f t="shared" si="4"/>
        <v>37027700</v>
      </c>
      <c r="U15">
        <f t="shared" si="4"/>
        <v>55541550</v>
      </c>
      <c r="V15">
        <f t="shared" si="4"/>
        <v>88866480</v>
      </c>
      <c r="W15">
        <f t="shared" si="4"/>
        <v>133299720</v>
      </c>
      <c r="X15">
        <f t="shared" si="4"/>
        <v>185138500</v>
      </c>
      <c r="Y15">
        <f t="shared" si="4"/>
        <v>222166200</v>
      </c>
      <c r="Z15">
        <f t="shared" si="4"/>
        <v>355465920</v>
      </c>
      <c r="AA15">
        <f t="shared" si="4"/>
        <v>370277000</v>
      </c>
      <c r="AB15">
        <f t="shared" si="4"/>
        <v>555415500</v>
      </c>
      <c r="AC15">
        <f t="shared" si="4"/>
        <v>888664800</v>
      </c>
      <c r="AD15">
        <f t="shared" si="4"/>
        <v>1332997200</v>
      </c>
      <c r="AE15">
        <f t="shared" si="2"/>
        <v>1555163400</v>
      </c>
      <c r="AF15">
        <f t="shared" si="2"/>
        <v>2036523500</v>
      </c>
      <c r="AG15">
        <f t="shared" si="2"/>
        <v>2591939000</v>
      </c>
      <c r="AJ15" s="140">
        <v>240</v>
      </c>
      <c r="AK15">
        <v>9</v>
      </c>
      <c r="AL15" s="24">
        <f t="shared" si="6"/>
        <v>3.3636400000000002</v>
      </c>
      <c r="AM15">
        <f t="shared" si="7"/>
        <v>23.545480000000001</v>
      </c>
      <c r="AN15">
        <f t="shared" si="5"/>
        <v>33.636400000000002</v>
      </c>
      <c r="AO15">
        <f t="shared" si="5"/>
        <v>50.454599999999999</v>
      </c>
      <c r="AP15">
        <f t="shared" si="5"/>
        <v>67.272800000000004</v>
      </c>
      <c r="AQ15">
        <f t="shared" si="5"/>
        <v>117.7274</v>
      </c>
      <c r="AR15">
        <f t="shared" si="5"/>
        <v>168.18200000000002</v>
      </c>
      <c r="AS15">
        <f t="shared" si="5"/>
        <v>269.09120000000001</v>
      </c>
      <c r="AT15">
        <f t="shared" si="5"/>
        <v>403.63679999999999</v>
      </c>
      <c r="AU15">
        <f t="shared" si="5"/>
        <v>571.81880000000001</v>
      </c>
      <c r="AV15">
        <f t="shared" si="5"/>
        <v>807.27359999999999</v>
      </c>
      <c r="AW15">
        <f t="shared" si="5"/>
        <v>1110.0012000000002</v>
      </c>
      <c r="AX15">
        <f t="shared" si="5"/>
        <v>1547.2744</v>
      </c>
      <c r="AY15">
        <f t="shared" si="5"/>
        <v>2690.9120000000003</v>
      </c>
      <c r="AZ15">
        <f t="shared" si="5"/>
        <v>5045.46</v>
      </c>
      <c r="BA15">
        <f t="shared" si="5"/>
        <v>8409.1</v>
      </c>
      <c r="BB15">
        <f t="shared" si="5"/>
        <v>13454.560000000001</v>
      </c>
      <c r="BC15">
        <f t="shared" si="5"/>
        <v>33636.400000000001</v>
      </c>
      <c r="BD15">
        <f t="shared" si="5"/>
        <v>50454.600000000006</v>
      </c>
      <c r="BE15">
        <f t="shared" si="5"/>
        <v>80727.360000000001</v>
      </c>
      <c r="BF15">
        <f t="shared" si="5"/>
        <v>100909.20000000001</v>
      </c>
      <c r="BG15">
        <f t="shared" si="5"/>
        <v>336364</v>
      </c>
      <c r="BH15">
        <f t="shared" si="5"/>
        <v>1009092</v>
      </c>
      <c r="BI15">
        <f t="shared" si="5"/>
        <v>2859094</v>
      </c>
      <c r="BJ15">
        <f t="shared" si="5"/>
        <v>10090920</v>
      </c>
      <c r="BK15">
        <f t="shared" si="5"/>
        <v>33636400</v>
      </c>
      <c r="BL15" s="145">
        <v>10</v>
      </c>
    </row>
    <row r="16" spans="1:80" ht="17.25" thickBot="1" x14ac:dyDescent="0.25">
      <c r="A16" s="131">
        <v>12</v>
      </c>
      <c r="B16" s="132">
        <v>370277</v>
      </c>
      <c r="D16" s="131">
        <v>12</v>
      </c>
      <c r="E16" s="132">
        <v>3.86469</v>
      </c>
      <c r="G16" s="131">
        <v>13</v>
      </c>
      <c r="H16" s="132">
        <v>960</v>
      </c>
      <c r="I16" s="141">
        <v>800</v>
      </c>
      <c r="M16">
        <v>12</v>
      </c>
      <c r="N16">
        <f t="shared" si="3"/>
        <v>4162330</v>
      </c>
      <c r="O16">
        <f t="shared" si="4"/>
        <v>8324660</v>
      </c>
      <c r="P16">
        <f t="shared" si="4"/>
        <v>12486990</v>
      </c>
      <c r="Q16">
        <f t="shared" si="4"/>
        <v>16649320</v>
      </c>
      <c r="R16">
        <f t="shared" si="4"/>
        <v>24973980</v>
      </c>
      <c r="S16">
        <f t="shared" si="4"/>
        <v>29136310</v>
      </c>
      <c r="T16">
        <f t="shared" si="4"/>
        <v>41623300</v>
      </c>
      <c r="U16">
        <f t="shared" si="4"/>
        <v>62434950</v>
      </c>
      <c r="V16">
        <f t="shared" si="4"/>
        <v>99895920</v>
      </c>
      <c r="W16">
        <f t="shared" si="4"/>
        <v>149843880</v>
      </c>
      <c r="X16">
        <f t="shared" si="4"/>
        <v>208116500</v>
      </c>
      <c r="Y16">
        <f t="shared" si="4"/>
        <v>249739800</v>
      </c>
      <c r="Z16">
        <f t="shared" si="4"/>
        <v>399583680</v>
      </c>
      <c r="AA16">
        <f t="shared" si="4"/>
        <v>416233000</v>
      </c>
      <c r="AB16">
        <f t="shared" si="4"/>
        <v>624349500</v>
      </c>
      <c r="AC16">
        <f t="shared" si="4"/>
        <v>998959200</v>
      </c>
      <c r="AD16">
        <f t="shared" si="4"/>
        <v>1498438800</v>
      </c>
      <c r="AE16">
        <f t="shared" si="2"/>
        <v>1748178600</v>
      </c>
      <c r="AF16">
        <f t="shared" si="2"/>
        <v>2289281500</v>
      </c>
      <c r="AG16">
        <f t="shared" si="2"/>
        <v>2913631000</v>
      </c>
      <c r="AJ16" s="140">
        <v>330</v>
      </c>
      <c r="AK16">
        <v>10</v>
      </c>
      <c r="AL16" s="24">
        <f t="shared" si="6"/>
        <v>3.5401199999999999</v>
      </c>
      <c r="AM16">
        <f t="shared" si="7"/>
        <v>24.780839999999998</v>
      </c>
      <c r="AN16">
        <f t="shared" si="5"/>
        <v>35.401200000000003</v>
      </c>
      <c r="AO16">
        <f t="shared" si="5"/>
        <v>53.101799999999997</v>
      </c>
      <c r="AP16">
        <f t="shared" si="5"/>
        <v>70.802400000000006</v>
      </c>
      <c r="AQ16">
        <f t="shared" si="5"/>
        <v>123.9042</v>
      </c>
      <c r="AR16">
        <f t="shared" si="5"/>
        <v>177.006</v>
      </c>
      <c r="AS16">
        <f t="shared" si="5"/>
        <v>283.20960000000002</v>
      </c>
      <c r="AT16">
        <f t="shared" si="5"/>
        <v>424.81439999999998</v>
      </c>
      <c r="AU16">
        <f t="shared" si="5"/>
        <v>601.82039999999995</v>
      </c>
      <c r="AV16">
        <f t="shared" si="5"/>
        <v>849.62879999999996</v>
      </c>
      <c r="AW16">
        <f t="shared" si="5"/>
        <v>1168.2395999999999</v>
      </c>
      <c r="AX16">
        <f t="shared" si="5"/>
        <v>1628.4551999999999</v>
      </c>
      <c r="AY16">
        <f t="shared" si="5"/>
        <v>2832.096</v>
      </c>
      <c r="AZ16">
        <f t="shared" si="5"/>
        <v>5310.18</v>
      </c>
      <c r="BA16">
        <f t="shared" si="5"/>
        <v>8850.2999999999993</v>
      </c>
      <c r="BB16">
        <f t="shared" si="5"/>
        <v>14160.48</v>
      </c>
      <c r="BC16">
        <f t="shared" ref="BC16:BK47" si="8">BC$5*VLOOKUP($AK16,$D$2:$E$1404,2,FALSE)</f>
        <v>35401.199999999997</v>
      </c>
      <c r="BD16">
        <f t="shared" si="8"/>
        <v>53101.799999999996</v>
      </c>
      <c r="BE16">
        <f t="shared" si="8"/>
        <v>84962.880000000005</v>
      </c>
      <c r="BF16">
        <f t="shared" si="8"/>
        <v>106203.59999999999</v>
      </c>
      <c r="BG16">
        <f t="shared" si="8"/>
        <v>354012</v>
      </c>
      <c r="BH16">
        <f t="shared" si="8"/>
        <v>1062036</v>
      </c>
      <c r="BI16">
        <f t="shared" si="8"/>
        <v>3009102</v>
      </c>
      <c r="BJ16">
        <f t="shared" si="8"/>
        <v>10620360</v>
      </c>
      <c r="BK16">
        <f t="shared" si="8"/>
        <v>35401200</v>
      </c>
      <c r="BL16">
        <v>11</v>
      </c>
    </row>
    <row r="17" spans="1:64" ht="17.25" thickBot="1" x14ac:dyDescent="0.25">
      <c r="A17" s="131">
        <v>13</v>
      </c>
      <c r="B17" s="132">
        <v>416233</v>
      </c>
      <c r="D17" s="131">
        <v>13</v>
      </c>
      <c r="E17" s="132">
        <v>4.0146899999999999</v>
      </c>
      <c r="G17" s="131">
        <v>14</v>
      </c>
      <c r="H17" s="132">
        <v>1000</v>
      </c>
      <c r="I17" s="141">
        <v>1500</v>
      </c>
      <c r="M17">
        <v>13</v>
      </c>
      <c r="N17">
        <f t="shared" si="3"/>
        <v>4639270</v>
      </c>
      <c r="O17">
        <f t="shared" si="4"/>
        <v>9278540</v>
      </c>
      <c r="P17">
        <f t="shared" si="4"/>
        <v>13917810</v>
      </c>
      <c r="Q17">
        <f t="shared" si="4"/>
        <v>18557080</v>
      </c>
      <c r="R17">
        <f t="shared" si="4"/>
        <v>27835620</v>
      </c>
      <c r="S17">
        <f t="shared" si="4"/>
        <v>32474890</v>
      </c>
      <c r="T17">
        <f t="shared" si="4"/>
        <v>46392700</v>
      </c>
      <c r="U17">
        <f t="shared" si="4"/>
        <v>69589050</v>
      </c>
      <c r="V17">
        <f t="shared" si="4"/>
        <v>111342480</v>
      </c>
      <c r="W17">
        <f t="shared" si="4"/>
        <v>167013720</v>
      </c>
      <c r="X17">
        <f t="shared" si="4"/>
        <v>231963500</v>
      </c>
      <c r="Y17">
        <f t="shared" si="4"/>
        <v>278356200</v>
      </c>
      <c r="Z17">
        <f t="shared" si="4"/>
        <v>445369920</v>
      </c>
      <c r="AA17">
        <f t="shared" si="4"/>
        <v>463927000</v>
      </c>
      <c r="AB17">
        <f t="shared" si="4"/>
        <v>695890500</v>
      </c>
      <c r="AC17">
        <f t="shared" si="4"/>
        <v>1113424800</v>
      </c>
      <c r="AD17">
        <f t="shared" si="4"/>
        <v>1670137200</v>
      </c>
      <c r="AE17">
        <f t="shared" si="2"/>
        <v>1948493400</v>
      </c>
      <c r="AF17">
        <f t="shared" si="2"/>
        <v>2551598500</v>
      </c>
      <c r="AG17">
        <f t="shared" si="2"/>
        <v>3247489000</v>
      </c>
      <c r="AJ17" s="140">
        <v>460</v>
      </c>
      <c r="AK17">
        <v>11</v>
      </c>
      <c r="AL17" s="24">
        <f t="shared" si="6"/>
        <v>3.7067899999999998</v>
      </c>
      <c r="AM17">
        <f t="shared" si="7"/>
        <v>25.94753</v>
      </c>
      <c r="AN17">
        <f t="shared" si="7"/>
        <v>37.067899999999995</v>
      </c>
      <c r="AO17">
        <f t="shared" si="7"/>
        <v>55.601849999999999</v>
      </c>
      <c r="AP17">
        <f t="shared" si="7"/>
        <v>74.135799999999989</v>
      </c>
      <c r="AQ17">
        <f t="shared" si="7"/>
        <v>129.73765</v>
      </c>
      <c r="AR17">
        <f t="shared" si="7"/>
        <v>185.33949999999999</v>
      </c>
      <c r="AS17">
        <f t="shared" si="7"/>
        <v>296.54319999999996</v>
      </c>
      <c r="AT17">
        <f t="shared" si="7"/>
        <v>444.81479999999999</v>
      </c>
      <c r="AU17">
        <f t="shared" si="7"/>
        <v>630.15429999999992</v>
      </c>
      <c r="AV17">
        <f t="shared" si="7"/>
        <v>889.62959999999998</v>
      </c>
      <c r="AW17">
        <f t="shared" si="7"/>
        <v>1223.2406999999998</v>
      </c>
      <c r="AX17">
        <f t="shared" si="7"/>
        <v>1705.1233999999999</v>
      </c>
      <c r="AY17">
        <f t="shared" si="7"/>
        <v>2965.4319999999998</v>
      </c>
      <c r="AZ17">
        <f t="shared" si="7"/>
        <v>5560.1849999999995</v>
      </c>
      <c r="BA17">
        <f t="shared" si="7"/>
        <v>9266.9750000000004</v>
      </c>
      <c r="BB17">
        <f t="shared" si="7"/>
        <v>14827.16</v>
      </c>
      <c r="BC17">
        <f t="shared" si="8"/>
        <v>37067.9</v>
      </c>
      <c r="BD17">
        <f t="shared" si="8"/>
        <v>55601.85</v>
      </c>
      <c r="BE17">
        <f t="shared" si="8"/>
        <v>88962.959999999992</v>
      </c>
      <c r="BF17">
        <f t="shared" si="8"/>
        <v>111203.7</v>
      </c>
      <c r="BG17">
        <f t="shared" si="8"/>
        <v>370679</v>
      </c>
      <c r="BH17">
        <f t="shared" si="8"/>
        <v>1112037</v>
      </c>
      <c r="BI17">
        <f t="shared" si="8"/>
        <v>3150771.5</v>
      </c>
      <c r="BJ17">
        <f t="shared" si="8"/>
        <v>11120370</v>
      </c>
      <c r="BK17">
        <f t="shared" si="8"/>
        <v>37067900</v>
      </c>
      <c r="BL17" s="145">
        <v>12</v>
      </c>
    </row>
    <row r="18" spans="1:64" ht="17.25" thickBot="1" x14ac:dyDescent="0.25">
      <c r="A18" s="131">
        <v>14</v>
      </c>
      <c r="B18" s="132">
        <v>463927</v>
      </c>
      <c r="D18" s="131">
        <v>14</v>
      </c>
      <c r="E18" s="132">
        <v>4.1575499999999996</v>
      </c>
      <c r="G18" s="131">
        <v>15</v>
      </c>
      <c r="H18" s="132">
        <v>1500</v>
      </c>
      <c r="I18" s="141">
        <v>2500</v>
      </c>
      <c r="M18">
        <v>14</v>
      </c>
      <c r="N18">
        <f t="shared" si="3"/>
        <v>5132940</v>
      </c>
      <c r="O18">
        <f>(VLOOKUP(O$3,$G$4:$H$23,2,0)*VLOOKUP($M18+1,$A$4:$B$1404,2,0)
)</f>
        <v>10265880</v>
      </c>
      <c r="P18">
        <f t="shared" ref="O18:AD33" si="9">(VLOOKUP(P$3,$G$4:$H$23,2,0)*VLOOKUP($M18+1,$A$4:$B$1404,2,0)
)</f>
        <v>15398820</v>
      </c>
      <c r="Q18">
        <f t="shared" si="9"/>
        <v>20531760</v>
      </c>
      <c r="R18">
        <f t="shared" si="9"/>
        <v>30797640</v>
      </c>
      <c r="S18">
        <f t="shared" si="9"/>
        <v>35930580</v>
      </c>
      <c r="T18">
        <f t="shared" si="9"/>
        <v>51329400</v>
      </c>
      <c r="U18">
        <f t="shared" si="9"/>
        <v>76994100</v>
      </c>
      <c r="V18">
        <f t="shared" si="9"/>
        <v>123190560</v>
      </c>
      <c r="W18">
        <f t="shared" si="9"/>
        <v>184785840</v>
      </c>
      <c r="X18">
        <f t="shared" si="9"/>
        <v>256647000</v>
      </c>
      <c r="Y18">
        <f t="shared" si="9"/>
        <v>307976400</v>
      </c>
      <c r="Z18">
        <f t="shared" si="9"/>
        <v>492762240</v>
      </c>
      <c r="AA18">
        <f t="shared" si="9"/>
        <v>513294000</v>
      </c>
      <c r="AB18">
        <f t="shared" si="9"/>
        <v>769941000</v>
      </c>
      <c r="AC18">
        <f t="shared" si="9"/>
        <v>1231905600</v>
      </c>
      <c r="AD18">
        <f t="shared" si="9"/>
        <v>1847858400</v>
      </c>
      <c r="AE18">
        <f t="shared" si="2"/>
        <v>2155834800</v>
      </c>
      <c r="AF18">
        <f t="shared" si="2"/>
        <v>2823117000</v>
      </c>
      <c r="AG18">
        <f t="shared" si="2"/>
        <v>3593058000</v>
      </c>
      <c r="AJ18" s="141">
        <v>800</v>
      </c>
      <c r="AK18">
        <v>12</v>
      </c>
      <c r="AL18" s="24">
        <f t="shared" si="6"/>
        <v>3.86469</v>
      </c>
      <c r="AM18">
        <f t="shared" si="7"/>
        <v>27.05283</v>
      </c>
      <c r="AN18">
        <f t="shared" si="7"/>
        <v>38.646900000000002</v>
      </c>
      <c r="AO18">
        <f t="shared" si="7"/>
        <v>57.970349999999996</v>
      </c>
      <c r="AP18">
        <f t="shared" si="7"/>
        <v>77.293800000000005</v>
      </c>
      <c r="AQ18">
        <f t="shared" si="7"/>
        <v>135.26415</v>
      </c>
      <c r="AR18">
        <f t="shared" si="7"/>
        <v>193.2345</v>
      </c>
      <c r="AS18">
        <f t="shared" si="7"/>
        <v>309.17520000000002</v>
      </c>
      <c r="AT18">
        <f t="shared" si="7"/>
        <v>463.76279999999997</v>
      </c>
      <c r="AU18">
        <f t="shared" si="7"/>
        <v>656.9973</v>
      </c>
      <c r="AV18">
        <f t="shared" si="7"/>
        <v>927.52559999999994</v>
      </c>
      <c r="AW18">
        <f t="shared" si="7"/>
        <v>1275.3477</v>
      </c>
      <c r="AX18">
        <f t="shared" si="7"/>
        <v>1777.7574</v>
      </c>
      <c r="AY18">
        <f t="shared" si="7"/>
        <v>3091.752</v>
      </c>
      <c r="AZ18">
        <f t="shared" si="7"/>
        <v>5797.0349999999999</v>
      </c>
      <c r="BA18">
        <f t="shared" si="7"/>
        <v>9661.7250000000004</v>
      </c>
      <c r="BB18">
        <f t="shared" si="7"/>
        <v>15458.76</v>
      </c>
      <c r="BC18">
        <f t="shared" si="8"/>
        <v>38646.9</v>
      </c>
      <c r="BD18">
        <f t="shared" si="8"/>
        <v>57970.35</v>
      </c>
      <c r="BE18">
        <f t="shared" si="8"/>
        <v>92752.56</v>
      </c>
      <c r="BF18">
        <f t="shared" si="8"/>
        <v>115940.7</v>
      </c>
      <c r="BG18">
        <f t="shared" si="8"/>
        <v>386469</v>
      </c>
      <c r="BH18">
        <f t="shared" si="8"/>
        <v>1159407</v>
      </c>
      <c r="BI18">
        <f t="shared" si="8"/>
        <v>3284986.5</v>
      </c>
      <c r="BJ18">
        <f t="shared" si="8"/>
        <v>11594070</v>
      </c>
      <c r="BK18">
        <f t="shared" si="8"/>
        <v>38646900</v>
      </c>
      <c r="BL18">
        <v>13</v>
      </c>
    </row>
    <row r="19" spans="1:64" ht="17.25" thickBot="1" x14ac:dyDescent="0.25">
      <c r="A19" s="131">
        <v>15</v>
      </c>
      <c r="B19" s="132">
        <v>513294</v>
      </c>
      <c r="D19" s="131">
        <v>15</v>
      </c>
      <c r="E19" s="132">
        <v>4.29392</v>
      </c>
      <c r="G19" s="131">
        <v>16</v>
      </c>
      <c r="H19" s="132">
        <v>2400</v>
      </c>
      <c r="I19" s="141">
        <v>4000</v>
      </c>
      <c r="M19">
        <v>15</v>
      </c>
      <c r="N19">
        <f t="shared" si="3"/>
        <v>5642770</v>
      </c>
      <c r="O19">
        <f t="shared" si="9"/>
        <v>11285540</v>
      </c>
      <c r="P19">
        <f t="shared" si="9"/>
        <v>16928310</v>
      </c>
      <c r="Q19">
        <f t="shared" si="9"/>
        <v>22571080</v>
      </c>
      <c r="R19">
        <f t="shared" si="9"/>
        <v>33856620</v>
      </c>
      <c r="S19">
        <f t="shared" si="9"/>
        <v>39499390</v>
      </c>
      <c r="T19">
        <f t="shared" si="9"/>
        <v>56427700</v>
      </c>
      <c r="U19">
        <f t="shared" si="9"/>
        <v>84641550</v>
      </c>
      <c r="V19">
        <f t="shared" si="9"/>
        <v>135426480</v>
      </c>
      <c r="W19">
        <f t="shared" si="9"/>
        <v>203139720</v>
      </c>
      <c r="X19">
        <f t="shared" si="9"/>
        <v>282138500</v>
      </c>
      <c r="Y19">
        <f t="shared" si="9"/>
        <v>338566200</v>
      </c>
      <c r="Z19">
        <f t="shared" si="9"/>
        <v>541705920</v>
      </c>
      <c r="AA19">
        <f t="shared" si="9"/>
        <v>564277000</v>
      </c>
      <c r="AB19">
        <f t="shared" si="9"/>
        <v>846415500</v>
      </c>
      <c r="AC19">
        <f t="shared" si="9"/>
        <v>1354264800</v>
      </c>
      <c r="AD19">
        <f t="shared" si="9"/>
        <v>2031397200</v>
      </c>
      <c r="AE19">
        <f t="shared" si="2"/>
        <v>2369963400</v>
      </c>
      <c r="AF19">
        <f t="shared" si="2"/>
        <v>3103523500</v>
      </c>
      <c r="AG19">
        <f t="shared" si="2"/>
        <v>3949939000</v>
      </c>
      <c r="AJ19" s="141">
        <v>1500</v>
      </c>
      <c r="AK19">
        <v>13</v>
      </c>
      <c r="AL19" s="24">
        <f t="shared" si="6"/>
        <v>4.0146899999999999</v>
      </c>
      <c r="AM19">
        <f t="shared" si="7"/>
        <v>28.102829999999997</v>
      </c>
      <c r="AN19">
        <f t="shared" si="7"/>
        <v>40.146900000000002</v>
      </c>
      <c r="AO19">
        <f t="shared" si="7"/>
        <v>60.220349999999996</v>
      </c>
      <c r="AP19">
        <f t="shared" si="7"/>
        <v>80.293800000000005</v>
      </c>
      <c r="AQ19">
        <f t="shared" si="7"/>
        <v>140.51415</v>
      </c>
      <c r="AR19">
        <f t="shared" si="7"/>
        <v>200.7345</v>
      </c>
      <c r="AS19">
        <f t="shared" si="7"/>
        <v>321.17520000000002</v>
      </c>
      <c r="AT19">
        <f t="shared" si="7"/>
        <v>481.76279999999997</v>
      </c>
      <c r="AU19">
        <f t="shared" si="7"/>
        <v>682.4973</v>
      </c>
      <c r="AV19">
        <f t="shared" si="7"/>
        <v>963.52559999999994</v>
      </c>
      <c r="AW19">
        <f t="shared" si="7"/>
        <v>1324.8477</v>
      </c>
      <c r="AX19">
        <f t="shared" si="7"/>
        <v>1846.7574</v>
      </c>
      <c r="AY19">
        <f t="shared" si="7"/>
        <v>3211.752</v>
      </c>
      <c r="AZ19">
        <f t="shared" si="7"/>
        <v>6022.0349999999999</v>
      </c>
      <c r="BA19">
        <f t="shared" si="7"/>
        <v>10036.725</v>
      </c>
      <c r="BB19">
        <f t="shared" si="7"/>
        <v>16058.76</v>
      </c>
      <c r="BC19">
        <f t="shared" si="8"/>
        <v>40146.9</v>
      </c>
      <c r="BD19">
        <f t="shared" si="8"/>
        <v>60220.35</v>
      </c>
      <c r="BE19">
        <f t="shared" si="8"/>
        <v>96352.56</v>
      </c>
      <c r="BF19">
        <f t="shared" si="8"/>
        <v>120440.7</v>
      </c>
      <c r="BG19">
        <f t="shared" si="8"/>
        <v>401469</v>
      </c>
      <c r="BH19">
        <f t="shared" si="8"/>
        <v>1204407</v>
      </c>
      <c r="BI19">
        <f t="shared" si="8"/>
        <v>3412486.5</v>
      </c>
      <c r="BJ19">
        <f t="shared" si="8"/>
        <v>12044070</v>
      </c>
      <c r="BK19">
        <f t="shared" si="8"/>
        <v>40146900</v>
      </c>
      <c r="BL19" s="145">
        <v>14</v>
      </c>
    </row>
    <row r="20" spans="1:64" ht="17.25" thickBot="1" x14ac:dyDescent="0.25">
      <c r="A20" s="131">
        <v>16</v>
      </c>
      <c r="B20" s="132">
        <v>564277</v>
      </c>
      <c r="D20" s="131">
        <v>16</v>
      </c>
      <c r="E20" s="132">
        <v>4.4243600000000001</v>
      </c>
      <c r="G20" s="131">
        <v>17</v>
      </c>
      <c r="H20" s="132">
        <v>3600</v>
      </c>
      <c r="I20" s="142">
        <v>10000</v>
      </c>
      <c r="M20">
        <v>16</v>
      </c>
      <c r="N20">
        <f t="shared" si="3"/>
        <v>6168330</v>
      </c>
      <c r="O20">
        <f t="shared" si="9"/>
        <v>12336660</v>
      </c>
      <c r="P20">
        <f t="shared" si="9"/>
        <v>18504990</v>
      </c>
      <c r="Q20">
        <f t="shared" si="9"/>
        <v>24673320</v>
      </c>
      <c r="R20">
        <f t="shared" si="9"/>
        <v>37009980</v>
      </c>
      <c r="S20">
        <f t="shared" si="9"/>
        <v>43178310</v>
      </c>
      <c r="T20">
        <f t="shared" si="9"/>
        <v>61683300</v>
      </c>
      <c r="U20">
        <f t="shared" si="9"/>
        <v>92524950</v>
      </c>
      <c r="V20">
        <f t="shared" si="9"/>
        <v>148039920</v>
      </c>
      <c r="W20">
        <f t="shared" si="9"/>
        <v>222059880</v>
      </c>
      <c r="X20">
        <f t="shared" si="9"/>
        <v>308416500</v>
      </c>
      <c r="Y20">
        <f t="shared" si="9"/>
        <v>370099800</v>
      </c>
      <c r="Z20">
        <f t="shared" si="9"/>
        <v>592159680</v>
      </c>
      <c r="AA20">
        <f t="shared" si="9"/>
        <v>616833000</v>
      </c>
      <c r="AB20">
        <f t="shared" si="9"/>
        <v>925249500</v>
      </c>
      <c r="AC20">
        <f t="shared" si="9"/>
        <v>1480399200</v>
      </c>
      <c r="AD20">
        <f t="shared" si="9"/>
        <v>2220598800</v>
      </c>
      <c r="AE20">
        <f t="shared" ref="AE20:AG83" si="10">(VLOOKUP(AE$3,$G$4:$H$23,2,0)*VLOOKUP($M20+1,$A$4:$B$1404,2,0)
)</f>
        <v>2590698600</v>
      </c>
      <c r="AF20">
        <f t="shared" si="10"/>
        <v>3392581500</v>
      </c>
      <c r="AG20">
        <f t="shared" si="10"/>
        <v>4317831000</v>
      </c>
      <c r="AJ20" s="141">
        <v>2500</v>
      </c>
      <c r="AK20">
        <v>14</v>
      </c>
      <c r="AL20" s="24">
        <f t="shared" si="6"/>
        <v>4.1575499999999996</v>
      </c>
      <c r="AM20">
        <f t="shared" si="7"/>
        <v>29.102849999999997</v>
      </c>
      <c r="AN20">
        <f t="shared" si="7"/>
        <v>41.575499999999998</v>
      </c>
      <c r="AO20">
        <f t="shared" si="7"/>
        <v>62.363249999999994</v>
      </c>
      <c r="AP20">
        <f t="shared" si="7"/>
        <v>83.150999999999996</v>
      </c>
      <c r="AQ20">
        <f t="shared" si="7"/>
        <v>145.51424999999998</v>
      </c>
      <c r="AR20">
        <f t="shared" si="7"/>
        <v>207.87749999999997</v>
      </c>
      <c r="AS20">
        <f t="shared" si="7"/>
        <v>332.60399999999998</v>
      </c>
      <c r="AT20">
        <f t="shared" si="7"/>
        <v>498.90599999999995</v>
      </c>
      <c r="AU20">
        <f t="shared" si="7"/>
        <v>706.78349999999989</v>
      </c>
      <c r="AV20">
        <f t="shared" si="7"/>
        <v>997.8119999999999</v>
      </c>
      <c r="AW20">
        <f t="shared" si="7"/>
        <v>1371.9914999999999</v>
      </c>
      <c r="AX20">
        <f t="shared" si="7"/>
        <v>1912.4729999999997</v>
      </c>
      <c r="AY20">
        <f t="shared" si="7"/>
        <v>3326.0399999999995</v>
      </c>
      <c r="AZ20">
        <f t="shared" si="7"/>
        <v>6236.3249999999998</v>
      </c>
      <c r="BA20">
        <f t="shared" si="7"/>
        <v>10393.874999999998</v>
      </c>
      <c r="BB20">
        <f t="shared" si="7"/>
        <v>16630.199999999997</v>
      </c>
      <c r="BC20">
        <f t="shared" si="8"/>
        <v>41575.499999999993</v>
      </c>
      <c r="BD20">
        <f t="shared" si="8"/>
        <v>62363.249999999993</v>
      </c>
      <c r="BE20">
        <f t="shared" si="8"/>
        <v>99781.2</v>
      </c>
      <c r="BF20">
        <f t="shared" si="8"/>
        <v>124726.49999999999</v>
      </c>
      <c r="BG20">
        <f t="shared" si="8"/>
        <v>415754.99999999994</v>
      </c>
      <c r="BH20">
        <f t="shared" si="8"/>
        <v>1247265</v>
      </c>
      <c r="BI20">
        <f t="shared" si="8"/>
        <v>3533917.4999999995</v>
      </c>
      <c r="BJ20">
        <f t="shared" si="8"/>
        <v>12472649.999999998</v>
      </c>
      <c r="BK20">
        <f t="shared" si="8"/>
        <v>41575500</v>
      </c>
      <c r="BL20">
        <v>15</v>
      </c>
    </row>
    <row r="21" spans="1:64" ht="17.25" thickBot="1" x14ac:dyDescent="0.25">
      <c r="A21" s="131">
        <v>17</v>
      </c>
      <c r="B21" s="132">
        <v>616833</v>
      </c>
      <c r="D21" s="131">
        <v>17</v>
      </c>
      <c r="E21" s="132">
        <v>4.5493699999999997</v>
      </c>
      <c r="G21" s="131">
        <v>18</v>
      </c>
      <c r="H21" s="132">
        <v>4200</v>
      </c>
      <c r="I21" s="142">
        <v>15000</v>
      </c>
      <c r="M21">
        <v>17</v>
      </c>
      <c r="N21">
        <f t="shared" si="3"/>
        <v>6709110</v>
      </c>
      <c r="O21">
        <f t="shared" si="9"/>
        <v>13418220</v>
      </c>
      <c r="P21">
        <f t="shared" si="9"/>
        <v>20127330</v>
      </c>
      <c r="Q21">
        <f t="shared" si="9"/>
        <v>26836440</v>
      </c>
      <c r="R21">
        <f t="shared" si="9"/>
        <v>40254660</v>
      </c>
      <c r="S21">
        <f t="shared" si="9"/>
        <v>46963770</v>
      </c>
      <c r="T21">
        <f t="shared" si="9"/>
        <v>67091100</v>
      </c>
      <c r="U21">
        <f t="shared" si="9"/>
        <v>100636650</v>
      </c>
      <c r="V21">
        <f t="shared" si="9"/>
        <v>161018640</v>
      </c>
      <c r="W21">
        <f t="shared" si="9"/>
        <v>241527960</v>
      </c>
      <c r="X21">
        <f t="shared" si="9"/>
        <v>335455500</v>
      </c>
      <c r="Y21">
        <f t="shared" si="9"/>
        <v>402546600</v>
      </c>
      <c r="Z21">
        <f t="shared" si="9"/>
        <v>644074560</v>
      </c>
      <c r="AA21">
        <f t="shared" si="9"/>
        <v>670911000</v>
      </c>
      <c r="AB21">
        <f t="shared" si="9"/>
        <v>1006366500</v>
      </c>
      <c r="AC21">
        <f t="shared" si="9"/>
        <v>1610186400</v>
      </c>
      <c r="AD21">
        <f t="shared" si="9"/>
        <v>2415279600</v>
      </c>
      <c r="AE21">
        <f t="shared" si="10"/>
        <v>2817826200</v>
      </c>
      <c r="AF21">
        <f t="shared" si="10"/>
        <v>3690010500</v>
      </c>
      <c r="AG21">
        <f t="shared" si="10"/>
        <v>4696377000</v>
      </c>
      <c r="AJ21" s="141">
        <v>4000</v>
      </c>
      <c r="AK21">
        <v>15</v>
      </c>
      <c r="AL21" s="24">
        <f t="shared" si="6"/>
        <v>4.29392</v>
      </c>
      <c r="AM21">
        <f t="shared" si="7"/>
        <v>30.05744</v>
      </c>
      <c r="AN21">
        <f t="shared" si="7"/>
        <v>42.9392</v>
      </c>
      <c r="AO21">
        <f t="shared" si="7"/>
        <v>64.408799999999999</v>
      </c>
      <c r="AP21">
        <f t="shared" si="7"/>
        <v>85.878399999999999</v>
      </c>
      <c r="AQ21">
        <f t="shared" si="7"/>
        <v>150.28719999999998</v>
      </c>
      <c r="AR21">
        <f t="shared" si="7"/>
        <v>214.696</v>
      </c>
      <c r="AS21">
        <f t="shared" si="7"/>
        <v>343.5136</v>
      </c>
      <c r="AT21">
        <f t="shared" si="7"/>
        <v>515.2704</v>
      </c>
      <c r="AU21">
        <f t="shared" si="7"/>
        <v>729.96640000000002</v>
      </c>
      <c r="AV21">
        <f t="shared" si="7"/>
        <v>1030.5408</v>
      </c>
      <c r="AW21">
        <f t="shared" si="7"/>
        <v>1416.9936</v>
      </c>
      <c r="AX21">
        <f t="shared" si="7"/>
        <v>1975.2031999999999</v>
      </c>
      <c r="AY21">
        <f t="shared" si="7"/>
        <v>3435.136</v>
      </c>
      <c r="AZ21">
        <f t="shared" si="7"/>
        <v>6440.88</v>
      </c>
      <c r="BA21">
        <f t="shared" si="7"/>
        <v>10734.8</v>
      </c>
      <c r="BB21">
        <f t="shared" si="7"/>
        <v>17175.68</v>
      </c>
      <c r="BC21">
        <f t="shared" si="8"/>
        <v>42939.199999999997</v>
      </c>
      <c r="BD21">
        <f t="shared" si="8"/>
        <v>64408.800000000003</v>
      </c>
      <c r="BE21">
        <f t="shared" si="8"/>
        <v>103054.08</v>
      </c>
      <c r="BF21">
        <f t="shared" si="8"/>
        <v>128817.60000000001</v>
      </c>
      <c r="BG21">
        <f t="shared" si="8"/>
        <v>429392</v>
      </c>
      <c r="BH21">
        <f t="shared" si="8"/>
        <v>1288176</v>
      </c>
      <c r="BI21">
        <f t="shared" si="8"/>
        <v>3649832</v>
      </c>
      <c r="BJ21">
        <f t="shared" si="8"/>
        <v>12881760</v>
      </c>
      <c r="BK21">
        <f t="shared" si="8"/>
        <v>42939200</v>
      </c>
      <c r="BL21" s="145">
        <v>16</v>
      </c>
    </row>
    <row r="22" spans="1:64" ht="17.25" thickBot="1" x14ac:dyDescent="0.25">
      <c r="A22" s="131">
        <v>18</v>
      </c>
      <c r="B22" s="132">
        <v>670911</v>
      </c>
      <c r="D22" s="131">
        <v>18</v>
      </c>
      <c r="E22" s="132">
        <v>4.6693699999999998</v>
      </c>
      <c r="G22" s="131">
        <v>19</v>
      </c>
      <c r="H22" s="132">
        <v>5500</v>
      </c>
      <c r="I22" s="142">
        <v>24000</v>
      </c>
      <c r="M22">
        <v>18</v>
      </c>
      <c r="N22">
        <f t="shared" si="3"/>
        <v>7264720</v>
      </c>
      <c r="O22">
        <f t="shared" si="9"/>
        <v>14529440</v>
      </c>
      <c r="P22">
        <f t="shared" si="9"/>
        <v>21794160</v>
      </c>
      <c r="Q22">
        <f t="shared" si="9"/>
        <v>29058880</v>
      </c>
      <c r="R22">
        <f t="shared" si="9"/>
        <v>43588320</v>
      </c>
      <c r="S22">
        <f t="shared" si="9"/>
        <v>50853040</v>
      </c>
      <c r="T22">
        <f t="shared" si="9"/>
        <v>72647200</v>
      </c>
      <c r="U22">
        <f t="shared" si="9"/>
        <v>108970800</v>
      </c>
      <c r="V22">
        <f t="shared" si="9"/>
        <v>174353280</v>
      </c>
      <c r="W22">
        <f t="shared" si="9"/>
        <v>261529920</v>
      </c>
      <c r="X22">
        <f t="shared" si="9"/>
        <v>363236000</v>
      </c>
      <c r="Y22">
        <f t="shared" si="9"/>
        <v>435883200</v>
      </c>
      <c r="Z22">
        <f t="shared" si="9"/>
        <v>697413120</v>
      </c>
      <c r="AA22">
        <f t="shared" si="9"/>
        <v>726472000</v>
      </c>
      <c r="AB22">
        <f t="shared" si="9"/>
        <v>1089708000</v>
      </c>
      <c r="AC22">
        <f t="shared" si="9"/>
        <v>1743532800</v>
      </c>
      <c r="AD22">
        <f t="shared" si="9"/>
        <v>2615299200</v>
      </c>
      <c r="AE22">
        <f t="shared" si="10"/>
        <v>3051182400</v>
      </c>
      <c r="AF22">
        <f t="shared" si="10"/>
        <v>3995596000</v>
      </c>
      <c r="AG22">
        <f t="shared" si="10"/>
        <v>5085304000</v>
      </c>
      <c r="AJ22" s="142">
        <v>10000</v>
      </c>
      <c r="AK22">
        <v>16</v>
      </c>
      <c r="AL22" s="24">
        <f t="shared" si="6"/>
        <v>4.4243600000000001</v>
      </c>
      <c r="AM22">
        <f t="shared" si="7"/>
        <v>30.97052</v>
      </c>
      <c r="AN22">
        <f t="shared" si="7"/>
        <v>44.243600000000001</v>
      </c>
      <c r="AO22">
        <f t="shared" si="7"/>
        <v>66.365399999999994</v>
      </c>
      <c r="AP22">
        <f t="shared" si="7"/>
        <v>88.487200000000001</v>
      </c>
      <c r="AQ22">
        <f t="shared" si="7"/>
        <v>154.8526</v>
      </c>
      <c r="AR22">
        <f t="shared" si="7"/>
        <v>221.21800000000002</v>
      </c>
      <c r="AS22">
        <f t="shared" si="7"/>
        <v>353.94880000000001</v>
      </c>
      <c r="AT22">
        <f t="shared" si="7"/>
        <v>530.92319999999995</v>
      </c>
      <c r="AU22">
        <f t="shared" si="7"/>
        <v>752.14120000000003</v>
      </c>
      <c r="AV22">
        <f t="shared" si="7"/>
        <v>1061.8463999999999</v>
      </c>
      <c r="AW22">
        <f t="shared" si="7"/>
        <v>1460.0388</v>
      </c>
      <c r="AX22">
        <f t="shared" si="7"/>
        <v>2035.2056</v>
      </c>
      <c r="AY22">
        <f t="shared" si="7"/>
        <v>3539.4880000000003</v>
      </c>
      <c r="AZ22">
        <f t="shared" si="7"/>
        <v>6636.54</v>
      </c>
      <c r="BA22">
        <f t="shared" si="7"/>
        <v>11060.9</v>
      </c>
      <c r="BB22">
        <f t="shared" si="7"/>
        <v>17697.439999999999</v>
      </c>
      <c r="BC22">
        <f t="shared" si="8"/>
        <v>44243.6</v>
      </c>
      <c r="BD22">
        <f t="shared" si="8"/>
        <v>66365.399999999994</v>
      </c>
      <c r="BE22">
        <f t="shared" si="8"/>
        <v>106184.64</v>
      </c>
      <c r="BF22">
        <f t="shared" si="8"/>
        <v>132730.79999999999</v>
      </c>
      <c r="BG22">
        <f t="shared" si="8"/>
        <v>442436</v>
      </c>
      <c r="BH22">
        <f t="shared" si="8"/>
        <v>1327308</v>
      </c>
      <c r="BI22">
        <f t="shared" si="8"/>
        <v>3760706</v>
      </c>
      <c r="BJ22">
        <f t="shared" si="8"/>
        <v>13273080</v>
      </c>
      <c r="BK22">
        <f t="shared" si="8"/>
        <v>44243600</v>
      </c>
      <c r="BL22">
        <v>17</v>
      </c>
    </row>
    <row r="23" spans="1:64" ht="17.25" thickBot="1" x14ac:dyDescent="0.25">
      <c r="A23" s="131">
        <v>19</v>
      </c>
      <c r="B23" s="132">
        <v>726472</v>
      </c>
      <c r="D23" s="131">
        <v>19</v>
      </c>
      <c r="E23" s="132">
        <v>4.7847600000000003</v>
      </c>
      <c r="G23" s="133">
        <v>20</v>
      </c>
      <c r="H23" s="134">
        <v>7000</v>
      </c>
      <c r="I23" s="142">
        <v>30000</v>
      </c>
      <c r="M23">
        <v>19</v>
      </c>
      <c r="N23">
        <f t="shared" si="3"/>
        <v>7834720</v>
      </c>
      <c r="O23">
        <f t="shared" si="9"/>
        <v>15669440</v>
      </c>
      <c r="P23">
        <f t="shared" si="9"/>
        <v>23504160</v>
      </c>
      <c r="Q23">
        <f t="shared" si="9"/>
        <v>31338880</v>
      </c>
      <c r="R23">
        <f t="shared" si="9"/>
        <v>47008320</v>
      </c>
      <c r="S23">
        <f t="shared" si="9"/>
        <v>54843040</v>
      </c>
      <c r="T23">
        <f t="shared" si="9"/>
        <v>78347200</v>
      </c>
      <c r="U23">
        <f t="shared" si="9"/>
        <v>117520800</v>
      </c>
      <c r="V23">
        <f t="shared" si="9"/>
        <v>188033280</v>
      </c>
      <c r="W23">
        <f t="shared" si="9"/>
        <v>282049920</v>
      </c>
      <c r="X23">
        <f t="shared" si="9"/>
        <v>391736000</v>
      </c>
      <c r="Y23">
        <f t="shared" si="9"/>
        <v>470083200</v>
      </c>
      <c r="Z23">
        <f t="shared" si="9"/>
        <v>752133120</v>
      </c>
      <c r="AA23">
        <f t="shared" si="9"/>
        <v>783472000</v>
      </c>
      <c r="AB23">
        <f t="shared" si="9"/>
        <v>1175208000</v>
      </c>
      <c r="AC23">
        <f t="shared" si="9"/>
        <v>1880332800</v>
      </c>
      <c r="AD23">
        <f t="shared" si="9"/>
        <v>2820499200</v>
      </c>
      <c r="AE23">
        <f t="shared" si="10"/>
        <v>3290582400</v>
      </c>
      <c r="AF23">
        <f t="shared" si="10"/>
        <v>4309096000</v>
      </c>
      <c r="AG23">
        <f t="shared" si="10"/>
        <v>5484304000</v>
      </c>
      <c r="AJ23" s="142">
        <v>15000</v>
      </c>
      <c r="AK23">
        <v>17</v>
      </c>
      <c r="AL23" s="24">
        <f t="shared" si="6"/>
        <v>4.5493699999999997</v>
      </c>
      <c r="AM23">
        <f t="shared" si="7"/>
        <v>31.845589999999998</v>
      </c>
      <c r="AN23">
        <f t="shared" si="7"/>
        <v>45.493699999999997</v>
      </c>
      <c r="AO23">
        <f t="shared" si="7"/>
        <v>68.240549999999999</v>
      </c>
      <c r="AP23">
        <f t="shared" si="7"/>
        <v>90.987399999999994</v>
      </c>
      <c r="AQ23">
        <f t="shared" si="7"/>
        <v>159.22794999999999</v>
      </c>
      <c r="AR23">
        <f t="shared" si="7"/>
        <v>227.46849999999998</v>
      </c>
      <c r="AS23">
        <f t="shared" si="7"/>
        <v>363.94959999999998</v>
      </c>
      <c r="AT23">
        <f t="shared" si="7"/>
        <v>545.92439999999999</v>
      </c>
      <c r="AU23">
        <f t="shared" si="7"/>
        <v>773.39289999999994</v>
      </c>
      <c r="AV23">
        <f t="shared" si="7"/>
        <v>1091.8488</v>
      </c>
      <c r="AW23">
        <f t="shared" si="7"/>
        <v>1501.2920999999999</v>
      </c>
      <c r="AX23">
        <f t="shared" si="7"/>
        <v>2092.7102</v>
      </c>
      <c r="AY23">
        <f t="shared" si="7"/>
        <v>3639.4959999999996</v>
      </c>
      <c r="AZ23">
        <f t="shared" si="7"/>
        <v>6824.0549999999994</v>
      </c>
      <c r="BA23">
        <f t="shared" si="7"/>
        <v>11373.424999999999</v>
      </c>
      <c r="BB23">
        <f t="shared" si="7"/>
        <v>18197.48</v>
      </c>
      <c r="BC23">
        <f t="shared" si="8"/>
        <v>45493.7</v>
      </c>
      <c r="BD23">
        <f t="shared" si="8"/>
        <v>68240.549999999988</v>
      </c>
      <c r="BE23">
        <f t="shared" si="8"/>
        <v>109184.87999999999</v>
      </c>
      <c r="BF23">
        <f t="shared" si="8"/>
        <v>136481.09999999998</v>
      </c>
      <c r="BG23">
        <f t="shared" si="8"/>
        <v>454936.99999999994</v>
      </c>
      <c r="BH23">
        <f t="shared" si="8"/>
        <v>1364811</v>
      </c>
      <c r="BI23">
        <f t="shared" si="8"/>
        <v>3866964.4999999995</v>
      </c>
      <c r="BJ23">
        <f t="shared" si="8"/>
        <v>13648110</v>
      </c>
      <c r="BK23">
        <f t="shared" si="8"/>
        <v>45493700</v>
      </c>
      <c r="BL23" s="145">
        <v>18</v>
      </c>
    </row>
    <row r="24" spans="1:64" ht="17.25" thickBot="1" x14ac:dyDescent="0.25">
      <c r="A24" s="131">
        <v>20</v>
      </c>
      <c r="B24" s="132">
        <v>783472</v>
      </c>
      <c r="D24" s="131">
        <v>20</v>
      </c>
      <c r="E24" s="132">
        <v>4.89588</v>
      </c>
      <c r="G24" s="146">
        <v>21</v>
      </c>
      <c r="I24" s="143">
        <v>100000</v>
      </c>
      <c r="M24">
        <v>20</v>
      </c>
      <c r="N24">
        <f t="shared" si="3"/>
        <v>8418830</v>
      </c>
      <c r="O24">
        <f t="shared" si="9"/>
        <v>16837660</v>
      </c>
      <c r="P24">
        <f t="shared" si="9"/>
        <v>25256490</v>
      </c>
      <c r="Q24">
        <f t="shared" si="9"/>
        <v>33675320</v>
      </c>
      <c r="R24">
        <f t="shared" si="9"/>
        <v>50512980</v>
      </c>
      <c r="S24">
        <f t="shared" si="9"/>
        <v>58931810</v>
      </c>
      <c r="T24">
        <f t="shared" si="9"/>
        <v>84188300</v>
      </c>
      <c r="U24">
        <f t="shared" si="9"/>
        <v>126282450</v>
      </c>
      <c r="V24">
        <f t="shared" si="9"/>
        <v>202051920</v>
      </c>
      <c r="W24">
        <f t="shared" si="9"/>
        <v>303077880</v>
      </c>
      <c r="X24">
        <f t="shared" si="9"/>
        <v>420941500</v>
      </c>
      <c r="Y24">
        <f t="shared" si="9"/>
        <v>505129800</v>
      </c>
      <c r="Z24">
        <f t="shared" si="9"/>
        <v>808207680</v>
      </c>
      <c r="AA24">
        <f t="shared" si="9"/>
        <v>841883000</v>
      </c>
      <c r="AB24">
        <f t="shared" si="9"/>
        <v>1262824500</v>
      </c>
      <c r="AC24">
        <f t="shared" si="9"/>
        <v>2020519200</v>
      </c>
      <c r="AD24">
        <f t="shared" si="9"/>
        <v>3030778800</v>
      </c>
      <c r="AE24">
        <f t="shared" si="10"/>
        <v>3535908600</v>
      </c>
      <c r="AF24">
        <f t="shared" si="10"/>
        <v>4630356500</v>
      </c>
      <c r="AG24">
        <f t="shared" si="10"/>
        <v>5893181000</v>
      </c>
      <c r="AJ24" s="142">
        <v>24000</v>
      </c>
      <c r="AK24">
        <v>18</v>
      </c>
      <c r="AL24" s="24">
        <f t="shared" si="6"/>
        <v>4.6693699999999998</v>
      </c>
      <c r="AM24">
        <f t="shared" si="7"/>
        <v>32.685589999999998</v>
      </c>
      <c r="AN24">
        <f t="shared" si="7"/>
        <v>46.6937</v>
      </c>
      <c r="AO24">
        <f t="shared" si="7"/>
        <v>70.040549999999996</v>
      </c>
      <c r="AP24">
        <f t="shared" si="7"/>
        <v>93.3874</v>
      </c>
      <c r="AQ24">
        <f t="shared" si="7"/>
        <v>163.42794999999998</v>
      </c>
      <c r="AR24">
        <f t="shared" si="7"/>
        <v>233.46849999999998</v>
      </c>
      <c r="AS24">
        <f t="shared" si="7"/>
        <v>373.5496</v>
      </c>
      <c r="AT24">
        <f t="shared" si="7"/>
        <v>560.32439999999997</v>
      </c>
      <c r="AU24">
        <f t="shared" si="7"/>
        <v>793.79289999999992</v>
      </c>
      <c r="AV24">
        <f t="shared" si="7"/>
        <v>1120.6487999999999</v>
      </c>
      <c r="AW24">
        <f t="shared" si="7"/>
        <v>1540.8921</v>
      </c>
      <c r="AX24">
        <f t="shared" si="7"/>
        <v>2147.9101999999998</v>
      </c>
      <c r="AY24">
        <f t="shared" si="7"/>
        <v>3735.4959999999996</v>
      </c>
      <c r="AZ24">
        <f t="shared" si="7"/>
        <v>7004.0549999999994</v>
      </c>
      <c r="BA24">
        <f t="shared" si="7"/>
        <v>11673.424999999999</v>
      </c>
      <c r="BB24">
        <f t="shared" si="7"/>
        <v>18677.48</v>
      </c>
      <c r="BC24">
        <f t="shared" si="8"/>
        <v>46693.7</v>
      </c>
      <c r="BD24">
        <f t="shared" si="8"/>
        <v>70040.55</v>
      </c>
      <c r="BE24">
        <f t="shared" si="8"/>
        <v>112064.87999999999</v>
      </c>
      <c r="BF24">
        <f t="shared" si="8"/>
        <v>140081.1</v>
      </c>
      <c r="BG24">
        <f t="shared" si="8"/>
        <v>466937</v>
      </c>
      <c r="BH24">
        <f t="shared" si="8"/>
        <v>1400811</v>
      </c>
      <c r="BI24">
        <f t="shared" si="8"/>
        <v>3968964.5</v>
      </c>
      <c r="BJ24">
        <f t="shared" si="8"/>
        <v>14008110</v>
      </c>
      <c r="BK24">
        <f t="shared" si="8"/>
        <v>46693700</v>
      </c>
      <c r="BL24">
        <v>19</v>
      </c>
    </row>
    <row r="25" spans="1:64" ht="17.25" thickBot="1" x14ac:dyDescent="0.25">
      <c r="A25" s="131">
        <v>21</v>
      </c>
      <c r="B25" s="132">
        <v>841883</v>
      </c>
      <c r="D25" s="131">
        <v>21</v>
      </c>
      <c r="E25" s="132">
        <v>5.0030299999999999</v>
      </c>
      <c r="G25" s="146">
        <v>22</v>
      </c>
      <c r="I25" s="143">
        <v>300000</v>
      </c>
      <c r="M25">
        <v>21</v>
      </c>
      <c r="N25">
        <f t="shared" si="3"/>
        <v>9016660</v>
      </c>
      <c r="O25">
        <f t="shared" si="9"/>
        <v>18033320</v>
      </c>
      <c r="P25">
        <f t="shared" si="9"/>
        <v>27049980</v>
      </c>
      <c r="Q25">
        <f t="shared" si="9"/>
        <v>36066640</v>
      </c>
      <c r="R25">
        <f t="shared" si="9"/>
        <v>54099960</v>
      </c>
      <c r="S25">
        <f t="shared" si="9"/>
        <v>63116620</v>
      </c>
      <c r="T25">
        <f t="shared" si="9"/>
        <v>90166600</v>
      </c>
      <c r="U25">
        <f t="shared" si="9"/>
        <v>135249900</v>
      </c>
      <c r="V25">
        <f t="shared" si="9"/>
        <v>216399840</v>
      </c>
      <c r="W25">
        <f t="shared" si="9"/>
        <v>324599760</v>
      </c>
      <c r="X25">
        <f t="shared" si="9"/>
        <v>450833000</v>
      </c>
      <c r="Y25">
        <f t="shared" si="9"/>
        <v>540999600</v>
      </c>
      <c r="Z25">
        <f t="shared" si="9"/>
        <v>865599360</v>
      </c>
      <c r="AA25">
        <f t="shared" si="9"/>
        <v>901666000</v>
      </c>
      <c r="AB25">
        <f t="shared" si="9"/>
        <v>1352499000</v>
      </c>
      <c r="AC25">
        <f t="shared" si="9"/>
        <v>2163998400</v>
      </c>
      <c r="AD25">
        <f t="shared" si="9"/>
        <v>3245997600</v>
      </c>
      <c r="AE25">
        <f t="shared" si="10"/>
        <v>3786997200</v>
      </c>
      <c r="AF25">
        <f t="shared" si="10"/>
        <v>4959163000</v>
      </c>
      <c r="AG25">
        <f t="shared" si="10"/>
        <v>6311662000</v>
      </c>
      <c r="AJ25" s="142">
        <v>30000</v>
      </c>
      <c r="AK25">
        <v>19</v>
      </c>
      <c r="AL25" s="24">
        <f t="shared" si="6"/>
        <v>4.7847600000000003</v>
      </c>
      <c r="AM25">
        <f t="shared" si="7"/>
        <v>33.493320000000004</v>
      </c>
      <c r="AN25">
        <f t="shared" si="7"/>
        <v>47.8476</v>
      </c>
      <c r="AO25">
        <f t="shared" si="7"/>
        <v>71.7714</v>
      </c>
      <c r="AP25">
        <f t="shared" si="7"/>
        <v>95.6952</v>
      </c>
      <c r="AQ25">
        <f t="shared" si="7"/>
        <v>167.4666</v>
      </c>
      <c r="AR25">
        <f t="shared" si="7"/>
        <v>239.23800000000003</v>
      </c>
      <c r="AS25">
        <f t="shared" si="7"/>
        <v>382.7808</v>
      </c>
      <c r="AT25">
        <f t="shared" si="7"/>
        <v>574.1712</v>
      </c>
      <c r="AU25">
        <f t="shared" si="7"/>
        <v>813.40920000000006</v>
      </c>
      <c r="AV25">
        <f t="shared" si="7"/>
        <v>1148.3424</v>
      </c>
      <c r="AW25">
        <f t="shared" si="7"/>
        <v>1578.9708000000001</v>
      </c>
      <c r="AX25">
        <f t="shared" si="7"/>
        <v>2200.9896000000003</v>
      </c>
      <c r="AY25">
        <f t="shared" si="7"/>
        <v>3827.8080000000004</v>
      </c>
      <c r="AZ25">
        <f t="shared" si="7"/>
        <v>7177.14</v>
      </c>
      <c r="BA25">
        <f t="shared" si="7"/>
        <v>11961.900000000001</v>
      </c>
      <c r="BB25">
        <f t="shared" si="7"/>
        <v>19139.04</v>
      </c>
      <c r="BC25">
        <f t="shared" si="8"/>
        <v>47847.600000000006</v>
      </c>
      <c r="BD25">
        <f t="shared" si="8"/>
        <v>71771.400000000009</v>
      </c>
      <c r="BE25">
        <f t="shared" si="8"/>
        <v>114834.24000000001</v>
      </c>
      <c r="BF25">
        <f t="shared" si="8"/>
        <v>143542.80000000002</v>
      </c>
      <c r="BG25">
        <f t="shared" si="8"/>
        <v>478476.00000000006</v>
      </c>
      <c r="BH25">
        <f t="shared" si="8"/>
        <v>1435428</v>
      </c>
      <c r="BI25">
        <f t="shared" si="8"/>
        <v>4067046.0000000005</v>
      </c>
      <c r="BJ25">
        <f t="shared" si="8"/>
        <v>14354280.000000002</v>
      </c>
      <c r="BK25">
        <f t="shared" si="8"/>
        <v>47847600</v>
      </c>
      <c r="BL25" s="145">
        <v>20</v>
      </c>
    </row>
    <row r="26" spans="1:64" ht="17.25" thickBot="1" x14ac:dyDescent="0.25">
      <c r="A26" s="131">
        <v>22</v>
      </c>
      <c r="B26" s="132">
        <v>901666</v>
      </c>
      <c r="D26" s="131">
        <v>22</v>
      </c>
      <c r="E26" s="132">
        <v>5.1064800000000004</v>
      </c>
      <c r="G26" s="146">
        <v>23</v>
      </c>
      <c r="I26" s="143">
        <v>850000</v>
      </c>
      <c r="M26">
        <v>22</v>
      </c>
      <c r="N26">
        <f t="shared" si="3"/>
        <v>9627940</v>
      </c>
      <c r="O26">
        <f t="shared" si="9"/>
        <v>19255880</v>
      </c>
      <c r="P26">
        <f t="shared" si="9"/>
        <v>28883820</v>
      </c>
      <c r="Q26">
        <f t="shared" si="9"/>
        <v>38511760</v>
      </c>
      <c r="R26">
        <f t="shared" si="9"/>
        <v>57767640</v>
      </c>
      <c r="S26">
        <f t="shared" si="9"/>
        <v>67395580</v>
      </c>
      <c r="T26">
        <f t="shared" si="9"/>
        <v>96279400</v>
      </c>
      <c r="U26">
        <f t="shared" si="9"/>
        <v>144419100</v>
      </c>
      <c r="V26">
        <f t="shared" si="9"/>
        <v>231070560</v>
      </c>
      <c r="W26">
        <f t="shared" si="9"/>
        <v>346605840</v>
      </c>
      <c r="X26">
        <f t="shared" si="9"/>
        <v>481397000</v>
      </c>
      <c r="Y26">
        <f t="shared" si="9"/>
        <v>577676400</v>
      </c>
      <c r="Z26">
        <f t="shared" si="9"/>
        <v>924282240</v>
      </c>
      <c r="AA26">
        <f t="shared" si="9"/>
        <v>962794000</v>
      </c>
      <c r="AB26">
        <f t="shared" si="9"/>
        <v>1444191000</v>
      </c>
      <c r="AC26">
        <f t="shared" si="9"/>
        <v>2310705600</v>
      </c>
      <c r="AD26">
        <f t="shared" si="9"/>
        <v>3466058400</v>
      </c>
      <c r="AE26">
        <f t="shared" si="10"/>
        <v>4043734800</v>
      </c>
      <c r="AF26">
        <f t="shared" si="10"/>
        <v>5295367000</v>
      </c>
      <c r="AG26">
        <f t="shared" si="10"/>
        <v>6739558000</v>
      </c>
      <c r="AJ26" s="143">
        <v>100000</v>
      </c>
      <c r="AK26">
        <v>20</v>
      </c>
      <c r="AL26" s="24">
        <f t="shared" si="6"/>
        <v>4.89588</v>
      </c>
      <c r="AM26">
        <f t="shared" si="7"/>
        <v>34.271160000000002</v>
      </c>
      <c r="AN26">
        <f t="shared" si="7"/>
        <v>48.958799999999997</v>
      </c>
      <c r="AO26">
        <f t="shared" si="7"/>
        <v>73.438199999999995</v>
      </c>
      <c r="AP26">
        <f t="shared" si="7"/>
        <v>97.917599999999993</v>
      </c>
      <c r="AQ26">
        <f t="shared" si="7"/>
        <v>171.35579999999999</v>
      </c>
      <c r="AR26">
        <f t="shared" si="7"/>
        <v>244.79400000000001</v>
      </c>
      <c r="AS26">
        <f t="shared" si="7"/>
        <v>391.67039999999997</v>
      </c>
      <c r="AT26">
        <f t="shared" si="7"/>
        <v>587.50559999999996</v>
      </c>
      <c r="AU26">
        <f t="shared" si="7"/>
        <v>832.29960000000005</v>
      </c>
      <c r="AV26">
        <f t="shared" si="7"/>
        <v>1175.0111999999999</v>
      </c>
      <c r="AW26">
        <f t="shared" si="7"/>
        <v>1615.6404</v>
      </c>
      <c r="AX26">
        <f t="shared" si="7"/>
        <v>2252.1048000000001</v>
      </c>
      <c r="AY26">
        <f t="shared" si="7"/>
        <v>3916.7040000000002</v>
      </c>
      <c r="AZ26">
        <f t="shared" si="7"/>
        <v>7343.82</v>
      </c>
      <c r="BA26">
        <f t="shared" si="7"/>
        <v>12239.7</v>
      </c>
      <c r="BB26">
        <f t="shared" si="7"/>
        <v>19583.52</v>
      </c>
      <c r="BC26">
        <f t="shared" si="8"/>
        <v>48958.8</v>
      </c>
      <c r="BD26">
        <f t="shared" si="8"/>
        <v>73438.2</v>
      </c>
      <c r="BE26">
        <f t="shared" si="8"/>
        <v>117501.12</v>
      </c>
      <c r="BF26">
        <f t="shared" si="8"/>
        <v>146876.4</v>
      </c>
      <c r="BG26">
        <f t="shared" si="8"/>
        <v>489588</v>
      </c>
      <c r="BH26">
        <f t="shared" si="8"/>
        <v>1468764</v>
      </c>
      <c r="BI26">
        <f t="shared" si="8"/>
        <v>4161498</v>
      </c>
      <c r="BJ26">
        <f t="shared" si="8"/>
        <v>14687640</v>
      </c>
      <c r="BK26">
        <f t="shared" si="8"/>
        <v>48958800</v>
      </c>
      <c r="BL26">
        <v>21</v>
      </c>
    </row>
    <row r="27" spans="1:64" ht="17.25" thickBot="1" x14ac:dyDescent="0.25">
      <c r="A27" s="131">
        <v>23</v>
      </c>
      <c r="B27" s="132">
        <v>962794</v>
      </c>
      <c r="D27" s="131">
        <v>23</v>
      </c>
      <c r="E27" s="132">
        <v>5.20648</v>
      </c>
      <c r="G27" s="146">
        <v>24</v>
      </c>
      <c r="I27" s="143">
        <v>3000000</v>
      </c>
      <c r="M27">
        <v>23</v>
      </c>
      <c r="N27">
        <f t="shared" si="3"/>
        <v>10252380</v>
      </c>
      <c r="O27">
        <f t="shared" si="9"/>
        <v>20504760</v>
      </c>
      <c r="P27">
        <f t="shared" si="9"/>
        <v>30757140</v>
      </c>
      <c r="Q27">
        <f t="shared" si="9"/>
        <v>41009520</v>
      </c>
      <c r="R27">
        <f t="shared" si="9"/>
        <v>61514280</v>
      </c>
      <c r="S27">
        <f t="shared" si="9"/>
        <v>71766660</v>
      </c>
      <c r="T27">
        <f t="shared" si="9"/>
        <v>102523800</v>
      </c>
      <c r="U27">
        <f t="shared" si="9"/>
        <v>153785700</v>
      </c>
      <c r="V27">
        <f t="shared" si="9"/>
        <v>246057120</v>
      </c>
      <c r="W27">
        <f t="shared" si="9"/>
        <v>369085680</v>
      </c>
      <c r="X27">
        <f t="shared" si="9"/>
        <v>512619000</v>
      </c>
      <c r="Y27">
        <f t="shared" si="9"/>
        <v>615142800</v>
      </c>
      <c r="Z27">
        <f t="shared" si="9"/>
        <v>984228480</v>
      </c>
      <c r="AA27">
        <f t="shared" si="9"/>
        <v>1025238000</v>
      </c>
      <c r="AB27">
        <f t="shared" si="9"/>
        <v>1537857000</v>
      </c>
      <c r="AC27">
        <f t="shared" si="9"/>
        <v>2460571200</v>
      </c>
      <c r="AD27">
        <f t="shared" si="9"/>
        <v>3690856800</v>
      </c>
      <c r="AE27">
        <f t="shared" si="10"/>
        <v>4305999600</v>
      </c>
      <c r="AF27">
        <f t="shared" si="10"/>
        <v>5638809000</v>
      </c>
      <c r="AG27">
        <f t="shared" si="10"/>
        <v>7176666000</v>
      </c>
      <c r="AJ27" s="143">
        <v>300000</v>
      </c>
      <c r="AK27">
        <v>21</v>
      </c>
      <c r="AL27" s="24">
        <f t="shared" si="6"/>
        <v>5.0030299999999999</v>
      </c>
      <c r="AM27">
        <f t="shared" si="7"/>
        <v>35.021209999999996</v>
      </c>
      <c r="AN27">
        <f t="shared" si="7"/>
        <v>50.030299999999997</v>
      </c>
      <c r="AO27">
        <f t="shared" si="7"/>
        <v>75.045450000000002</v>
      </c>
      <c r="AP27">
        <f t="shared" si="7"/>
        <v>100.06059999999999</v>
      </c>
      <c r="AQ27">
        <f t="shared" si="7"/>
        <v>175.10604999999998</v>
      </c>
      <c r="AR27">
        <f t="shared" si="7"/>
        <v>250.1515</v>
      </c>
      <c r="AS27">
        <f t="shared" si="7"/>
        <v>400.24239999999998</v>
      </c>
      <c r="AT27">
        <f t="shared" si="7"/>
        <v>600.36360000000002</v>
      </c>
      <c r="AU27">
        <f t="shared" si="7"/>
        <v>850.51509999999996</v>
      </c>
      <c r="AV27">
        <f t="shared" si="7"/>
        <v>1200.7272</v>
      </c>
      <c r="AW27">
        <f t="shared" si="7"/>
        <v>1650.9999</v>
      </c>
      <c r="AX27">
        <f t="shared" si="7"/>
        <v>2301.3937999999998</v>
      </c>
      <c r="AY27">
        <f t="shared" si="7"/>
        <v>4002.424</v>
      </c>
      <c r="AZ27">
        <f t="shared" si="7"/>
        <v>7504.5450000000001</v>
      </c>
      <c r="BA27">
        <f t="shared" si="7"/>
        <v>12507.574999999999</v>
      </c>
      <c r="BB27">
        <f t="shared" si="7"/>
        <v>20012.12</v>
      </c>
      <c r="BC27">
        <f t="shared" si="8"/>
        <v>50030.299999999996</v>
      </c>
      <c r="BD27">
        <f t="shared" si="8"/>
        <v>75045.45</v>
      </c>
      <c r="BE27">
        <f t="shared" si="8"/>
        <v>120072.72</v>
      </c>
      <c r="BF27">
        <f t="shared" si="8"/>
        <v>150090.9</v>
      </c>
      <c r="BG27">
        <f t="shared" si="8"/>
        <v>500303</v>
      </c>
      <c r="BH27">
        <f t="shared" si="8"/>
        <v>1500909</v>
      </c>
      <c r="BI27">
        <f t="shared" si="8"/>
        <v>4252575.5</v>
      </c>
      <c r="BJ27">
        <f t="shared" si="8"/>
        <v>15009090</v>
      </c>
      <c r="BK27">
        <f t="shared" si="8"/>
        <v>50030300</v>
      </c>
      <c r="BL27" s="145">
        <v>22</v>
      </c>
    </row>
    <row r="28" spans="1:64" ht="17.25" thickBot="1" x14ac:dyDescent="0.25">
      <c r="A28" s="131">
        <v>24</v>
      </c>
      <c r="B28" s="132">
        <v>1025238</v>
      </c>
      <c r="D28" s="131">
        <v>24</v>
      </c>
      <c r="E28" s="132">
        <v>5.3032599999999999</v>
      </c>
      <c r="G28" s="146">
        <v>25</v>
      </c>
      <c r="I28" s="144">
        <v>10000000</v>
      </c>
      <c r="J28">
        <f>I28/I27</f>
        <v>3.3333333333333335</v>
      </c>
      <c r="M28">
        <v>24</v>
      </c>
      <c r="N28">
        <f t="shared" si="3"/>
        <v>10889720</v>
      </c>
      <c r="O28">
        <f t="shared" si="9"/>
        <v>21779440</v>
      </c>
      <c r="P28">
        <f t="shared" si="9"/>
        <v>32669160</v>
      </c>
      <c r="Q28">
        <f t="shared" si="9"/>
        <v>43558880</v>
      </c>
      <c r="R28">
        <f t="shared" si="9"/>
        <v>65338320</v>
      </c>
      <c r="S28">
        <f t="shared" si="9"/>
        <v>76228040</v>
      </c>
      <c r="T28">
        <f t="shared" si="9"/>
        <v>108897200</v>
      </c>
      <c r="U28">
        <f t="shared" si="9"/>
        <v>163345800</v>
      </c>
      <c r="V28">
        <f t="shared" si="9"/>
        <v>261353280</v>
      </c>
      <c r="W28">
        <f t="shared" si="9"/>
        <v>392029920</v>
      </c>
      <c r="X28">
        <f t="shared" si="9"/>
        <v>544486000</v>
      </c>
      <c r="Y28">
        <f t="shared" si="9"/>
        <v>653383200</v>
      </c>
      <c r="Z28">
        <f t="shared" si="9"/>
        <v>1045413120</v>
      </c>
      <c r="AA28">
        <f t="shared" si="9"/>
        <v>1088972000</v>
      </c>
      <c r="AB28">
        <f t="shared" si="9"/>
        <v>1633458000</v>
      </c>
      <c r="AC28">
        <f t="shared" si="9"/>
        <v>2613532800</v>
      </c>
      <c r="AD28">
        <f t="shared" si="9"/>
        <v>3920299200</v>
      </c>
      <c r="AE28">
        <f t="shared" si="10"/>
        <v>4573682400</v>
      </c>
      <c r="AF28">
        <f t="shared" si="10"/>
        <v>5989346000</v>
      </c>
      <c r="AG28">
        <f t="shared" si="10"/>
        <v>7622804000</v>
      </c>
      <c r="AJ28" s="143">
        <v>850000</v>
      </c>
      <c r="AK28">
        <v>22</v>
      </c>
      <c r="AL28" s="24">
        <f t="shared" si="6"/>
        <v>5.1064800000000004</v>
      </c>
      <c r="AM28">
        <f t="shared" si="7"/>
        <v>35.745360000000005</v>
      </c>
      <c r="AN28">
        <f t="shared" si="7"/>
        <v>51.064800000000005</v>
      </c>
      <c r="AO28">
        <f t="shared" si="7"/>
        <v>76.597200000000001</v>
      </c>
      <c r="AP28">
        <f t="shared" si="7"/>
        <v>102.12960000000001</v>
      </c>
      <c r="AQ28">
        <f t="shared" si="7"/>
        <v>178.72680000000003</v>
      </c>
      <c r="AR28">
        <f t="shared" si="7"/>
        <v>255.32400000000001</v>
      </c>
      <c r="AS28">
        <f t="shared" si="7"/>
        <v>408.51840000000004</v>
      </c>
      <c r="AT28">
        <f t="shared" si="7"/>
        <v>612.77760000000001</v>
      </c>
      <c r="AU28">
        <f t="shared" si="7"/>
        <v>868.10160000000008</v>
      </c>
      <c r="AV28">
        <f t="shared" si="7"/>
        <v>1225.5552</v>
      </c>
      <c r="AW28">
        <f t="shared" si="7"/>
        <v>1685.1384</v>
      </c>
      <c r="AX28">
        <f t="shared" si="7"/>
        <v>2348.9808000000003</v>
      </c>
      <c r="AY28">
        <f t="shared" si="7"/>
        <v>4085.1840000000002</v>
      </c>
      <c r="AZ28">
        <f t="shared" si="7"/>
        <v>7659.72</v>
      </c>
      <c r="BA28">
        <f t="shared" si="7"/>
        <v>12766.2</v>
      </c>
      <c r="BB28">
        <f t="shared" si="7"/>
        <v>20425.920000000002</v>
      </c>
      <c r="BC28">
        <f t="shared" si="8"/>
        <v>51064.800000000003</v>
      </c>
      <c r="BD28">
        <f t="shared" si="8"/>
        <v>76597.200000000012</v>
      </c>
      <c r="BE28">
        <f t="shared" si="8"/>
        <v>122555.52</v>
      </c>
      <c r="BF28">
        <f t="shared" si="8"/>
        <v>153194.40000000002</v>
      </c>
      <c r="BG28">
        <f t="shared" si="8"/>
        <v>510648.00000000006</v>
      </c>
      <c r="BH28">
        <f t="shared" si="8"/>
        <v>1531944</v>
      </c>
      <c r="BI28">
        <f t="shared" si="8"/>
        <v>4340508</v>
      </c>
      <c r="BJ28">
        <f t="shared" si="8"/>
        <v>15319440.000000002</v>
      </c>
      <c r="BK28">
        <f t="shared" si="8"/>
        <v>51064800</v>
      </c>
      <c r="BL28">
        <v>23</v>
      </c>
    </row>
    <row r="29" spans="1:64" ht="17.25" thickBot="1" x14ac:dyDescent="0.25">
      <c r="A29" s="131">
        <v>25</v>
      </c>
      <c r="B29" s="132">
        <v>1088972</v>
      </c>
      <c r="D29" s="131">
        <v>25</v>
      </c>
      <c r="E29" s="132">
        <v>5.3970099999999999</v>
      </c>
      <c r="M29">
        <v>25</v>
      </c>
      <c r="N29">
        <f t="shared" si="3"/>
        <v>11539660</v>
      </c>
      <c r="O29">
        <f t="shared" si="9"/>
        <v>23079320</v>
      </c>
      <c r="P29">
        <f t="shared" si="9"/>
        <v>34618980</v>
      </c>
      <c r="Q29">
        <f t="shared" si="9"/>
        <v>46158640</v>
      </c>
      <c r="R29">
        <f t="shared" si="9"/>
        <v>69237960</v>
      </c>
      <c r="S29">
        <f t="shared" si="9"/>
        <v>80777620</v>
      </c>
      <c r="T29">
        <f t="shared" si="9"/>
        <v>115396600</v>
      </c>
      <c r="U29">
        <f t="shared" si="9"/>
        <v>173094900</v>
      </c>
      <c r="V29">
        <f t="shared" si="9"/>
        <v>276951840</v>
      </c>
      <c r="W29">
        <f t="shared" si="9"/>
        <v>415427760</v>
      </c>
      <c r="X29">
        <f t="shared" si="9"/>
        <v>576983000</v>
      </c>
      <c r="Y29">
        <f t="shared" si="9"/>
        <v>692379600</v>
      </c>
      <c r="Z29">
        <f t="shared" si="9"/>
        <v>1107807360</v>
      </c>
      <c r="AA29">
        <f t="shared" si="9"/>
        <v>1153966000</v>
      </c>
      <c r="AB29">
        <f t="shared" si="9"/>
        <v>1730949000</v>
      </c>
      <c r="AC29">
        <f t="shared" si="9"/>
        <v>2769518400</v>
      </c>
      <c r="AD29">
        <f t="shared" si="9"/>
        <v>4154277600</v>
      </c>
      <c r="AE29">
        <f t="shared" si="10"/>
        <v>4846657200</v>
      </c>
      <c r="AF29">
        <f t="shared" si="10"/>
        <v>6346813000</v>
      </c>
      <c r="AG29">
        <f t="shared" si="10"/>
        <v>8077762000</v>
      </c>
      <c r="AJ29" s="143">
        <v>3000000</v>
      </c>
      <c r="AK29">
        <v>23</v>
      </c>
      <c r="AL29" s="24">
        <f t="shared" si="6"/>
        <v>5.20648</v>
      </c>
      <c r="AM29">
        <f t="shared" si="7"/>
        <v>36.445360000000001</v>
      </c>
      <c r="AN29">
        <f t="shared" si="7"/>
        <v>52.064799999999998</v>
      </c>
      <c r="AO29">
        <f t="shared" si="7"/>
        <v>78.097200000000001</v>
      </c>
      <c r="AP29">
        <f t="shared" si="7"/>
        <v>104.1296</v>
      </c>
      <c r="AQ29">
        <f t="shared" si="7"/>
        <v>182.2268</v>
      </c>
      <c r="AR29">
        <f t="shared" si="7"/>
        <v>260.32400000000001</v>
      </c>
      <c r="AS29">
        <f t="shared" si="7"/>
        <v>416.51839999999999</v>
      </c>
      <c r="AT29">
        <f t="shared" si="7"/>
        <v>624.77760000000001</v>
      </c>
      <c r="AU29">
        <f t="shared" si="7"/>
        <v>885.10159999999996</v>
      </c>
      <c r="AV29">
        <f t="shared" si="7"/>
        <v>1249.5552</v>
      </c>
      <c r="AW29">
        <f t="shared" si="7"/>
        <v>1718.1384</v>
      </c>
      <c r="AX29">
        <f t="shared" si="7"/>
        <v>2394.9807999999998</v>
      </c>
      <c r="AY29">
        <f t="shared" si="7"/>
        <v>4165.1840000000002</v>
      </c>
      <c r="AZ29">
        <f t="shared" si="7"/>
        <v>7809.72</v>
      </c>
      <c r="BA29">
        <f t="shared" si="7"/>
        <v>13016.2</v>
      </c>
      <c r="BB29">
        <f t="shared" si="7"/>
        <v>20825.919999999998</v>
      </c>
      <c r="BC29">
        <f t="shared" si="8"/>
        <v>52064.800000000003</v>
      </c>
      <c r="BD29">
        <f t="shared" si="8"/>
        <v>78097.2</v>
      </c>
      <c r="BE29">
        <f t="shared" si="8"/>
        <v>124955.52</v>
      </c>
      <c r="BF29">
        <f t="shared" si="8"/>
        <v>156194.4</v>
      </c>
      <c r="BG29">
        <f t="shared" si="8"/>
        <v>520648</v>
      </c>
      <c r="BH29">
        <f t="shared" si="8"/>
        <v>1561944</v>
      </c>
      <c r="BI29">
        <f t="shared" si="8"/>
        <v>4425508</v>
      </c>
      <c r="BJ29">
        <f t="shared" si="8"/>
        <v>15619440</v>
      </c>
      <c r="BK29">
        <f t="shared" si="8"/>
        <v>52064800</v>
      </c>
      <c r="BL29" s="145">
        <v>24</v>
      </c>
    </row>
    <row r="30" spans="1:64" ht="17.25" thickBot="1" x14ac:dyDescent="0.25">
      <c r="A30" s="131">
        <v>26</v>
      </c>
      <c r="B30" s="132">
        <v>1153966</v>
      </c>
      <c r="D30" s="131">
        <v>26</v>
      </c>
      <c r="E30" s="132">
        <v>5.4879199999999999</v>
      </c>
      <c r="M30">
        <v>26</v>
      </c>
      <c r="N30">
        <f t="shared" si="3"/>
        <v>12202000</v>
      </c>
      <c r="O30">
        <f t="shared" si="9"/>
        <v>24404000</v>
      </c>
      <c r="P30">
        <f t="shared" si="9"/>
        <v>36606000</v>
      </c>
      <c r="Q30">
        <f t="shared" si="9"/>
        <v>48808000</v>
      </c>
      <c r="R30">
        <f t="shared" si="9"/>
        <v>73212000</v>
      </c>
      <c r="S30">
        <f t="shared" si="9"/>
        <v>85414000</v>
      </c>
      <c r="T30">
        <f t="shared" si="9"/>
        <v>122020000</v>
      </c>
      <c r="U30">
        <f t="shared" si="9"/>
        <v>183030000</v>
      </c>
      <c r="V30">
        <f t="shared" si="9"/>
        <v>292848000</v>
      </c>
      <c r="W30">
        <f t="shared" si="9"/>
        <v>439272000</v>
      </c>
      <c r="X30">
        <f t="shared" si="9"/>
        <v>610100000</v>
      </c>
      <c r="Y30">
        <f t="shared" si="9"/>
        <v>732120000</v>
      </c>
      <c r="Z30">
        <f t="shared" si="9"/>
        <v>1171392000</v>
      </c>
      <c r="AA30">
        <f t="shared" si="9"/>
        <v>1220200000</v>
      </c>
      <c r="AB30">
        <f t="shared" si="9"/>
        <v>1830300000</v>
      </c>
      <c r="AC30">
        <f t="shared" si="9"/>
        <v>2928480000</v>
      </c>
      <c r="AD30">
        <f t="shared" si="9"/>
        <v>4392720000</v>
      </c>
      <c r="AE30">
        <f t="shared" si="10"/>
        <v>5124840000</v>
      </c>
      <c r="AF30">
        <f t="shared" si="10"/>
        <v>6711100000</v>
      </c>
      <c r="AG30">
        <f t="shared" si="10"/>
        <v>8541400000</v>
      </c>
      <c r="AJ30" s="144">
        <v>10000000</v>
      </c>
      <c r="AK30">
        <v>24</v>
      </c>
      <c r="AL30" s="24">
        <f t="shared" si="6"/>
        <v>5.3032599999999999</v>
      </c>
      <c r="AM30">
        <f t="shared" si="7"/>
        <v>37.122819999999997</v>
      </c>
      <c r="AN30">
        <f t="shared" si="7"/>
        <v>53.032600000000002</v>
      </c>
      <c r="AO30">
        <f t="shared" si="7"/>
        <v>79.548900000000003</v>
      </c>
      <c r="AP30">
        <f t="shared" si="7"/>
        <v>106.0652</v>
      </c>
      <c r="AQ30">
        <f t="shared" si="7"/>
        <v>185.61410000000001</v>
      </c>
      <c r="AR30">
        <f t="shared" si="7"/>
        <v>265.16300000000001</v>
      </c>
      <c r="AS30">
        <f t="shared" si="7"/>
        <v>424.26080000000002</v>
      </c>
      <c r="AT30">
        <f t="shared" si="7"/>
        <v>636.39120000000003</v>
      </c>
      <c r="AU30">
        <f t="shared" si="7"/>
        <v>901.55419999999992</v>
      </c>
      <c r="AV30">
        <f t="shared" si="7"/>
        <v>1272.7824000000001</v>
      </c>
      <c r="AW30">
        <f t="shared" si="7"/>
        <v>1750.0757999999998</v>
      </c>
      <c r="AX30">
        <f t="shared" si="7"/>
        <v>2439.4996000000001</v>
      </c>
      <c r="AY30">
        <f t="shared" si="7"/>
        <v>4242.6080000000002</v>
      </c>
      <c r="AZ30">
        <f t="shared" si="7"/>
        <v>7954.8899999999994</v>
      </c>
      <c r="BA30">
        <f t="shared" si="7"/>
        <v>13258.15</v>
      </c>
      <c r="BB30">
        <f t="shared" si="7"/>
        <v>21213.040000000001</v>
      </c>
      <c r="BC30">
        <f t="shared" si="8"/>
        <v>53032.6</v>
      </c>
      <c r="BD30">
        <f t="shared" si="8"/>
        <v>79548.899999999994</v>
      </c>
      <c r="BE30">
        <f t="shared" si="8"/>
        <v>127278.23999999999</v>
      </c>
      <c r="BF30">
        <f t="shared" si="8"/>
        <v>159097.79999999999</v>
      </c>
      <c r="BG30">
        <f t="shared" si="8"/>
        <v>530326</v>
      </c>
      <c r="BH30">
        <f t="shared" si="8"/>
        <v>1590978</v>
      </c>
      <c r="BI30">
        <f t="shared" si="8"/>
        <v>4507771</v>
      </c>
      <c r="BJ30">
        <f t="shared" si="8"/>
        <v>15909780</v>
      </c>
      <c r="BK30">
        <f t="shared" si="8"/>
        <v>53032600</v>
      </c>
      <c r="BL30">
        <v>25</v>
      </c>
    </row>
    <row r="31" spans="1:64" ht="17.25" thickBot="1" x14ac:dyDescent="0.25">
      <c r="A31" s="131">
        <v>27</v>
      </c>
      <c r="B31" s="132">
        <v>1220200</v>
      </c>
      <c r="D31" s="131">
        <v>27</v>
      </c>
      <c r="E31" s="132">
        <v>5.5761599999999998</v>
      </c>
      <c r="M31">
        <v>27</v>
      </c>
      <c r="N31">
        <f t="shared" si="3"/>
        <v>12876440</v>
      </c>
      <c r="O31">
        <f t="shared" si="9"/>
        <v>25752880</v>
      </c>
      <c r="P31">
        <f t="shared" si="9"/>
        <v>38629320</v>
      </c>
      <c r="Q31">
        <f t="shared" si="9"/>
        <v>51505760</v>
      </c>
      <c r="R31">
        <f t="shared" si="9"/>
        <v>77258640</v>
      </c>
      <c r="S31">
        <f t="shared" si="9"/>
        <v>90135080</v>
      </c>
      <c r="T31">
        <f t="shared" si="9"/>
        <v>128764400</v>
      </c>
      <c r="U31">
        <f t="shared" si="9"/>
        <v>193146600</v>
      </c>
      <c r="V31">
        <f t="shared" si="9"/>
        <v>309034560</v>
      </c>
      <c r="W31">
        <f t="shared" si="9"/>
        <v>463551840</v>
      </c>
      <c r="X31">
        <f t="shared" si="9"/>
        <v>643822000</v>
      </c>
      <c r="Y31">
        <f t="shared" si="9"/>
        <v>772586400</v>
      </c>
      <c r="Z31">
        <f t="shared" si="9"/>
        <v>1236138240</v>
      </c>
      <c r="AA31">
        <f t="shared" si="9"/>
        <v>1287644000</v>
      </c>
      <c r="AB31">
        <f t="shared" si="9"/>
        <v>1931466000</v>
      </c>
      <c r="AC31">
        <f t="shared" si="9"/>
        <v>3090345600</v>
      </c>
      <c r="AD31">
        <f t="shared" si="9"/>
        <v>4635518400</v>
      </c>
      <c r="AE31">
        <f t="shared" si="10"/>
        <v>5408104800</v>
      </c>
      <c r="AF31">
        <f t="shared" si="10"/>
        <v>7082042000</v>
      </c>
      <c r="AG31">
        <f t="shared" si="10"/>
        <v>9013508000</v>
      </c>
      <c r="AK31">
        <v>25</v>
      </c>
      <c r="AL31" s="24">
        <f t="shared" si="6"/>
        <v>5.3970099999999999</v>
      </c>
      <c r="AM31">
        <f t="shared" si="7"/>
        <v>37.779069999999997</v>
      </c>
      <c r="AN31">
        <f t="shared" si="7"/>
        <v>53.970100000000002</v>
      </c>
      <c r="AO31">
        <f t="shared" si="7"/>
        <v>80.955150000000003</v>
      </c>
      <c r="AP31">
        <f t="shared" si="7"/>
        <v>107.9402</v>
      </c>
      <c r="AQ31">
        <f t="shared" si="7"/>
        <v>188.89535000000001</v>
      </c>
      <c r="AR31">
        <f t="shared" si="7"/>
        <v>269.85050000000001</v>
      </c>
      <c r="AS31">
        <f t="shared" si="7"/>
        <v>431.76080000000002</v>
      </c>
      <c r="AT31">
        <f t="shared" si="7"/>
        <v>647.64120000000003</v>
      </c>
      <c r="AU31">
        <f t="shared" si="7"/>
        <v>917.49169999999992</v>
      </c>
      <c r="AV31">
        <f t="shared" si="7"/>
        <v>1295.2824000000001</v>
      </c>
      <c r="AW31">
        <f t="shared" si="7"/>
        <v>1781.0132999999998</v>
      </c>
      <c r="AX31">
        <f t="shared" si="7"/>
        <v>2482.6246000000001</v>
      </c>
      <c r="AY31">
        <f t="shared" si="7"/>
        <v>4317.6080000000002</v>
      </c>
      <c r="AZ31">
        <f t="shared" si="7"/>
        <v>8095.5149999999994</v>
      </c>
      <c r="BA31">
        <f t="shared" si="7"/>
        <v>13492.525</v>
      </c>
      <c r="BB31">
        <f t="shared" si="7"/>
        <v>21588.04</v>
      </c>
      <c r="BC31">
        <f t="shared" si="8"/>
        <v>53970.1</v>
      </c>
      <c r="BD31">
        <f t="shared" si="8"/>
        <v>80955.149999999994</v>
      </c>
      <c r="BE31">
        <f t="shared" si="8"/>
        <v>129528.23999999999</v>
      </c>
      <c r="BF31">
        <f t="shared" si="8"/>
        <v>161910.29999999999</v>
      </c>
      <c r="BG31">
        <f t="shared" si="8"/>
        <v>539701</v>
      </c>
      <c r="BH31">
        <f t="shared" si="8"/>
        <v>1619103</v>
      </c>
      <c r="BI31">
        <f t="shared" si="8"/>
        <v>4587458.5</v>
      </c>
      <c r="BJ31">
        <f t="shared" si="8"/>
        <v>16191030</v>
      </c>
      <c r="BK31">
        <f t="shared" si="8"/>
        <v>53970100</v>
      </c>
      <c r="BL31" s="145">
        <v>26</v>
      </c>
    </row>
    <row r="32" spans="1:64" ht="17.25" thickBot="1" x14ac:dyDescent="0.25">
      <c r="A32" s="131">
        <v>28</v>
      </c>
      <c r="B32" s="132">
        <v>1287644</v>
      </c>
      <c r="D32" s="131">
        <v>28</v>
      </c>
      <c r="E32" s="132">
        <v>5.66188</v>
      </c>
      <c r="M32">
        <v>28</v>
      </c>
      <c r="N32">
        <f t="shared" si="3"/>
        <v>13562830</v>
      </c>
      <c r="O32">
        <f t="shared" si="9"/>
        <v>27125660</v>
      </c>
      <c r="P32">
        <f t="shared" si="9"/>
        <v>40688490</v>
      </c>
      <c r="Q32">
        <f t="shared" si="9"/>
        <v>54251320</v>
      </c>
      <c r="R32">
        <f t="shared" si="9"/>
        <v>81376980</v>
      </c>
      <c r="S32">
        <f t="shared" si="9"/>
        <v>94939810</v>
      </c>
      <c r="T32">
        <f t="shared" si="9"/>
        <v>135628300</v>
      </c>
      <c r="U32">
        <f t="shared" si="9"/>
        <v>203442450</v>
      </c>
      <c r="V32">
        <f t="shared" si="9"/>
        <v>325507920</v>
      </c>
      <c r="W32">
        <f t="shared" si="9"/>
        <v>488261880</v>
      </c>
      <c r="X32">
        <f t="shared" si="9"/>
        <v>678141500</v>
      </c>
      <c r="Y32">
        <f t="shared" si="9"/>
        <v>813769800</v>
      </c>
      <c r="Z32">
        <f t="shared" si="9"/>
        <v>1302031680</v>
      </c>
      <c r="AA32">
        <f t="shared" si="9"/>
        <v>1356283000</v>
      </c>
      <c r="AB32">
        <f t="shared" si="9"/>
        <v>2034424500</v>
      </c>
      <c r="AC32">
        <f t="shared" si="9"/>
        <v>3255079200</v>
      </c>
      <c r="AD32">
        <f t="shared" si="9"/>
        <v>4882618800</v>
      </c>
      <c r="AE32">
        <f t="shared" si="10"/>
        <v>5696388600</v>
      </c>
      <c r="AF32">
        <f t="shared" si="10"/>
        <v>7459556500</v>
      </c>
      <c r="AG32">
        <f t="shared" si="10"/>
        <v>9493981000</v>
      </c>
      <c r="AK32">
        <v>26</v>
      </c>
      <c r="AL32" s="24">
        <f t="shared" si="6"/>
        <v>5.4879199999999999</v>
      </c>
      <c r="AM32">
        <f t="shared" si="7"/>
        <v>38.415439999999997</v>
      </c>
      <c r="AN32">
        <f t="shared" si="7"/>
        <v>54.879199999999997</v>
      </c>
      <c r="AO32">
        <f t="shared" si="7"/>
        <v>82.318799999999996</v>
      </c>
      <c r="AP32">
        <f t="shared" si="7"/>
        <v>109.75839999999999</v>
      </c>
      <c r="AQ32">
        <f t="shared" si="7"/>
        <v>192.0772</v>
      </c>
      <c r="AR32">
        <f t="shared" ref="AR32:BG47" si="11">AR$5*VLOOKUP($AK32,$D$2:$E$1404,2,FALSE)</f>
        <v>274.39600000000002</v>
      </c>
      <c r="AS32">
        <f t="shared" si="11"/>
        <v>439.03359999999998</v>
      </c>
      <c r="AT32">
        <f t="shared" si="11"/>
        <v>658.55039999999997</v>
      </c>
      <c r="AU32">
        <f t="shared" si="11"/>
        <v>932.94640000000004</v>
      </c>
      <c r="AV32">
        <f t="shared" si="11"/>
        <v>1317.1007999999999</v>
      </c>
      <c r="AW32">
        <f t="shared" si="11"/>
        <v>1811.0136</v>
      </c>
      <c r="AX32">
        <f t="shared" si="11"/>
        <v>2524.4432000000002</v>
      </c>
      <c r="AY32">
        <f t="shared" si="11"/>
        <v>4390.3360000000002</v>
      </c>
      <c r="AZ32">
        <f t="shared" si="11"/>
        <v>8231.8799999999992</v>
      </c>
      <c r="BA32">
        <f t="shared" si="11"/>
        <v>13719.8</v>
      </c>
      <c r="BB32">
        <f t="shared" si="11"/>
        <v>21951.68</v>
      </c>
      <c r="BC32">
        <f t="shared" si="11"/>
        <v>54879.199999999997</v>
      </c>
      <c r="BD32">
        <f t="shared" si="11"/>
        <v>82318.8</v>
      </c>
      <c r="BE32">
        <f t="shared" si="11"/>
        <v>131710.07999999999</v>
      </c>
      <c r="BF32">
        <f t="shared" si="11"/>
        <v>164637.6</v>
      </c>
      <c r="BG32">
        <f t="shared" si="11"/>
        <v>548792</v>
      </c>
      <c r="BH32">
        <f t="shared" si="8"/>
        <v>1646376</v>
      </c>
      <c r="BI32">
        <f t="shared" si="8"/>
        <v>4664732</v>
      </c>
      <c r="BJ32">
        <f t="shared" si="8"/>
        <v>16463760</v>
      </c>
      <c r="BK32">
        <f t="shared" si="8"/>
        <v>54879200</v>
      </c>
      <c r="BL32">
        <v>27</v>
      </c>
    </row>
    <row r="33" spans="1:64" ht="17.25" thickBot="1" x14ac:dyDescent="0.25">
      <c r="A33" s="131">
        <v>29</v>
      </c>
      <c r="B33" s="132">
        <v>1356283</v>
      </c>
      <c r="D33" s="131">
        <v>29</v>
      </c>
      <c r="E33" s="132">
        <v>5.7452199999999998</v>
      </c>
      <c r="M33">
        <v>29</v>
      </c>
      <c r="N33">
        <f t="shared" si="3"/>
        <v>14260940</v>
      </c>
      <c r="O33">
        <f t="shared" si="9"/>
        <v>28521880</v>
      </c>
      <c r="P33">
        <f t="shared" si="9"/>
        <v>42782820</v>
      </c>
      <c r="Q33">
        <f t="shared" si="9"/>
        <v>57043760</v>
      </c>
      <c r="R33">
        <f t="shared" si="9"/>
        <v>85565640</v>
      </c>
      <c r="S33">
        <f t="shared" si="9"/>
        <v>99826580</v>
      </c>
      <c r="T33">
        <f t="shared" si="9"/>
        <v>142609400</v>
      </c>
      <c r="U33">
        <f t="shared" si="9"/>
        <v>213914100</v>
      </c>
      <c r="V33">
        <f t="shared" si="9"/>
        <v>342262560</v>
      </c>
      <c r="W33">
        <f t="shared" si="9"/>
        <v>513393840</v>
      </c>
      <c r="X33">
        <f t="shared" si="9"/>
        <v>713047000</v>
      </c>
      <c r="Y33">
        <f t="shared" si="9"/>
        <v>855656400</v>
      </c>
      <c r="Z33">
        <f t="shared" si="9"/>
        <v>1369050240</v>
      </c>
      <c r="AA33">
        <f t="shared" si="9"/>
        <v>1426094000</v>
      </c>
      <c r="AB33">
        <f t="shared" si="9"/>
        <v>2139141000</v>
      </c>
      <c r="AC33">
        <f t="shared" si="9"/>
        <v>3422625600</v>
      </c>
      <c r="AD33">
        <f t="shared" si="9"/>
        <v>5133938400</v>
      </c>
      <c r="AE33">
        <f t="shared" si="10"/>
        <v>5989594800</v>
      </c>
      <c r="AF33">
        <f t="shared" si="10"/>
        <v>7843517000</v>
      </c>
      <c r="AG33">
        <f t="shared" si="10"/>
        <v>9982658000</v>
      </c>
      <c r="AK33">
        <v>27</v>
      </c>
      <c r="AL33" s="24">
        <f t="shared" si="6"/>
        <v>5.5761599999999998</v>
      </c>
      <c r="AM33">
        <f t="shared" ref="AM33:BB48" si="12">AM$5*VLOOKUP($AK33,$D$2:$E$1404,2,FALSE)</f>
        <v>39.033119999999997</v>
      </c>
      <c r="AN33">
        <f t="shared" si="12"/>
        <v>55.761600000000001</v>
      </c>
      <c r="AO33">
        <f t="shared" si="12"/>
        <v>83.642399999999995</v>
      </c>
      <c r="AP33">
        <f t="shared" si="12"/>
        <v>111.5232</v>
      </c>
      <c r="AQ33">
        <f t="shared" si="12"/>
        <v>195.16559999999998</v>
      </c>
      <c r="AR33">
        <f t="shared" si="12"/>
        <v>278.80799999999999</v>
      </c>
      <c r="AS33">
        <f t="shared" si="12"/>
        <v>446.09280000000001</v>
      </c>
      <c r="AT33">
        <f t="shared" si="12"/>
        <v>669.13919999999996</v>
      </c>
      <c r="AU33">
        <f t="shared" si="12"/>
        <v>947.94719999999995</v>
      </c>
      <c r="AV33">
        <f t="shared" si="12"/>
        <v>1338.2783999999999</v>
      </c>
      <c r="AW33">
        <f t="shared" si="12"/>
        <v>1840.1327999999999</v>
      </c>
      <c r="AX33">
        <f t="shared" si="12"/>
        <v>2565.0335999999998</v>
      </c>
      <c r="AY33">
        <f t="shared" si="12"/>
        <v>4460.9279999999999</v>
      </c>
      <c r="AZ33">
        <f t="shared" si="12"/>
        <v>8364.24</v>
      </c>
      <c r="BA33">
        <f t="shared" si="12"/>
        <v>13940.4</v>
      </c>
      <c r="BB33">
        <f t="shared" si="12"/>
        <v>22304.639999999999</v>
      </c>
      <c r="BC33">
        <f t="shared" si="11"/>
        <v>55761.599999999999</v>
      </c>
      <c r="BD33">
        <f t="shared" si="11"/>
        <v>83642.399999999994</v>
      </c>
      <c r="BE33">
        <f t="shared" si="11"/>
        <v>133827.84</v>
      </c>
      <c r="BF33">
        <f t="shared" si="11"/>
        <v>167284.79999999999</v>
      </c>
      <c r="BG33">
        <f t="shared" si="11"/>
        <v>557616</v>
      </c>
      <c r="BH33">
        <f t="shared" si="8"/>
        <v>1672848</v>
      </c>
      <c r="BI33">
        <f t="shared" si="8"/>
        <v>4739736</v>
      </c>
      <c r="BJ33">
        <f t="shared" si="8"/>
        <v>16728480</v>
      </c>
      <c r="BK33">
        <f t="shared" si="8"/>
        <v>55761600</v>
      </c>
      <c r="BL33" s="145">
        <v>28</v>
      </c>
    </row>
    <row r="34" spans="1:64" ht="17.25" thickBot="1" x14ac:dyDescent="0.25">
      <c r="A34" s="131">
        <v>30</v>
      </c>
      <c r="B34" s="132">
        <v>1426094</v>
      </c>
      <c r="D34" s="131">
        <v>30</v>
      </c>
      <c r="E34" s="132">
        <v>5.8263100000000003</v>
      </c>
      <c r="M34">
        <v>30</v>
      </c>
      <c r="N34">
        <f t="shared" si="3"/>
        <v>14970610</v>
      </c>
      <c r="O34">
        <f t="shared" si="3"/>
        <v>29941220</v>
      </c>
      <c r="P34">
        <f t="shared" si="3"/>
        <v>44911830</v>
      </c>
      <c r="Q34">
        <f t="shared" si="3"/>
        <v>59882440</v>
      </c>
      <c r="R34">
        <f t="shared" si="3"/>
        <v>89823660</v>
      </c>
      <c r="S34">
        <f t="shared" si="3"/>
        <v>104794270</v>
      </c>
      <c r="T34">
        <f t="shared" si="3"/>
        <v>149706100</v>
      </c>
      <c r="U34">
        <f t="shared" si="3"/>
        <v>224559150</v>
      </c>
      <c r="V34">
        <f t="shared" si="3"/>
        <v>359294640</v>
      </c>
      <c r="W34">
        <f t="shared" si="3"/>
        <v>538941960</v>
      </c>
      <c r="X34">
        <f t="shared" si="3"/>
        <v>748530500</v>
      </c>
      <c r="Y34">
        <f t="shared" si="3"/>
        <v>898236600</v>
      </c>
      <c r="Z34">
        <f t="shared" si="3"/>
        <v>1437178560</v>
      </c>
      <c r="AA34">
        <f t="shared" si="3"/>
        <v>1497061000</v>
      </c>
      <c r="AB34">
        <f t="shared" si="3"/>
        <v>2245591500</v>
      </c>
      <c r="AC34">
        <f t="shared" si="3"/>
        <v>3592946400</v>
      </c>
      <c r="AD34">
        <f t="shared" ref="O34:AD50" si="13">(VLOOKUP(AD$3,$G$4:$H$23,2,0)*VLOOKUP($M34+1,$A$4:$B$1404,2,0)
)</f>
        <v>5389419600</v>
      </c>
      <c r="AE34">
        <f t="shared" si="10"/>
        <v>6287656200</v>
      </c>
      <c r="AF34">
        <f t="shared" si="10"/>
        <v>8233835500</v>
      </c>
      <c r="AG34">
        <f t="shared" si="10"/>
        <v>10479427000</v>
      </c>
      <c r="AK34">
        <v>28</v>
      </c>
      <c r="AL34" s="24">
        <f t="shared" si="6"/>
        <v>5.66188</v>
      </c>
      <c r="AM34">
        <f t="shared" si="12"/>
        <v>39.633160000000004</v>
      </c>
      <c r="AN34">
        <f t="shared" si="12"/>
        <v>56.6188</v>
      </c>
      <c r="AO34">
        <f t="shared" si="12"/>
        <v>84.928200000000004</v>
      </c>
      <c r="AP34">
        <f t="shared" si="12"/>
        <v>113.2376</v>
      </c>
      <c r="AQ34">
        <f t="shared" si="12"/>
        <v>198.16579999999999</v>
      </c>
      <c r="AR34">
        <f t="shared" si="12"/>
        <v>283.09399999999999</v>
      </c>
      <c r="AS34">
        <f t="shared" si="12"/>
        <v>452.9504</v>
      </c>
      <c r="AT34">
        <f t="shared" si="12"/>
        <v>679.42560000000003</v>
      </c>
      <c r="AU34">
        <f t="shared" si="12"/>
        <v>962.51959999999997</v>
      </c>
      <c r="AV34">
        <f t="shared" si="12"/>
        <v>1358.8512000000001</v>
      </c>
      <c r="AW34">
        <f t="shared" si="12"/>
        <v>1868.4204</v>
      </c>
      <c r="AX34">
        <f t="shared" si="12"/>
        <v>2604.4648000000002</v>
      </c>
      <c r="AY34">
        <f t="shared" si="12"/>
        <v>4529.5039999999999</v>
      </c>
      <c r="AZ34">
        <f t="shared" si="12"/>
        <v>8492.82</v>
      </c>
      <c r="BA34">
        <f t="shared" si="12"/>
        <v>14154.7</v>
      </c>
      <c r="BB34">
        <f t="shared" si="12"/>
        <v>22647.52</v>
      </c>
      <c r="BC34">
        <f t="shared" si="11"/>
        <v>56618.8</v>
      </c>
      <c r="BD34">
        <f t="shared" si="11"/>
        <v>84928.2</v>
      </c>
      <c r="BE34">
        <f t="shared" si="11"/>
        <v>135885.12</v>
      </c>
      <c r="BF34">
        <f t="shared" si="11"/>
        <v>169856.4</v>
      </c>
      <c r="BG34">
        <f t="shared" si="11"/>
        <v>566188</v>
      </c>
      <c r="BH34">
        <f t="shared" si="8"/>
        <v>1698564</v>
      </c>
      <c r="BI34">
        <f t="shared" si="8"/>
        <v>4812598</v>
      </c>
      <c r="BJ34">
        <f t="shared" si="8"/>
        <v>16985640</v>
      </c>
      <c r="BK34">
        <f t="shared" si="8"/>
        <v>56618800</v>
      </c>
      <c r="BL34">
        <v>29</v>
      </c>
    </row>
    <row r="35" spans="1:64" ht="17.25" thickBot="1" x14ac:dyDescent="0.25">
      <c r="A35" s="131">
        <v>31</v>
      </c>
      <c r="B35" s="132">
        <v>1497061</v>
      </c>
      <c r="D35" s="131">
        <v>31</v>
      </c>
      <c r="E35" s="132">
        <v>5.9052600000000002</v>
      </c>
      <c r="M35">
        <v>31</v>
      </c>
      <c r="N35">
        <f t="shared" si="3"/>
        <v>15691610</v>
      </c>
      <c r="O35">
        <f t="shared" si="13"/>
        <v>31383220</v>
      </c>
      <c r="P35">
        <f t="shared" si="13"/>
        <v>47074830</v>
      </c>
      <c r="Q35">
        <f t="shared" si="13"/>
        <v>62766440</v>
      </c>
      <c r="R35">
        <f t="shared" si="13"/>
        <v>94149660</v>
      </c>
      <c r="S35">
        <f t="shared" si="13"/>
        <v>109841270</v>
      </c>
      <c r="T35">
        <f t="shared" si="13"/>
        <v>156916100</v>
      </c>
      <c r="U35">
        <f t="shared" si="13"/>
        <v>235374150</v>
      </c>
      <c r="V35">
        <f t="shared" si="13"/>
        <v>376598640</v>
      </c>
      <c r="W35">
        <f t="shared" si="13"/>
        <v>564897960</v>
      </c>
      <c r="X35">
        <f t="shared" si="13"/>
        <v>784580500</v>
      </c>
      <c r="Y35">
        <f t="shared" si="13"/>
        <v>941496600</v>
      </c>
      <c r="Z35">
        <f t="shared" si="13"/>
        <v>1506394560</v>
      </c>
      <c r="AA35">
        <f t="shared" si="13"/>
        <v>1569161000</v>
      </c>
      <c r="AB35">
        <f t="shared" si="13"/>
        <v>2353741500</v>
      </c>
      <c r="AC35">
        <f t="shared" si="13"/>
        <v>3765986400</v>
      </c>
      <c r="AD35">
        <f t="shared" si="13"/>
        <v>5648979600</v>
      </c>
      <c r="AE35">
        <f t="shared" si="10"/>
        <v>6590476200</v>
      </c>
      <c r="AF35">
        <f t="shared" si="10"/>
        <v>8630385500</v>
      </c>
      <c r="AG35">
        <f t="shared" si="10"/>
        <v>10984127000</v>
      </c>
      <c r="AK35">
        <v>29</v>
      </c>
      <c r="AL35" s="24">
        <f t="shared" si="6"/>
        <v>5.7452199999999998</v>
      </c>
      <c r="AM35">
        <f t="shared" si="12"/>
        <v>40.216539999999995</v>
      </c>
      <c r="AN35">
        <f t="shared" si="12"/>
        <v>57.452199999999998</v>
      </c>
      <c r="AO35">
        <f t="shared" si="12"/>
        <v>86.178299999999993</v>
      </c>
      <c r="AP35">
        <f t="shared" si="12"/>
        <v>114.9044</v>
      </c>
      <c r="AQ35">
        <f t="shared" si="12"/>
        <v>201.08269999999999</v>
      </c>
      <c r="AR35">
        <f t="shared" si="12"/>
        <v>287.26099999999997</v>
      </c>
      <c r="AS35">
        <f t="shared" si="12"/>
        <v>459.61759999999998</v>
      </c>
      <c r="AT35">
        <f t="shared" si="12"/>
        <v>689.42639999999994</v>
      </c>
      <c r="AU35">
        <f t="shared" si="12"/>
        <v>976.68739999999991</v>
      </c>
      <c r="AV35">
        <f t="shared" si="12"/>
        <v>1378.8527999999999</v>
      </c>
      <c r="AW35">
        <f t="shared" si="12"/>
        <v>1895.9225999999999</v>
      </c>
      <c r="AX35">
        <f t="shared" si="12"/>
        <v>2642.8011999999999</v>
      </c>
      <c r="AY35">
        <f t="shared" si="12"/>
        <v>4596.1759999999995</v>
      </c>
      <c r="AZ35">
        <f t="shared" si="12"/>
        <v>8617.83</v>
      </c>
      <c r="BA35">
        <f t="shared" si="12"/>
        <v>14363.05</v>
      </c>
      <c r="BB35">
        <f t="shared" si="12"/>
        <v>22980.879999999997</v>
      </c>
      <c r="BC35">
        <f t="shared" si="11"/>
        <v>57452.2</v>
      </c>
      <c r="BD35">
        <f t="shared" si="11"/>
        <v>86178.3</v>
      </c>
      <c r="BE35">
        <f t="shared" si="11"/>
        <v>137885.28</v>
      </c>
      <c r="BF35">
        <f t="shared" si="11"/>
        <v>172356.6</v>
      </c>
      <c r="BG35">
        <f t="shared" si="11"/>
        <v>574522</v>
      </c>
      <c r="BH35">
        <f t="shared" si="8"/>
        <v>1723566</v>
      </c>
      <c r="BI35">
        <f t="shared" si="8"/>
        <v>4883437</v>
      </c>
      <c r="BJ35">
        <f t="shared" si="8"/>
        <v>17235660</v>
      </c>
      <c r="BK35">
        <f t="shared" si="8"/>
        <v>57452200</v>
      </c>
      <c r="BL35" s="145">
        <v>30</v>
      </c>
    </row>
    <row r="36" spans="1:64" ht="17.25" thickBot="1" x14ac:dyDescent="0.25">
      <c r="A36" s="131">
        <v>32</v>
      </c>
      <c r="B36" s="132">
        <v>1569161</v>
      </c>
      <c r="D36" s="131">
        <v>32</v>
      </c>
      <c r="E36" s="132">
        <v>5.9821900000000001</v>
      </c>
      <c r="M36">
        <v>32</v>
      </c>
      <c r="N36">
        <f t="shared" si="3"/>
        <v>16423830</v>
      </c>
      <c r="O36">
        <f t="shared" si="13"/>
        <v>32847660</v>
      </c>
      <c r="P36">
        <f t="shared" si="13"/>
        <v>49271490</v>
      </c>
      <c r="Q36">
        <f t="shared" si="13"/>
        <v>65695320</v>
      </c>
      <c r="R36">
        <f t="shared" si="13"/>
        <v>98542980</v>
      </c>
      <c r="S36">
        <f t="shared" si="13"/>
        <v>114966810</v>
      </c>
      <c r="T36">
        <f t="shared" si="13"/>
        <v>164238300</v>
      </c>
      <c r="U36">
        <f t="shared" si="13"/>
        <v>246357450</v>
      </c>
      <c r="V36">
        <f t="shared" si="13"/>
        <v>394171920</v>
      </c>
      <c r="W36">
        <f t="shared" si="13"/>
        <v>591257880</v>
      </c>
      <c r="X36">
        <f t="shared" si="13"/>
        <v>821191500</v>
      </c>
      <c r="Y36">
        <f t="shared" si="13"/>
        <v>985429800</v>
      </c>
      <c r="Z36">
        <f t="shared" si="13"/>
        <v>1576687680</v>
      </c>
      <c r="AA36">
        <f t="shared" si="13"/>
        <v>1642383000</v>
      </c>
      <c r="AB36">
        <f t="shared" si="13"/>
        <v>2463574500</v>
      </c>
      <c r="AC36">
        <f t="shared" si="13"/>
        <v>3941719200</v>
      </c>
      <c r="AD36">
        <f t="shared" si="13"/>
        <v>5912578800</v>
      </c>
      <c r="AE36">
        <f t="shared" si="10"/>
        <v>6898008600</v>
      </c>
      <c r="AF36">
        <f t="shared" si="10"/>
        <v>9033106500</v>
      </c>
      <c r="AG36">
        <f t="shared" si="10"/>
        <v>11496681000</v>
      </c>
      <c r="AK36">
        <v>30</v>
      </c>
      <c r="AL36" s="24">
        <f t="shared" si="6"/>
        <v>5.8263100000000003</v>
      </c>
      <c r="AM36">
        <f t="shared" si="12"/>
        <v>40.784170000000003</v>
      </c>
      <c r="AN36">
        <f t="shared" si="12"/>
        <v>58.263100000000001</v>
      </c>
      <c r="AO36">
        <f t="shared" si="12"/>
        <v>87.394649999999999</v>
      </c>
      <c r="AP36">
        <f t="shared" si="12"/>
        <v>116.5262</v>
      </c>
      <c r="AQ36">
        <f t="shared" si="12"/>
        <v>203.92085</v>
      </c>
      <c r="AR36">
        <f t="shared" si="12"/>
        <v>291.31550000000004</v>
      </c>
      <c r="AS36">
        <f t="shared" si="12"/>
        <v>466.10480000000001</v>
      </c>
      <c r="AT36">
        <f t="shared" si="12"/>
        <v>699.15719999999999</v>
      </c>
      <c r="AU36">
        <f t="shared" si="12"/>
        <v>990.47270000000003</v>
      </c>
      <c r="AV36">
        <f t="shared" si="12"/>
        <v>1398.3144</v>
      </c>
      <c r="AW36">
        <f t="shared" si="12"/>
        <v>1922.6823000000002</v>
      </c>
      <c r="AX36">
        <f t="shared" si="12"/>
        <v>2680.1026000000002</v>
      </c>
      <c r="AY36">
        <f t="shared" si="12"/>
        <v>4661.0480000000007</v>
      </c>
      <c r="AZ36">
        <f t="shared" si="12"/>
        <v>8739.4650000000001</v>
      </c>
      <c r="BA36">
        <f t="shared" si="12"/>
        <v>14565.775000000001</v>
      </c>
      <c r="BB36">
        <f t="shared" si="12"/>
        <v>23305.24</v>
      </c>
      <c r="BC36">
        <f t="shared" si="11"/>
        <v>58263.100000000006</v>
      </c>
      <c r="BD36">
        <f t="shared" si="11"/>
        <v>87394.650000000009</v>
      </c>
      <c r="BE36">
        <f t="shared" si="11"/>
        <v>139831.44</v>
      </c>
      <c r="BF36">
        <f t="shared" si="11"/>
        <v>174789.30000000002</v>
      </c>
      <c r="BG36">
        <f t="shared" si="11"/>
        <v>582631</v>
      </c>
      <c r="BH36">
        <f t="shared" si="8"/>
        <v>1747893</v>
      </c>
      <c r="BI36">
        <f t="shared" si="8"/>
        <v>4952363.5</v>
      </c>
      <c r="BJ36">
        <f t="shared" si="8"/>
        <v>17478930</v>
      </c>
      <c r="BK36">
        <f t="shared" si="8"/>
        <v>58263100</v>
      </c>
      <c r="BL36">
        <v>31</v>
      </c>
    </row>
    <row r="37" spans="1:64" ht="17.25" thickBot="1" x14ac:dyDescent="0.25">
      <c r="A37" s="131">
        <v>33</v>
      </c>
      <c r="B37" s="132">
        <v>1642383</v>
      </c>
      <c r="D37" s="131">
        <v>33</v>
      </c>
      <c r="E37" s="132">
        <v>6.0571900000000003</v>
      </c>
      <c r="M37">
        <v>33</v>
      </c>
      <c r="N37">
        <f t="shared" si="3"/>
        <v>17167050</v>
      </c>
      <c r="O37">
        <f t="shared" si="13"/>
        <v>34334100</v>
      </c>
      <c r="P37">
        <f t="shared" si="13"/>
        <v>51501150</v>
      </c>
      <c r="Q37">
        <f t="shared" si="13"/>
        <v>68668200</v>
      </c>
      <c r="R37">
        <f t="shared" si="13"/>
        <v>103002300</v>
      </c>
      <c r="S37">
        <f t="shared" si="13"/>
        <v>120169350</v>
      </c>
      <c r="T37">
        <f t="shared" si="13"/>
        <v>171670500</v>
      </c>
      <c r="U37">
        <f t="shared" si="13"/>
        <v>257505750</v>
      </c>
      <c r="V37">
        <f t="shared" si="13"/>
        <v>412009200</v>
      </c>
      <c r="W37">
        <f t="shared" si="13"/>
        <v>618013800</v>
      </c>
      <c r="X37">
        <f t="shared" si="13"/>
        <v>858352500</v>
      </c>
      <c r="Y37">
        <f t="shared" si="13"/>
        <v>1030023000</v>
      </c>
      <c r="Z37">
        <f t="shared" si="13"/>
        <v>1648036800</v>
      </c>
      <c r="AA37">
        <f t="shared" si="13"/>
        <v>1716705000</v>
      </c>
      <c r="AB37">
        <f t="shared" si="13"/>
        <v>2575057500</v>
      </c>
      <c r="AC37">
        <f t="shared" si="13"/>
        <v>4120092000</v>
      </c>
      <c r="AD37">
        <f t="shared" si="13"/>
        <v>6180138000</v>
      </c>
      <c r="AE37">
        <f t="shared" si="10"/>
        <v>7210161000</v>
      </c>
      <c r="AF37">
        <f t="shared" si="10"/>
        <v>9441877500</v>
      </c>
      <c r="AG37">
        <f t="shared" si="10"/>
        <v>12016935000</v>
      </c>
      <c r="AK37">
        <v>31</v>
      </c>
      <c r="AL37" s="24">
        <f t="shared" si="6"/>
        <v>5.9052600000000002</v>
      </c>
      <c r="AM37">
        <f t="shared" si="12"/>
        <v>41.336820000000003</v>
      </c>
      <c r="AN37">
        <f t="shared" si="12"/>
        <v>59.052599999999998</v>
      </c>
      <c r="AO37">
        <f t="shared" si="12"/>
        <v>88.578900000000004</v>
      </c>
      <c r="AP37">
        <f t="shared" si="12"/>
        <v>118.1052</v>
      </c>
      <c r="AQ37">
        <f t="shared" si="12"/>
        <v>206.6841</v>
      </c>
      <c r="AR37">
        <f t="shared" si="12"/>
        <v>295.26300000000003</v>
      </c>
      <c r="AS37">
        <f t="shared" si="12"/>
        <v>472.42079999999999</v>
      </c>
      <c r="AT37">
        <f t="shared" si="12"/>
        <v>708.63120000000004</v>
      </c>
      <c r="AU37">
        <f t="shared" si="12"/>
        <v>1003.8942000000001</v>
      </c>
      <c r="AV37">
        <f t="shared" si="12"/>
        <v>1417.2624000000001</v>
      </c>
      <c r="AW37">
        <f t="shared" si="12"/>
        <v>1948.7358000000002</v>
      </c>
      <c r="AX37">
        <f t="shared" si="12"/>
        <v>2716.4196000000002</v>
      </c>
      <c r="AY37">
        <f t="shared" si="12"/>
        <v>4724.2080000000005</v>
      </c>
      <c r="AZ37">
        <f t="shared" si="12"/>
        <v>8857.89</v>
      </c>
      <c r="BA37">
        <f t="shared" si="12"/>
        <v>14763.15</v>
      </c>
      <c r="BB37">
        <f t="shared" si="12"/>
        <v>23621.040000000001</v>
      </c>
      <c r="BC37">
        <f t="shared" si="11"/>
        <v>59052.6</v>
      </c>
      <c r="BD37">
        <f t="shared" si="11"/>
        <v>88578.900000000009</v>
      </c>
      <c r="BE37">
        <f t="shared" si="11"/>
        <v>141726.24</v>
      </c>
      <c r="BF37">
        <f t="shared" si="11"/>
        <v>177157.80000000002</v>
      </c>
      <c r="BG37">
        <f t="shared" si="11"/>
        <v>590526</v>
      </c>
      <c r="BH37">
        <f t="shared" si="8"/>
        <v>1771578</v>
      </c>
      <c r="BI37">
        <f t="shared" si="8"/>
        <v>5019471</v>
      </c>
      <c r="BJ37">
        <f t="shared" si="8"/>
        <v>17715780</v>
      </c>
      <c r="BK37">
        <f t="shared" si="8"/>
        <v>59052600</v>
      </c>
      <c r="BL37" s="145">
        <v>32</v>
      </c>
    </row>
    <row r="38" spans="1:64" ht="17.25" thickBot="1" x14ac:dyDescent="0.25">
      <c r="A38" s="131">
        <v>34</v>
      </c>
      <c r="B38" s="132">
        <v>1716705</v>
      </c>
      <c r="D38" s="131">
        <v>34</v>
      </c>
      <c r="E38" s="132">
        <v>6.1303700000000001</v>
      </c>
      <c r="M38">
        <v>34</v>
      </c>
      <c r="N38">
        <f t="shared" si="3"/>
        <v>17921110</v>
      </c>
      <c r="O38">
        <f t="shared" si="13"/>
        <v>35842220</v>
      </c>
      <c r="P38">
        <f t="shared" si="13"/>
        <v>53763330</v>
      </c>
      <c r="Q38">
        <f t="shared" si="13"/>
        <v>71684440</v>
      </c>
      <c r="R38">
        <f t="shared" si="13"/>
        <v>107526660</v>
      </c>
      <c r="S38">
        <f t="shared" si="13"/>
        <v>125447770</v>
      </c>
      <c r="T38">
        <f t="shared" si="13"/>
        <v>179211100</v>
      </c>
      <c r="U38">
        <f t="shared" si="13"/>
        <v>268816650</v>
      </c>
      <c r="V38">
        <f t="shared" si="13"/>
        <v>430106640</v>
      </c>
      <c r="W38">
        <f t="shared" si="13"/>
        <v>645159960</v>
      </c>
      <c r="X38">
        <f t="shared" si="13"/>
        <v>896055500</v>
      </c>
      <c r="Y38">
        <f t="shared" si="13"/>
        <v>1075266600</v>
      </c>
      <c r="Z38">
        <f t="shared" si="13"/>
        <v>1720426560</v>
      </c>
      <c r="AA38">
        <f t="shared" si="13"/>
        <v>1792111000</v>
      </c>
      <c r="AB38">
        <f t="shared" si="13"/>
        <v>2688166500</v>
      </c>
      <c r="AC38">
        <f t="shared" si="13"/>
        <v>4301066400</v>
      </c>
      <c r="AD38">
        <f t="shared" si="13"/>
        <v>6451599600</v>
      </c>
      <c r="AE38">
        <f t="shared" si="10"/>
        <v>7526866200</v>
      </c>
      <c r="AF38">
        <f t="shared" si="10"/>
        <v>9856610500</v>
      </c>
      <c r="AG38">
        <f t="shared" si="10"/>
        <v>12544777000</v>
      </c>
      <c r="AK38">
        <v>32</v>
      </c>
      <c r="AL38" s="24">
        <f t="shared" si="6"/>
        <v>5.9821900000000001</v>
      </c>
      <c r="AM38">
        <f t="shared" si="12"/>
        <v>41.875329999999998</v>
      </c>
      <c r="AN38">
        <f t="shared" si="12"/>
        <v>59.821899999999999</v>
      </c>
      <c r="AO38">
        <f t="shared" si="12"/>
        <v>89.732849999999999</v>
      </c>
      <c r="AP38">
        <f t="shared" si="12"/>
        <v>119.6438</v>
      </c>
      <c r="AQ38">
        <f t="shared" si="12"/>
        <v>209.37665000000001</v>
      </c>
      <c r="AR38">
        <f t="shared" si="12"/>
        <v>299.10950000000003</v>
      </c>
      <c r="AS38">
        <f t="shared" si="12"/>
        <v>478.5752</v>
      </c>
      <c r="AT38">
        <f t="shared" si="12"/>
        <v>717.86279999999999</v>
      </c>
      <c r="AU38">
        <f t="shared" si="12"/>
        <v>1016.9723</v>
      </c>
      <c r="AV38">
        <f t="shared" si="12"/>
        <v>1435.7256</v>
      </c>
      <c r="AW38">
        <f t="shared" si="12"/>
        <v>1974.1227000000001</v>
      </c>
      <c r="AX38">
        <f t="shared" si="12"/>
        <v>2751.8074000000001</v>
      </c>
      <c r="AY38">
        <f t="shared" si="12"/>
        <v>4785.7520000000004</v>
      </c>
      <c r="AZ38">
        <f t="shared" si="12"/>
        <v>8973.2849999999999</v>
      </c>
      <c r="BA38">
        <f t="shared" si="12"/>
        <v>14955.475</v>
      </c>
      <c r="BB38">
        <f t="shared" si="12"/>
        <v>23928.760000000002</v>
      </c>
      <c r="BC38">
        <f t="shared" si="11"/>
        <v>59821.9</v>
      </c>
      <c r="BD38">
        <f t="shared" si="11"/>
        <v>89732.85</v>
      </c>
      <c r="BE38">
        <f t="shared" si="11"/>
        <v>143572.56</v>
      </c>
      <c r="BF38">
        <f t="shared" si="11"/>
        <v>179465.7</v>
      </c>
      <c r="BG38">
        <f t="shared" si="11"/>
        <v>598219</v>
      </c>
      <c r="BH38">
        <f t="shared" si="8"/>
        <v>1794657</v>
      </c>
      <c r="BI38">
        <f t="shared" si="8"/>
        <v>5084861.5</v>
      </c>
      <c r="BJ38">
        <f t="shared" si="8"/>
        <v>17946570</v>
      </c>
      <c r="BK38">
        <f t="shared" si="8"/>
        <v>59821900</v>
      </c>
      <c r="BL38">
        <v>33</v>
      </c>
    </row>
    <row r="39" spans="1:64" ht="17.25" thickBot="1" x14ac:dyDescent="0.25">
      <c r="A39" s="131">
        <v>35</v>
      </c>
      <c r="B39" s="132">
        <v>1792111</v>
      </c>
      <c r="D39" s="131">
        <v>35</v>
      </c>
      <c r="E39" s="132">
        <v>6.2018000000000004</v>
      </c>
      <c r="M39">
        <v>35</v>
      </c>
      <c r="N39">
        <f t="shared" si="3"/>
        <v>18685880</v>
      </c>
      <c r="O39">
        <f t="shared" si="13"/>
        <v>37371760</v>
      </c>
      <c r="P39">
        <f t="shared" si="13"/>
        <v>56057640</v>
      </c>
      <c r="Q39">
        <f t="shared" si="13"/>
        <v>74743520</v>
      </c>
      <c r="R39">
        <f t="shared" si="13"/>
        <v>112115280</v>
      </c>
      <c r="S39">
        <f t="shared" si="13"/>
        <v>130801160</v>
      </c>
      <c r="T39">
        <f t="shared" si="13"/>
        <v>186858800</v>
      </c>
      <c r="U39">
        <f t="shared" si="13"/>
        <v>280288200</v>
      </c>
      <c r="V39">
        <f t="shared" si="13"/>
        <v>448461120</v>
      </c>
      <c r="W39">
        <f t="shared" si="13"/>
        <v>672691680</v>
      </c>
      <c r="X39">
        <f t="shared" si="13"/>
        <v>934294000</v>
      </c>
      <c r="Y39">
        <f t="shared" si="13"/>
        <v>1121152800</v>
      </c>
      <c r="Z39">
        <f t="shared" si="13"/>
        <v>1793844480</v>
      </c>
      <c r="AA39">
        <f t="shared" si="13"/>
        <v>1868588000</v>
      </c>
      <c r="AB39">
        <f t="shared" si="13"/>
        <v>2802882000</v>
      </c>
      <c r="AC39">
        <f t="shared" si="13"/>
        <v>4484611200</v>
      </c>
      <c r="AD39">
        <f t="shared" si="13"/>
        <v>6726916800</v>
      </c>
      <c r="AE39">
        <f t="shared" si="10"/>
        <v>7848069600</v>
      </c>
      <c r="AF39">
        <f t="shared" si="10"/>
        <v>10277234000</v>
      </c>
      <c r="AG39">
        <f t="shared" si="10"/>
        <v>13080116000</v>
      </c>
      <c r="AK39">
        <v>33</v>
      </c>
      <c r="AL39" s="24">
        <f t="shared" si="6"/>
        <v>6.0571900000000003</v>
      </c>
      <c r="AM39">
        <f t="shared" si="12"/>
        <v>42.400330000000004</v>
      </c>
      <c r="AN39">
        <f t="shared" si="12"/>
        <v>60.571899999999999</v>
      </c>
      <c r="AO39">
        <f t="shared" si="12"/>
        <v>90.857849999999999</v>
      </c>
      <c r="AP39">
        <f t="shared" si="12"/>
        <v>121.1438</v>
      </c>
      <c r="AQ39">
        <f t="shared" si="12"/>
        <v>212.00165000000001</v>
      </c>
      <c r="AR39">
        <f t="shared" si="12"/>
        <v>302.85950000000003</v>
      </c>
      <c r="AS39">
        <f t="shared" si="12"/>
        <v>484.5752</v>
      </c>
      <c r="AT39">
        <f t="shared" si="12"/>
        <v>726.86279999999999</v>
      </c>
      <c r="AU39">
        <f t="shared" si="12"/>
        <v>1029.7223000000001</v>
      </c>
      <c r="AV39">
        <f t="shared" si="12"/>
        <v>1453.7256</v>
      </c>
      <c r="AW39">
        <f t="shared" si="12"/>
        <v>1998.8727000000001</v>
      </c>
      <c r="AX39">
        <f t="shared" si="12"/>
        <v>2786.3074000000001</v>
      </c>
      <c r="AY39">
        <f t="shared" si="12"/>
        <v>4845.7520000000004</v>
      </c>
      <c r="AZ39">
        <f t="shared" si="12"/>
        <v>9085.7849999999999</v>
      </c>
      <c r="BA39">
        <f t="shared" si="12"/>
        <v>15142.975</v>
      </c>
      <c r="BB39">
        <f t="shared" si="12"/>
        <v>24228.760000000002</v>
      </c>
      <c r="BC39">
        <f t="shared" si="11"/>
        <v>60571.9</v>
      </c>
      <c r="BD39">
        <f t="shared" si="11"/>
        <v>90857.85</v>
      </c>
      <c r="BE39">
        <f t="shared" si="11"/>
        <v>145372.56</v>
      </c>
      <c r="BF39">
        <f t="shared" si="11"/>
        <v>181715.7</v>
      </c>
      <c r="BG39">
        <f t="shared" si="11"/>
        <v>605719</v>
      </c>
      <c r="BH39">
        <f t="shared" si="8"/>
        <v>1817157</v>
      </c>
      <c r="BI39">
        <f t="shared" si="8"/>
        <v>5148611.5</v>
      </c>
      <c r="BJ39">
        <f t="shared" si="8"/>
        <v>18171570</v>
      </c>
      <c r="BK39">
        <f t="shared" si="8"/>
        <v>60571900</v>
      </c>
      <c r="BL39" s="145">
        <v>34</v>
      </c>
    </row>
    <row r="40" spans="1:64" ht="17.25" thickBot="1" x14ac:dyDescent="0.25">
      <c r="A40" s="131">
        <v>36</v>
      </c>
      <c r="B40" s="132">
        <v>1868588</v>
      </c>
      <c r="D40" s="131">
        <v>36</v>
      </c>
      <c r="E40" s="132">
        <v>6.2715699999999996</v>
      </c>
      <c r="M40">
        <v>36</v>
      </c>
      <c r="N40">
        <f t="shared" si="3"/>
        <v>19461220</v>
      </c>
      <c r="O40">
        <f t="shared" si="13"/>
        <v>38922440</v>
      </c>
      <c r="P40">
        <f t="shared" si="13"/>
        <v>58383660</v>
      </c>
      <c r="Q40">
        <f t="shared" si="13"/>
        <v>77844880</v>
      </c>
      <c r="R40">
        <f t="shared" si="13"/>
        <v>116767320</v>
      </c>
      <c r="S40">
        <f t="shared" si="13"/>
        <v>136228540</v>
      </c>
      <c r="T40">
        <f t="shared" si="13"/>
        <v>194612200</v>
      </c>
      <c r="U40">
        <f t="shared" si="13"/>
        <v>291918300</v>
      </c>
      <c r="V40">
        <f t="shared" si="13"/>
        <v>467069280</v>
      </c>
      <c r="W40">
        <f t="shared" si="13"/>
        <v>700603920</v>
      </c>
      <c r="X40">
        <f t="shared" si="13"/>
        <v>973061000</v>
      </c>
      <c r="Y40">
        <f t="shared" si="13"/>
        <v>1167673200</v>
      </c>
      <c r="Z40">
        <f t="shared" si="13"/>
        <v>1868277120</v>
      </c>
      <c r="AA40">
        <f t="shared" si="13"/>
        <v>1946122000</v>
      </c>
      <c r="AB40">
        <f t="shared" si="13"/>
        <v>2919183000</v>
      </c>
      <c r="AC40">
        <f t="shared" si="13"/>
        <v>4670692800</v>
      </c>
      <c r="AD40">
        <f t="shared" si="13"/>
        <v>7006039200</v>
      </c>
      <c r="AE40">
        <f t="shared" si="10"/>
        <v>8173712400</v>
      </c>
      <c r="AF40">
        <f t="shared" si="10"/>
        <v>10703671000</v>
      </c>
      <c r="AG40">
        <f t="shared" si="10"/>
        <v>13622854000</v>
      </c>
      <c r="AK40">
        <v>34</v>
      </c>
      <c r="AL40" s="24">
        <f t="shared" si="6"/>
        <v>6.1303700000000001</v>
      </c>
      <c r="AM40">
        <f t="shared" si="12"/>
        <v>42.912590000000002</v>
      </c>
      <c r="AN40">
        <f t="shared" si="12"/>
        <v>61.303699999999999</v>
      </c>
      <c r="AO40">
        <f t="shared" si="12"/>
        <v>91.955550000000002</v>
      </c>
      <c r="AP40">
        <f t="shared" si="12"/>
        <v>122.6074</v>
      </c>
      <c r="AQ40">
        <f t="shared" si="12"/>
        <v>214.56295</v>
      </c>
      <c r="AR40">
        <f t="shared" si="12"/>
        <v>306.51850000000002</v>
      </c>
      <c r="AS40">
        <f t="shared" si="12"/>
        <v>490.42959999999999</v>
      </c>
      <c r="AT40">
        <f t="shared" si="12"/>
        <v>735.64440000000002</v>
      </c>
      <c r="AU40">
        <f t="shared" si="12"/>
        <v>1042.1629</v>
      </c>
      <c r="AV40">
        <f t="shared" si="12"/>
        <v>1471.2888</v>
      </c>
      <c r="AW40">
        <f t="shared" si="12"/>
        <v>2023.0221000000001</v>
      </c>
      <c r="AX40">
        <f t="shared" si="12"/>
        <v>2819.9702000000002</v>
      </c>
      <c r="AY40">
        <f t="shared" si="12"/>
        <v>4904.2960000000003</v>
      </c>
      <c r="AZ40">
        <f t="shared" si="12"/>
        <v>9195.5550000000003</v>
      </c>
      <c r="BA40">
        <f t="shared" si="12"/>
        <v>15325.925000000001</v>
      </c>
      <c r="BB40">
        <f t="shared" si="12"/>
        <v>24521.48</v>
      </c>
      <c r="BC40">
        <f t="shared" si="11"/>
        <v>61303.700000000004</v>
      </c>
      <c r="BD40">
        <f t="shared" si="11"/>
        <v>91955.55</v>
      </c>
      <c r="BE40">
        <f t="shared" si="11"/>
        <v>147128.88</v>
      </c>
      <c r="BF40">
        <f t="shared" si="11"/>
        <v>183911.1</v>
      </c>
      <c r="BG40">
        <f t="shared" si="11"/>
        <v>613037</v>
      </c>
      <c r="BH40">
        <f t="shared" si="8"/>
        <v>1839111</v>
      </c>
      <c r="BI40">
        <f t="shared" si="8"/>
        <v>5210814.5</v>
      </c>
      <c r="BJ40">
        <f t="shared" si="8"/>
        <v>18391110</v>
      </c>
      <c r="BK40">
        <f t="shared" si="8"/>
        <v>61303700</v>
      </c>
      <c r="BL40">
        <v>35</v>
      </c>
    </row>
    <row r="41" spans="1:64" ht="17.25" thickBot="1" x14ac:dyDescent="0.25">
      <c r="A41" s="131">
        <v>37</v>
      </c>
      <c r="B41" s="132">
        <v>1946122</v>
      </c>
      <c r="D41" s="131">
        <v>37</v>
      </c>
      <c r="E41" s="132">
        <v>6.3397600000000001</v>
      </c>
      <c r="M41">
        <v>37</v>
      </c>
      <c r="N41">
        <f t="shared" si="3"/>
        <v>20246940</v>
      </c>
      <c r="O41">
        <f t="shared" si="13"/>
        <v>40493880</v>
      </c>
      <c r="P41">
        <f t="shared" si="13"/>
        <v>60740820</v>
      </c>
      <c r="Q41">
        <f t="shared" si="13"/>
        <v>80987760</v>
      </c>
      <c r="R41">
        <f t="shared" si="13"/>
        <v>121481640</v>
      </c>
      <c r="S41">
        <f t="shared" si="13"/>
        <v>141728580</v>
      </c>
      <c r="T41">
        <f t="shared" si="13"/>
        <v>202469400</v>
      </c>
      <c r="U41">
        <f t="shared" si="13"/>
        <v>303704100</v>
      </c>
      <c r="V41">
        <f t="shared" si="13"/>
        <v>485926560</v>
      </c>
      <c r="W41">
        <f t="shared" si="13"/>
        <v>728889840</v>
      </c>
      <c r="X41">
        <f t="shared" si="13"/>
        <v>1012347000</v>
      </c>
      <c r="Y41">
        <f t="shared" si="13"/>
        <v>1214816400</v>
      </c>
      <c r="Z41">
        <f t="shared" si="13"/>
        <v>1943706240</v>
      </c>
      <c r="AA41">
        <f t="shared" si="13"/>
        <v>2024694000</v>
      </c>
      <c r="AB41">
        <f t="shared" si="13"/>
        <v>3037041000</v>
      </c>
      <c r="AC41">
        <f t="shared" si="13"/>
        <v>4859265600</v>
      </c>
      <c r="AD41">
        <f t="shared" si="13"/>
        <v>7288898400</v>
      </c>
      <c r="AE41">
        <f t="shared" si="10"/>
        <v>8503714800</v>
      </c>
      <c r="AF41">
        <f t="shared" si="10"/>
        <v>11135817000</v>
      </c>
      <c r="AG41">
        <f t="shared" si="10"/>
        <v>14172858000</v>
      </c>
      <c r="AK41">
        <v>35</v>
      </c>
      <c r="AL41" s="24">
        <f t="shared" si="6"/>
        <v>6.2018000000000004</v>
      </c>
      <c r="AM41">
        <f t="shared" si="12"/>
        <v>43.412600000000005</v>
      </c>
      <c r="AN41">
        <f t="shared" si="12"/>
        <v>62.018000000000001</v>
      </c>
      <c r="AO41">
        <f t="shared" si="12"/>
        <v>93.027000000000001</v>
      </c>
      <c r="AP41">
        <f t="shared" si="12"/>
        <v>124.036</v>
      </c>
      <c r="AQ41">
        <f t="shared" si="12"/>
        <v>217.06300000000002</v>
      </c>
      <c r="AR41">
        <f t="shared" si="12"/>
        <v>310.09000000000003</v>
      </c>
      <c r="AS41">
        <f t="shared" si="12"/>
        <v>496.14400000000001</v>
      </c>
      <c r="AT41">
        <f t="shared" si="12"/>
        <v>744.21600000000001</v>
      </c>
      <c r="AU41">
        <f t="shared" si="12"/>
        <v>1054.306</v>
      </c>
      <c r="AV41">
        <f t="shared" si="12"/>
        <v>1488.432</v>
      </c>
      <c r="AW41">
        <f t="shared" si="12"/>
        <v>2046.5940000000001</v>
      </c>
      <c r="AX41">
        <f t="shared" si="12"/>
        <v>2852.828</v>
      </c>
      <c r="AY41">
        <f t="shared" si="12"/>
        <v>4961.4400000000005</v>
      </c>
      <c r="AZ41">
        <f t="shared" si="12"/>
        <v>9302.7000000000007</v>
      </c>
      <c r="BA41">
        <f t="shared" si="12"/>
        <v>15504.500000000002</v>
      </c>
      <c r="BB41">
        <f t="shared" si="12"/>
        <v>24807.200000000001</v>
      </c>
      <c r="BC41">
        <f t="shared" si="11"/>
        <v>62018.000000000007</v>
      </c>
      <c r="BD41">
        <f t="shared" si="11"/>
        <v>93027</v>
      </c>
      <c r="BE41">
        <f t="shared" si="11"/>
        <v>148843.20000000001</v>
      </c>
      <c r="BF41">
        <f t="shared" si="11"/>
        <v>186054</v>
      </c>
      <c r="BG41">
        <f t="shared" si="11"/>
        <v>620180</v>
      </c>
      <c r="BH41">
        <f t="shared" si="8"/>
        <v>1860540.0000000002</v>
      </c>
      <c r="BI41">
        <f t="shared" si="8"/>
        <v>5271530</v>
      </c>
      <c r="BJ41">
        <f t="shared" si="8"/>
        <v>18605400</v>
      </c>
      <c r="BK41">
        <f t="shared" si="8"/>
        <v>62018000.000000007</v>
      </c>
      <c r="BL41" s="145">
        <v>36</v>
      </c>
    </row>
    <row r="42" spans="1:64" ht="17.25" thickBot="1" x14ac:dyDescent="0.25">
      <c r="A42" s="131">
        <v>38</v>
      </c>
      <c r="B42" s="132">
        <v>2024694</v>
      </c>
      <c r="D42" s="131">
        <v>38</v>
      </c>
      <c r="E42" s="132">
        <v>6.4064300000000003</v>
      </c>
      <c r="M42">
        <v>38</v>
      </c>
      <c r="N42">
        <f t="shared" si="3"/>
        <v>21042940</v>
      </c>
      <c r="O42">
        <f t="shared" si="13"/>
        <v>42085880</v>
      </c>
      <c r="P42">
        <f t="shared" si="13"/>
        <v>63128820</v>
      </c>
      <c r="Q42">
        <f t="shared" si="13"/>
        <v>84171760</v>
      </c>
      <c r="R42">
        <f t="shared" si="13"/>
        <v>126257640</v>
      </c>
      <c r="S42">
        <f t="shared" si="13"/>
        <v>147300580</v>
      </c>
      <c r="T42">
        <f t="shared" si="13"/>
        <v>210429400</v>
      </c>
      <c r="U42">
        <f t="shared" si="13"/>
        <v>315644100</v>
      </c>
      <c r="V42">
        <f t="shared" si="13"/>
        <v>505030560</v>
      </c>
      <c r="W42">
        <f t="shared" si="13"/>
        <v>757545840</v>
      </c>
      <c r="X42">
        <f t="shared" si="13"/>
        <v>1052147000</v>
      </c>
      <c r="Y42">
        <f t="shared" si="13"/>
        <v>1262576400</v>
      </c>
      <c r="Z42">
        <f t="shared" si="13"/>
        <v>2020122240</v>
      </c>
      <c r="AA42">
        <f t="shared" si="13"/>
        <v>2104294000</v>
      </c>
      <c r="AB42">
        <f t="shared" si="13"/>
        <v>3156441000</v>
      </c>
      <c r="AC42">
        <f t="shared" si="13"/>
        <v>5050305600</v>
      </c>
      <c r="AD42">
        <f t="shared" si="13"/>
        <v>7575458400</v>
      </c>
      <c r="AE42">
        <f t="shared" si="10"/>
        <v>8838034800</v>
      </c>
      <c r="AF42">
        <f t="shared" si="10"/>
        <v>11573617000</v>
      </c>
      <c r="AG42">
        <f t="shared" si="10"/>
        <v>14730058000</v>
      </c>
      <c r="AK42">
        <v>36</v>
      </c>
      <c r="AL42" s="24">
        <f t="shared" si="6"/>
        <v>6.2715699999999996</v>
      </c>
      <c r="AM42">
        <f t="shared" si="12"/>
        <v>43.90099</v>
      </c>
      <c r="AN42">
        <f t="shared" si="12"/>
        <v>62.715699999999998</v>
      </c>
      <c r="AO42">
        <f t="shared" si="12"/>
        <v>94.073549999999997</v>
      </c>
      <c r="AP42">
        <f t="shared" si="12"/>
        <v>125.4314</v>
      </c>
      <c r="AQ42">
        <f t="shared" si="12"/>
        <v>219.50494999999998</v>
      </c>
      <c r="AR42">
        <f t="shared" si="12"/>
        <v>313.57849999999996</v>
      </c>
      <c r="AS42">
        <f t="shared" si="12"/>
        <v>501.72559999999999</v>
      </c>
      <c r="AT42">
        <f t="shared" si="12"/>
        <v>752.58839999999998</v>
      </c>
      <c r="AU42">
        <f t="shared" si="12"/>
        <v>1066.1668999999999</v>
      </c>
      <c r="AV42">
        <f t="shared" si="12"/>
        <v>1505.1768</v>
      </c>
      <c r="AW42">
        <f t="shared" si="12"/>
        <v>2069.6180999999997</v>
      </c>
      <c r="AX42">
        <f t="shared" si="12"/>
        <v>2884.9222</v>
      </c>
      <c r="AY42">
        <f t="shared" si="12"/>
        <v>5017.2559999999994</v>
      </c>
      <c r="AZ42">
        <f t="shared" si="12"/>
        <v>9407.3549999999996</v>
      </c>
      <c r="BA42">
        <f t="shared" si="12"/>
        <v>15678.924999999999</v>
      </c>
      <c r="BB42">
        <f t="shared" si="12"/>
        <v>25086.28</v>
      </c>
      <c r="BC42">
        <f t="shared" si="11"/>
        <v>62715.7</v>
      </c>
      <c r="BD42">
        <f t="shared" si="11"/>
        <v>94073.549999999988</v>
      </c>
      <c r="BE42">
        <f t="shared" si="11"/>
        <v>150517.68</v>
      </c>
      <c r="BF42">
        <f t="shared" si="11"/>
        <v>188147.09999999998</v>
      </c>
      <c r="BG42">
        <f t="shared" si="11"/>
        <v>627157</v>
      </c>
      <c r="BH42">
        <f t="shared" si="8"/>
        <v>1881471</v>
      </c>
      <c r="BI42">
        <f t="shared" si="8"/>
        <v>5330834.5</v>
      </c>
      <c r="BJ42">
        <f t="shared" si="8"/>
        <v>18814710</v>
      </c>
      <c r="BK42">
        <f t="shared" si="8"/>
        <v>62715700</v>
      </c>
      <c r="BL42">
        <v>37</v>
      </c>
    </row>
    <row r="43" spans="1:64" ht="17.25" thickBot="1" x14ac:dyDescent="0.25">
      <c r="A43" s="131">
        <v>39</v>
      </c>
      <c r="B43" s="132">
        <v>2104294</v>
      </c>
      <c r="D43" s="131">
        <v>39</v>
      </c>
      <c r="E43" s="132">
        <v>6.4716500000000003</v>
      </c>
      <c r="M43">
        <v>39</v>
      </c>
      <c r="N43">
        <f t="shared" si="3"/>
        <v>21849050</v>
      </c>
      <c r="O43">
        <f t="shared" si="13"/>
        <v>43698100</v>
      </c>
      <c r="P43">
        <f t="shared" si="13"/>
        <v>65547150</v>
      </c>
      <c r="Q43">
        <f t="shared" si="13"/>
        <v>87396200</v>
      </c>
      <c r="R43">
        <f t="shared" si="13"/>
        <v>131094300</v>
      </c>
      <c r="S43">
        <f t="shared" si="13"/>
        <v>152943350</v>
      </c>
      <c r="T43">
        <f t="shared" si="13"/>
        <v>218490500</v>
      </c>
      <c r="U43">
        <f t="shared" si="13"/>
        <v>327735750</v>
      </c>
      <c r="V43">
        <f t="shared" si="13"/>
        <v>524377200</v>
      </c>
      <c r="W43">
        <f t="shared" si="13"/>
        <v>786565800</v>
      </c>
      <c r="X43">
        <f t="shared" si="13"/>
        <v>1092452500</v>
      </c>
      <c r="Y43">
        <f t="shared" si="13"/>
        <v>1310943000</v>
      </c>
      <c r="Z43">
        <f t="shared" si="13"/>
        <v>2097508800</v>
      </c>
      <c r="AA43">
        <f t="shared" si="13"/>
        <v>2184905000</v>
      </c>
      <c r="AB43">
        <f t="shared" si="13"/>
        <v>3277357500</v>
      </c>
      <c r="AC43">
        <f t="shared" si="13"/>
        <v>5243772000</v>
      </c>
      <c r="AD43">
        <f t="shared" si="13"/>
        <v>7865658000</v>
      </c>
      <c r="AE43">
        <f t="shared" si="10"/>
        <v>9176601000</v>
      </c>
      <c r="AF43">
        <f t="shared" si="10"/>
        <v>12016977500</v>
      </c>
      <c r="AG43">
        <f t="shared" si="10"/>
        <v>15294335000</v>
      </c>
      <c r="AK43">
        <v>37</v>
      </c>
      <c r="AL43" s="24">
        <f t="shared" si="6"/>
        <v>6.3397600000000001</v>
      </c>
      <c r="AM43">
        <f t="shared" si="12"/>
        <v>44.378320000000002</v>
      </c>
      <c r="AN43">
        <f t="shared" si="12"/>
        <v>63.397599999999997</v>
      </c>
      <c r="AO43">
        <f t="shared" si="12"/>
        <v>95.096400000000003</v>
      </c>
      <c r="AP43">
        <f t="shared" si="12"/>
        <v>126.79519999999999</v>
      </c>
      <c r="AQ43">
        <f t="shared" si="12"/>
        <v>221.89160000000001</v>
      </c>
      <c r="AR43">
        <f t="shared" si="12"/>
        <v>316.988</v>
      </c>
      <c r="AS43">
        <f t="shared" si="12"/>
        <v>507.18079999999998</v>
      </c>
      <c r="AT43">
        <f t="shared" si="12"/>
        <v>760.77120000000002</v>
      </c>
      <c r="AU43">
        <f t="shared" si="12"/>
        <v>1077.7592</v>
      </c>
      <c r="AV43">
        <f t="shared" si="12"/>
        <v>1521.5424</v>
      </c>
      <c r="AW43">
        <f t="shared" si="12"/>
        <v>2092.1208000000001</v>
      </c>
      <c r="AX43">
        <f t="shared" si="12"/>
        <v>2916.2896000000001</v>
      </c>
      <c r="AY43">
        <f t="shared" si="12"/>
        <v>5071.808</v>
      </c>
      <c r="AZ43">
        <f t="shared" si="12"/>
        <v>9509.64</v>
      </c>
      <c r="BA43">
        <f t="shared" si="12"/>
        <v>15849.4</v>
      </c>
      <c r="BB43">
        <f t="shared" si="12"/>
        <v>25359.040000000001</v>
      </c>
      <c r="BC43">
        <f t="shared" si="11"/>
        <v>63397.599999999999</v>
      </c>
      <c r="BD43">
        <f t="shared" si="11"/>
        <v>95096.4</v>
      </c>
      <c r="BE43">
        <f t="shared" si="11"/>
        <v>152154.23999999999</v>
      </c>
      <c r="BF43">
        <f t="shared" si="11"/>
        <v>190192.8</v>
      </c>
      <c r="BG43">
        <f t="shared" si="11"/>
        <v>633976</v>
      </c>
      <c r="BH43">
        <f t="shared" si="8"/>
        <v>1901928</v>
      </c>
      <c r="BI43">
        <f t="shared" si="8"/>
        <v>5388796</v>
      </c>
      <c r="BJ43">
        <f t="shared" si="8"/>
        <v>19019280</v>
      </c>
      <c r="BK43">
        <f t="shared" si="8"/>
        <v>63397600</v>
      </c>
      <c r="BL43" s="145">
        <v>38</v>
      </c>
    </row>
    <row r="44" spans="1:64" ht="17.25" thickBot="1" x14ac:dyDescent="0.25">
      <c r="A44" s="131">
        <v>40</v>
      </c>
      <c r="B44" s="132">
        <v>2184905</v>
      </c>
      <c r="D44" s="131">
        <v>40</v>
      </c>
      <c r="E44" s="132">
        <v>6.5354799999999997</v>
      </c>
      <c r="M44">
        <v>40</v>
      </c>
      <c r="N44">
        <f t="shared" si="3"/>
        <v>22665220</v>
      </c>
      <c r="O44">
        <f t="shared" si="13"/>
        <v>45330440</v>
      </c>
      <c r="P44">
        <f t="shared" si="13"/>
        <v>67995660</v>
      </c>
      <c r="Q44">
        <f t="shared" si="13"/>
        <v>90660880</v>
      </c>
      <c r="R44">
        <f t="shared" si="13"/>
        <v>135991320</v>
      </c>
      <c r="S44">
        <f t="shared" si="13"/>
        <v>158656540</v>
      </c>
      <c r="T44">
        <f t="shared" si="13"/>
        <v>226652200</v>
      </c>
      <c r="U44">
        <f t="shared" si="13"/>
        <v>339978300</v>
      </c>
      <c r="V44">
        <f t="shared" si="13"/>
        <v>543965280</v>
      </c>
      <c r="W44">
        <f t="shared" si="13"/>
        <v>815947920</v>
      </c>
      <c r="X44">
        <f t="shared" si="13"/>
        <v>1133261000</v>
      </c>
      <c r="Y44">
        <f t="shared" si="13"/>
        <v>1359913200</v>
      </c>
      <c r="Z44">
        <f t="shared" si="13"/>
        <v>2175861120</v>
      </c>
      <c r="AA44">
        <f t="shared" si="13"/>
        <v>2266522000</v>
      </c>
      <c r="AB44">
        <f t="shared" si="13"/>
        <v>3399783000</v>
      </c>
      <c r="AC44">
        <f t="shared" si="13"/>
        <v>5439652800</v>
      </c>
      <c r="AD44">
        <f t="shared" si="13"/>
        <v>8159479200</v>
      </c>
      <c r="AE44">
        <f t="shared" si="10"/>
        <v>9519392400</v>
      </c>
      <c r="AF44">
        <f t="shared" si="10"/>
        <v>12465871000</v>
      </c>
      <c r="AG44">
        <f t="shared" si="10"/>
        <v>15865654000</v>
      </c>
      <c r="AK44">
        <v>38</v>
      </c>
      <c r="AL44" s="24">
        <f t="shared" si="6"/>
        <v>6.4064300000000003</v>
      </c>
      <c r="AM44">
        <f t="shared" si="12"/>
        <v>44.845010000000002</v>
      </c>
      <c r="AN44">
        <f t="shared" si="12"/>
        <v>64.064300000000003</v>
      </c>
      <c r="AO44">
        <f t="shared" si="12"/>
        <v>96.096450000000004</v>
      </c>
      <c r="AP44">
        <f t="shared" si="12"/>
        <v>128.12860000000001</v>
      </c>
      <c r="AQ44">
        <f t="shared" si="12"/>
        <v>224.22505000000001</v>
      </c>
      <c r="AR44">
        <f t="shared" si="12"/>
        <v>320.32150000000001</v>
      </c>
      <c r="AS44">
        <f t="shared" si="12"/>
        <v>512.51440000000002</v>
      </c>
      <c r="AT44">
        <f t="shared" si="12"/>
        <v>768.77160000000003</v>
      </c>
      <c r="AU44">
        <f t="shared" si="12"/>
        <v>1089.0931</v>
      </c>
      <c r="AV44">
        <f t="shared" si="12"/>
        <v>1537.5432000000001</v>
      </c>
      <c r="AW44">
        <f t="shared" si="12"/>
        <v>2114.1219000000001</v>
      </c>
      <c r="AX44">
        <f t="shared" si="12"/>
        <v>2946.9578000000001</v>
      </c>
      <c r="AY44">
        <f t="shared" si="12"/>
        <v>5125.1440000000002</v>
      </c>
      <c r="AZ44">
        <f t="shared" si="12"/>
        <v>9609.6450000000004</v>
      </c>
      <c r="BA44">
        <f t="shared" si="12"/>
        <v>16016.075000000001</v>
      </c>
      <c r="BB44">
        <f t="shared" si="12"/>
        <v>25625.72</v>
      </c>
      <c r="BC44">
        <f t="shared" si="11"/>
        <v>64064.3</v>
      </c>
      <c r="BD44">
        <f t="shared" si="11"/>
        <v>96096.450000000012</v>
      </c>
      <c r="BE44">
        <f t="shared" si="11"/>
        <v>153754.32</v>
      </c>
      <c r="BF44">
        <f t="shared" si="11"/>
        <v>192192.90000000002</v>
      </c>
      <c r="BG44">
        <f t="shared" si="11"/>
        <v>640643</v>
      </c>
      <c r="BH44">
        <f t="shared" si="8"/>
        <v>1921929</v>
      </c>
      <c r="BI44">
        <f t="shared" si="8"/>
        <v>5445465.5</v>
      </c>
      <c r="BJ44">
        <f t="shared" si="8"/>
        <v>19219290</v>
      </c>
      <c r="BK44">
        <f t="shared" si="8"/>
        <v>64064300</v>
      </c>
      <c r="BL44">
        <v>39</v>
      </c>
    </row>
    <row r="45" spans="1:64" ht="17.25" thickBot="1" x14ac:dyDescent="0.25">
      <c r="A45" s="131">
        <v>41</v>
      </c>
      <c r="B45" s="132">
        <v>2266522</v>
      </c>
      <c r="D45" s="131">
        <v>41</v>
      </c>
      <c r="E45" s="132">
        <v>6.5979799999999997</v>
      </c>
      <c r="M45">
        <v>41</v>
      </c>
      <c r="N45">
        <f t="shared" si="3"/>
        <v>23491270</v>
      </c>
      <c r="O45">
        <f t="shared" si="13"/>
        <v>46982540</v>
      </c>
      <c r="P45">
        <f t="shared" si="13"/>
        <v>70473810</v>
      </c>
      <c r="Q45">
        <f t="shared" si="13"/>
        <v>93965080</v>
      </c>
      <c r="R45">
        <f t="shared" si="13"/>
        <v>140947620</v>
      </c>
      <c r="S45">
        <f t="shared" si="13"/>
        <v>164438890</v>
      </c>
      <c r="T45">
        <f t="shared" si="13"/>
        <v>234912700</v>
      </c>
      <c r="U45">
        <f t="shared" si="13"/>
        <v>352369050</v>
      </c>
      <c r="V45">
        <f t="shared" si="13"/>
        <v>563790480</v>
      </c>
      <c r="W45">
        <f t="shared" si="13"/>
        <v>845685720</v>
      </c>
      <c r="X45">
        <f t="shared" si="13"/>
        <v>1174563500</v>
      </c>
      <c r="Y45">
        <f t="shared" si="13"/>
        <v>1409476200</v>
      </c>
      <c r="Z45">
        <f t="shared" si="13"/>
        <v>2255161920</v>
      </c>
      <c r="AA45">
        <f t="shared" si="13"/>
        <v>2349127000</v>
      </c>
      <c r="AB45">
        <f t="shared" si="13"/>
        <v>3523690500</v>
      </c>
      <c r="AC45">
        <f t="shared" si="13"/>
        <v>5637904800</v>
      </c>
      <c r="AD45">
        <f t="shared" si="13"/>
        <v>8456857200</v>
      </c>
      <c r="AE45">
        <f t="shared" si="10"/>
        <v>9866333400</v>
      </c>
      <c r="AF45">
        <f t="shared" si="10"/>
        <v>12920198500</v>
      </c>
      <c r="AG45">
        <f t="shared" si="10"/>
        <v>16443889000</v>
      </c>
      <c r="AK45">
        <v>39</v>
      </c>
      <c r="AL45" s="24">
        <f t="shared" si="6"/>
        <v>6.4716500000000003</v>
      </c>
      <c r="AM45">
        <f t="shared" si="12"/>
        <v>45.301550000000006</v>
      </c>
      <c r="AN45">
        <f t="shared" si="12"/>
        <v>64.716499999999996</v>
      </c>
      <c r="AO45">
        <f t="shared" si="12"/>
        <v>97.074750000000009</v>
      </c>
      <c r="AP45">
        <f t="shared" si="12"/>
        <v>129.43299999999999</v>
      </c>
      <c r="AQ45">
        <f t="shared" si="12"/>
        <v>226.50775000000002</v>
      </c>
      <c r="AR45">
        <f t="shared" si="12"/>
        <v>323.58250000000004</v>
      </c>
      <c r="AS45">
        <f t="shared" si="12"/>
        <v>517.73199999999997</v>
      </c>
      <c r="AT45">
        <f t="shared" si="12"/>
        <v>776.59800000000007</v>
      </c>
      <c r="AU45">
        <f t="shared" si="12"/>
        <v>1100.1805000000002</v>
      </c>
      <c r="AV45">
        <f t="shared" si="12"/>
        <v>1553.1960000000001</v>
      </c>
      <c r="AW45">
        <f t="shared" si="12"/>
        <v>2135.6445000000003</v>
      </c>
      <c r="AX45">
        <f t="shared" si="12"/>
        <v>2976.9590000000003</v>
      </c>
      <c r="AY45">
        <f t="shared" si="12"/>
        <v>5177.3200000000006</v>
      </c>
      <c r="AZ45">
        <f t="shared" si="12"/>
        <v>9707.4750000000004</v>
      </c>
      <c r="BA45">
        <f t="shared" si="12"/>
        <v>16179.125</v>
      </c>
      <c r="BB45">
        <f t="shared" si="12"/>
        <v>25886.600000000002</v>
      </c>
      <c r="BC45">
        <f t="shared" si="11"/>
        <v>64716.5</v>
      </c>
      <c r="BD45">
        <f t="shared" si="11"/>
        <v>97074.75</v>
      </c>
      <c r="BE45">
        <f t="shared" si="11"/>
        <v>155319.6</v>
      </c>
      <c r="BF45">
        <f t="shared" si="11"/>
        <v>194149.5</v>
      </c>
      <c r="BG45">
        <f t="shared" si="11"/>
        <v>647165</v>
      </c>
      <c r="BH45">
        <f t="shared" si="8"/>
        <v>1941495</v>
      </c>
      <c r="BI45">
        <f t="shared" si="8"/>
        <v>5500902.5</v>
      </c>
      <c r="BJ45">
        <f t="shared" si="8"/>
        <v>19414950</v>
      </c>
      <c r="BK45">
        <f t="shared" si="8"/>
        <v>64716500</v>
      </c>
      <c r="BL45" s="145">
        <v>40</v>
      </c>
    </row>
    <row r="46" spans="1:64" ht="17.25" thickBot="1" x14ac:dyDescent="0.25">
      <c r="A46" s="131">
        <v>42</v>
      </c>
      <c r="B46" s="132">
        <v>2349127</v>
      </c>
      <c r="D46" s="131">
        <v>42</v>
      </c>
      <c r="E46" s="132">
        <v>6.6592099999999999</v>
      </c>
      <c r="M46">
        <v>42</v>
      </c>
      <c r="N46">
        <f t="shared" si="3"/>
        <v>24327110</v>
      </c>
      <c r="O46">
        <f t="shared" si="13"/>
        <v>48654220</v>
      </c>
      <c r="P46">
        <f t="shared" si="13"/>
        <v>72981330</v>
      </c>
      <c r="Q46">
        <f t="shared" si="13"/>
        <v>97308440</v>
      </c>
      <c r="R46">
        <f t="shared" si="13"/>
        <v>145962660</v>
      </c>
      <c r="S46">
        <f t="shared" si="13"/>
        <v>170289770</v>
      </c>
      <c r="T46">
        <f t="shared" si="13"/>
        <v>243271100</v>
      </c>
      <c r="U46">
        <f t="shared" si="13"/>
        <v>364906650</v>
      </c>
      <c r="V46">
        <f t="shared" si="13"/>
        <v>583850640</v>
      </c>
      <c r="W46">
        <f t="shared" si="13"/>
        <v>875775960</v>
      </c>
      <c r="X46">
        <f t="shared" si="13"/>
        <v>1216355500</v>
      </c>
      <c r="Y46">
        <f t="shared" si="13"/>
        <v>1459626600</v>
      </c>
      <c r="Z46">
        <f t="shared" si="13"/>
        <v>2335402560</v>
      </c>
      <c r="AA46">
        <f t="shared" si="13"/>
        <v>2432711000</v>
      </c>
      <c r="AB46">
        <f t="shared" si="13"/>
        <v>3649066500</v>
      </c>
      <c r="AC46">
        <f t="shared" si="13"/>
        <v>5838506400</v>
      </c>
      <c r="AD46">
        <f t="shared" si="13"/>
        <v>8757759600</v>
      </c>
      <c r="AE46">
        <f t="shared" si="10"/>
        <v>10217386200</v>
      </c>
      <c r="AF46">
        <f t="shared" si="10"/>
        <v>13379910500</v>
      </c>
      <c r="AG46">
        <f t="shared" si="10"/>
        <v>17028977000</v>
      </c>
      <c r="AK46">
        <v>40</v>
      </c>
      <c r="AL46" s="24">
        <f t="shared" si="6"/>
        <v>6.5354799999999997</v>
      </c>
      <c r="AM46">
        <f t="shared" si="12"/>
        <v>45.748359999999998</v>
      </c>
      <c r="AN46">
        <f t="shared" si="12"/>
        <v>65.354799999999997</v>
      </c>
      <c r="AO46">
        <f t="shared" si="12"/>
        <v>98.032199999999989</v>
      </c>
      <c r="AP46">
        <f t="shared" si="12"/>
        <v>130.70959999999999</v>
      </c>
      <c r="AQ46">
        <f t="shared" si="12"/>
        <v>228.74179999999998</v>
      </c>
      <c r="AR46">
        <f t="shared" si="12"/>
        <v>326.774</v>
      </c>
      <c r="AS46">
        <f t="shared" si="12"/>
        <v>522.83839999999998</v>
      </c>
      <c r="AT46">
        <f t="shared" si="12"/>
        <v>784.25759999999991</v>
      </c>
      <c r="AU46">
        <f t="shared" si="12"/>
        <v>1111.0316</v>
      </c>
      <c r="AV46">
        <f t="shared" si="12"/>
        <v>1568.5151999999998</v>
      </c>
      <c r="AW46">
        <f t="shared" si="12"/>
        <v>2156.7084</v>
      </c>
      <c r="AX46">
        <f t="shared" si="12"/>
        <v>3006.3208</v>
      </c>
      <c r="AY46">
        <f t="shared" si="12"/>
        <v>5228.384</v>
      </c>
      <c r="AZ46">
        <f t="shared" si="12"/>
        <v>9803.2199999999993</v>
      </c>
      <c r="BA46">
        <f t="shared" si="12"/>
        <v>16338.699999999999</v>
      </c>
      <c r="BB46">
        <f t="shared" si="12"/>
        <v>26141.919999999998</v>
      </c>
      <c r="BC46">
        <f t="shared" si="11"/>
        <v>65354.799999999996</v>
      </c>
      <c r="BD46">
        <f t="shared" si="11"/>
        <v>98032.2</v>
      </c>
      <c r="BE46">
        <f t="shared" si="11"/>
        <v>156851.51999999999</v>
      </c>
      <c r="BF46">
        <f t="shared" si="11"/>
        <v>196064.4</v>
      </c>
      <c r="BG46">
        <f t="shared" si="11"/>
        <v>653548</v>
      </c>
      <c r="BH46">
        <f t="shared" si="8"/>
        <v>1960644</v>
      </c>
      <c r="BI46">
        <f t="shared" si="8"/>
        <v>5555158</v>
      </c>
      <c r="BJ46">
        <f t="shared" si="8"/>
        <v>19606440</v>
      </c>
      <c r="BK46">
        <f t="shared" si="8"/>
        <v>65354800</v>
      </c>
      <c r="BL46">
        <v>41</v>
      </c>
    </row>
    <row r="47" spans="1:64" ht="17.25" thickBot="1" x14ac:dyDescent="0.25">
      <c r="A47" s="131">
        <v>43</v>
      </c>
      <c r="B47" s="132">
        <v>2432711</v>
      </c>
      <c r="D47" s="131">
        <v>43</v>
      </c>
      <c r="E47" s="132">
        <v>6.7192100000000003</v>
      </c>
      <c r="M47">
        <v>43</v>
      </c>
      <c r="N47">
        <f t="shared" si="3"/>
        <v>25172610</v>
      </c>
      <c r="O47">
        <f t="shared" si="13"/>
        <v>50345220</v>
      </c>
      <c r="P47">
        <f t="shared" si="13"/>
        <v>75517830</v>
      </c>
      <c r="Q47">
        <f t="shared" si="13"/>
        <v>100690440</v>
      </c>
      <c r="R47">
        <f t="shared" si="13"/>
        <v>151035660</v>
      </c>
      <c r="S47">
        <f t="shared" si="13"/>
        <v>176208270</v>
      </c>
      <c r="T47">
        <f t="shared" si="13"/>
        <v>251726100</v>
      </c>
      <c r="U47">
        <f t="shared" si="13"/>
        <v>377589150</v>
      </c>
      <c r="V47">
        <f t="shared" si="13"/>
        <v>604142640</v>
      </c>
      <c r="W47">
        <f t="shared" si="13"/>
        <v>906213960</v>
      </c>
      <c r="X47">
        <f t="shared" si="13"/>
        <v>1258630500</v>
      </c>
      <c r="Y47">
        <f t="shared" si="13"/>
        <v>1510356600</v>
      </c>
      <c r="Z47">
        <f t="shared" si="13"/>
        <v>2416570560</v>
      </c>
      <c r="AA47">
        <f t="shared" si="13"/>
        <v>2517261000</v>
      </c>
      <c r="AB47">
        <f t="shared" si="13"/>
        <v>3775891500</v>
      </c>
      <c r="AC47">
        <f t="shared" si="13"/>
        <v>6041426400</v>
      </c>
      <c r="AD47">
        <f t="shared" si="13"/>
        <v>9062139600</v>
      </c>
      <c r="AE47">
        <f t="shared" si="10"/>
        <v>10572496200</v>
      </c>
      <c r="AF47">
        <f t="shared" si="10"/>
        <v>13844935500</v>
      </c>
      <c r="AG47">
        <f t="shared" si="10"/>
        <v>17620827000</v>
      </c>
      <c r="AK47">
        <v>41</v>
      </c>
      <c r="AL47" s="24">
        <f t="shared" si="6"/>
        <v>6.5979799999999997</v>
      </c>
      <c r="AM47">
        <f t="shared" si="12"/>
        <v>46.185859999999998</v>
      </c>
      <c r="AN47">
        <f t="shared" si="12"/>
        <v>65.979799999999997</v>
      </c>
      <c r="AO47">
        <f t="shared" si="12"/>
        <v>98.969699999999989</v>
      </c>
      <c r="AP47">
        <f t="shared" si="12"/>
        <v>131.95959999999999</v>
      </c>
      <c r="AQ47">
        <f t="shared" si="12"/>
        <v>230.92929999999998</v>
      </c>
      <c r="AR47">
        <f t="shared" si="12"/>
        <v>329.899</v>
      </c>
      <c r="AS47">
        <f t="shared" si="12"/>
        <v>527.83839999999998</v>
      </c>
      <c r="AT47">
        <f t="shared" si="12"/>
        <v>791.75759999999991</v>
      </c>
      <c r="AU47">
        <f t="shared" si="12"/>
        <v>1121.6566</v>
      </c>
      <c r="AV47">
        <f t="shared" si="12"/>
        <v>1583.5151999999998</v>
      </c>
      <c r="AW47">
        <f t="shared" si="12"/>
        <v>2177.3334</v>
      </c>
      <c r="AX47">
        <f t="shared" si="12"/>
        <v>3035.0708</v>
      </c>
      <c r="AY47">
        <f t="shared" si="12"/>
        <v>5278.384</v>
      </c>
      <c r="AZ47">
        <f t="shared" si="12"/>
        <v>9896.9699999999993</v>
      </c>
      <c r="BA47">
        <f t="shared" si="12"/>
        <v>16494.95</v>
      </c>
      <c r="BB47">
        <f t="shared" si="12"/>
        <v>26391.919999999998</v>
      </c>
      <c r="BC47">
        <f t="shared" si="11"/>
        <v>65979.8</v>
      </c>
      <c r="BD47">
        <f t="shared" si="11"/>
        <v>98969.7</v>
      </c>
      <c r="BE47">
        <f t="shared" si="11"/>
        <v>158351.51999999999</v>
      </c>
      <c r="BF47">
        <f t="shared" si="11"/>
        <v>197939.4</v>
      </c>
      <c r="BG47">
        <f t="shared" si="11"/>
        <v>659798</v>
      </c>
      <c r="BH47">
        <f t="shared" si="8"/>
        <v>1979394</v>
      </c>
      <c r="BI47">
        <f t="shared" si="8"/>
        <v>5608283</v>
      </c>
      <c r="BJ47">
        <f t="shared" si="8"/>
        <v>19793940</v>
      </c>
      <c r="BK47">
        <f t="shared" si="8"/>
        <v>65979800</v>
      </c>
      <c r="BL47" s="145">
        <v>42</v>
      </c>
    </row>
    <row r="48" spans="1:64" ht="17.25" thickBot="1" x14ac:dyDescent="0.25">
      <c r="A48" s="131">
        <v>44</v>
      </c>
      <c r="B48" s="132">
        <v>2517261</v>
      </c>
      <c r="D48" s="131">
        <v>44</v>
      </c>
      <c r="E48" s="132">
        <v>6.7780399999999998</v>
      </c>
      <c r="M48">
        <v>44</v>
      </c>
      <c r="N48">
        <f t="shared" si="3"/>
        <v>26027610</v>
      </c>
      <c r="O48">
        <f t="shared" si="13"/>
        <v>52055220</v>
      </c>
      <c r="P48">
        <f t="shared" si="13"/>
        <v>78082830</v>
      </c>
      <c r="Q48">
        <f t="shared" si="13"/>
        <v>104110440</v>
      </c>
      <c r="R48">
        <f t="shared" si="13"/>
        <v>156165660</v>
      </c>
      <c r="S48">
        <f t="shared" si="13"/>
        <v>182193270</v>
      </c>
      <c r="T48">
        <f t="shared" si="13"/>
        <v>260276100</v>
      </c>
      <c r="U48">
        <f t="shared" si="13"/>
        <v>390414150</v>
      </c>
      <c r="V48">
        <f t="shared" si="13"/>
        <v>624662640</v>
      </c>
      <c r="W48">
        <f t="shared" si="13"/>
        <v>936993960</v>
      </c>
      <c r="X48">
        <f t="shared" si="13"/>
        <v>1301380500</v>
      </c>
      <c r="Y48">
        <f t="shared" si="13"/>
        <v>1561656600</v>
      </c>
      <c r="Z48">
        <f t="shared" si="13"/>
        <v>2498650560</v>
      </c>
      <c r="AA48">
        <f t="shared" si="13"/>
        <v>2602761000</v>
      </c>
      <c r="AB48">
        <f t="shared" si="13"/>
        <v>3904141500</v>
      </c>
      <c r="AC48">
        <f t="shared" si="13"/>
        <v>6246626400</v>
      </c>
      <c r="AD48">
        <f t="shared" si="13"/>
        <v>9369939600</v>
      </c>
      <c r="AE48">
        <f t="shared" si="10"/>
        <v>10931596200</v>
      </c>
      <c r="AF48">
        <f t="shared" si="10"/>
        <v>14315185500</v>
      </c>
      <c r="AG48">
        <f t="shared" si="10"/>
        <v>18219327000</v>
      </c>
      <c r="AK48">
        <v>42</v>
      </c>
      <c r="AL48" s="24">
        <f t="shared" si="6"/>
        <v>6.6592099999999999</v>
      </c>
      <c r="AM48">
        <f t="shared" si="12"/>
        <v>46.614469999999997</v>
      </c>
      <c r="AN48">
        <f t="shared" si="12"/>
        <v>66.592100000000002</v>
      </c>
      <c r="AO48">
        <f t="shared" si="12"/>
        <v>99.888149999999996</v>
      </c>
      <c r="AP48">
        <f t="shared" si="12"/>
        <v>133.1842</v>
      </c>
      <c r="AQ48">
        <f t="shared" si="12"/>
        <v>233.07235</v>
      </c>
      <c r="AR48">
        <f t="shared" si="12"/>
        <v>332.96049999999997</v>
      </c>
      <c r="AS48">
        <f t="shared" si="12"/>
        <v>532.73680000000002</v>
      </c>
      <c r="AT48">
        <f t="shared" si="12"/>
        <v>799.10519999999997</v>
      </c>
      <c r="AU48">
        <f t="shared" si="12"/>
        <v>1132.0656999999999</v>
      </c>
      <c r="AV48">
        <f t="shared" si="12"/>
        <v>1598.2103999999999</v>
      </c>
      <c r="AW48">
        <f t="shared" si="12"/>
        <v>2197.5392999999999</v>
      </c>
      <c r="AX48">
        <f t="shared" si="12"/>
        <v>3063.2365999999997</v>
      </c>
      <c r="AY48">
        <f t="shared" si="12"/>
        <v>5327.3679999999995</v>
      </c>
      <c r="AZ48">
        <f t="shared" si="12"/>
        <v>9988.8150000000005</v>
      </c>
      <c r="BA48">
        <f t="shared" si="12"/>
        <v>16648.024999999998</v>
      </c>
      <c r="BB48">
        <f t="shared" ref="BB48:BK63" si="14">BB$5*VLOOKUP($AK48,$D$2:$E$1404,2,FALSE)</f>
        <v>26636.84</v>
      </c>
      <c r="BC48">
        <f t="shared" si="14"/>
        <v>66592.099999999991</v>
      </c>
      <c r="BD48">
        <f t="shared" si="14"/>
        <v>99888.15</v>
      </c>
      <c r="BE48">
        <f t="shared" si="14"/>
        <v>159821.04</v>
      </c>
      <c r="BF48">
        <f t="shared" si="14"/>
        <v>199776.3</v>
      </c>
      <c r="BG48">
        <f t="shared" si="14"/>
        <v>665921</v>
      </c>
      <c r="BH48">
        <f t="shared" si="14"/>
        <v>1997763</v>
      </c>
      <c r="BI48">
        <f t="shared" si="14"/>
        <v>5660328.5</v>
      </c>
      <c r="BJ48">
        <f t="shared" si="14"/>
        <v>19977630</v>
      </c>
      <c r="BK48">
        <f t="shared" si="14"/>
        <v>66592100</v>
      </c>
      <c r="BL48">
        <v>43</v>
      </c>
    </row>
    <row r="49" spans="1:64" ht="17.25" thickBot="1" x14ac:dyDescent="0.25">
      <c r="A49" s="131">
        <v>45</v>
      </c>
      <c r="B49" s="132">
        <v>2602761</v>
      </c>
      <c r="D49" s="131">
        <v>45</v>
      </c>
      <c r="E49" s="132">
        <v>6.8357400000000004</v>
      </c>
      <c r="M49">
        <v>45</v>
      </c>
      <c r="N49">
        <f t="shared" si="3"/>
        <v>26892110</v>
      </c>
      <c r="O49">
        <f t="shared" si="13"/>
        <v>53784220</v>
      </c>
      <c r="P49">
        <f t="shared" si="13"/>
        <v>80676330</v>
      </c>
      <c r="Q49">
        <f t="shared" si="13"/>
        <v>107568440</v>
      </c>
      <c r="R49">
        <f t="shared" si="13"/>
        <v>161352660</v>
      </c>
      <c r="S49">
        <f t="shared" si="13"/>
        <v>188244770</v>
      </c>
      <c r="T49">
        <f t="shared" si="13"/>
        <v>268921100</v>
      </c>
      <c r="U49">
        <f t="shared" si="13"/>
        <v>403381650</v>
      </c>
      <c r="V49">
        <f t="shared" si="13"/>
        <v>645410640</v>
      </c>
      <c r="W49">
        <f t="shared" si="13"/>
        <v>968115960</v>
      </c>
      <c r="X49">
        <f t="shared" si="13"/>
        <v>1344605500</v>
      </c>
      <c r="Y49">
        <f t="shared" si="13"/>
        <v>1613526600</v>
      </c>
      <c r="Z49">
        <f t="shared" si="13"/>
        <v>2581642560</v>
      </c>
      <c r="AA49">
        <f t="shared" si="13"/>
        <v>2689211000</v>
      </c>
      <c r="AB49">
        <f t="shared" si="13"/>
        <v>4033816500</v>
      </c>
      <c r="AC49">
        <f t="shared" si="13"/>
        <v>6454106400</v>
      </c>
      <c r="AD49">
        <f t="shared" si="13"/>
        <v>9681159600</v>
      </c>
      <c r="AE49">
        <f t="shared" si="10"/>
        <v>11294686200</v>
      </c>
      <c r="AF49">
        <f t="shared" si="10"/>
        <v>14790660500</v>
      </c>
      <c r="AG49">
        <f t="shared" si="10"/>
        <v>18824477000</v>
      </c>
      <c r="AK49">
        <v>43</v>
      </c>
      <c r="AL49" s="24">
        <f t="shared" si="6"/>
        <v>6.7192100000000003</v>
      </c>
      <c r="AM49">
        <f t="shared" ref="AM49:BB64" si="15">AM$5*VLOOKUP($AK49,$D$2:$E$1404,2,FALSE)</f>
        <v>47.034469999999999</v>
      </c>
      <c r="AN49">
        <f t="shared" si="15"/>
        <v>67.192100000000011</v>
      </c>
      <c r="AO49">
        <f t="shared" si="15"/>
        <v>100.78815</v>
      </c>
      <c r="AP49">
        <f t="shared" si="15"/>
        <v>134.38420000000002</v>
      </c>
      <c r="AQ49">
        <f t="shared" si="15"/>
        <v>235.17235000000002</v>
      </c>
      <c r="AR49">
        <f t="shared" si="15"/>
        <v>335.96050000000002</v>
      </c>
      <c r="AS49">
        <f t="shared" si="15"/>
        <v>537.53680000000008</v>
      </c>
      <c r="AT49">
        <f t="shared" si="15"/>
        <v>806.30520000000001</v>
      </c>
      <c r="AU49">
        <f t="shared" si="15"/>
        <v>1142.2657000000002</v>
      </c>
      <c r="AV49">
        <f t="shared" si="15"/>
        <v>1612.6104</v>
      </c>
      <c r="AW49">
        <f t="shared" si="15"/>
        <v>2217.3393000000001</v>
      </c>
      <c r="AX49">
        <f t="shared" si="15"/>
        <v>3090.8366000000001</v>
      </c>
      <c r="AY49">
        <f t="shared" si="15"/>
        <v>5375.3680000000004</v>
      </c>
      <c r="AZ49">
        <f t="shared" si="15"/>
        <v>10078.815000000001</v>
      </c>
      <c r="BA49">
        <f t="shared" si="15"/>
        <v>16798.025000000001</v>
      </c>
      <c r="BB49">
        <f t="shared" si="15"/>
        <v>26876.84</v>
      </c>
      <c r="BC49">
        <f t="shared" si="14"/>
        <v>67192.100000000006</v>
      </c>
      <c r="BD49">
        <f t="shared" si="14"/>
        <v>100788.15000000001</v>
      </c>
      <c r="BE49">
        <f t="shared" si="14"/>
        <v>161261.04</v>
      </c>
      <c r="BF49">
        <f t="shared" si="14"/>
        <v>201576.30000000002</v>
      </c>
      <c r="BG49">
        <f t="shared" si="14"/>
        <v>671921</v>
      </c>
      <c r="BH49">
        <f t="shared" si="14"/>
        <v>2015763</v>
      </c>
      <c r="BI49">
        <f t="shared" si="14"/>
        <v>5711328.5</v>
      </c>
      <c r="BJ49">
        <f t="shared" si="14"/>
        <v>20157630</v>
      </c>
      <c r="BK49">
        <f t="shared" si="14"/>
        <v>67192100</v>
      </c>
      <c r="BL49" s="145">
        <v>44</v>
      </c>
    </row>
    <row r="50" spans="1:64" ht="17.25" thickBot="1" x14ac:dyDescent="0.25">
      <c r="A50" s="131">
        <v>46</v>
      </c>
      <c r="B50" s="132">
        <v>2689211</v>
      </c>
      <c r="D50" s="131">
        <v>46</v>
      </c>
      <c r="E50" s="132">
        <v>6.8923500000000004</v>
      </c>
      <c r="M50">
        <v>46</v>
      </c>
      <c r="N50">
        <f t="shared" si="3"/>
        <v>27765940</v>
      </c>
      <c r="O50">
        <f t="shared" si="13"/>
        <v>55531880</v>
      </c>
      <c r="P50">
        <f t="shared" si="13"/>
        <v>83297820</v>
      </c>
      <c r="Q50">
        <f t="shared" si="13"/>
        <v>111063760</v>
      </c>
      <c r="R50">
        <f t="shared" si="13"/>
        <v>166595640</v>
      </c>
      <c r="S50">
        <f t="shared" si="13"/>
        <v>194361580</v>
      </c>
      <c r="T50">
        <f t="shared" si="13"/>
        <v>277659400</v>
      </c>
      <c r="U50">
        <f t="shared" si="13"/>
        <v>416489100</v>
      </c>
      <c r="V50">
        <f t="shared" si="13"/>
        <v>666382560</v>
      </c>
      <c r="W50">
        <f t="shared" si="13"/>
        <v>999573840</v>
      </c>
      <c r="X50">
        <f t="shared" si="13"/>
        <v>1388297000</v>
      </c>
      <c r="Y50">
        <f t="shared" si="13"/>
        <v>1665956400</v>
      </c>
      <c r="Z50">
        <f t="shared" si="13"/>
        <v>2665530240</v>
      </c>
      <c r="AA50">
        <f t="shared" si="13"/>
        <v>2776594000</v>
      </c>
      <c r="AB50">
        <f t="shared" si="13"/>
        <v>4164891000</v>
      </c>
      <c r="AC50">
        <f t="shared" ref="O50:AD66" si="16">(VLOOKUP(AC$3,$G$4:$H$23,2,0)*VLOOKUP($M50+1,$A$4:$B$1404,2,0)
)</f>
        <v>6663825600</v>
      </c>
      <c r="AD50">
        <f t="shared" si="16"/>
        <v>9995738400</v>
      </c>
      <c r="AE50">
        <f t="shared" si="10"/>
        <v>11661694800</v>
      </c>
      <c r="AF50">
        <f t="shared" si="10"/>
        <v>15271267000</v>
      </c>
      <c r="AG50">
        <f t="shared" si="10"/>
        <v>19436158000</v>
      </c>
      <c r="AK50">
        <v>44</v>
      </c>
      <c r="AL50" s="24">
        <f t="shared" si="6"/>
        <v>6.7780399999999998</v>
      </c>
      <c r="AM50">
        <f t="shared" si="15"/>
        <v>47.446280000000002</v>
      </c>
      <c r="AN50">
        <f t="shared" si="15"/>
        <v>67.7804</v>
      </c>
      <c r="AO50">
        <f t="shared" si="15"/>
        <v>101.67059999999999</v>
      </c>
      <c r="AP50">
        <f t="shared" si="15"/>
        <v>135.5608</v>
      </c>
      <c r="AQ50">
        <f t="shared" si="15"/>
        <v>237.23140000000001</v>
      </c>
      <c r="AR50">
        <f t="shared" si="15"/>
        <v>338.90199999999999</v>
      </c>
      <c r="AS50">
        <f t="shared" si="15"/>
        <v>542.2432</v>
      </c>
      <c r="AT50">
        <f t="shared" si="15"/>
        <v>813.36479999999995</v>
      </c>
      <c r="AU50">
        <f t="shared" si="15"/>
        <v>1152.2667999999999</v>
      </c>
      <c r="AV50">
        <f t="shared" si="15"/>
        <v>1626.7295999999999</v>
      </c>
      <c r="AW50">
        <f t="shared" si="15"/>
        <v>2236.7532000000001</v>
      </c>
      <c r="AX50">
        <f t="shared" si="15"/>
        <v>3117.8984</v>
      </c>
      <c r="AY50">
        <f t="shared" si="15"/>
        <v>5422.4319999999998</v>
      </c>
      <c r="AZ50">
        <f t="shared" si="15"/>
        <v>10167.06</v>
      </c>
      <c r="BA50">
        <f t="shared" si="15"/>
        <v>16945.099999999999</v>
      </c>
      <c r="BB50">
        <f t="shared" si="15"/>
        <v>27112.16</v>
      </c>
      <c r="BC50">
        <f t="shared" si="14"/>
        <v>67780.399999999994</v>
      </c>
      <c r="BD50">
        <f t="shared" si="14"/>
        <v>101670.59999999999</v>
      </c>
      <c r="BE50">
        <f t="shared" si="14"/>
        <v>162672.95999999999</v>
      </c>
      <c r="BF50">
        <f t="shared" si="14"/>
        <v>203341.19999999998</v>
      </c>
      <c r="BG50">
        <f t="shared" si="14"/>
        <v>677804</v>
      </c>
      <c r="BH50">
        <f t="shared" si="14"/>
        <v>2033412</v>
      </c>
      <c r="BI50">
        <f t="shared" si="14"/>
        <v>5761334</v>
      </c>
      <c r="BJ50">
        <f t="shared" si="14"/>
        <v>20334120</v>
      </c>
      <c r="BK50">
        <f t="shared" si="14"/>
        <v>67780400</v>
      </c>
      <c r="BL50">
        <v>45</v>
      </c>
    </row>
    <row r="51" spans="1:64" ht="17.25" thickBot="1" x14ac:dyDescent="0.25">
      <c r="A51" s="131">
        <v>47</v>
      </c>
      <c r="B51" s="132">
        <v>2776594</v>
      </c>
      <c r="D51" s="131">
        <v>47</v>
      </c>
      <c r="E51" s="132">
        <v>6.9479100000000003</v>
      </c>
      <c r="M51">
        <v>47</v>
      </c>
      <c r="N51">
        <f t="shared" si="3"/>
        <v>28649000</v>
      </c>
      <c r="O51">
        <f t="shared" si="16"/>
        <v>57298000</v>
      </c>
      <c r="P51">
        <f t="shared" si="16"/>
        <v>85947000</v>
      </c>
      <c r="Q51">
        <f t="shared" si="16"/>
        <v>114596000</v>
      </c>
      <c r="R51">
        <f t="shared" si="16"/>
        <v>171894000</v>
      </c>
      <c r="S51">
        <f t="shared" si="16"/>
        <v>200543000</v>
      </c>
      <c r="T51">
        <f t="shared" si="16"/>
        <v>286490000</v>
      </c>
      <c r="U51">
        <f t="shared" si="16"/>
        <v>429735000</v>
      </c>
      <c r="V51">
        <f t="shared" si="16"/>
        <v>687576000</v>
      </c>
      <c r="W51">
        <f t="shared" si="16"/>
        <v>1031364000</v>
      </c>
      <c r="X51">
        <f t="shared" si="16"/>
        <v>1432450000</v>
      </c>
      <c r="Y51">
        <f t="shared" si="16"/>
        <v>1718940000</v>
      </c>
      <c r="Z51">
        <f t="shared" si="16"/>
        <v>2750304000</v>
      </c>
      <c r="AA51">
        <f t="shared" si="16"/>
        <v>2864900000</v>
      </c>
      <c r="AB51">
        <f t="shared" si="16"/>
        <v>4297350000</v>
      </c>
      <c r="AC51">
        <f t="shared" si="16"/>
        <v>6875760000</v>
      </c>
      <c r="AD51">
        <f t="shared" si="16"/>
        <v>10313640000</v>
      </c>
      <c r="AE51">
        <f t="shared" si="10"/>
        <v>12032580000</v>
      </c>
      <c r="AF51">
        <f t="shared" si="10"/>
        <v>15756950000</v>
      </c>
      <c r="AG51">
        <f t="shared" si="10"/>
        <v>20054300000</v>
      </c>
      <c r="AK51">
        <v>45</v>
      </c>
      <c r="AL51" s="24">
        <f t="shared" si="6"/>
        <v>6.8357400000000004</v>
      </c>
      <c r="AM51">
        <f t="shared" si="15"/>
        <v>47.850180000000002</v>
      </c>
      <c r="AN51">
        <f t="shared" si="15"/>
        <v>68.357399999999998</v>
      </c>
      <c r="AO51">
        <f t="shared" si="15"/>
        <v>102.5361</v>
      </c>
      <c r="AP51">
        <f t="shared" si="15"/>
        <v>136.7148</v>
      </c>
      <c r="AQ51">
        <f t="shared" si="15"/>
        <v>239.2509</v>
      </c>
      <c r="AR51">
        <f t="shared" si="15"/>
        <v>341.78700000000003</v>
      </c>
      <c r="AS51">
        <f t="shared" si="15"/>
        <v>546.85919999999999</v>
      </c>
      <c r="AT51">
        <f t="shared" si="15"/>
        <v>820.28880000000004</v>
      </c>
      <c r="AU51">
        <f t="shared" si="15"/>
        <v>1162.0758000000001</v>
      </c>
      <c r="AV51">
        <f t="shared" si="15"/>
        <v>1640.5776000000001</v>
      </c>
      <c r="AW51">
        <f t="shared" si="15"/>
        <v>2255.7942000000003</v>
      </c>
      <c r="AX51">
        <f t="shared" si="15"/>
        <v>3144.4404</v>
      </c>
      <c r="AY51">
        <f t="shared" si="15"/>
        <v>5468.5920000000006</v>
      </c>
      <c r="AZ51">
        <f t="shared" si="15"/>
        <v>10253.61</v>
      </c>
      <c r="BA51">
        <f t="shared" si="15"/>
        <v>17089.350000000002</v>
      </c>
      <c r="BB51">
        <f t="shared" si="15"/>
        <v>27342.960000000003</v>
      </c>
      <c r="BC51">
        <f t="shared" si="14"/>
        <v>68357.400000000009</v>
      </c>
      <c r="BD51">
        <f t="shared" si="14"/>
        <v>102536.1</v>
      </c>
      <c r="BE51">
        <f t="shared" si="14"/>
        <v>164057.76</v>
      </c>
      <c r="BF51">
        <f t="shared" si="14"/>
        <v>205072.2</v>
      </c>
      <c r="BG51">
        <f t="shared" si="14"/>
        <v>683574</v>
      </c>
      <c r="BH51">
        <f t="shared" si="14"/>
        <v>2050722</v>
      </c>
      <c r="BI51">
        <f t="shared" si="14"/>
        <v>5810379</v>
      </c>
      <c r="BJ51">
        <f t="shared" si="14"/>
        <v>20507220</v>
      </c>
      <c r="BK51">
        <f t="shared" si="14"/>
        <v>68357400</v>
      </c>
      <c r="BL51" s="145">
        <v>46</v>
      </c>
    </row>
    <row r="52" spans="1:64" ht="17.25" thickBot="1" x14ac:dyDescent="0.25">
      <c r="A52" s="131">
        <v>48</v>
      </c>
      <c r="B52" s="132">
        <v>2864900</v>
      </c>
      <c r="D52" s="131">
        <v>48</v>
      </c>
      <c r="E52" s="132">
        <v>7.0024600000000001</v>
      </c>
      <c r="M52">
        <v>48</v>
      </c>
      <c r="N52">
        <f t="shared" si="3"/>
        <v>29541220</v>
      </c>
      <c r="O52">
        <f t="shared" si="16"/>
        <v>59082440</v>
      </c>
      <c r="P52">
        <f t="shared" si="16"/>
        <v>88623660</v>
      </c>
      <c r="Q52">
        <f t="shared" si="16"/>
        <v>118164880</v>
      </c>
      <c r="R52">
        <f t="shared" si="16"/>
        <v>177247320</v>
      </c>
      <c r="S52">
        <f t="shared" si="16"/>
        <v>206788540</v>
      </c>
      <c r="T52">
        <f t="shared" si="16"/>
        <v>295412200</v>
      </c>
      <c r="U52">
        <f t="shared" si="16"/>
        <v>443118300</v>
      </c>
      <c r="V52">
        <f t="shared" si="16"/>
        <v>708989280</v>
      </c>
      <c r="W52">
        <f t="shared" si="16"/>
        <v>1063483920</v>
      </c>
      <c r="X52">
        <f t="shared" si="16"/>
        <v>1477061000</v>
      </c>
      <c r="Y52">
        <f t="shared" si="16"/>
        <v>1772473200</v>
      </c>
      <c r="Z52">
        <f t="shared" si="16"/>
        <v>2835957120</v>
      </c>
      <c r="AA52">
        <f t="shared" si="16"/>
        <v>2954122000</v>
      </c>
      <c r="AB52">
        <f t="shared" si="16"/>
        <v>4431183000</v>
      </c>
      <c r="AC52">
        <f t="shared" si="16"/>
        <v>7089892800</v>
      </c>
      <c r="AD52">
        <f t="shared" si="16"/>
        <v>10634839200</v>
      </c>
      <c r="AE52">
        <f t="shared" si="10"/>
        <v>12407312400</v>
      </c>
      <c r="AF52">
        <f t="shared" si="10"/>
        <v>16247671000</v>
      </c>
      <c r="AG52">
        <f t="shared" si="10"/>
        <v>20678854000</v>
      </c>
      <c r="AK52">
        <v>46</v>
      </c>
      <c r="AL52" s="24">
        <f t="shared" si="6"/>
        <v>6.8923500000000004</v>
      </c>
      <c r="AM52">
        <f t="shared" si="15"/>
        <v>48.246450000000003</v>
      </c>
      <c r="AN52">
        <f t="shared" si="15"/>
        <v>68.923500000000004</v>
      </c>
      <c r="AO52">
        <f t="shared" si="15"/>
        <v>103.38525000000001</v>
      </c>
      <c r="AP52">
        <f t="shared" si="15"/>
        <v>137.84700000000001</v>
      </c>
      <c r="AQ52">
        <f t="shared" si="15"/>
        <v>241.23225000000002</v>
      </c>
      <c r="AR52">
        <f t="shared" si="15"/>
        <v>344.61750000000001</v>
      </c>
      <c r="AS52">
        <f t="shared" si="15"/>
        <v>551.38800000000003</v>
      </c>
      <c r="AT52">
        <f t="shared" si="15"/>
        <v>827.08200000000011</v>
      </c>
      <c r="AU52">
        <f t="shared" si="15"/>
        <v>1171.6995000000002</v>
      </c>
      <c r="AV52">
        <f t="shared" si="15"/>
        <v>1654.1640000000002</v>
      </c>
      <c r="AW52">
        <f t="shared" si="15"/>
        <v>2274.4755</v>
      </c>
      <c r="AX52">
        <f t="shared" si="15"/>
        <v>3170.4810000000002</v>
      </c>
      <c r="AY52">
        <f t="shared" si="15"/>
        <v>5513.88</v>
      </c>
      <c r="AZ52">
        <f t="shared" si="15"/>
        <v>10338.525000000001</v>
      </c>
      <c r="BA52">
        <f t="shared" si="15"/>
        <v>17230.875</v>
      </c>
      <c r="BB52">
        <f t="shared" si="15"/>
        <v>27569.4</v>
      </c>
      <c r="BC52">
        <f t="shared" si="14"/>
        <v>68923.5</v>
      </c>
      <c r="BD52">
        <f t="shared" si="14"/>
        <v>103385.25</v>
      </c>
      <c r="BE52">
        <f t="shared" si="14"/>
        <v>165416.40000000002</v>
      </c>
      <c r="BF52">
        <f t="shared" si="14"/>
        <v>206770.5</v>
      </c>
      <c r="BG52">
        <f t="shared" si="14"/>
        <v>689235</v>
      </c>
      <c r="BH52">
        <f t="shared" si="14"/>
        <v>2067705.0000000002</v>
      </c>
      <c r="BI52">
        <f t="shared" si="14"/>
        <v>5858497.5</v>
      </c>
      <c r="BJ52">
        <f t="shared" si="14"/>
        <v>20677050</v>
      </c>
      <c r="BK52">
        <f t="shared" si="14"/>
        <v>68923500</v>
      </c>
      <c r="BL52">
        <v>47</v>
      </c>
    </row>
    <row r="53" spans="1:64" ht="17.25" thickBot="1" x14ac:dyDescent="0.25">
      <c r="A53" s="131">
        <v>49</v>
      </c>
      <c r="B53" s="132">
        <v>2954122</v>
      </c>
      <c r="D53" s="131">
        <v>49</v>
      </c>
      <c r="E53" s="132">
        <v>7.0560400000000003</v>
      </c>
      <c r="M53">
        <v>49</v>
      </c>
      <c r="N53">
        <f t="shared" si="3"/>
        <v>30442500</v>
      </c>
      <c r="O53">
        <f t="shared" si="16"/>
        <v>60885000</v>
      </c>
      <c r="P53">
        <f t="shared" si="16"/>
        <v>91327500</v>
      </c>
      <c r="Q53">
        <f t="shared" si="16"/>
        <v>121770000</v>
      </c>
      <c r="R53">
        <f t="shared" si="16"/>
        <v>182655000</v>
      </c>
      <c r="S53">
        <f t="shared" si="16"/>
        <v>213097500</v>
      </c>
      <c r="T53">
        <f t="shared" si="16"/>
        <v>304425000</v>
      </c>
      <c r="U53">
        <f t="shared" si="16"/>
        <v>456637500</v>
      </c>
      <c r="V53">
        <f t="shared" si="16"/>
        <v>730620000</v>
      </c>
      <c r="W53">
        <f t="shared" si="16"/>
        <v>1095930000</v>
      </c>
      <c r="X53">
        <f t="shared" si="16"/>
        <v>1522125000</v>
      </c>
      <c r="Y53">
        <f t="shared" si="16"/>
        <v>1826550000</v>
      </c>
      <c r="Z53">
        <f t="shared" si="16"/>
        <v>2922480000</v>
      </c>
      <c r="AA53">
        <f t="shared" si="16"/>
        <v>3044250000</v>
      </c>
      <c r="AB53">
        <f t="shared" si="16"/>
        <v>4566375000</v>
      </c>
      <c r="AC53">
        <f t="shared" si="16"/>
        <v>7306200000</v>
      </c>
      <c r="AD53">
        <f t="shared" si="16"/>
        <v>10959300000</v>
      </c>
      <c r="AE53">
        <f t="shared" si="10"/>
        <v>12785850000</v>
      </c>
      <c r="AF53">
        <f t="shared" si="10"/>
        <v>16743375000</v>
      </c>
      <c r="AG53">
        <f t="shared" si="10"/>
        <v>21309750000</v>
      </c>
      <c r="AK53">
        <v>47</v>
      </c>
      <c r="AL53" s="24">
        <f t="shared" si="6"/>
        <v>6.9479100000000003</v>
      </c>
      <c r="AM53">
        <f t="shared" si="15"/>
        <v>48.635370000000002</v>
      </c>
      <c r="AN53">
        <f t="shared" si="15"/>
        <v>69.479100000000003</v>
      </c>
      <c r="AO53">
        <f t="shared" si="15"/>
        <v>104.21865</v>
      </c>
      <c r="AP53">
        <f t="shared" si="15"/>
        <v>138.95820000000001</v>
      </c>
      <c r="AQ53">
        <f t="shared" si="15"/>
        <v>243.17685</v>
      </c>
      <c r="AR53">
        <f t="shared" si="15"/>
        <v>347.39550000000003</v>
      </c>
      <c r="AS53">
        <f t="shared" si="15"/>
        <v>555.83280000000002</v>
      </c>
      <c r="AT53">
        <f t="shared" si="15"/>
        <v>833.74919999999997</v>
      </c>
      <c r="AU53">
        <f t="shared" si="15"/>
        <v>1181.1447000000001</v>
      </c>
      <c r="AV53">
        <f t="shared" si="15"/>
        <v>1667.4983999999999</v>
      </c>
      <c r="AW53">
        <f t="shared" si="15"/>
        <v>2292.8103000000001</v>
      </c>
      <c r="AX53">
        <f t="shared" si="15"/>
        <v>3196.0386000000003</v>
      </c>
      <c r="AY53">
        <f t="shared" si="15"/>
        <v>5558.3280000000004</v>
      </c>
      <c r="AZ53">
        <f t="shared" si="15"/>
        <v>10421.865</v>
      </c>
      <c r="BA53">
        <f t="shared" si="15"/>
        <v>17369.775000000001</v>
      </c>
      <c r="BB53">
        <f t="shared" si="15"/>
        <v>27791.64</v>
      </c>
      <c r="BC53">
        <f t="shared" si="14"/>
        <v>69479.100000000006</v>
      </c>
      <c r="BD53">
        <f t="shared" si="14"/>
        <v>104218.65000000001</v>
      </c>
      <c r="BE53">
        <f t="shared" si="14"/>
        <v>166749.84</v>
      </c>
      <c r="BF53">
        <f t="shared" si="14"/>
        <v>208437.30000000002</v>
      </c>
      <c r="BG53">
        <f t="shared" si="14"/>
        <v>694791</v>
      </c>
      <c r="BH53">
        <f t="shared" si="14"/>
        <v>2084373</v>
      </c>
      <c r="BI53">
        <f t="shared" si="14"/>
        <v>5905723.5</v>
      </c>
      <c r="BJ53">
        <f t="shared" si="14"/>
        <v>20843730</v>
      </c>
      <c r="BK53">
        <f t="shared" si="14"/>
        <v>69479100</v>
      </c>
      <c r="BL53" s="145">
        <v>48</v>
      </c>
    </row>
    <row r="54" spans="1:64" ht="17.25" thickBot="1" x14ac:dyDescent="0.25">
      <c r="A54" s="131">
        <v>50</v>
      </c>
      <c r="B54" s="132">
        <v>3044250</v>
      </c>
      <c r="D54" s="131">
        <v>50</v>
      </c>
      <c r="E54" s="132">
        <v>7.1086799999999997</v>
      </c>
      <c r="M54">
        <v>50</v>
      </c>
      <c r="N54">
        <f t="shared" si="3"/>
        <v>31352720</v>
      </c>
      <c r="O54">
        <f t="shared" si="16"/>
        <v>62705440</v>
      </c>
      <c r="P54">
        <f t="shared" si="16"/>
        <v>94058160</v>
      </c>
      <c r="Q54">
        <f t="shared" si="16"/>
        <v>125410880</v>
      </c>
      <c r="R54">
        <f t="shared" si="16"/>
        <v>188116320</v>
      </c>
      <c r="S54">
        <f t="shared" si="16"/>
        <v>219469040</v>
      </c>
      <c r="T54">
        <f t="shared" si="16"/>
        <v>313527200</v>
      </c>
      <c r="U54">
        <f t="shared" si="16"/>
        <v>470290800</v>
      </c>
      <c r="V54">
        <f t="shared" si="16"/>
        <v>752465280</v>
      </c>
      <c r="W54">
        <f t="shared" si="16"/>
        <v>1128697920</v>
      </c>
      <c r="X54">
        <f t="shared" si="16"/>
        <v>1567636000</v>
      </c>
      <c r="Y54">
        <f t="shared" si="16"/>
        <v>1881163200</v>
      </c>
      <c r="Z54">
        <f t="shared" si="16"/>
        <v>3009861120</v>
      </c>
      <c r="AA54">
        <f t="shared" si="16"/>
        <v>3135272000</v>
      </c>
      <c r="AB54">
        <f t="shared" si="16"/>
        <v>4702908000</v>
      </c>
      <c r="AC54">
        <f t="shared" si="16"/>
        <v>7524652800</v>
      </c>
      <c r="AD54">
        <f t="shared" si="16"/>
        <v>11286979200</v>
      </c>
      <c r="AE54">
        <f t="shared" si="10"/>
        <v>13168142400</v>
      </c>
      <c r="AF54">
        <f t="shared" si="10"/>
        <v>17243996000</v>
      </c>
      <c r="AG54">
        <f t="shared" si="10"/>
        <v>21946904000</v>
      </c>
      <c r="AK54">
        <v>48</v>
      </c>
      <c r="AL54" s="24">
        <f t="shared" si="6"/>
        <v>7.0024600000000001</v>
      </c>
      <c r="AM54">
        <f t="shared" si="15"/>
        <v>49.017220000000002</v>
      </c>
      <c r="AN54">
        <f t="shared" si="15"/>
        <v>70.024600000000007</v>
      </c>
      <c r="AO54">
        <f t="shared" si="15"/>
        <v>105.0369</v>
      </c>
      <c r="AP54">
        <f t="shared" si="15"/>
        <v>140.04920000000001</v>
      </c>
      <c r="AQ54">
        <f t="shared" si="15"/>
        <v>245.08610000000002</v>
      </c>
      <c r="AR54">
        <f t="shared" si="15"/>
        <v>350.12299999999999</v>
      </c>
      <c r="AS54">
        <f t="shared" si="15"/>
        <v>560.19680000000005</v>
      </c>
      <c r="AT54">
        <f t="shared" si="15"/>
        <v>840.29520000000002</v>
      </c>
      <c r="AU54">
        <f t="shared" si="15"/>
        <v>1190.4182000000001</v>
      </c>
      <c r="AV54">
        <f t="shared" si="15"/>
        <v>1680.5904</v>
      </c>
      <c r="AW54">
        <f t="shared" si="15"/>
        <v>2310.8117999999999</v>
      </c>
      <c r="AX54">
        <f t="shared" si="15"/>
        <v>3221.1316000000002</v>
      </c>
      <c r="AY54">
        <f t="shared" si="15"/>
        <v>5601.9679999999998</v>
      </c>
      <c r="AZ54">
        <f t="shared" si="15"/>
        <v>10503.69</v>
      </c>
      <c r="BA54">
        <f t="shared" si="15"/>
        <v>17506.150000000001</v>
      </c>
      <c r="BB54">
        <f t="shared" si="15"/>
        <v>28009.84</v>
      </c>
      <c r="BC54">
        <f t="shared" si="14"/>
        <v>70024.600000000006</v>
      </c>
      <c r="BD54">
        <f t="shared" si="14"/>
        <v>105036.90000000001</v>
      </c>
      <c r="BE54">
        <f t="shared" si="14"/>
        <v>168059.04</v>
      </c>
      <c r="BF54">
        <f t="shared" si="14"/>
        <v>210073.80000000002</v>
      </c>
      <c r="BG54">
        <f t="shared" si="14"/>
        <v>700246</v>
      </c>
      <c r="BH54">
        <f t="shared" si="14"/>
        <v>2100738</v>
      </c>
      <c r="BI54">
        <f t="shared" si="14"/>
        <v>5952091</v>
      </c>
      <c r="BJ54">
        <f t="shared" si="14"/>
        <v>21007380</v>
      </c>
      <c r="BK54">
        <f t="shared" si="14"/>
        <v>70024600</v>
      </c>
      <c r="BL54">
        <v>49</v>
      </c>
    </row>
    <row r="55" spans="1:64" ht="17.25" thickBot="1" x14ac:dyDescent="0.25">
      <c r="A55" s="131">
        <v>51</v>
      </c>
      <c r="B55" s="132">
        <v>3135272</v>
      </c>
      <c r="D55" s="131">
        <v>51</v>
      </c>
      <c r="E55" s="132">
        <v>7.1604099999999997</v>
      </c>
      <c r="M55">
        <v>51</v>
      </c>
      <c r="N55">
        <f t="shared" si="3"/>
        <v>32271830</v>
      </c>
      <c r="O55">
        <f t="shared" si="16"/>
        <v>64543660</v>
      </c>
      <c r="P55">
        <f t="shared" si="16"/>
        <v>96815490</v>
      </c>
      <c r="Q55">
        <f t="shared" si="16"/>
        <v>129087320</v>
      </c>
      <c r="R55">
        <f t="shared" si="16"/>
        <v>193630980</v>
      </c>
      <c r="S55">
        <f t="shared" si="16"/>
        <v>225902810</v>
      </c>
      <c r="T55">
        <f t="shared" si="16"/>
        <v>322718300</v>
      </c>
      <c r="U55">
        <f t="shared" si="16"/>
        <v>484077450</v>
      </c>
      <c r="V55">
        <f t="shared" si="16"/>
        <v>774523920</v>
      </c>
      <c r="W55">
        <f t="shared" si="16"/>
        <v>1161785880</v>
      </c>
      <c r="X55">
        <f t="shared" si="16"/>
        <v>1613591500</v>
      </c>
      <c r="Y55">
        <f t="shared" si="16"/>
        <v>1936309800</v>
      </c>
      <c r="Z55">
        <f t="shared" si="16"/>
        <v>3098095680</v>
      </c>
      <c r="AA55">
        <f t="shared" si="16"/>
        <v>3227183000</v>
      </c>
      <c r="AB55">
        <f t="shared" si="16"/>
        <v>4840774500</v>
      </c>
      <c r="AC55">
        <f t="shared" si="16"/>
        <v>7745239200</v>
      </c>
      <c r="AD55">
        <f t="shared" si="16"/>
        <v>11617858800</v>
      </c>
      <c r="AE55">
        <f t="shared" si="10"/>
        <v>13554168600</v>
      </c>
      <c r="AF55">
        <f t="shared" si="10"/>
        <v>17749506500</v>
      </c>
      <c r="AG55">
        <f t="shared" si="10"/>
        <v>22590281000</v>
      </c>
      <c r="AK55">
        <v>49</v>
      </c>
      <c r="AL55" s="24">
        <f t="shared" si="6"/>
        <v>7.0560400000000003</v>
      </c>
      <c r="AM55">
        <f t="shared" si="15"/>
        <v>49.39228</v>
      </c>
      <c r="AN55">
        <f t="shared" si="15"/>
        <v>70.560400000000001</v>
      </c>
      <c r="AO55">
        <f t="shared" si="15"/>
        <v>105.84060000000001</v>
      </c>
      <c r="AP55">
        <f t="shared" si="15"/>
        <v>141.1208</v>
      </c>
      <c r="AQ55">
        <f t="shared" si="15"/>
        <v>246.9614</v>
      </c>
      <c r="AR55">
        <f t="shared" si="15"/>
        <v>352.80200000000002</v>
      </c>
      <c r="AS55">
        <f t="shared" si="15"/>
        <v>564.48320000000001</v>
      </c>
      <c r="AT55">
        <f t="shared" si="15"/>
        <v>846.72480000000007</v>
      </c>
      <c r="AU55">
        <f t="shared" si="15"/>
        <v>1199.5268000000001</v>
      </c>
      <c r="AV55">
        <f t="shared" si="15"/>
        <v>1693.4496000000001</v>
      </c>
      <c r="AW55">
        <f t="shared" si="15"/>
        <v>2328.4931999999999</v>
      </c>
      <c r="AX55">
        <f t="shared" si="15"/>
        <v>3245.7784000000001</v>
      </c>
      <c r="AY55">
        <f t="shared" si="15"/>
        <v>5644.8320000000003</v>
      </c>
      <c r="AZ55">
        <f t="shared" si="15"/>
        <v>10584.060000000001</v>
      </c>
      <c r="BA55">
        <f t="shared" si="15"/>
        <v>17640.100000000002</v>
      </c>
      <c r="BB55">
        <f t="shared" si="15"/>
        <v>28224.16</v>
      </c>
      <c r="BC55">
        <f t="shared" si="14"/>
        <v>70560.400000000009</v>
      </c>
      <c r="BD55">
        <f t="shared" si="14"/>
        <v>105840.6</v>
      </c>
      <c r="BE55">
        <f t="shared" si="14"/>
        <v>169344.96000000002</v>
      </c>
      <c r="BF55">
        <f t="shared" si="14"/>
        <v>211681.2</v>
      </c>
      <c r="BG55">
        <f t="shared" si="14"/>
        <v>705604</v>
      </c>
      <c r="BH55">
        <f t="shared" si="14"/>
        <v>2116812</v>
      </c>
      <c r="BI55">
        <f t="shared" si="14"/>
        <v>5997634</v>
      </c>
      <c r="BJ55">
        <f t="shared" si="14"/>
        <v>21168120</v>
      </c>
      <c r="BK55">
        <f t="shared" si="14"/>
        <v>70560400</v>
      </c>
      <c r="BL55" s="145">
        <v>50</v>
      </c>
    </row>
    <row r="56" spans="1:64" ht="17.25" thickBot="1" x14ac:dyDescent="0.25">
      <c r="A56" s="131">
        <v>52</v>
      </c>
      <c r="B56" s="132">
        <v>3227183</v>
      </c>
      <c r="D56" s="131">
        <v>52</v>
      </c>
      <c r="E56" s="132">
        <v>7.2112600000000002</v>
      </c>
      <c r="M56">
        <v>52</v>
      </c>
      <c r="N56">
        <f t="shared" si="3"/>
        <v>33199770</v>
      </c>
      <c r="O56">
        <f t="shared" si="16"/>
        <v>66399540</v>
      </c>
      <c r="P56">
        <f t="shared" si="16"/>
        <v>99599310</v>
      </c>
      <c r="Q56">
        <f t="shared" si="16"/>
        <v>132799080</v>
      </c>
      <c r="R56">
        <f t="shared" si="16"/>
        <v>199198620</v>
      </c>
      <c r="S56">
        <f t="shared" si="16"/>
        <v>232398390</v>
      </c>
      <c r="T56">
        <f t="shared" si="16"/>
        <v>331997700</v>
      </c>
      <c r="U56">
        <f t="shared" si="16"/>
        <v>497996550</v>
      </c>
      <c r="V56">
        <f t="shared" si="16"/>
        <v>796794480</v>
      </c>
      <c r="W56">
        <f t="shared" si="16"/>
        <v>1195191720</v>
      </c>
      <c r="X56">
        <f t="shared" si="16"/>
        <v>1659988500</v>
      </c>
      <c r="Y56">
        <f t="shared" si="16"/>
        <v>1991986200</v>
      </c>
      <c r="Z56">
        <f t="shared" si="16"/>
        <v>3187177920</v>
      </c>
      <c r="AA56">
        <f t="shared" si="16"/>
        <v>3319977000</v>
      </c>
      <c r="AB56">
        <f t="shared" si="16"/>
        <v>4979965500</v>
      </c>
      <c r="AC56">
        <f t="shared" si="16"/>
        <v>7967944800</v>
      </c>
      <c r="AD56">
        <f t="shared" si="16"/>
        <v>11951917200</v>
      </c>
      <c r="AE56">
        <f t="shared" si="10"/>
        <v>13943903400</v>
      </c>
      <c r="AF56">
        <f t="shared" si="10"/>
        <v>18259873500</v>
      </c>
      <c r="AG56">
        <f t="shared" si="10"/>
        <v>23239839000</v>
      </c>
      <c r="AK56">
        <v>50</v>
      </c>
      <c r="AL56" s="24">
        <f t="shared" si="6"/>
        <v>7.1086799999999997</v>
      </c>
      <c r="AM56">
        <f t="shared" si="15"/>
        <v>49.760759999999998</v>
      </c>
      <c r="AN56">
        <f t="shared" si="15"/>
        <v>71.086799999999997</v>
      </c>
      <c r="AO56">
        <f t="shared" si="15"/>
        <v>106.6302</v>
      </c>
      <c r="AP56">
        <f t="shared" si="15"/>
        <v>142.17359999999999</v>
      </c>
      <c r="AQ56">
        <f t="shared" si="15"/>
        <v>248.8038</v>
      </c>
      <c r="AR56">
        <f t="shared" si="15"/>
        <v>355.43399999999997</v>
      </c>
      <c r="AS56">
        <f t="shared" si="15"/>
        <v>568.69439999999997</v>
      </c>
      <c r="AT56">
        <f t="shared" si="15"/>
        <v>853.04160000000002</v>
      </c>
      <c r="AU56">
        <f t="shared" si="15"/>
        <v>1208.4756</v>
      </c>
      <c r="AV56">
        <f t="shared" si="15"/>
        <v>1706.0832</v>
      </c>
      <c r="AW56">
        <f t="shared" si="15"/>
        <v>2345.8643999999999</v>
      </c>
      <c r="AX56">
        <f t="shared" si="15"/>
        <v>3269.9928</v>
      </c>
      <c r="AY56">
        <f t="shared" si="15"/>
        <v>5686.9439999999995</v>
      </c>
      <c r="AZ56">
        <f t="shared" si="15"/>
        <v>10663.019999999999</v>
      </c>
      <c r="BA56">
        <f t="shared" si="15"/>
        <v>17771.7</v>
      </c>
      <c r="BB56">
        <f t="shared" si="15"/>
        <v>28434.719999999998</v>
      </c>
      <c r="BC56">
        <f t="shared" si="14"/>
        <v>71086.8</v>
      </c>
      <c r="BD56">
        <f t="shared" si="14"/>
        <v>106630.2</v>
      </c>
      <c r="BE56">
        <f t="shared" si="14"/>
        <v>170608.31999999998</v>
      </c>
      <c r="BF56">
        <f t="shared" si="14"/>
        <v>213260.4</v>
      </c>
      <c r="BG56">
        <f t="shared" si="14"/>
        <v>710868</v>
      </c>
      <c r="BH56">
        <f t="shared" si="14"/>
        <v>2132604</v>
      </c>
      <c r="BI56">
        <f t="shared" si="14"/>
        <v>6042378</v>
      </c>
      <c r="BJ56">
        <f t="shared" si="14"/>
        <v>21326040</v>
      </c>
      <c r="BK56">
        <f t="shared" si="14"/>
        <v>71086800</v>
      </c>
      <c r="BL56">
        <v>51</v>
      </c>
    </row>
    <row r="57" spans="1:64" ht="17.25" thickBot="1" x14ac:dyDescent="0.25">
      <c r="A57" s="131">
        <v>53</v>
      </c>
      <c r="B57" s="132">
        <v>3319977</v>
      </c>
      <c r="D57" s="131">
        <v>53</v>
      </c>
      <c r="E57" s="132">
        <v>7.2612699999999997</v>
      </c>
      <c r="M57">
        <v>53</v>
      </c>
      <c r="N57">
        <f t="shared" si="3"/>
        <v>34136380</v>
      </c>
      <c r="O57">
        <f t="shared" si="16"/>
        <v>68272760</v>
      </c>
      <c r="P57">
        <f t="shared" si="16"/>
        <v>102409140</v>
      </c>
      <c r="Q57">
        <f t="shared" si="16"/>
        <v>136545520</v>
      </c>
      <c r="R57">
        <f t="shared" si="16"/>
        <v>204818280</v>
      </c>
      <c r="S57">
        <f t="shared" si="16"/>
        <v>238954660</v>
      </c>
      <c r="T57">
        <f t="shared" si="16"/>
        <v>341363800</v>
      </c>
      <c r="U57">
        <f t="shared" si="16"/>
        <v>512045700</v>
      </c>
      <c r="V57">
        <f t="shared" si="16"/>
        <v>819273120</v>
      </c>
      <c r="W57">
        <f t="shared" si="16"/>
        <v>1228909680</v>
      </c>
      <c r="X57">
        <f t="shared" si="16"/>
        <v>1706819000</v>
      </c>
      <c r="Y57">
        <f t="shared" si="16"/>
        <v>2048182800</v>
      </c>
      <c r="Z57">
        <f t="shared" si="16"/>
        <v>3277092480</v>
      </c>
      <c r="AA57">
        <f t="shared" si="16"/>
        <v>3413638000</v>
      </c>
      <c r="AB57">
        <f t="shared" si="16"/>
        <v>5120457000</v>
      </c>
      <c r="AC57">
        <f t="shared" si="16"/>
        <v>8192731200</v>
      </c>
      <c r="AD57">
        <f t="shared" si="16"/>
        <v>12289096800</v>
      </c>
      <c r="AE57">
        <f t="shared" si="10"/>
        <v>14337279600</v>
      </c>
      <c r="AF57">
        <f t="shared" si="10"/>
        <v>18775009000</v>
      </c>
      <c r="AG57">
        <f t="shared" si="10"/>
        <v>23895466000</v>
      </c>
      <c r="AK57">
        <v>51</v>
      </c>
      <c r="AL57" s="24">
        <f t="shared" si="6"/>
        <v>7.1604099999999997</v>
      </c>
      <c r="AM57">
        <f t="shared" si="15"/>
        <v>50.122869999999999</v>
      </c>
      <c r="AN57">
        <f t="shared" si="15"/>
        <v>71.604100000000003</v>
      </c>
      <c r="AO57">
        <f t="shared" si="15"/>
        <v>107.40615</v>
      </c>
      <c r="AP57">
        <f t="shared" si="15"/>
        <v>143.20820000000001</v>
      </c>
      <c r="AQ57">
        <f t="shared" si="15"/>
        <v>250.61435</v>
      </c>
      <c r="AR57">
        <f t="shared" si="15"/>
        <v>358.02049999999997</v>
      </c>
      <c r="AS57">
        <f t="shared" si="15"/>
        <v>572.83280000000002</v>
      </c>
      <c r="AT57">
        <f t="shared" si="15"/>
        <v>859.24919999999997</v>
      </c>
      <c r="AU57">
        <f t="shared" si="15"/>
        <v>1217.2697000000001</v>
      </c>
      <c r="AV57">
        <f t="shared" si="15"/>
        <v>1718.4983999999999</v>
      </c>
      <c r="AW57">
        <f t="shared" si="15"/>
        <v>2362.9353000000001</v>
      </c>
      <c r="AX57">
        <f t="shared" si="15"/>
        <v>3293.7885999999999</v>
      </c>
      <c r="AY57">
        <f t="shared" si="15"/>
        <v>5728.3279999999995</v>
      </c>
      <c r="AZ57">
        <f t="shared" si="15"/>
        <v>10740.615</v>
      </c>
      <c r="BA57">
        <f t="shared" si="15"/>
        <v>17901.024999999998</v>
      </c>
      <c r="BB57">
        <f t="shared" si="15"/>
        <v>28641.64</v>
      </c>
      <c r="BC57">
        <f t="shared" si="14"/>
        <v>71604.099999999991</v>
      </c>
      <c r="BD57">
        <f t="shared" si="14"/>
        <v>107406.15</v>
      </c>
      <c r="BE57">
        <f t="shared" si="14"/>
        <v>171849.84</v>
      </c>
      <c r="BF57">
        <f t="shared" si="14"/>
        <v>214812.3</v>
      </c>
      <c r="BG57">
        <f t="shared" si="14"/>
        <v>716041</v>
      </c>
      <c r="BH57">
        <f t="shared" si="14"/>
        <v>2148123</v>
      </c>
      <c r="BI57">
        <f t="shared" si="14"/>
        <v>6086348.5</v>
      </c>
      <c r="BJ57">
        <f t="shared" si="14"/>
        <v>21481230</v>
      </c>
      <c r="BK57">
        <f t="shared" si="14"/>
        <v>71604100</v>
      </c>
      <c r="BL57" s="145">
        <v>52</v>
      </c>
    </row>
    <row r="58" spans="1:64" ht="17.25" thickBot="1" x14ac:dyDescent="0.25">
      <c r="A58" s="131">
        <v>54</v>
      </c>
      <c r="B58" s="132">
        <v>3413638</v>
      </c>
      <c r="D58" s="131">
        <v>54</v>
      </c>
      <c r="E58" s="132">
        <v>7.31046</v>
      </c>
      <c r="M58">
        <v>54</v>
      </c>
      <c r="N58">
        <f t="shared" si="3"/>
        <v>35081660</v>
      </c>
      <c r="O58">
        <f t="shared" si="16"/>
        <v>70163320</v>
      </c>
      <c r="P58">
        <f t="shared" si="16"/>
        <v>105244980</v>
      </c>
      <c r="Q58">
        <f t="shared" si="16"/>
        <v>140326640</v>
      </c>
      <c r="R58">
        <f t="shared" si="16"/>
        <v>210489960</v>
      </c>
      <c r="S58">
        <f t="shared" si="16"/>
        <v>245571620</v>
      </c>
      <c r="T58">
        <f t="shared" si="16"/>
        <v>350816600</v>
      </c>
      <c r="U58">
        <f t="shared" si="16"/>
        <v>526224900</v>
      </c>
      <c r="V58">
        <f t="shared" si="16"/>
        <v>841959840</v>
      </c>
      <c r="W58">
        <f t="shared" si="16"/>
        <v>1262939760</v>
      </c>
      <c r="X58">
        <f t="shared" si="16"/>
        <v>1754083000</v>
      </c>
      <c r="Y58">
        <f t="shared" si="16"/>
        <v>2104899600</v>
      </c>
      <c r="Z58">
        <f t="shared" si="16"/>
        <v>3367839360</v>
      </c>
      <c r="AA58">
        <f t="shared" si="16"/>
        <v>3508166000</v>
      </c>
      <c r="AB58">
        <f t="shared" si="16"/>
        <v>5262249000</v>
      </c>
      <c r="AC58">
        <f t="shared" si="16"/>
        <v>8419598400</v>
      </c>
      <c r="AD58">
        <f t="shared" si="16"/>
        <v>12629397600</v>
      </c>
      <c r="AE58">
        <f t="shared" si="10"/>
        <v>14734297200</v>
      </c>
      <c r="AF58">
        <f t="shared" si="10"/>
        <v>19294913000</v>
      </c>
      <c r="AG58">
        <f t="shared" si="10"/>
        <v>24557162000</v>
      </c>
      <c r="AK58">
        <v>52</v>
      </c>
      <c r="AL58" s="24">
        <f t="shared" si="6"/>
        <v>7.2112600000000002</v>
      </c>
      <c r="AM58">
        <f t="shared" si="15"/>
        <v>50.478819999999999</v>
      </c>
      <c r="AN58">
        <f t="shared" si="15"/>
        <v>72.1126</v>
      </c>
      <c r="AO58">
        <f t="shared" si="15"/>
        <v>108.16890000000001</v>
      </c>
      <c r="AP58">
        <f t="shared" si="15"/>
        <v>144.2252</v>
      </c>
      <c r="AQ58">
        <f t="shared" si="15"/>
        <v>252.39410000000001</v>
      </c>
      <c r="AR58">
        <f t="shared" si="15"/>
        <v>360.56299999999999</v>
      </c>
      <c r="AS58">
        <f t="shared" si="15"/>
        <v>576.9008</v>
      </c>
      <c r="AT58">
        <f t="shared" si="15"/>
        <v>865.35120000000006</v>
      </c>
      <c r="AU58">
        <f t="shared" si="15"/>
        <v>1225.9141999999999</v>
      </c>
      <c r="AV58">
        <f t="shared" si="15"/>
        <v>1730.7024000000001</v>
      </c>
      <c r="AW58">
        <f t="shared" si="15"/>
        <v>2379.7157999999999</v>
      </c>
      <c r="AX58">
        <f t="shared" si="15"/>
        <v>3317.1795999999999</v>
      </c>
      <c r="AY58">
        <f t="shared" si="15"/>
        <v>5769.0079999999998</v>
      </c>
      <c r="AZ58">
        <f t="shared" si="15"/>
        <v>10816.890000000001</v>
      </c>
      <c r="BA58">
        <f t="shared" si="15"/>
        <v>18028.150000000001</v>
      </c>
      <c r="BB58">
        <f t="shared" si="15"/>
        <v>28845.040000000001</v>
      </c>
      <c r="BC58">
        <f t="shared" si="14"/>
        <v>72112.600000000006</v>
      </c>
      <c r="BD58">
        <f t="shared" si="14"/>
        <v>108168.90000000001</v>
      </c>
      <c r="BE58">
        <f t="shared" si="14"/>
        <v>173070.24000000002</v>
      </c>
      <c r="BF58">
        <f t="shared" si="14"/>
        <v>216337.80000000002</v>
      </c>
      <c r="BG58">
        <f t="shared" si="14"/>
        <v>721126</v>
      </c>
      <c r="BH58">
        <f t="shared" si="14"/>
        <v>2163378</v>
      </c>
      <c r="BI58">
        <f t="shared" si="14"/>
        <v>6129571</v>
      </c>
      <c r="BJ58">
        <f t="shared" si="14"/>
        <v>21633780</v>
      </c>
      <c r="BK58">
        <f t="shared" si="14"/>
        <v>72112600</v>
      </c>
      <c r="BL58">
        <v>53</v>
      </c>
    </row>
    <row r="59" spans="1:64" ht="17.25" thickBot="1" x14ac:dyDescent="0.25">
      <c r="A59" s="131">
        <v>55</v>
      </c>
      <c r="B59" s="132">
        <v>3508166</v>
      </c>
      <c r="D59" s="131">
        <v>55</v>
      </c>
      <c r="E59" s="132">
        <v>7.3588500000000003</v>
      </c>
      <c r="M59">
        <v>55</v>
      </c>
      <c r="N59">
        <f t="shared" si="3"/>
        <v>36035500</v>
      </c>
      <c r="O59">
        <f t="shared" si="16"/>
        <v>72071000</v>
      </c>
      <c r="P59">
        <f t="shared" si="16"/>
        <v>108106500</v>
      </c>
      <c r="Q59">
        <f t="shared" si="16"/>
        <v>144142000</v>
      </c>
      <c r="R59">
        <f t="shared" si="16"/>
        <v>216213000</v>
      </c>
      <c r="S59">
        <f t="shared" si="16"/>
        <v>252248500</v>
      </c>
      <c r="T59">
        <f t="shared" si="16"/>
        <v>360355000</v>
      </c>
      <c r="U59">
        <f t="shared" si="16"/>
        <v>540532500</v>
      </c>
      <c r="V59">
        <f t="shared" si="16"/>
        <v>864852000</v>
      </c>
      <c r="W59">
        <f t="shared" si="16"/>
        <v>1297278000</v>
      </c>
      <c r="X59">
        <f t="shared" si="16"/>
        <v>1801775000</v>
      </c>
      <c r="Y59">
        <f t="shared" si="16"/>
        <v>2162130000</v>
      </c>
      <c r="Z59">
        <f t="shared" si="16"/>
        <v>3459408000</v>
      </c>
      <c r="AA59">
        <f t="shared" si="16"/>
        <v>3603550000</v>
      </c>
      <c r="AB59">
        <f t="shared" si="16"/>
        <v>5405325000</v>
      </c>
      <c r="AC59">
        <f t="shared" si="16"/>
        <v>8648520000</v>
      </c>
      <c r="AD59">
        <f t="shared" si="16"/>
        <v>12972780000</v>
      </c>
      <c r="AE59">
        <f t="shared" si="10"/>
        <v>15134910000</v>
      </c>
      <c r="AF59">
        <f t="shared" si="10"/>
        <v>19819525000</v>
      </c>
      <c r="AG59">
        <f t="shared" si="10"/>
        <v>25224850000</v>
      </c>
      <c r="AK59">
        <v>53</v>
      </c>
      <c r="AL59" s="24">
        <f t="shared" si="6"/>
        <v>7.2612699999999997</v>
      </c>
      <c r="AM59">
        <f t="shared" si="15"/>
        <v>50.828890000000001</v>
      </c>
      <c r="AN59">
        <f t="shared" si="15"/>
        <v>72.61269999999999</v>
      </c>
      <c r="AO59">
        <f t="shared" si="15"/>
        <v>108.91905</v>
      </c>
      <c r="AP59">
        <f t="shared" si="15"/>
        <v>145.22539999999998</v>
      </c>
      <c r="AQ59">
        <f t="shared" si="15"/>
        <v>254.14444999999998</v>
      </c>
      <c r="AR59">
        <f t="shared" si="15"/>
        <v>363.06349999999998</v>
      </c>
      <c r="AS59">
        <f t="shared" si="15"/>
        <v>580.90159999999992</v>
      </c>
      <c r="AT59">
        <f t="shared" si="15"/>
        <v>871.35239999999999</v>
      </c>
      <c r="AU59">
        <f t="shared" si="15"/>
        <v>1234.4159</v>
      </c>
      <c r="AV59">
        <f t="shared" si="15"/>
        <v>1742.7048</v>
      </c>
      <c r="AW59">
        <f t="shared" si="15"/>
        <v>2396.2190999999998</v>
      </c>
      <c r="AX59">
        <f t="shared" si="15"/>
        <v>3340.1841999999997</v>
      </c>
      <c r="AY59">
        <f t="shared" si="15"/>
        <v>5809.0159999999996</v>
      </c>
      <c r="AZ59">
        <f t="shared" si="15"/>
        <v>10891.904999999999</v>
      </c>
      <c r="BA59">
        <f t="shared" si="15"/>
        <v>18153.174999999999</v>
      </c>
      <c r="BB59">
        <f t="shared" si="15"/>
        <v>29045.079999999998</v>
      </c>
      <c r="BC59">
        <f t="shared" si="14"/>
        <v>72612.7</v>
      </c>
      <c r="BD59">
        <f t="shared" si="14"/>
        <v>108919.04999999999</v>
      </c>
      <c r="BE59">
        <f t="shared" si="14"/>
        <v>174270.47999999998</v>
      </c>
      <c r="BF59">
        <f t="shared" si="14"/>
        <v>217838.09999999998</v>
      </c>
      <c r="BG59">
        <f t="shared" si="14"/>
        <v>726127</v>
      </c>
      <c r="BH59">
        <f t="shared" si="14"/>
        <v>2178381</v>
      </c>
      <c r="BI59">
        <f t="shared" si="14"/>
        <v>6172079.5</v>
      </c>
      <c r="BJ59">
        <f t="shared" si="14"/>
        <v>21783810</v>
      </c>
      <c r="BK59">
        <f t="shared" si="14"/>
        <v>72612700</v>
      </c>
      <c r="BL59" s="145">
        <v>54</v>
      </c>
    </row>
    <row r="60" spans="1:64" ht="17.25" thickBot="1" x14ac:dyDescent="0.25">
      <c r="A60" s="131">
        <v>56</v>
      </c>
      <c r="B60" s="132">
        <v>3603550</v>
      </c>
      <c r="D60" s="131">
        <v>56</v>
      </c>
      <c r="E60" s="132">
        <v>7.4064699999999997</v>
      </c>
      <c r="M60">
        <v>56</v>
      </c>
      <c r="N60">
        <f t="shared" si="3"/>
        <v>36997770</v>
      </c>
      <c r="O60">
        <f t="shared" si="16"/>
        <v>73995540</v>
      </c>
      <c r="P60">
        <f t="shared" si="16"/>
        <v>110993310</v>
      </c>
      <c r="Q60">
        <f t="shared" si="16"/>
        <v>147991080</v>
      </c>
      <c r="R60">
        <f t="shared" si="16"/>
        <v>221986620</v>
      </c>
      <c r="S60">
        <f t="shared" si="16"/>
        <v>258984390</v>
      </c>
      <c r="T60">
        <f t="shared" si="16"/>
        <v>369977700</v>
      </c>
      <c r="U60">
        <f t="shared" si="16"/>
        <v>554966550</v>
      </c>
      <c r="V60">
        <f t="shared" si="16"/>
        <v>887946480</v>
      </c>
      <c r="W60">
        <f t="shared" si="16"/>
        <v>1331919720</v>
      </c>
      <c r="X60">
        <f t="shared" si="16"/>
        <v>1849888500</v>
      </c>
      <c r="Y60">
        <f t="shared" si="16"/>
        <v>2219866200</v>
      </c>
      <c r="Z60">
        <f t="shared" si="16"/>
        <v>3551785920</v>
      </c>
      <c r="AA60">
        <f t="shared" si="16"/>
        <v>3699777000</v>
      </c>
      <c r="AB60">
        <f t="shared" si="16"/>
        <v>5549665500</v>
      </c>
      <c r="AC60">
        <f t="shared" si="16"/>
        <v>8879464800</v>
      </c>
      <c r="AD60">
        <f t="shared" si="16"/>
        <v>13319197200</v>
      </c>
      <c r="AE60">
        <f t="shared" si="10"/>
        <v>15539063400</v>
      </c>
      <c r="AF60">
        <f t="shared" si="10"/>
        <v>20348773500</v>
      </c>
      <c r="AG60">
        <f t="shared" si="10"/>
        <v>25898439000</v>
      </c>
      <c r="AK60">
        <v>54</v>
      </c>
      <c r="AL60" s="24">
        <f t="shared" si="6"/>
        <v>7.31046</v>
      </c>
      <c r="AM60">
        <f t="shared" si="15"/>
        <v>51.173220000000001</v>
      </c>
      <c r="AN60">
        <f t="shared" si="15"/>
        <v>73.104600000000005</v>
      </c>
      <c r="AO60">
        <f t="shared" si="15"/>
        <v>109.65689999999999</v>
      </c>
      <c r="AP60">
        <f t="shared" si="15"/>
        <v>146.20920000000001</v>
      </c>
      <c r="AQ60">
        <f t="shared" si="15"/>
        <v>255.86609999999999</v>
      </c>
      <c r="AR60">
        <f t="shared" si="15"/>
        <v>365.52300000000002</v>
      </c>
      <c r="AS60">
        <f t="shared" si="15"/>
        <v>584.83680000000004</v>
      </c>
      <c r="AT60">
        <f t="shared" si="15"/>
        <v>877.25519999999995</v>
      </c>
      <c r="AU60">
        <f t="shared" si="15"/>
        <v>1242.7782</v>
      </c>
      <c r="AV60">
        <f t="shared" si="15"/>
        <v>1754.5103999999999</v>
      </c>
      <c r="AW60">
        <f t="shared" si="15"/>
        <v>2412.4517999999998</v>
      </c>
      <c r="AX60">
        <f t="shared" si="15"/>
        <v>3362.8116</v>
      </c>
      <c r="AY60">
        <f t="shared" si="15"/>
        <v>5848.3680000000004</v>
      </c>
      <c r="AZ60">
        <f t="shared" si="15"/>
        <v>10965.69</v>
      </c>
      <c r="BA60">
        <f t="shared" si="15"/>
        <v>18276.150000000001</v>
      </c>
      <c r="BB60">
        <f t="shared" si="15"/>
        <v>29241.84</v>
      </c>
      <c r="BC60">
        <f t="shared" si="14"/>
        <v>73104.600000000006</v>
      </c>
      <c r="BD60">
        <f t="shared" si="14"/>
        <v>109656.9</v>
      </c>
      <c r="BE60">
        <f t="shared" si="14"/>
        <v>175451.04</v>
      </c>
      <c r="BF60">
        <f t="shared" si="14"/>
        <v>219313.8</v>
      </c>
      <c r="BG60">
        <f t="shared" si="14"/>
        <v>731046</v>
      </c>
      <c r="BH60">
        <f t="shared" si="14"/>
        <v>2193138</v>
      </c>
      <c r="BI60">
        <f t="shared" si="14"/>
        <v>6213891</v>
      </c>
      <c r="BJ60">
        <f t="shared" si="14"/>
        <v>21931380</v>
      </c>
      <c r="BK60">
        <f t="shared" si="14"/>
        <v>73104600</v>
      </c>
      <c r="BL60">
        <v>55</v>
      </c>
    </row>
    <row r="61" spans="1:64" ht="17.25" thickBot="1" x14ac:dyDescent="0.25">
      <c r="A61" s="131">
        <v>57</v>
      </c>
      <c r="B61" s="132">
        <v>3699777</v>
      </c>
      <c r="D61" s="131">
        <v>57</v>
      </c>
      <c r="E61" s="132">
        <v>7.4533500000000004</v>
      </c>
      <c r="M61">
        <v>57</v>
      </c>
      <c r="N61">
        <f t="shared" si="3"/>
        <v>37968500</v>
      </c>
      <c r="O61">
        <f t="shared" si="16"/>
        <v>75937000</v>
      </c>
      <c r="P61">
        <f t="shared" si="16"/>
        <v>113905500</v>
      </c>
      <c r="Q61">
        <f t="shared" si="16"/>
        <v>151874000</v>
      </c>
      <c r="R61">
        <f t="shared" si="16"/>
        <v>227811000</v>
      </c>
      <c r="S61">
        <f t="shared" si="16"/>
        <v>265779500</v>
      </c>
      <c r="T61">
        <f t="shared" si="16"/>
        <v>379685000</v>
      </c>
      <c r="U61">
        <f t="shared" si="16"/>
        <v>569527500</v>
      </c>
      <c r="V61">
        <f t="shared" si="16"/>
        <v>911244000</v>
      </c>
      <c r="W61">
        <f t="shared" si="16"/>
        <v>1366866000</v>
      </c>
      <c r="X61">
        <f t="shared" si="16"/>
        <v>1898425000</v>
      </c>
      <c r="Y61">
        <f t="shared" si="16"/>
        <v>2278110000</v>
      </c>
      <c r="Z61">
        <f t="shared" si="16"/>
        <v>3644976000</v>
      </c>
      <c r="AA61">
        <f t="shared" si="16"/>
        <v>3796850000</v>
      </c>
      <c r="AB61">
        <f t="shared" si="16"/>
        <v>5695275000</v>
      </c>
      <c r="AC61">
        <f t="shared" si="16"/>
        <v>9112440000</v>
      </c>
      <c r="AD61">
        <f t="shared" si="16"/>
        <v>13668660000</v>
      </c>
      <c r="AE61">
        <f t="shared" si="10"/>
        <v>15946770000</v>
      </c>
      <c r="AF61">
        <f t="shared" si="10"/>
        <v>20882675000</v>
      </c>
      <c r="AG61">
        <f t="shared" si="10"/>
        <v>26577950000</v>
      </c>
      <c r="AK61">
        <v>55</v>
      </c>
      <c r="AL61" s="24">
        <f t="shared" si="6"/>
        <v>7.3588500000000003</v>
      </c>
      <c r="AM61">
        <f t="shared" si="15"/>
        <v>51.511949999999999</v>
      </c>
      <c r="AN61">
        <f t="shared" si="15"/>
        <v>73.58850000000001</v>
      </c>
      <c r="AO61">
        <f t="shared" si="15"/>
        <v>110.38275</v>
      </c>
      <c r="AP61">
        <f t="shared" si="15"/>
        <v>147.17700000000002</v>
      </c>
      <c r="AQ61">
        <f t="shared" si="15"/>
        <v>257.55975000000001</v>
      </c>
      <c r="AR61">
        <f t="shared" si="15"/>
        <v>367.9425</v>
      </c>
      <c r="AS61">
        <f t="shared" si="15"/>
        <v>588.70800000000008</v>
      </c>
      <c r="AT61">
        <f t="shared" si="15"/>
        <v>883.06200000000001</v>
      </c>
      <c r="AU61">
        <f t="shared" si="15"/>
        <v>1251.0045</v>
      </c>
      <c r="AV61">
        <f t="shared" si="15"/>
        <v>1766.124</v>
      </c>
      <c r="AW61">
        <f t="shared" si="15"/>
        <v>2428.4205000000002</v>
      </c>
      <c r="AX61">
        <f t="shared" si="15"/>
        <v>3385.0710000000004</v>
      </c>
      <c r="AY61">
        <f t="shared" si="15"/>
        <v>5887.08</v>
      </c>
      <c r="AZ61">
        <f t="shared" si="15"/>
        <v>11038.275</v>
      </c>
      <c r="BA61">
        <f t="shared" si="15"/>
        <v>18397.125</v>
      </c>
      <c r="BB61">
        <f t="shared" si="15"/>
        <v>29435.4</v>
      </c>
      <c r="BC61">
        <f t="shared" si="14"/>
        <v>73588.5</v>
      </c>
      <c r="BD61">
        <f t="shared" si="14"/>
        <v>110382.75</v>
      </c>
      <c r="BE61">
        <f t="shared" si="14"/>
        <v>176612.4</v>
      </c>
      <c r="BF61">
        <f t="shared" si="14"/>
        <v>220765.5</v>
      </c>
      <c r="BG61">
        <f t="shared" si="14"/>
        <v>735885</v>
      </c>
      <c r="BH61">
        <f t="shared" si="14"/>
        <v>2207655</v>
      </c>
      <c r="BI61">
        <f t="shared" si="14"/>
        <v>6255022.5</v>
      </c>
      <c r="BJ61">
        <f t="shared" si="14"/>
        <v>22076550</v>
      </c>
      <c r="BK61">
        <f t="shared" si="14"/>
        <v>73588500</v>
      </c>
      <c r="BL61" s="145">
        <v>56</v>
      </c>
    </row>
    <row r="62" spans="1:64" ht="17.25" thickBot="1" x14ac:dyDescent="0.25">
      <c r="A62" s="131">
        <v>58</v>
      </c>
      <c r="B62" s="132">
        <v>3796850</v>
      </c>
      <c r="D62" s="131">
        <v>58</v>
      </c>
      <c r="E62" s="132">
        <v>7.4995099999999999</v>
      </c>
      <c r="M62">
        <v>58</v>
      </c>
      <c r="N62">
        <f t="shared" si="3"/>
        <v>38947550</v>
      </c>
      <c r="O62">
        <f t="shared" si="16"/>
        <v>77895100</v>
      </c>
      <c r="P62">
        <f t="shared" si="16"/>
        <v>116842650</v>
      </c>
      <c r="Q62">
        <f t="shared" si="16"/>
        <v>155790200</v>
      </c>
      <c r="R62">
        <f t="shared" si="16"/>
        <v>233685300</v>
      </c>
      <c r="S62">
        <f t="shared" si="16"/>
        <v>272632850</v>
      </c>
      <c r="T62">
        <f t="shared" si="16"/>
        <v>389475500</v>
      </c>
      <c r="U62">
        <f t="shared" si="16"/>
        <v>584213250</v>
      </c>
      <c r="V62">
        <f t="shared" si="16"/>
        <v>934741200</v>
      </c>
      <c r="W62">
        <f t="shared" si="16"/>
        <v>1402111800</v>
      </c>
      <c r="X62">
        <f t="shared" si="16"/>
        <v>1947377500</v>
      </c>
      <c r="Y62">
        <f t="shared" si="16"/>
        <v>2336853000</v>
      </c>
      <c r="Z62">
        <f t="shared" si="16"/>
        <v>3738964800</v>
      </c>
      <c r="AA62">
        <f t="shared" si="16"/>
        <v>3894755000</v>
      </c>
      <c r="AB62">
        <f t="shared" si="16"/>
        <v>5842132500</v>
      </c>
      <c r="AC62">
        <f t="shared" si="16"/>
        <v>9347412000</v>
      </c>
      <c r="AD62">
        <f t="shared" si="16"/>
        <v>14021118000</v>
      </c>
      <c r="AE62">
        <f t="shared" si="10"/>
        <v>16357971000</v>
      </c>
      <c r="AF62">
        <f t="shared" si="10"/>
        <v>21421152500</v>
      </c>
      <c r="AG62">
        <f t="shared" si="10"/>
        <v>27263285000</v>
      </c>
      <c r="AK62">
        <v>56</v>
      </c>
      <c r="AL62" s="24">
        <f t="shared" si="6"/>
        <v>7.4064699999999997</v>
      </c>
      <c r="AM62">
        <f t="shared" si="15"/>
        <v>51.845289999999999</v>
      </c>
      <c r="AN62">
        <f t="shared" si="15"/>
        <v>74.064700000000002</v>
      </c>
      <c r="AO62">
        <f t="shared" si="15"/>
        <v>111.09705</v>
      </c>
      <c r="AP62">
        <f t="shared" si="15"/>
        <v>148.1294</v>
      </c>
      <c r="AQ62">
        <f t="shared" si="15"/>
        <v>259.22645</v>
      </c>
      <c r="AR62">
        <f t="shared" si="15"/>
        <v>370.32349999999997</v>
      </c>
      <c r="AS62">
        <f t="shared" si="15"/>
        <v>592.51760000000002</v>
      </c>
      <c r="AT62">
        <f t="shared" si="15"/>
        <v>888.77639999999997</v>
      </c>
      <c r="AU62">
        <f t="shared" si="15"/>
        <v>1259.0998999999999</v>
      </c>
      <c r="AV62">
        <f t="shared" si="15"/>
        <v>1777.5527999999999</v>
      </c>
      <c r="AW62">
        <f t="shared" si="15"/>
        <v>2444.1351</v>
      </c>
      <c r="AX62">
        <f t="shared" si="15"/>
        <v>3406.9762000000001</v>
      </c>
      <c r="AY62">
        <f t="shared" si="15"/>
        <v>5925.1759999999995</v>
      </c>
      <c r="AZ62">
        <f t="shared" si="15"/>
        <v>11109.705</v>
      </c>
      <c r="BA62">
        <f t="shared" si="15"/>
        <v>18516.174999999999</v>
      </c>
      <c r="BB62">
        <f t="shared" si="15"/>
        <v>29625.879999999997</v>
      </c>
      <c r="BC62">
        <f t="shared" si="14"/>
        <v>74064.7</v>
      </c>
      <c r="BD62">
        <f t="shared" si="14"/>
        <v>111097.04999999999</v>
      </c>
      <c r="BE62">
        <f t="shared" si="14"/>
        <v>177755.28</v>
      </c>
      <c r="BF62">
        <f t="shared" si="14"/>
        <v>222194.09999999998</v>
      </c>
      <c r="BG62">
        <f t="shared" si="14"/>
        <v>740647</v>
      </c>
      <c r="BH62">
        <f t="shared" si="14"/>
        <v>2221941</v>
      </c>
      <c r="BI62">
        <f t="shared" si="14"/>
        <v>6295499.5</v>
      </c>
      <c r="BJ62">
        <f t="shared" si="14"/>
        <v>22219410</v>
      </c>
      <c r="BK62">
        <f t="shared" si="14"/>
        <v>74064700</v>
      </c>
      <c r="BL62">
        <v>57</v>
      </c>
    </row>
    <row r="63" spans="1:64" ht="17.25" thickBot="1" x14ac:dyDescent="0.25">
      <c r="A63" s="131">
        <v>59</v>
      </c>
      <c r="B63" s="132">
        <v>3894755</v>
      </c>
      <c r="D63" s="131">
        <v>59</v>
      </c>
      <c r="E63" s="132">
        <v>7.5449700000000002</v>
      </c>
      <c r="M63">
        <v>59</v>
      </c>
      <c r="N63">
        <f t="shared" si="3"/>
        <v>39934830</v>
      </c>
      <c r="O63">
        <f t="shared" si="16"/>
        <v>79869660</v>
      </c>
      <c r="P63">
        <f t="shared" si="16"/>
        <v>119804490</v>
      </c>
      <c r="Q63">
        <f t="shared" si="16"/>
        <v>159739320</v>
      </c>
      <c r="R63">
        <f t="shared" si="16"/>
        <v>239608980</v>
      </c>
      <c r="S63">
        <f t="shared" si="16"/>
        <v>279543810</v>
      </c>
      <c r="T63">
        <f t="shared" si="16"/>
        <v>399348300</v>
      </c>
      <c r="U63">
        <f t="shared" si="16"/>
        <v>599022450</v>
      </c>
      <c r="V63">
        <f t="shared" si="16"/>
        <v>958435920</v>
      </c>
      <c r="W63">
        <f t="shared" si="16"/>
        <v>1437653880</v>
      </c>
      <c r="X63">
        <f t="shared" si="16"/>
        <v>1996741500</v>
      </c>
      <c r="Y63">
        <f t="shared" si="16"/>
        <v>2396089800</v>
      </c>
      <c r="Z63">
        <f t="shared" si="16"/>
        <v>3833743680</v>
      </c>
      <c r="AA63">
        <f t="shared" si="16"/>
        <v>3993483000</v>
      </c>
      <c r="AB63">
        <f t="shared" si="16"/>
        <v>5990224500</v>
      </c>
      <c r="AC63">
        <f t="shared" si="16"/>
        <v>9584359200</v>
      </c>
      <c r="AD63">
        <f t="shared" si="16"/>
        <v>14376538800</v>
      </c>
      <c r="AE63">
        <f t="shared" si="10"/>
        <v>16772628600</v>
      </c>
      <c r="AF63">
        <f t="shared" si="10"/>
        <v>21964156500</v>
      </c>
      <c r="AG63">
        <f t="shared" si="10"/>
        <v>27954381000</v>
      </c>
      <c r="AK63">
        <v>57</v>
      </c>
      <c r="AL63" s="24">
        <f t="shared" si="6"/>
        <v>7.4533500000000004</v>
      </c>
      <c r="AM63">
        <f t="shared" si="15"/>
        <v>52.173450000000003</v>
      </c>
      <c r="AN63">
        <f t="shared" si="15"/>
        <v>74.533500000000004</v>
      </c>
      <c r="AO63">
        <f t="shared" si="15"/>
        <v>111.80025000000001</v>
      </c>
      <c r="AP63">
        <f t="shared" si="15"/>
        <v>149.06700000000001</v>
      </c>
      <c r="AQ63">
        <f t="shared" si="15"/>
        <v>260.86725000000001</v>
      </c>
      <c r="AR63">
        <f t="shared" si="15"/>
        <v>372.66750000000002</v>
      </c>
      <c r="AS63">
        <f t="shared" si="15"/>
        <v>596.26800000000003</v>
      </c>
      <c r="AT63">
        <f t="shared" si="15"/>
        <v>894.40200000000004</v>
      </c>
      <c r="AU63">
        <f t="shared" si="15"/>
        <v>1267.0695000000001</v>
      </c>
      <c r="AV63">
        <f t="shared" si="15"/>
        <v>1788.8040000000001</v>
      </c>
      <c r="AW63">
        <f t="shared" si="15"/>
        <v>2459.6055000000001</v>
      </c>
      <c r="AX63">
        <f t="shared" si="15"/>
        <v>3428.5410000000002</v>
      </c>
      <c r="AY63">
        <f t="shared" si="15"/>
        <v>5962.68</v>
      </c>
      <c r="AZ63">
        <f t="shared" si="15"/>
        <v>11180.025000000001</v>
      </c>
      <c r="BA63">
        <f t="shared" si="15"/>
        <v>18633.375</v>
      </c>
      <c r="BB63">
        <f t="shared" si="15"/>
        <v>29813.4</v>
      </c>
      <c r="BC63">
        <f t="shared" si="14"/>
        <v>74533.5</v>
      </c>
      <c r="BD63">
        <f t="shared" si="14"/>
        <v>111800.25</v>
      </c>
      <c r="BE63">
        <f t="shared" si="14"/>
        <v>178880.40000000002</v>
      </c>
      <c r="BF63">
        <f t="shared" si="14"/>
        <v>223600.5</v>
      </c>
      <c r="BG63">
        <f t="shared" si="14"/>
        <v>745335</v>
      </c>
      <c r="BH63">
        <f t="shared" si="14"/>
        <v>2236005</v>
      </c>
      <c r="BI63">
        <f t="shared" si="14"/>
        <v>6335347.5</v>
      </c>
      <c r="BJ63">
        <f t="shared" si="14"/>
        <v>22360050</v>
      </c>
      <c r="BK63">
        <f t="shared" si="14"/>
        <v>74533500</v>
      </c>
      <c r="BL63" s="145">
        <v>58</v>
      </c>
    </row>
    <row r="64" spans="1:64" ht="17.25" thickBot="1" x14ac:dyDescent="0.25">
      <c r="A64" s="131">
        <v>60</v>
      </c>
      <c r="B64" s="132">
        <v>3993483</v>
      </c>
      <c r="D64" s="131">
        <v>60</v>
      </c>
      <c r="E64" s="132">
        <v>7.5897500000000004</v>
      </c>
      <c r="M64">
        <v>60</v>
      </c>
      <c r="N64">
        <f t="shared" si="3"/>
        <v>40930330</v>
      </c>
      <c r="O64">
        <f t="shared" si="16"/>
        <v>81860660</v>
      </c>
      <c r="P64">
        <f t="shared" si="16"/>
        <v>122790990</v>
      </c>
      <c r="Q64">
        <f t="shared" si="16"/>
        <v>163721320</v>
      </c>
      <c r="R64">
        <f t="shared" si="16"/>
        <v>245581980</v>
      </c>
      <c r="S64">
        <f t="shared" si="16"/>
        <v>286512310</v>
      </c>
      <c r="T64">
        <f t="shared" si="16"/>
        <v>409303300</v>
      </c>
      <c r="U64">
        <f t="shared" si="16"/>
        <v>613954950</v>
      </c>
      <c r="V64">
        <f t="shared" si="16"/>
        <v>982327920</v>
      </c>
      <c r="W64">
        <f t="shared" si="16"/>
        <v>1473491880</v>
      </c>
      <c r="X64">
        <f t="shared" si="16"/>
        <v>2046516500</v>
      </c>
      <c r="Y64">
        <f t="shared" si="16"/>
        <v>2455819800</v>
      </c>
      <c r="Z64">
        <f t="shared" si="16"/>
        <v>3929311680</v>
      </c>
      <c r="AA64">
        <f t="shared" si="16"/>
        <v>4093033000</v>
      </c>
      <c r="AB64">
        <f t="shared" si="16"/>
        <v>6139549500</v>
      </c>
      <c r="AC64">
        <f t="shared" si="16"/>
        <v>9823279200</v>
      </c>
      <c r="AD64">
        <f t="shared" si="16"/>
        <v>14734918800</v>
      </c>
      <c r="AE64">
        <f t="shared" si="10"/>
        <v>17190738600</v>
      </c>
      <c r="AF64">
        <f t="shared" si="10"/>
        <v>22511681500</v>
      </c>
      <c r="AG64">
        <f t="shared" si="10"/>
        <v>28651231000</v>
      </c>
      <c r="AK64">
        <v>58</v>
      </c>
      <c r="AL64" s="24">
        <f t="shared" si="6"/>
        <v>7.4995099999999999</v>
      </c>
      <c r="AM64">
        <f t="shared" si="15"/>
        <v>52.496569999999998</v>
      </c>
      <c r="AN64">
        <f t="shared" si="15"/>
        <v>74.995099999999994</v>
      </c>
      <c r="AO64">
        <f t="shared" si="15"/>
        <v>112.49265</v>
      </c>
      <c r="AP64">
        <f t="shared" si="15"/>
        <v>149.99019999999999</v>
      </c>
      <c r="AQ64">
        <f t="shared" si="15"/>
        <v>262.48284999999998</v>
      </c>
      <c r="AR64">
        <f t="shared" si="15"/>
        <v>374.97550000000001</v>
      </c>
      <c r="AS64">
        <f t="shared" si="15"/>
        <v>599.96079999999995</v>
      </c>
      <c r="AT64">
        <f t="shared" si="15"/>
        <v>899.94119999999998</v>
      </c>
      <c r="AU64">
        <f t="shared" si="15"/>
        <v>1274.9167</v>
      </c>
      <c r="AV64">
        <f t="shared" si="15"/>
        <v>1799.8824</v>
      </c>
      <c r="AW64">
        <f t="shared" si="15"/>
        <v>2474.8382999999999</v>
      </c>
      <c r="AX64">
        <f t="shared" si="15"/>
        <v>3449.7745999999997</v>
      </c>
      <c r="AY64">
        <f t="shared" si="15"/>
        <v>5999.6080000000002</v>
      </c>
      <c r="AZ64">
        <f t="shared" si="15"/>
        <v>11249.264999999999</v>
      </c>
      <c r="BA64">
        <f t="shared" si="15"/>
        <v>18748.775000000001</v>
      </c>
      <c r="BB64">
        <f t="shared" ref="BB64:BK79" si="17">BB$5*VLOOKUP($AK64,$D$2:$E$1404,2,FALSE)</f>
        <v>29998.04</v>
      </c>
      <c r="BC64">
        <f t="shared" si="17"/>
        <v>74995.100000000006</v>
      </c>
      <c r="BD64">
        <f t="shared" si="17"/>
        <v>112492.65</v>
      </c>
      <c r="BE64">
        <f t="shared" si="17"/>
        <v>179988.24</v>
      </c>
      <c r="BF64">
        <f t="shared" si="17"/>
        <v>224985.3</v>
      </c>
      <c r="BG64">
        <f t="shared" si="17"/>
        <v>749951</v>
      </c>
      <c r="BH64">
        <f t="shared" si="17"/>
        <v>2249853</v>
      </c>
      <c r="BI64">
        <f t="shared" si="17"/>
        <v>6374583.5</v>
      </c>
      <c r="BJ64">
        <f t="shared" si="17"/>
        <v>22498530</v>
      </c>
      <c r="BK64">
        <f t="shared" si="17"/>
        <v>74995100</v>
      </c>
      <c r="BL64">
        <v>59</v>
      </c>
    </row>
    <row r="65" spans="1:64" ht="17.25" thickBot="1" x14ac:dyDescent="0.25">
      <c r="A65" s="131">
        <v>61</v>
      </c>
      <c r="B65" s="132">
        <v>4093033</v>
      </c>
      <c r="D65" s="131">
        <v>61</v>
      </c>
      <c r="E65" s="132">
        <v>7.6338699999999999</v>
      </c>
      <c r="M65">
        <v>61</v>
      </c>
      <c r="N65">
        <f t="shared" si="3"/>
        <v>41933940</v>
      </c>
      <c r="O65">
        <f t="shared" si="16"/>
        <v>83867880</v>
      </c>
      <c r="P65">
        <f t="shared" si="16"/>
        <v>125801820</v>
      </c>
      <c r="Q65">
        <f t="shared" si="16"/>
        <v>167735760</v>
      </c>
      <c r="R65">
        <f t="shared" si="16"/>
        <v>251603640</v>
      </c>
      <c r="S65">
        <f t="shared" si="16"/>
        <v>293537580</v>
      </c>
      <c r="T65">
        <f t="shared" si="16"/>
        <v>419339400</v>
      </c>
      <c r="U65">
        <f t="shared" si="16"/>
        <v>629009100</v>
      </c>
      <c r="V65">
        <f t="shared" si="16"/>
        <v>1006414560</v>
      </c>
      <c r="W65">
        <f t="shared" si="16"/>
        <v>1509621840</v>
      </c>
      <c r="X65">
        <f t="shared" si="16"/>
        <v>2096697000</v>
      </c>
      <c r="Y65">
        <f t="shared" si="16"/>
        <v>2516036400</v>
      </c>
      <c r="Z65">
        <f t="shared" si="16"/>
        <v>4025658240</v>
      </c>
      <c r="AA65">
        <f t="shared" si="16"/>
        <v>4193394000</v>
      </c>
      <c r="AB65">
        <f t="shared" si="16"/>
        <v>6290091000</v>
      </c>
      <c r="AC65">
        <f t="shared" si="16"/>
        <v>10064145600</v>
      </c>
      <c r="AD65">
        <f t="shared" si="16"/>
        <v>15096218400</v>
      </c>
      <c r="AE65">
        <f t="shared" si="10"/>
        <v>17612254800</v>
      </c>
      <c r="AF65">
        <f t="shared" si="10"/>
        <v>23063667000</v>
      </c>
      <c r="AG65">
        <f t="shared" si="10"/>
        <v>29353758000</v>
      </c>
      <c r="AK65">
        <v>59</v>
      </c>
      <c r="AL65" s="24">
        <f t="shared" si="6"/>
        <v>7.5449700000000002</v>
      </c>
      <c r="AM65">
        <f t="shared" ref="AM65:BB80" si="18">AM$5*VLOOKUP($AK65,$D$2:$E$1404,2,FALSE)</f>
        <v>52.814790000000002</v>
      </c>
      <c r="AN65">
        <f t="shared" si="18"/>
        <v>75.449700000000007</v>
      </c>
      <c r="AO65">
        <f t="shared" si="18"/>
        <v>113.17455</v>
      </c>
      <c r="AP65">
        <f t="shared" si="18"/>
        <v>150.89940000000001</v>
      </c>
      <c r="AQ65">
        <f t="shared" si="18"/>
        <v>264.07395000000002</v>
      </c>
      <c r="AR65">
        <f t="shared" si="18"/>
        <v>377.24850000000004</v>
      </c>
      <c r="AS65">
        <f t="shared" si="18"/>
        <v>603.59760000000006</v>
      </c>
      <c r="AT65">
        <f t="shared" si="18"/>
        <v>905.39639999999997</v>
      </c>
      <c r="AU65">
        <f t="shared" si="18"/>
        <v>1282.6449</v>
      </c>
      <c r="AV65">
        <f t="shared" si="18"/>
        <v>1810.7927999999999</v>
      </c>
      <c r="AW65">
        <f t="shared" si="18"/>
        <v>2489.8400999999999</v>
      </c>
      <c r="AX65">
        <f t="shared" si="18"/>
        <v>3470.6862000000001</v>
      </c>
      <c r="AY65">
        <f t="shared" si="18"/>
        <v>6035.9760000000006</v>
      </c>
      <c r="AZ65">
        <f t="shared" si="18"/>
        <v>11317.455</v>
      </c>
      <c r="BA65">
        <f t="shared" si="18"/>
        <v>18862.424999999999</v>
      </c>
      <c r="BB65">
        <f t="shared" si="18"/>
        <v>30179.88</v>
      </c>
      <c r="BC65">
        <f t="shared" si="17"/>
        <v>75449.7</v>
      </c>
      <c r="BD65">
        <f t="shared" si="17"/>
        <v>113174.55</v>
      </c>
      <c r="BE65">
        <f t="shared" si="17"/>
        <v>181079.28</v>
      </c>
      <c r="BF65">
        <f t="shared" si="17"/>
        <v>226349.1</v>
      </c>
      <c r="BG65">
        <f t="shared" si="17"/>
        <v>754497</v>
      </c>
      <c r="BH65">
        <f t="shared" si="17"/>
        <v>2263491</v>
      </c>
      <c r="BI65">
        <f t="shared" si="17"/>
        <v>6413224.5</v>
      </c>
      <c r="BJ65">
        <f t="shared" si="17"/>
        <v>22634910</v>
      </c>
      <c r="BK65">
        <f t="shared" si="17"/>
        <v>75449700</v>
      </c>
      <c r="BL65" s="145">
        <v>60</v>
      </c>
    </row>
    <row r="66" spans="1:64" ht="17.25" thickBot="1" x14ac:dyDescent="0.25">
      <c r="A66" s="131">
        <v>62</v>
      </c>
      <c r="B66" s="132">
        <v>4193394</v>
      </c>
      <c r="D66" s="131">
        <v>62</v>
      </c>
      <c r="E66" s="132">
        <v>7.6773499999999997</v>
      </c>
      <c r="M66">
        <v>62</v>
      </c>
      <c r="N66">
        <f t="shared" si="3"/>
        <v>42945610</v>
      </c>
      <c r="O66">
        <f t="shared" si="16"/>
        <v>85891220</v>
      </c>
      <c r="P66">
        <f t="shared" si="16"/>
        <v>128836830</v>
      </c>
      <c r="Q66">
        <f t="shared" si="16"/>
        <v>171782440</v>
      </c>
      <c r="R66">
        <f t="shared" si="16"/>
        <v>257673660</v>
      </c>
      <c r="S66">
        <f t="shared" si="16"/>
        <v>300619270</v>
      </c>
      <c r="T66">
        <f t="shared" si="16"/>
        <v>429456100</v>
      </c>
      <c r="U66">
        <f t="shared" si="16"/>
        <v>644184150</v>
      </c>
      <c r="V66">
        <f t="shared" si="16"/>
        <v>1030694640</v>
      </c>
      <c r="W66">
        <f t="shared" si="16"/>
        <v>1546041960</v>
      </c>
      <c r="X66">
        <f t="shared" si="16"/>
        <v>2147280500</v>
      </c>
      <c r="Y66">
        <f t="shared" si="16"/>
        <v>2576736600</v>
      </c>
      <c r="Z66">
        <f t="shared" si="16"/>
        <v>4122778560</v>
      </c>
      <c r="AA66">
        <f t="shared" si="16"/>
        <v>4294561000</v>
      </c>
      <c r="AB66">
        <f t="shared" ref="O66:AD82" si="19">(VLOOKUP(AB$3,$G$4:$H$23,2,0)*VLOOKUP($M66+1,$A$4:$B$1404,2,0)
)</f>
        <v>6441841500</v>
      </c>
      <c r="AC66">
        <f t="shared" si="19"/>
        <v>10306946400</v>
      </c>
      <c r="AD66">
        <f t="shared" si="19"/>
        <v>15460419600</v>
      </c>
      <c r="AE66">
        <f t="shared" si="10"/>
        <v>18037156200</v>
      </c>
      <c r="AF66">
        <f t="shared" si="10"/>
        <v>23620085500</v>
      </c>
      <c r="AG66">
        <f t="shared" si="10"/>
        <v>30061927000</v>
      </c>
      <c r="AK66">
        <v>60</v>
      </c>
      <c r="AL66" s="24">
        <f t="shared" si="6"/>
        <v>7.5897500000000004</v>
      </c>
      <c r="AM66">
        <f t="shared" si="18"/>
        <v>53.128250000000001</v>
      </c>
      <c r="AN66">
        <f t="shared" si="18"/>
        <v>75.897500000000008</v>
      </c>
      <c r="AO66">
        <f t="shared" si="18"/>
        <v>113.84625000000001</v>
      </c>
      <c r="AP66">
        <f t="shared" si="18"/>
        <v>151.79500000000002</v>
      </c>
      <c r="AQ66">
        <f t="shared" si="18"/>
        <v>265.64125000000001</v>
      </c>
      <c r="AR66">
        <f t="shared" si="18"/>
        <v>379.48750000000001</v>
      </c>
      <c r="AS66">
        <f t="shared" si="18"/>
        <v>607.18000000000006</v>
      </c>
      <c r="AT66">
        <f t="shared" si="18"/>
        <v>910.7700000000001</v>
      </c>
      <c r="AU66">
        <f t="shared" si="18"/>
        <v>1290.2575000000002</v>
      </c>
      <c r="AV66">
        <f t="shared" si="18"/>
        <v>1821.5400000000002</v>
      </c>
      <c r="AW66">
        <f t="shared" si="18"/>
        <v>2504.6175000000003</v>
      </c>
      <c r="AX66">
        <f t="shared" si="18"/>
        <v>3491.2850000000003</v>
      </c>
      <c r="AY66">
        <f t="shared" si="18"/>
        <v>6071.8</v>
      </c>
      <c r="AZ66">
        <f t="shared" si="18"/>
        <v>11384.625</v>
      </c>
      <c r="BA66">
        <f t="shared" si="18"/>
        <v>18974.375</v>
      </c>
      <c r="BB66">
        <f t="shared" si="18"/>
        <v>30359</v>
      </c>
      <c r="BC66">
        <f t="shared" si="17"/>
        <v>75897.5</v>
      </c>
      <c r="BD66">
        <f t="shared" si="17"/>
        <v>113846.25</v>
      </c>
      <c r="BE66">
        <f t="shared" si="17"/>
        <v>182154</v>
      </c>
      <c r="BF66">
        <f t="shared" si="17"/>
        <v>227692.5</v>
      </c>
      <c r="BG66">
        <f t="shared" si="17"/>
        <v>758975</v>
      </c>
      <c r="BH66">
        <f t="shared" si="17"/>
        <v>2276925</v>
      </c>
      <c r="BI66">
        <f t="shared" si="17"/>
        <v>6451287.5</v>
      </c>
      <c r="BJ66">
        <f t="shared" si="17"/>
        <v>22769250</v>
      </c>
      <c r="BK66">
        <f t="shared" si="17"/>
        <v>75897500</v>
      </c>
      <c r="BL66">
        <v>61</v>
      </c>
    </row>
    <row r="67" spans="1:64" ht="17.25" thickBot="1" x14ac:dyDescent="0.25">
      <c r="A67" s="131">
        <v>63</v>
      </c>
      <c r="B67" s="132">
        <v>4294561</v>
      </c>
      <c r="D67" s="131">
        <v>63</v>
      </c>
      <c r="E67" s="132">
        <v>7.7202099999999998</v>
      </c>
      <c r="M67">
        <v>63</v>
      </c>
      <c r="N67">
        <f t="shared" si="3"/>
        <v>43965270</v>
      </c>
      <c r="O67">
        <f t="shared" si="19"/>
        <v>87930540</v>
      </c>
      <c r="P67">
        <f t="shared" si="19"/>
        <v>131895810</v>
      </c>
      <c r="Q67">
        <f t="shared" si="19"/>
        <v>175861080</v>
      </c>
      <c r="R67">
        <f t="shared" si="19"/>
        <v>263791620</v>
      </c>
      <c r="S67">
        <f t="shared" si="19"/>
        <v>307756890</v>
      </c>
      <c r="T67">
        <f t="shared" si="19"/>
        <v>439652700</v>
      </c>
      <c r="U67">
        <f t="shared" si="19"/>
        <v>659479050</v>
      </c>
      <c r="V67">
        <f t="shared" si="19"/>
        <v>1055166480</v>
      </c>
      <c r="W67">
        <f t="shared" si="19"/>
        <v>1582749720</v>
      </c>
      <c r="X67">
        <f t="shared" si="19"/>
        <v>2198263500</v>
      </c>
      <c r="Y67">
        <f t="shared" si="19"/>
        <v>2637916200</v>
      </c>
      <c r="Z67">
        <f t="shared" si="19"/>
        <v>4220665920</v>
      </c>
      <c r="AA67">
        <f t="shared" si="19"/>
        <v>4396527000</v>
      </c>
      <c r="AB67">
        <f t="shared" si="19"/>
        <v>6594790500</v>
      </c>
      <c r="AC67">
        <f t="shared" si="19"/>
        <v>10551664800</v>
      </c>
      <c r="AD67">
        <f t="shared" si="19"/>
        <v>15827497200</v>
      </c>
      <c r="AE67">
        <f t="shared" si="10"/>
        <v>18465413400</v>
      </c>
      <c r="AF67">
        <f t="shared" si="10"/>
        <v>24180898500</v>
      </c>
      <c r="AG67">
        <f t="shared" si="10"/>
        <v>30775689000</v>
      </c>
      <c r="AK67">
        <v>61</v>
      </c>
      <c r="AL67" s="24">
        <f t="shared" si="6"/>
        <v>7.6338699999999999</v>
      </c>
      <c r="AM67">
        <f t="shared" si="18"/>
        <v>53.437089999999998</v>
      </c>
      <c r="AN67">
        <f t="shared" si="18"/>
        <v>76.338700000000003</v>
      </c>
      <c r="AO67">
        <f t="shared" si="18"/>
        <v>114.50805</v>
      </c>
      <c r="AP67">
        <f t="shared" si="18"/>
        <v>152.67740000000001</v>
      </c>
      <c r="AQ67">
        <f t="shared" si="18"/>
        <v>267.18545</v>
      </c>
      <c r="AR67">
        <f t="shared" si="18"/>
        <v>381.69349999999997</v>
      </c>
      <c r="AS67">
        <f t="shared" si="18"/>
        <v>610.70960000000002</v>
      </c>
      <c r="AT67">
        <f t="shared" si="18"/>
        <v>916.06439999999998</v>
      </c>
      <c r="AU67">
        <f t="shared" si="18"/>
        <v>1297.7579000000001</v>
      </c>
      <c r="AV67">
        <f t="shared" si="18"/>
        <v>1832.1288</v>
      </c>
      <c r="AW67">
        <f t="shared" si="18"/>
        <v>2519.1770999999999</v>
      </c>
      <c r="AX67">
        <f t="shared" si="18"/>
        <v>3511.5801999999999</v>
      </c>
      <c r="AY67">
        <f t="shared" si="18"/>
        <v>6107.0959999999995</v>
      </c>
      <c r="AZ67">
        <f t="shared" si="18"/>
        <v>11450.805</v>
      </c>
      <c r="BA67">
        <f t="shared" si="18"/>
        <v>19084.674999999999</v>
      </c>
      <c r="BB67">
        <f t="shared" si="18"/>
        <v>30535.48</v>
      </c>
      <c r="BC67">
        <f t="shared" si="17"/>
        <v>76338.7</v>
      </c>
      <c r="BD67">
        <f t="shared" si="17"/>
        <v>114508.05</v>
      </c>
      <c r="BE67">
        <f t="shared" si="17"/>
        <v>183212.88</v>
      </c>
      <c r="BF67">
        <f t="shared" si="17"/>
        <v>229016.1</v>
      </c>
      <c r="BG67">
        <f t="shared" si="17"/>
        <v>763387</v>
      </c>
      <c r="BH67">
        <f t="shared" si="17"/>
        <v>2290161</v>
      </c>
      <c r="BI67">
        <f t="shared" si="17"/>
        <v>6488789.5</v>
      </c>
      <c r="BJ67">
        <f t="shared" si="17"/>
        <v>22901610</v>
      </c>
      <c r="BK67">
        <f t="shared" si="17"/>
        <v>76338700</v>
      </c>
      <c r="BL67" s="145">
        <v>62</v>
      </c>
    </row>
    <row r="68" spans="1:64" ht="17.25" thickBot="1" x14ac:dyDescent="0.25">
      <c r="A68" s="131">
        <v>64</v>
      </c>
      <c r="B68" s="132">
        <v>4396527</v>
      </c>
      <c r="D68" s="131">
        <v>64</v>
      </c>
      <c r="E68" s="132">
        <v>7.7624700000000004</v>
      </c>
      <c r="M68">
        <v>64</v>
      </c>
      <c r="N68">
        <f t="shared" si="3"/>
        <v>44992880</v>
      </c>
      <c r="O68">
        <f t="shared" si="19"/>
        <v>89985760</v>
      </c>
      <c r="P68">
        <f t="shared" si="19"/>
        <v>134978640</v>
      </c>
      <c r="Q68">
        <f t="shared" si="19"/>
        <v>179971520</v>
      </c>
      <c r="R68">
        <f t="shared" si="19"/>
        <v>269957280</v>
      </c>
      <c r="S68">
        <f t="shared" si="19"/>
        <v>314950160</v>
      </c>
      <c r="T68">
        <f t="shared" si="19"/>
        <v>449928800</v>
      </c>
      <c r="U68">
        <f t="shared" si="19"/>
        <v>674893200</v>
      </c>
      <c r="V68">
        <f t="shared" si="19"/>
        <v>1079829120</v>
      </c>
      <c r="W68">
        <f t="shared" si="19"/>
        <v>1619743680</v>
      </c>
      <c r="X68">
        <f t="shared" si="19"/>
        <v>2249644000</v>
      </c>
      <c r="Y68">
        <f t="shared" si="19"/>
        <v>2699572800</v>
      </c>
      <c r="Z68">
        <f t="shared" si="19"/>
        <v>4319316480</v>
      </c>
      <c r="AA68">
        <f t="shared" si="19"/>
        <v>4499288000</v>
      </c>
      <c r="AB68">
        <f t="shared" si="19"/>
        <v>6748932000</v>
      </c>
      <c r="AC68">
        <f t="shared" si="19"/>
        <v>10798291200</v>
      </c>
      <c r="AD68">
        <f t="shared" si="19"/>
        <v>16197436800</v>
      </c>
      <c r="AE68">
        <f t="shared" si="10"/>
        <v>18897009600</v>
      </c>
      <c r="AF68">
        <f t="shared" si="10"/>
        <v>24746084000</v>
      </c>
      <c r="AG68">
        <f t="shared" si="10"/>
        <v>31495016000</v>
      </c>
      <c r="AK68">
        <v>62</v>
      </c>
      <c r="AL68" s="24">
        <f t="shared" si="6"/>
        <v>7.6773499999999997</v>
      </c>
      <c r="AM68">
        <f t="shared" si="18"/>
        <v>53.74145</v>
      </c>
      <c r="AN68">
        <f t="shared" si="18"/>
        <v>76.773499999999999</v>
      </c>
      <c r="AO68">
        <f t="shared" si="18"/>
        <v>115.16024999999999</v>
      </c>
      <c r="AP68">
        <f t="shared" si="18"/>
        <v>153.547</v>
      </c>
      <c r="AQ68">
        <f t="shared" si="18"/>
        <v>268.70724999999999</v>
      </c>
      <c r="AR68">
        <f t="shared" si="18"/>
        <v>383.86750000000001</v>
      </c>
      <c r="AS68">
        <f t="shared" si="18"/>
        <v>614.18799999999999</v>
      </c>
      <c r="AT68">
        <f t="shared" si="18"/>
        <v>921.28199999999993</v>
      </c>
      <c r="AU68">
        <f t="shared" si="18"/>
        <v>1305.1495</v>
      </c>
      <c r="AV68">
        <f t="shared" si="18"/>
        <v>1842.5639999999999</v>
      </c>
      <c r="AW68">
        <f t="shared" si="18"/>
        <v>2533.5254999999997</v>
      </c>
      <c r="AX68">
        <f t="shared" si="18"/>
        <v>3531.5809999999997</v>
      </c>
      <c r="AY68">
        <f t="shared" si="18"/>
        <v>6141.88</v>
      </c>
      <c r="AZ68">
        <f t="shared" si="18"/>
        <v>11516.025</v>
      </c>
      <c r="BA68">
        <f t="shared" si="18"/>
        <v>19193.375</v>
      </c>
      <c r="BB68">
        <f t="shared" si="18"/>
        <v>30709.399999999998</v>
      </c>
      <c r="BC68">
        <f t="shared" si="17"/>
        <v>76773.5</v>
      </c>
      <c r="BD68">
        <f t="shared" si="17"/>
        <v>115160.25</v>
      </c>
      <c r="BE68">
        <f t="shared" si="17"/>
        <v>184256.4</v>
      </c>
      <c r="BF68">
        <f t="shared" si="17"/>
        <v>230320.5</v>
      </c>
      <c r="BG68">
        <f t="shared" si="17"/>
        <v>767735</v>
      </c>
      <c r="BH68">
        <f t="shared" si="17"/>
        <v>2303205</v>
      </c>
      <c r="BI68">
        <f t="shared" si="17"/>
        <v>6525747.5</v>
      </c>
      <c r="BJ68">
        <f t="shared" si="17"/>
        <v>23032050</v>
      </c>
      <c r="BK68">
        <f t="shared" si="17"/>
        <v>76773500</v>
      </c>
      <c r="BL68">
        <v>63</v>
      </c>
    </row>
    <row r="69" spans="1:64" ht="17.25" thickBot="1" x14ac:dyDescent="0.25">
      <c r="A69" s="131">
        <v>65</v>
      </c>
      <c r="B69" s="132">
        <v>4499288</v>
      </c>
      <c r="D69" s="131">
        <v>65</v>
      </c>
      <c r="E69" s="132">
        <v>7.8041400000000003</v>
      </c>
      <c r="M69">
        <v>65</v>
      </c>
      <c r="N69">
        <f t="shared" ref="N69:N132" si="20">(VLOOKUP(N$3,$G$4:$H$23,2,0)*VLOOKUP($M69+1,$A$4:$B$1404,2,0)
)</f>
        <v>46028380</v>
      </c>
      <c r="O69">
        <f t="shared" si="19"/>
        <v>92056760</v>
      </c>
      <c r="P69">
        <f t="shared" si="19"/>
        <v>138085140</v>
      </c>
      <c r="Q69">
        <f t="shared" si="19"/>
        <v>184113520</v>
      </c>
      <c r="R69">
        <f t="shared" si="19"/>
        <v>276170280</v>
      </c>
      <c r="S69">
        <f t="shared" si="19"/>
        <v>322198660</v>
      </c>
      <c r="T69">
        <f t="shared" si="19"/>
        <v>460283800</v>
      </c>
      <c r="U69">
        <f t="shared" si="19"/>
        <v>690425700</v>
      </c>
      <c r="V69">
        <f t="shared" si="19"/>
        <v>1104681120</v>
      </c>
      <c r="W69">
        <f t="shared" si="19"/>
        <v>1657021680</v>
      </c>
      <c r="X69">
        <f t="shared" si="19"/>
        <v>2301419000</v>
      </c>
      <c r="Y69">
        <f t="shared" si="19"/>
        <v>2761702800</v>
      </c>
      <c r="Z69">
        <f t="shared" si="19"/>
        <v>4418724480</v>
      </c>
      <c r="AA69">
        <f t="shared" si="19"/>
        <v>4602838000</v>
      </c>
      <c r="AB69">
        <f t="shared" si="19"/>
        <v>6904257000</v>
      </c>
      <c r="AC69">
        <f t="shared" si="19"/>
        <v>11046811200</v>
      </c>
      <c r="AD69">
        <f t="shared" si="19"/>
        <v>16570216800</v>
      </c>
      <c r="AE69">
        <f t="shared" si="10"/>
        <v>19331919600</v>
      </c>
      <c r="AF69">
        <f t="shared" si="10"/>
        <v>25315609000</v>
      </c>
      <c r="AG69">
        <f t="shared" si="10"/>
        <v>32219866000</v>
      </c>
      <c r="AK69">
        <v>63</v>
      </c>
      <c r="AL69" s="24">
        <f t="shared" si="6"/>
        <v>7.7202099999999998</v>
      </c>
      <c r="AM69">
        <f t="shared" si="18"/>
        <v>54.041469999999997</v>
      </c>
      <c r="AN69">
        <f t="shared" si="18"/>
        <v>77.202100000000002</v>
      </c>
      <c r="AO69">
        <f t="shared" si="18"/>
        <v>115.80315</v>
      </c>
      <c r="AP69">
        <f t="shared" si="18"/>
        <v>154.4042</v>
      </c>
      <c r="AQ69">
        <f t="shared" si="18"/>
        <v>270.20735000000002</v>
      </c>
      <c r="AR69">
        <f t="shared" si="18"/>
        <v>386.01049999999998</v>
      </c>
      <c r="AS69">
        <f t="shared" si="18"/>
        <v>617.61680000000001</v>
      </c>
      <c r="AT69">
        <f t="shared" si="18"/>
        <v>926.42520000000002</v>
      </c>
      <c r="AU69">
        <f t="shared" si="18"/>
        <v>1312.4357</v>
      </c>
      <c r="AV69">
        <f t="shared" si="18"/>
        <v>1852.8504</v>
      </c>
      <c r="AW69">
        <f t="shared" si="18"/>
        <v>2547.6693</v>
      </c>
      <c r="AX69">
        <f t="shared" si="18"/>
        <v>3551.2966000000001</v>
      </c>
      <c r="AY69">
        <f t="shared" si="18"/>
        <v>6176.1679999999997</v>
      </c>
      <c r="AZ69">
        <f t="shared" si="18"/>
        <v>11580.315000000001</v>
      </c>
      <c r="BA69">
        <f t="shared" si="18"/>
        <v>19300.524999999998</v>
      </c>
      <c r="BB69">
        <f t="shared" si="18"/>
        <v>30880.84</v>
      </c>
      <c r="BC69">
        <f t="shared" si="17"/>
        <v>77202.099999999991</v>
      </c>
      <c r="BD69">
        <f t="shared" si="17"/>
        <v>115803.15</v>
      </c>
      <c r="BE69">
        <f t="shared" si="17"/>
        <v>185285.04</v>
      </c>
      <c r="BF69">
        <f t="shared" si="17"/>
        <v>231606.3</v>
      </c>
      <c r="BG69">
        <f t="shared" si="17"/>
        <v>772021</v>
      </c>
      <c r="BH69">
        <f t="shared" si="17"/>
        <v>2316063</v>
      </c>
      <c r="BI69">
        <f t="shared" si="17"/>
        <v>6562178.5</v>
      </c>
      <c r="BJ69">
        <f t="shared" si="17"/>
        <v>23160630</v>
      </c>
      <c r="BK69">
        <f t="shared" si="17"/>
        <v>77202100</v>
      </c>
      <c r="BL69" s="145">
        <v>64</v>
      </c>
    </row>
    <row r="70" spans="1:64" ht="17.25" thickBot="1" x14ac:dyDescent="0.25">
      <c r="A70" s="131">
        <v>66</v>
      </c>
      <c r="B70" s="132">
        <v>4602838</v>
      </c>
      <c r="D70" s="131">
        <v>66</v>
      </c>
      <c r="E70" s="132">
        <v>7.8452400000000004</v>
      </c>
      <c r="M70">
        <v>66</v>
      </c>
      <c r="N70">
        <f t="shared" si="20"/>
        <v>47071660</v>
      </c>
      <c r="O70">
        <f t="shared" si="19"/>
        <v>94143320</v>
      </c>
      <c r="P70">
        <f t="shared" si="19"/>
        <v>141214980</v>
      </c>
      <c r="Q70">
        <f t="shared" si="19"/>
        <v>188286640</v>
      </c>
      <c r="R70">
        <f t="shared" si="19"/>
        <v>282429960</v>
      </c>
      <c r="S70">
        <f t="shared" si="19"/>
        <v>329501620</v>
      </c>
      <c r="T70">
        <f t="shared" si="19"/>
        <v>470716600</v>
      </c>
      <c r="U70">
        <f t="shared" si="19"/>
        <v>706074900</v>
      </c>
      <c r="V70">
        <f t="shared" si="19"/>
        <v>1129719840</v>
      </c>
      <c r="W70">
        <f t="shared" si="19"/>
        <v>1694579760</v>
      </c>
      <c r="X70">
        <f t="shared" si="19"/>
        <v>2353583000</v>
      </c>
      <c r="Y70">
        <f t="shared" si="19"/>
        <v>2824299600</v>
      </c>
      <c r="Z70">
        <f t="shared" si="19"/>
        <v>4518879360</v>
      </c>
      <c r="AA70">
        <f t="shared" si="19"/>
        <v>4707166000</v>
      </c>
      <c r="AB70">
        <f t="shared" si="19"/>
        <v>7060749000</v>
      </c>
      <c r="AC70">
        <f t="shared" si="19"/>
        <v>11297198400</v>
      </c>
      <c r="AD70">
        <f t="shared" si="19"/>
        <v>16945797600</v>
      </c>
      <c r="AE70">
        <f t="shared" si="10"/>
        <v>19770097200</v>
      </c>
      <c r="AF70">
        <f t="shared" si="10"/>
        <v>25889413000</v>
      </c>
      <c r="AG70">
        <f t="shared" si="10"/>
        <v>32950162000</v>
      </c>
      <c r="AK70">
        <v>64</v>
      </c>
      <c r="AL70" s="24">
        <f t="shared" si="6"/>
        <v>7.7624700000000004</v>
      </c>
      <c r="AM70">
        <f t="shared" si="18"/>
        <v>54.337290000000003</v>
      </c>
      <c r="AN70">
        <f t="shared" si="18"/>
        <v>77.624700000000004</v>
      </c>
      <c r="AO70">
        <f t="shared" si="18"/>
        <v>116.43705</v>
      </c>
      <c r="AP70">
        <f t="shared" si="18"/>
        <v>155.24940000000001</v>
      </c>
      <c r="AQ70">
        <f t="shared" si="18"/>
        <v>271.68645000000004</v>
      </c>
      <c r="AR70">
        <f t="shared" si="18"/>
        <v>388.12350000000004</v>
      </c>
      <c r="AS70">
        <f t="shared" si="18"/>
        <v>620.99760000000003</v>
      </c>
      <c r="AT70">
        <f t="shared" si="18"/>
        <v>931.49639999999999</v>
      </c>
      <c r="AU70">
        <f t="shared" si="18"/>
        <v>1319.6199000000001</v>
      </c>
      <c r="AV70">
        <f t="shared" si="18"/>
        <v>1862.9928</v>
      </c>
      <c r="AW70">
        <f t="shared" si="18"/>
        <v>2561.6151</v>
      </c>
      <c r="AX70">
        <f t="shared" si="18"/>
        <v>3570.7362000000003</v>
      </c>
      <c r="AY70">
        <f t="shared" si="18"/>
        <v>6209.9760000000006</v>
      </c>
      <c r="AZ70">
        <f t="shared" si="18"/>
        <v>11643.705</v>
      </c>
      <c r="BA70">
        <f t="shared" si="18"/>
        <v>19406.174999999999</v>
      </c>
      <c r="BB70">
        <f t="shared" si="18"/>
        <v>31049.88</v>
      </c>
      <c r="BC70">
        <f t="shared" si="17"/>
        <v>77624.7</v>
      </c>
      <c r="BD70">
        <f t="shared" si="17"/>
        <v>116437.05</v>
      </c>
      <c r="BE70">
        <f t="shared" si="17"/>
        <v>186299.28</v>
      </c>
      <c r="BF70">
        <f t="shared" si="17"/>
        <v>232874.1</v>
      </c>
      <c r="BG70">
        <f t="shared" si="17"/>
        <v>776247</v>
      </c>
      <c r="BH70">
        <f t="shared" si="17"/>
        <v>2328741</v>
      </c>
      <c r="BI70">
        <f t="shared" si="17"/>
        <v>6598099.5</v>
      </c>
      <c r="BJ70">
        <f t="shared" si="17"/>
        <v>23287410</v>
      </c>
      <c r="BK70">
        <f t="shared" si="17"/>
        <v>77624700</v>
      </c>
      <c r="BL70">
        <v>65</v>
      </c>
    </row>
    <row r="71" spans="1:64" ht="17.25" thickBot="1" x14ac:dyDescent="0.25">
      <c r="A71" s="131">
        <v>67</v>
      </c>
      <c r="B71" s="132">
        <v>4707166</v>
      </c>
      <c r="D71" s="131">
        <v>67</v>
      </c>
      <c r="E71" s="132">
        <v>7.8857900000000001</v>
      </c>
      <c r="M71">
        <v>67</v>
      </c>
      <c r="N71">
        <f t="shared" si="20"/>
        <v>48122720</v>
      </c>
      <c r="O71">
        <f t="shared" si="19"/>
        <v>96245440</v>
      </c>
      <c r="P71">
        <f t="shared" si="19"/>
        <v>144368160</v>
      </c>
      <c r="Q71">
        <f t="shared" si="19"/>
        <v>192490880</v>
      </c>
      <c r="R71">
        <f t="shared" si="19"/>
        <v>288736320</v>
      </c>
      <c r="S71">
        <f t="shared" si="19"/>
        <v>336859040</v>
      </c>
      <c r="T71">
        <f t="shared" si="19"/>
        <v>481227200</v>
      </c>
      <c r="U71">
        <f t="shared" si="19"/>
        <v>721840800</v>
      </c>
      <c r="V71">
        <f t="shared" si="19"/>
        <v>1154945280</v>
      </c>
      <c r="W71">
        <f t="shared" si="19"/>
        <v>1732417920</v>
      </c>
      <c r="X71">
        <f t="shared" si="19"/>
        <v>2406136000</v>
      </c>
      <c r="Y71">
        <f t="shared" si="19"/>
        <v>2887363200</v>
      </c>
      <c r="Z71">
        <f t="shared" si="19"/>
        <v>4619781120</v>
      </c>
      <c r="AA71">
        <f t="shared" si="19"/>
        <v>4812272000</v>
      </c>
      <c r="AB71">
        <f t="shared" si="19"/>
        <v>7218408000</v>
      </c>
      <c r="AC71">
        <f t="shared" si="19"/>
        <v>11549452800</v>
      </c>
      <c r="AD71">
        <f t="shared" si="19"/>
        <v>17324179200</v>
      </c>
      <c r="AE71">
        <f t="shared" si="10"/>
        <v>20211542400</v>
      </c>
      <c r="AF71">
        <f t="shared" si="10"/>
        <v>26467496000</v>
      </c>
      <c r="AG71">
        <f t="shared" si="10"/>
        <v>33685904000</v>
      </c>
      <c r="AK71">
        <v>65</v>
      </c>
      <c r="AL71" s="24">
        <f t="shared" ref="AL71:AL134" si="21">VLOOKUP(AK71,D$2:E$1404,2,FALSE)</f>
        <v>7.8041400000000003</v>
      </c>
      <c r="AM71">
        <f t="shared" si="18"/>
        <v>54.628979999999999</v>
      </c>
      <c r="AN71">
        <f t="shared" si="18"/>
        <v>78.04140000000001</v>
      </c>
      <c r="AO71">
        <f t="shared" si="18"/>
        <v>117.0621</v>
      </c>
      <c r="AP71">
        <f t="shared" si="18"/>
        <v>156.08280000000002</v>
      </c>
      <c r="AQ71">
        <f t="shared" si="18"/>
        <v>273.14490000000001</v>
      </c>
      <c r="AR71">
        <f t="shared" si="18"/>
        <v>390.20699999999999</v>
      </c>
      <c r="AS71">
        <f t="shared" si="18"/>
        <v>624.33120000000008</v>
      </c>
      <c r="AT71">
        <f t="shared" si="18"/>
        <v>936.49680000000001</v>
      </c>
      <c r="AU71">
        <f t="shared" si="18"/>
        <v>1326.7038</v>
      </c>
      <c r="AV71">
        <f t="shared" si="18"/>
        <v>1872.9936</v>
      </c>
      <c r="AW71">
        <f t="shared" si="18"/>
        <v>2575.3661999999999</v>
      </c>
      <c r="AX71">
        <f t="shared" si="18"/>
        <v>3589.9044000000004</v>
      </c>
      <c r="AY71">
        <f t="shared" si="18"/>
        <v>6243.3119999999999</v>
      </c>
      <c r="AZ71">
        <f t="shared" si="18"/>
        <v>11706.210000000001</v>
      </c>
      <c r="BA71">
        <f t="shared" si="18"/>
        <v>19510.350000000002</v>
      </c>
      <c r="BB71">
        <f t="shared" si="18"/>
        <v>31216.560000000001</v>
      </c>
      <c r="BC71">
        <f t="shared" si="17"/>
        <v>78041.400000000009</v>
      </c>
      <c r="BD71">
        <f t="shared" si="17"/>
        <v>117062.1</v>
      </c>
      <c r="BE71">
        <f t="shared" si="17"/>
        <v>187299.36000000002</v>
      </c>
      <c r="BF71">
        <f t="shared" si="17"/>
        <v>234124.2</v>
      </c>
      <c r="BG71">
        <f t="shared" si="17"/>
        <v>780414</v>
      </c>
      <c r="BH71">
        <f t="shared" si="17"/>
        <v>2341242</v>
      </c>
      <c r="BI71">
        <f t="shared" si="17"/>
        <v>6633519</v>
      </c>
      <c r="BJ71">
        <f t="shared" si="17"/>
        <v>23412420</v>
      </c>
      <c r="BK71">
        <f t="shared" si="17"/>
        <v>78041400</v>
      </c>
      <c r="BL71" s="145">
        <v>66</v>
      </c>
    </row>
    <row r="72" spans="1:64" ht="17.25" thickBot="1" x14ac:dyDescent="0.25">
      <c r="A72" s="131">
        <v>68</v>
      </c>
      <c r="B72" s="132">
        <v>4812272</v>
      </c>
      <c r="D72" s="131">
        <v>68</v>
      </c>
      <c r="E72" s="132">
        <v>7.9257900000000001</v>
      </c>
      <c r="M72">
        <v>68</v>
      </c>
      <c r="N72">
        <f t="shared" si="20"/>
        <v>49181500</v>
      </c>
      <c r="O72">
        <f t="shared" si="19"/>
        <v>98363000</v>
      </c>
      <c r="P72">
        <f t="shared" si="19"/>
        <v>147544500</v>
      </c>
      <c r="Q72">
        <f t="shared" si="19"/>
        <v>196726000</v>
      </c>
      <c r="R72">
        <f t="shared" si="19"/>
        <v>295089000</v>
      </c>
      <c r="S72">
        <f t="shared" si="19"/>
        <v>344270500</v>
      </c>
      <c r="T72">
        <f t="shared" si="19"/>
        <v>491815000</v>
      </c>
      <c r="U72">
        <f t="shared" si="19"/>
        <v>737722500</v>
      </c>
      <c r="V72">
        <f t="shared" si="19"/>
        <v>1180356000</v>
      </c>
      <c r="W72">
        <f t="shared" si="19"/>
        <v>1770534000</v>
      </c>
      <c r="X72">
        <f t="shared" si="19"/>
        <v>2459075000</v>
      </c>
      <c r="Y72">
        <f t="shared" si="19"/>
        <v>2950890000</v>
      </c>
      <c r="Z72">
        <f t="shared" si="19"/>
        <v>4721424000</v>
      </c>
      <c r="AA72">
        <f t="shared" si="19"/>
        <v>4918150000</v>
      </c>
      <c r="AB72">
        <f t="shared" si="19"/>
        <v>7377225000</v>
      </c>
      <c r="AC72">
        <f t="shared" si="19"/>
        <v>11803560000</v>
      </c>
      <c r="AD72">
        <f t="shared" si="19"/>
        <v>17705340000</v>
      </c>
      <c r="AE72">
        <f t="shared" si="10"/>
        <v>20656230000</v>
      </c>
      <c r="AF72">
        <f t="shared" si="10"/>
        <v>27049825000</v>
      </c>
      <c r="AG72">
        <f t="shared" si="10"/>
        <v>34427050000</v>
      </c>
      <c r="AK72">
        <v>66</v>
      </c>
      <c r="AL72" s="24">
        <f t="shared" si="21"/>
        <v>7.8452400000000004</v>
      </c>
      <c r="AM72">
        <f t="shared" si="18"/>
        <v>54.916679999999999</v>
      </c>
      <c r="AN72">
        <f t="shared" si="18"/>
        <v>78.452400000000011</v>
      </c>
      <c r="AO72">
        <f t="shared" si="18"/>
        <v>117.6786</v>
      </c>
      <c r="AP72">
        <f t="shared" si="18"/>
        <v>156.90480000000002</v>
      </c>
      <c r="AQ72">
        <f t="shared" si="18"/>
        <v>274.58340000000004</v>
      </c>
      <c r="AR72">
        <f t="shared" si="18"/>
        <v>392.262</v>
      </c>
      <c r="AS72">
        <f t="shared" si="18"/>
        <v>627.61920000000009</v>
      </c>
      <c r="AT72">
        <f t="shared" si="18"/>
        <v>941.42880000000002</v>
      </c>
      <c r="AU72">
        <f t="shared" si="18"/>
        <v>1333.6908000000001</v>
      </c>
      <c r="AV72">
        <f t="shared" si="18"/>
        <v>1882.8576</v>
      </c>
      <c r="AW72">
        <f t="shared" si="18"/>
        <v>2588.9292</v>
      </c>
      <c r="AX72">
        <f t="shared" si="18"/>
        <v>3608.8104000000003</v>
      </c>
      <c r="AY72">
        <f t="shared" si="18"/>
        <v>6276.192</v>
      </c>
      <c r="AZ72">
        <f t="shared" si="18"/>
        <v>11767.86</v>
      </c>
      <c r="BA72">
        <f t="shared" si="18"/>
        <v>19613.100000000002</v>
      </c>
      <c r="BB72">
        <f t="shared" si="18"/>
        <v>31380.960000000003</v>
      </c>
      <c r="BC72">
        <f t="shared" si="17"/>
        <v>78452.400000000009</v>
      </c>
      <c r="BD72">
        <f t="shared" si="17"/>
        <v>117678.6</v>
      </c>
      <c r="BE72">
        <f t="shared" si="17"/>
        <v>188285.76</v>
      </c>
      <c r="BF72">
        <f t="shared" si="17"/>
        <v>235357.2</v>
      </c>
      <c r="BG72">
        <f t="shared" si="17"/>
        <v>784524</v>
      </c>
      <c r="BH72">
        <f t="shared" si="17"/>
        <v>2353572</v>
      </c>
      <c r="BI72">
        <f t="shared" si="17"/>
        <v>6668454</v>
      </c>
      <c r="BJ72">
        <f t="shared" si="17"/>
        <v>23535720</v>
      </c>
      <c r="BK72">
        <f t="shared" si="17"/>
        <v>78452400</v>
      </c>
      <c r="BL72">
        <v>67</v>
      </c>
    </row>
    <row r="73" spans="1:64" ht="17.25" thickBot="1" x14ac:dyDescent="0.25">
      <c r="A73" s="131">
        <v>69</v>
      </c>
      <c r="B73" s="132">
        <v>4918150</v>
      </c>
      <c r="D73" s="131">
        <v>69</v>
      </c>
      <c r="E73" s="132">
        <v>7.9652700000000003</v>
      </c>
      <c r="M73">
        <v>69</v>
      </c>
      <c r="N73">
        <f t="shared" si="20"/>
        <v>50247880</v>
      </c>
      <c r="O73">
        <f t="shared" si="19"/>
        <v>100495760</v>
      </c>
      <c r="P73">
        <f t="shared" si="19"/>
        <v>150743640</v>
      </c>
      <c r="Q73">
        <f t="shared" si="19"/>
        <v>200991520</v>
      </c>
      <c r="R73">
        <f t="shared" si="19"/>
        <v>301487280</v>
      </c>
      <c r="S73">
        <f t="shared" si="19"/>
        <v>351735160</v>
      </c>
      <c r="T73">
        <f t="shared" si="19"/>
        <v>502478800</v>
      </c>
      <c r="U73">
        <f t="shared" si="19"/>
        <v>753718200</v>
      </c>
      <c r="V73">
        <f t="shared" si="19"/>
        <v>1205949120</v>
      </c>
      <c r="W73">
        <f t="shared" si="19"/>
        <v>1808923680</v>
      </c>
      <c r="X73">
        <f t="shared" si="19"/>
        <v>2512394000</v>
      </c>
      <c r="Y73">
        <f t="shared" si="19"/>
        <v>3014872800</v>
      </c>
      <c r="Z73">
        <f t="shared" si="19"/>
        <v>4823796480</v>
      </c>
      <c r="AA73">
        <f t="shared" si="19"/>
        <v>5024788000</v>
      </c>
      <c r="AB73">
        <f t="shared" si="19"/>
        <v>7537182000</v>
      </c>
      <c r="AC73">
        <f t="shared" si="19"/>
        <v>12059491200</v>
      </c>
      <c r="AD73">
        <f t="shared" si="19"/>
        <v>18089236800</v>
      </c>
      <c r="AE73">
        <f t="shared" si="10"/>
        <v>21104109600</v>
      </c>
      <c r="AF73">
        <f t="shared" si="10"/>
        <v>27636334000</v>
      </c>
      <c r="AG73">
        <f t="shared" si="10"/>
        <v>35173516000</v>
      </c>
      <c r="AK73">
        <v>67</v>
      </c>
      <c r="AL73" s="24">
        <f t="shared" si="21"/>
        <v>7.8857900000000001</v>
      </c>
      <c r="AM73">
        <f t="shared" si="18"/>
        <v>55.200530000000001</v>
      </c>
      <c r="AN73">
        <f t="shared" si="18"/>
        <v>78.857900000000001</v>
      </c>
      <c r="AO73">
        <f t="shared" si="18"/>
        <v>118.28685</v>
      </c>
      <c r="AP73">
        <f t="shared" si="18"/>
        <v>157.7158</v>
      </c>
      <c r="AQ73">
        <f t="shared" si="18"/>
        <v>276.00265000000002</v>
      </c>
      <c r="AR73">
        <f t="shared" si="18"/>
        <v>394.28949999999998</v>
      </c>
      <c r="AS73">
        <f t="shared" si="18"/>
        <v>630.86320000000001</v>
      </c>
      <c r="AT73">
        <f t="shared" si="18"/>
        <v>946.29480000000001</v>
      </c>
      <c r="AU73">
        <f t="shared" si="18"/>
        <v>1340.5843</v>
      </c>
      <c r="AV73">
        <f t="shared" si="18"/>
        <v>1892.5896</v>
      </c>
      <c r="AW73">
        <f t="shared" si="18"/>
        <v>2602.3107</v>
      </c>
      <c r="AX73">
        <f t="shared" si="18"/>
        <v>3627.4634000000001</v>
      </c>
      <c r="AY73">
        <f t="shared" si="18"/>
        <v>6308.6319999999996</v>
      </c>
      <c r="AZ73">
        <f t="shared" si="18"/>
        <v>11828.684999999999</v>
      </c>
      <c r="BA73">
        <f t="shared" si="18"/>
        <v>19714.474999999999</v>
      </c>
      <c r="BB73">
        <f t="shared" si="18"/>
        <v>31543.16</v>
      </c>
      <c r="BC73">
        <f t="shared" si="17"/>
        <v>78857.899999999994</v>
      </c>
      <c r="BD73">
        <f t="shared" si="17"/>
        <v>118286.85</v>
      </c>
      <c r="BE73">
        <f t="shared" si="17"/>
        <v>189258.96</v>
      </c>
      <c r="BF73">
        <f t="shared" si="17"/>
        <v>236573.7</v>
      </c>
      <c r="BG73">
        <f t="shared" si="17"/>
        <v>788579</v>
      </c>
      <c r="BH73">
        <f t="shared" si="17"/>
        <v>2365737</v>
      </c>
      <c r="BI73">
        <f t="shared" si="17"/>
        <v>6702921.5</v>
      </c>
      <c r="BJ73">
        <f t="shared" si="17"/>
        <v>23657370</v>
      </c>
      <c r="BK73">
        <f t="shared" si="17"/>
        <v>78857900</v>
      </c>
      <c r="BL73" s="145">
        <v>68</v>
      </c>
    </row>
    <row r="74" spans="1:64" ht="17.25" thickBot="1" x14ac:dyDescent="0.25">
      <c r="A74" s="131">
        <v>70</v>
      </c>
      <c r="B74" s="132">
        <v>5024788</v>
      </c>
      <c r="D74" s="131">
        <v>70</v>
      </c>
      <c r="E74" s="132">
        <v>8.0042399999999994</v>
      </c>
      <c r="M74">
        <v>70</v>
      </c>
      <c r="N74">
        <f t="shared" si="20"/>
        <v>51321880</v>
      </c>
      <c r="O74">
        <f t="shared" si="19"/>
        <v>102643760</v>
      </c>
      <c r="P74">
        <f t="shared" si="19"/>
        <v>153965640</v>
      </c>
      <c r="Q74">
        <f t="shared" si="19"/>
        <v>205287520</v>
      </c>
      <c r="R74">
        <f t="shared" si="19"/>
        <v>307931280</v>
      </c>
      <c r="S74">
        <f t="shared" si="19"/>
        <v>359253160</v>
      </c>
      <c r="T74">
        <f t="shared" si="19"/>
        <v>513218800</v>
      </c>
      <c r="U74">
        <f t="shared" si="19"/>
        <v>769828200</v>
      </c>
      <c r="V74">
        <f t="shared" si="19"/>
        <v>1231725120</v>
      </c>
      <c r="W74">
        <f t="shared" si="19"/>
        <v>1847587680</v>
      </c>
      <c r="X74">
        <f t="shared" si="19"/>
        <v>2566094000</v>
      </c>
      <c r="Y74">
        <f t="shared" si="19"/>
        <v>3079312800</v>
      </c>
      <c r="Z74">
        <f t="shared" si="19"/>
        <v>4926900480</v>
      </c>
      <c r="AA74">
        <f t="shared" si="19"/>
        <v>5132188000</v>
      </c>
      <c r="AB74">
        <f t="shared" si="19"/>
        <v>7698282000</v>
      </c>
      <c r="AC74">
        <f t="shared" si="19"/>
        <v>12317251200</v>
      </c>
      <c r="AD74">
        <f t="shared" si="19"/>
        <v>18475876800</v>
      </c>
      <c r="AE74">
        <f t="shared" si="10"/>
        <v>21555189600</v>
      </c>
      <c r="AF74">
        <f t="shared" si="10"/>
        <v>28227034000</v>
      </c>
      <c r="AG74">
        <f t="shared" si="10"/>
        <v>35925316000</v>
      </c>
      <c r="AK74">
        <v>68</v>
      </c>
      <c r="AL74" s="24">
        <f t="shared" si="21"/>
        <v>7.9257900000000001</v>
      </c>
      <c r="AM74">
        <f t="shared" si="18"/>
        <v>55.480530000000002</v>
      </c>
      <c r="AN74">
        <f t="shared" si="18"/>
        <v>79.257900000000006</v>
      </c>
      <c r="AO74">
        <f t="shared" si="18"/>
        <v>118.88685</v>
      </c>
      <c r="AP74">
        <f t="shared" si="18"/>
        <v>158.51580000000001</v>
      </c>
      <c r="AQ74">
        <f t="shared" si="18"/>
        <v>277.40264999999999</v>
      </c>
      <c r="AR74">
        <f t="shared" si="18"/>
        <v>396.28950000000003</v>
      </c>
      <c r="AS74">
        <f t="shared" si="18"/>
        <v>634.06320000000005</v>
      </c>
      <c r="AT74">
        <f t="shared" si="18"/>
        <v>951.09479999999996</v>
      </c>
      <c r="AU74">
        <f t="shared" si="18"/>
        <v>1347.3842999999999</v>
      </c>
      <c r="AV74">
        <f t="shared" si="18"/>
        <v>1902.1895999999999</v>
      </c>
      <c r="AW74">
        <f t="shared" si="18"/>
        <v>2615.5106999999998</v>
      </c>
      <c r="AX74">
        <f t="shared" si="18"/>
        <v>3645.8634000000002</v>
      </c>
      <c r="AY74">
        <f t="shared" si="18"/>
        <v>6340.6320000000005</v>
      </c>
      <c r="AZ74">
        <f t="shared" si="18"/>
        <v>11888.684999999999</v>
      </c>
      <c r="BA74">
        <f t="shared" si="18"/>
        <v>19814.474999999999</v>
      </c>
      <c r="BB74">
        <f t="shared" si="18"/>
        <v>31703.16</v>
      </c>
      <c r="BC74">
        <f t="shared" si="17"/>
        <v>79257.899999999994</v>
      </c>
      <c r="BD74">
        <f t="shared" si="17"/>
        <v>118886.85</v>
      </c>
      <c r="BE74">
        <f t="shared" si="17"/>
        <v>190218.96</v>
      </c>
      <c r="BF74">
        <f t="shared" si="17"/>
        <v>237773.7</v>
      </c>
      <c r="BG74">
        <f t="shared" si="17"/>
        <v>792579</v>
      </c>
      <c r="BH74">
        <f t="shared" si="17"/>
        <v>2377737</v>
      </c>
      <c r="BI74">
        <f t="shared" si="17"/>
        <v>6736921.5</v>
      </c>
      <c r="BJ74">
        <f t="shared" si="17"/>
        <v>23777370</v>
      </c>
      <c r="BK74">
        <f t="shared" si="17"/>
        <v>79257900</v>
      </c>
      <c r="BL74">
        <v>69</v>
      </c>
    </row>
    <row r="75" spans="1:64" ht="17.25" thickBot="1" x14ac:dyDescent="0.25">
      <c r="A75" s="131">
        <v>71</v>
      </c>
      <c r="B75" s="132">
        <v>5132188</v>
      </c>
      <c r="D75" s="131">
        <v>71</v>
      </c>
      <c r="E75" s="132">
        <v>8.0427099999999996</v>
      </c>
      <c r="M75">
        <v>71</v>
      </c>
      <c r="N75">
        <f t="shared" si="20"/>
        <v>52403380</v>
      </c>
      <c r="O75">
        <f t="shared" si="19"/>
        <v>104806760</v>
      </c>
      <c r="P75">
        <f t="shared" si="19"/>
        <v>157210140</v>
      </c>
      <c r="Q75">
        <f t="shared" si="19"/>
        <v>209613520</v>
      </c>
      <c r="R75">
        <f t="shared" si="19"/>
        <v>314420280</v>
      </c>
      <c r="S75">
        <f t="shared" si="19"/>
        <v>366823660</v>
      </c>
      <c r="T75">
        <f t="shared" si="19"/>
        <v>524033800</v>
      </c>
      <c r="U75">
        <f t="shared" si="19"/>
        <v>786050700</v>
      </c>
      <c r="V75">
        <f t="shared" si="19"/>
        <v>1257681120</v>
      </c>
      <c r="W75">
        <f t="shared" si="19"/>
        <v>1886521680</v>
      </c>
      <c r="X75">
        <f t="shared" si="19"/>
        <v>2620169000</v>
      </c>
      <c r="Y75">
        <f t="shared" si="19"/>
        <v>3144202800</v>
      </c>
      <c r="Z75">
        <f t="shared" si="19"/>
        <v>5030724480</v>
      </c>
      <c r="AA75">
        <f t="shared" si="19"/>
        <v>5240338000</v>
      </c>
      <c r="AB75">
        <f t="shared" si="19"/>
        <v>7860507000</v>
      </c>
      <c r="AC75">
        <f t="shared" si="19"/>
        <v>12576811200</v>
      </c>
      <c r="AD75">
        <f t="shared" si="19"/>
        <v>18865216800</v>
      </c>
      <c r="AE75">
        <f t="shared" si="10"/>
        <v>22009419600</v>
      </c>
      <c r="AF75">
        <f t="shared" si="10"/>
        <v>28821859000</v>
      </c>
      <c r="AG75">
        <f t="shared" si="10"/>
        <v>36682366000</v>
      </c>
      <c r="AK75">
        <v>69</v>
      </c>
      <c r="AL75" s="24">
        <f t="shared" si="21"/>
        <v>7.9652700000000003</v>
      </c>
      <c r="AM75">
        <f t="shared" si="18"/>
        <v>55.756889999999999</v>
      </c>
      <c r="AN75">
        <f t="shared" si="18"/>
        <v>79.65270000000001</v>
      </c>
      <c r="AO75">
        <f t="shared" si="18"/>
        <v>119.47905</v>
      </c>
      <c r="AP75">
        <f t="shared" si="18"/>
        <v>159.30540000000002</v>
      </c>
      <c r="AQ75">
        <f t="shared" si="18"/>
        <v>278.78444999999999</v>
      </c>
      <c r="AR75">
        <f t="shared" si="18"/>
        <v>398.26350000000002</v>
      </c>
      <c r="AS75">
        <f t="shared" si="18"/>
        <v>637.22160000000008</v>
      </c>
      <c r="AT75">
        <f t="shared" si="18"/>
        <v>955.83240000000001</v>
      </c>
      <c r="AU75">
        <f t="shared" si="18"/>
        <v>1354.0959</v>
      </c>
      <c r="AV75">
        <f t="shared" si="18"/>
        <v>1911.6648</v>
      </c>
      <c r="AW75">
        <f t="shared" si="18"/>
        <v>2628.5391</v>
      </c>
      <c r="AX75">
        <f t="shared" si="18"/>
        <v>3664.0242000000003</v>
      </c>
      <c r="AY75">
        <f t="shared" si="18"/>
        <v>6372.2160000000003</v>
      </c>
      <c r="AZ75">
        <f t="shared" si="18"/>
        <v>11947.905000000001</v>
      </c>
      <c r="BA75">
        <f t="shared" si="18"/>
        <v>19913.174999999999</v>
      </c>
      <c r="BB75">
        <f t="shared" si="18"/>
        <v>31861.08</v>
      </c>
      <c r="BC75">
        <f t="shared" si="17"/>
        <v>79652.7</v>
      </c>
      <c r="BD75">
        <f t="shared" si="17"/>
        <v>119479.05</v>
      </c>
      <c r="BE75">
        <f t="shared" si="17"/>
        <v>191166.48</v>
      </c>
      <c r="BF75">
        <f t="shared" si="17"/>
        <v>238958.1</v>
      </c>
      <c r="BG75">
        <f t="shared" si="17"/>
        <v>796527</v>
      </c>
      <c r="BH75">
        <f t="shared" si="17"/>
        <v>2389581</v>
      </c>
      <c r="BI75">
        <f t="shared" si="17"/>
        <v>6770479.5</v>
      </c>
      <c r="BJ75">
        <f t="shared" si="17"/>
        <v>23895810</v>
      </c>
      <c r="BK75">
        <f t="shared" si="17"/>
        <v>79652700</v>
      </c>
      <c r="BL75" s="145">
        <v>70</v>
      </c>
    </row>
    <row r="76" spans="1:64" ht="17.25" thickBot="1" x14ac:dyDescent="0.25">
      <c r="A76" s="131">
        <v>72</v>
      </c>
      <c r="B76" s="132">
        <v>5240338</v>
      </c>
      <c r="D76" s="131">
        <v>72</v>
      </c>
      <c r="E76" s="132">
        <v>8.0806900000000006</v>
      </c>
      <c r="M76">
        <v>72</v>
      </c>
      <c r="N76">
        <f t="shared" si="20"/>
        <v>53492380</v>
      </c>
      <c r="O76">
        <f t="shared" si="19"/>
        <v>106984760</v>
      </c>
      <c r="P76">
        <f t="shared" si="19"/>
        <v>160477140</v>
      </c>
      <c r="Q76">
        <f t="shared" si="19"/>
        <v>213969520</v>
      </c>
      <c r="R76">
        <f t="shared" si="19"/>
        <v>320954280</v>
      </c>
      <c r="S76">
        <f t="shared" si="19"/>
        <v>374446660</v>
      </c>
      <c r="T76">
        <f t="shared" si="19"/>
        <v>534923800</v>
      </c>
      <c r="U76">
        <f t="shared" si="19"/>
        <v>802385700</v>
      </c>
      <c r="V76">
        <f t="shared" si="19"/>
        <v>1283817120</v>
      </c>
      <c r="W76">
        <f t="shared" si="19"/>
        <v>1925725680</v>
      </c>
      <c r="X76">
        <f t="shared" si="19"/>
        <v>2674619000</v>
      </c>
      <c r="Y76">
        <f t="shared" si="19"/>
        <v>3209542800</v>
      </c>
      <c r="Z76">
        <f t="shared" si="19"/>
        <v>5135268480</v>
      </c>
      <c r="AA76">
        <f t="shared" si="19"/>
        <v>5349238000</v>
      </c>
      <c r="AB76">
        <f t="shared" si="19"/>
        <v>8023857000</v>
      </c>
      <c r="AC76">
        <f t="shared" si="19"/>
        <v>12838171200</v>
      </c>
      <c r="AD76">
        <f t="shared" si="19"/>
        <v>19257256800</v>
      </c>
      <c r="AE76">
        <f t="shared" si="10"/>
        <v>22466799600</v>
      </c>
      <c r="AF76">
        <f t="shared" si="10"/>
        <v>29420809000</v>
      </c>
      <c r="AG76">
        <f t="shared" si="10"/>
        <v>37444666000</v>
      </c>
      <c r="AK76">
        <v>70</v>
      </c>
      <c r="AL76" s="24">
        <f t="shared" si="21"/>
        <v>8.0042399999999994</v>
      </c>
      <c r="AM76">
        <f t="shared" si="18"/>
        <v>56.029679999999999</v>
      </c>
      <c r="AN76">
        <f t="shared" si="18"/>
        <v>80.042399999999986</v>
      </c>
      <c r="AO76">
        <f t="shared" si="18"/>
        <v>120.06359999999999</v>
      </c>
      <c r="AP76">
        <f t="shared" si="18"/>
        <v>160.08479999999997</v>
      </c>
      <c r="AQ76">
        <f t="shared" si="18"/>
        <v>280.14839999999998</v>
      </c>
      <c r="AR76">
        <f t="shared" si="18"/>
        <v>400.21199999999999</v>
      </c>
      <c r="AS76">
        <f t="shared" si="18"/>
        <v>640.33919999999989</v>
      </c>
      <c r="AT76">
        <f t="shared" si="18"/>
        <v>960.50879999999995</v>
      </c>
      <c r="AU76">
        <f t="shared" si="18"/>
        <v>1360.7207999999998</v>
      </c>
      <c r="AV76">
        <f t="shared" si="18"/>
        <v>1921.0175999999999</v>
      </c>
      <c r="AW76">
        <f t="shared" si="18"/>
        <v>2641.3991999999998</v>
      </c>
      <c r="AX76">
        <f t="shared" si="18"/>
        <v>3681.9503999999997</v>
      </c>
      <c r="AY76">
        <f t="shared" si="18"/>
        <v>6403.3919999999998</v>
      </c>
      <c r="AZ76">
        <f t="shared" si="18"/>
        <v>12006.359999999999</v>
      </c>
      <c r="BA76">
        <f t="shared" si="18"/>
        <v>20010.599999999999</v>
      </c>
      <c r="BB76">
        <f t="shared" si="18"/>
        <v>32016.959999999999</v>
      </c>
      <c r="BC76">
        <f t="shared" si="17"/>
        <v>80042.399999999994</v>
      </c>
      <c r="BD76">
        <f t="shared" si="17"/>
        <v>120063.59999999999</v>
      </c>
      <c r="BE76">
        <f t="shared" si="17"/>
        <v>192101.75999999998</v>
      </c>
      <c r="BF76">
        <f t="shared" si="17"/>
        <v>240127.19999999998</v>
      </c>
      <c r="BG76">
        <f t="shared" si="17"/>
        <v>800423.99999999988</v>
      </c>
      <c r="BH76">
        <f t="shared" si="17"/>
        <v>2401272</v>
      </c>
      <c r="BI76">
        <f t="shared" si="17"/>
        <v>6803603.9999999991</v>
      </c>
      <c r="BJ76">
        <f t="shared" si="17"/>
        <v>24012719.999999996</v>
      </c>
      <c r="BK76">
        <f t="shared" si="17"/>
        <v>80042400</v>
      </c>
      <c r="BL76">
        <v>71</v>
      </c>
    </row>
    <row r="77" spans="1:64" ht="17.25" thickBot="1" x14ac:dyDescent="0.25">
      <c r="A77" s="131">
        <v>73</v>
      </c>
      <c r="B77" s="132">
        <v>5349238</v>
      </c>
      <c r="D77" s="131">
        <v>73</v>
      </c>
      <c r="E77" s="132">
        <v>8.1181900000000002</v>
      </c>
      <c r="M77">
        <v>73</v>
      </c>
      <c r="N77">
        <f t="shared" si="20"/>
        <v>54588830</v>
      </c>
      <c r="O77">
        <f t="shared" si="19"/>
        <v>109177660</v>
      </c>
      <c r="P77">
        <f t="shared" si="19"/>
        <v>163766490</v>
      </c>
      <c r="Q77">
        <f t="shared" si="19"/>
        <v>218355320</v>
      </c>
      <c r="R77">
        <f t="shared" si="19"/>
        <v>327532980</v>
      </c>
      <c r="S77">
        <f t="shared" si="19"/>
        <v>382121810</v>
      </c>
      <c r="T77">
        <f t="shared" si="19"/>
        <v>545888300</v>
      </c>
      <c r="U77">
        <f t="shared" si="19"/>
        <v>818832450</v>
      </c>
      <c r="V77">
        <f t="shared" si="19"/>
        <v>1310131920</v>
      </c>
      <c r="W77">
        <f t="shared" si="19"/>
        <v>1965197880</v>
      </c>
      <c r="X77">
        <f t="shared" si="19"/>
        <v>2729441500</v>
      </c>
      <c r="Y77">
        <f t="shared" si="19"/>
        <v>3275329800</v>
      </c>
      <c r="Z77">
        <f t="shared" si="19"/>
        <v>5240527680</v>
      </c>
      <c r="AA77">
        <f t="shared" si="19"/>
        <v>5458883000</v>
      </c>
      <c r="AB77">
        <f t="shared" si="19"/>
        <v>8188324500</v>
      </c>
      <c r="AC77">
        <f t="shared" si="19"/>
        <v>13101319200</v>
      </c>
      <c r="AD77">
        <f t="shared" si="19"/>
        <v>19651978800</v>
      </c>
      <c r="AE77">
        <f t="shared" si="10"/>
        <v>22927308600</v>
      </c>
      <c r="AF77">
        <f t="shared" si="10"/>
        <v>30023856500</v>
      </c>
      <c r="AG77">
        <f t="shared" si="10"/>
        <v>38212181000</v>
      </c>
      <c r="AK77">
        <v>71</v>
      </c>
      <c r="AL77" s="24">
        <f t="shared" si="21"/>
        <v>8.0427099999999996</v>
      </c>
      <c r="AM77">
        <f t="shared" si="18"/>
        <v>56.298969999999997</v>
      </c>
      <c r="AN77">
        <f t="shared" si="18"/>
        <v>80.427099999999996</v>
      </c>
      <c r="AO77">
        <f t="shared" si="18"/>
        <v>120.64064999999999</v>
      </c>
      <c r="AP77">
        <f t="shared" si="18"/>
        <v>160.85419999999999</v>
      </c>
      <c r="AQ77">
        <f t="shared" si="18"/>
        <v>281.49484999999999</v>
      </c>
      <c r="AR77">
        <f t="shared" si="18"/>
        <v>402.13549999999998</v>
      </c>
      <c r="AS77">
        <f t="shared" si="18"/>
        <v>643.41679999999997</v>
      </c>
      <c r="AT77">
        <f t="shared" si="18"/>
        <v>965.12519999999995</v>
      </c>
      <c r="AU77">
        <f t="shared" si="18"/>
        <v>1367.2606999999998</v>
      </c>
      <c r="AV77">
        <f t="shared" si="18"/>
        <v>1930.2503999999999</v>
      </c>
      <c r="AW77">
        <f t="shared" si="18"/>
        <v>2654.0942999999997</v>
      </c>
      <c r="AX77">
        <f t="shared" si="18"/>
        <v>3699.6466</v>
      </c>
      <c r="AY77">
        <f t="shared" si="18"/>
        <v>6434.1679999999997</v>
      </c>
      <c r="AZ77">
        <f t="shared" si="18"/>
        <v>12064.064999999999</v>
      </c>
      <c r="BA77">
        <f t="shared" si="18"/>
        <v>20106.774999999998</v>
      </c>
      <c r="BB77">
        <f t="shared" si="18"/>
        <v>32170.839999999997</v>
      </c>
      <c r="BC77">
        <f t="shared" si="17"/>
        <v>80427.099999999991</v>
      </c>
      <c r="BD77">
        <f t="shared" si="17"/>
        <v>120640.65</v>
      </c>
      <c r="BE77">
        <f t="shared" si="17"/>
        <v>193025.03999999998</v>
      </c>
      <c r="BF77">
        <f t="shared" si="17"/>
        <v>241281.3</v>
      </c>
      <c r="BG77">
        <f t="shared" si="17"/>
        <v>804271</v>
      </c>
      <c r="BH77">
        <f t="shared" si="17"/>
        <v>2412813</v>
      </c>
      <c r="BI77">
        <f t="shared" si="17"/>
        <v>6836303.5</v>
      </c>
      <c r="BJ77">
        <f t="shared" si="17"/>
        <v>24128130</v>
      </c>
      <c r="BK77">
        <f t="shared" si="17"/>
        <v>80427100</v>
      </c>
      <c r="BL77" s="145">
        <v>72</v>
      </c>
    </row>
    <row r="78" spans="1:64" ht="17.25" thickBot="1" x14ac:dyDescent="0.25">
      <c r="A78" s="131">
        <v>74</v>
      </c>
      <c r="B78" s="132">
        <v>5458883</v>
      </c>
      <c r="D78" s="131">
        <v>74</v>
      </c>
      <c r="E78" s="132">
        <v>8.1552299999999995</v>
      </c>
      <c r="M78">
        <v>74</v>
      </c>
      <c r="N78">
        <f t="shared" si="20"/>
        <v>55692660</v>
      </c>
      <c r="O78">
        <f t="shared" si="19"/>
        <v>111385320</v>
      </c>
      <c r="P78">
        <f t="shared" si="19"/>
        <v>167077980</v>
      </c>
      <c r="Q78">
        <f t="shared" si="19"/>
        <v>222770640</v>
      </c>
      <c r="R78">
        <f t="shared" si="19"/>
        <v>334155960</v>
      </c>
      <c r="S78">
        <f t="shared" si="19"/>
        <v>389848620</v>
      </c>
      <c r="T78">
        <f t="shared" si="19"/>
        <v>556926600</v>
      </c>
      <c r="U78">
        <f t="shared" si="19"/>
        <v>835389900</v>
      </c>
      <c r="V78">
        <f t="shared" si="19"/>
        <v>1336623840</v>
      </c>
      <c r="W78">
        <f t="shared" si="19"/>
        <v>2004935760</v>
      </c>
      <c r="X78">
        <f t="shared" si="19"/>
        <v>2784633000</v>
      </c>
      <c r="Y78">
        <f t="shared" si="19"/>
        <v>3341559600</v>
      </c>
      <c r="Z78">
        <f t="shared" si="19"/>
        <v>5346495360</v>
      </c>
      <c r="AA78">
        <f t="shared" si="19"/>
        <v>5569266000</v>
      </c>
      <c r="AB78">
        <f t="shared" si="19"/>
        <v>8353899000</v>
      </c>
      <c r="AC78">
        <f t="shared" si="19"/>
        <v>13366238400</v>
      </c>
      <c r="AD78">
        <f t="shared" si="19"/>
        <v>20049357600</v>
      </c>
      <c r="AE78">
        <f t="shared" si="10"/>
        <v>23390917200</v>
      </c>
      <c r="AF78">
        <f t="shared" si="10"/>
        <v>30630963000</v>
      </c>
      <c r="AG78">
        <f t="shared" si="10"/>
        <v>38984862000</v>
      </c>
      <c r="AK78">
        <v>72</v>
      </c>
      <c r="AL78" s="24">
        <f t="shared" si="21"/>
        <v>8.0806900000000006</v>
      </c>
      <c r="AM78">
        <f t="shared" si="18"/>
        <v>56.564830000000001</v>
      </c>
      <c r="AN78">
        <f t="shared" si="18"/>
        <v>80.806900000000013</v>
      </c>
      <c r="AO78">
        <f t="shared" si="18"/>
        <v>121.21035000000001</v>
      </c>
      <c r="AP78">
        <f t="shared" si="18"/>
        <v>161.61380000000003</v>
      </c>
      <c r="AQ78">
        <f t="shared" si="18"/>
        <v>282.82415000000003</v>
      </c>
      <c r="AR78">
        <f t="shared" si="18"/>
        <v>404.03450000000004</v>
      </c>
      <c r="AS78">
        <f t="shared" si="18"/>
        <v>646.4552000000001</v>
      </c>
      <c r="AT78">
        <f t="shared" si="18"/>
        <v>969.68280000000004</v>
      </c>
      <c r="AU78">
        <f t="shared" si="18"/>
        <v>1373.7173</v>
      </c>
      <c r="AV78">
        <f t="shared" si="18"/>
        <v>1939.3656000000001</v>
      </c>
      <c r="AW78">
        <f t="shared" si="18"/>
        <v>2666.6277</v>
      </c>
      <c r="AX78">
        <f t="shared" si="18"/>
        <v>3717.1174000000001</v>
      </c>
      <c r="AY78">
        <f t="shared" si="18"/>
        <v>6464.5520000000006</v>
      </c>
      <c r="AZ78">
        <f t="shared" si="18"/>
        <v>12121.035000000002</v>
      </c>
      <c r="BA78">
        <f t="shared" si="18"/>
        <v>20201.725000000002</v>
      </c>
      <c r="BB78">
        <f t="shared" si="18"/>
        <v>32322.760000000002</v>
      </c>
      <c r="BC78">
        <f t="shared" si="17"/>
        <v>80806.900000000009</v>
      </c>
      <c r="BD78">
        <f t="shared" si="17"/>
        <v>121210.35</v>
      </c>
      <c r="BE78">
        <f t="shared" si="17"/>
        <v>193936.56000000003</v>
      </c>
      <c r="BF78">
        <f t="shared" si="17"/>
        <v>242420.7</v>
      </c>
      <c r="BG78">
        <f t="shared" si="17"/>
        <v>808069.00000000012</v>
      </c>
      <c r="BH78">
        <f t="shared" si="17"/>
        <v>2424207</v>
      </c>
      <c r="BI78">
        <f t="shared" si="17"/>
        <v>6868586.5000000009</v>
      </c>
      <c r="BJ78">
        <f t="shared" si="17"/>
        <v>24242070</v>
      </c>
      <c r="BK78">
        <f t="shared" si="17"/>
        <v>80806900</v>
      </c>
      <c r="BL78">
        <v>73</v>
      </c>
    </row>
    <row r="79" spans="1:64" ht="17.25" thickBot="1" x14ac:dyDescent="0.25">
      <c r="A79" s="131">
        <v>75</v>
      </c>
      <c r="B79" s="132">
        <v>5569266</v>
      </c>
      <c r="D79" s="131">
        <v>75</v>
      </c>
      <c r="E79" s="132">
        <v>8.1918199999999999</v>
      </c>
      <c r="M79">
        <v>75</v>
      </c>
      <c r="N79">
        <f t="shared" si="20"/>
        <v>56803830</v>
      </c>
      <c r="O79">
        <f t="shared" si="19"/>
        <v>113607660</v>
      </c>
      <c r="P79">
        <f t="shared" si="19"/>
        <v>170411490</v>
      </c>
      <c r="Q79">
        <f t="shared" si="19"/>
        <v>227215320</v>
      </c>
      <c r="R79">
        <f t="shared" si="19"/>
        <v>340822980</v>
      </c>
      <c r="S79">
        <f t="shared" si="19"/>
        <v>397626810</v>
      </c>
      <c r="T79">
        <f t="shared" si="19"/>
        <v>568038300</v>
      </c>
      <c r="U79">
        <f t="shared" si="19"/>
        <v>852057450</v>
      </c>
      <c r="V79">
        <f t="shared" si="19"/>
        <v>1363291920</v>
      </c>
      <c r="W79">
        <f t="shared" si="19"/>
        <v>2044937880</v>
      </c>
      <c r="X79">
        <f t="shared" si="19"/>
        <v>2840191500</v>
      </c>
      <c r="Y79">
        <f t="shared" si="19"/>
        <v>3408229800</v>
      </c>
      <c r="Z79">
        <f t="shared" si="19"/>
        <v>5453167680</v>
      </c>
      <c r="AA79">
        <f t="shared" si="19"/>
        <v>5680383000</v>
      </c>
      <c r="AB79">
        <f t="shared" si="19"/>
        <v>8520574500</v>
      </c>
      <c r="AC79">
        <f t="shared" si="19"/>
        <v>13632919200</v>
      </c>
      <c r="AD79">
        <f t="shared" si="19"/>
        <v>20449378800</v>
      </c>
      <c r="AE79">
        <f t="shared" si="10"/>
        <v>23857608600</v>
      </c>
      <c r="AF79">
        <f t="shared" si="10"/>
        <v>31242106500</v>
      </c>
      <c r="AG79">
        <f t="shared" si="10"/>
        <v>39762681000</v>
      </c>
      <c r="AK79">
        <v>73</v>
      </c>
      <c r="AL79" s="24">
        <f t="shared" si="21"/>
        <v>8.1181900000000002</v>
      </c>
      <c r="AM79">
        <f t="shared" si="18"/>
        <v>56.827330000000003</v>
      </c>
      <c r="AN79">
        <f t="shared" si="18"/>
        <v>81.181899999999999</v>
      </c>
      <c r="AO79">
        <f t="shared" si="18"/>
        <v>121.77285000000001</v>
      </c>
      <c r="AP79">
        <f t="shared" si="18"/>
        <v>162.3638</v>
      </c>
      <c r="AQ79">
        <f t="shared" si="18"/>
        <v>284.13665000000003</v>
      </c>
      <c r="AR79">
        <f t="shared" si="18"/>
        <v>405.90950000000004</v>
      </c>
      <c r="AS79">
        <f t="shared" si="18"/>
        <v>649.45519999999999</v>
      </c>
      <c r="AT79">
        <f t="shared" si="18"/>
        <v>974.18280000000004</v>
      </c>
      <c r="AU79">
        <f t="shared" si="18"/>
        <v>1380.0923</v>
      </c>
      <c r="AV79">
        <f t="shared" si="18"/>
        <v>1948.3656000000001</v>
      </c>
      <c r="AW79">
        <f t="shared" si="18"/>
        <v>2679.0027</v>
      </c>
      <c r="AX79">
        <f t="shared" si="18"/>
        <v>3734.3674000000001</v>
      </c>
      <c r="AY79">
        <f t="shared" si="18"/>
        <v>6494.5520000000006</v>
      </c>
      <c r="AZ79">
        <f t="shared" si="18"/>
        <v>12177.285</v>
      </c>
      <c r="BA79">
        <f t="shared" si="18"/>
        <v>20295.475000000002</v>
      </c>
      <c r="BB79">
        <f t="shared" si="18"/>
        <v>32472.760000000002</v>
      </c>
      <c r="BC79">
        <f t="shared" si="17"/>
        <v>81181.900000000009</v>
      </c>
      <c r="BD79">
        <f t="shared" si="17"/>
        <v>121772.85</v>
      </c>
      <c r="BE79">
        <f t="shared" si="17"/>
        <v>194836.56</v>
      </c>
      <c r="BF79">
        <f t="shared" si="17"/>
        <v>243545.7</v>
      </c>
      <c r="BG79">
        <f t="shared" si="17"/>
        <v>811819</v>
      </c>
      <c r="BH79">
        <f t="shared" si="17"/>
        <v>2435457</v>
      </c>
      <c r="BI79">
        <f t="shared" si="17"/>
        <v>6900461.5</v>
      </c>
      <c r="BJ79">
        <f t="shared" si="17"/>
        <v>24354570</v>
      </c>
      <c r="BK79">
        <f t="shared" si="17"/>
        <v>81181900</v>
      </c>
      <c r="BL79" s="145">
        <v>74</v>
      </c>
    </row>
    <row r="80" spans="1:64" ht="17.25" thickBot="1" x14ac:dyDescent="0.25">
      <c r="A80" s="131">
        <v>76</v>
      </c>
      <c r="B80" s="132">
        <v>5680383</v>
      </c>
      <c r="D80" s="131">
        <v>76</v>
      </c>
      <c r="E80" s="132">
        <v>8.2279699999999991</v>
      </c>
      <c r="M80">
        <v>76</v>
      </c>
      <c r="N80">
        <f t="shared" si="20"/>
        <v>57922270</v>
      </c>
      <c r="O80">
        <f t="shared" si="19"/>
        <v>115844540</v>
      </c>
      <c r="P80">
        <f t="shared" si="19"/>
        <v>173766810</v>
      </c>
      <c r="Q80">
        <f t="shared" si="19"/>
        <v>231689080</v>
      </c>
      <c r="R80">
        <f t="shared" si="19"/>
        <v>347533620</v>
      </c>
      <c r="S80">
        <f t="shared" si="19"/>
        <v>405455890</v>
      </c>
      <c r="T80">
        <f t="shared" si="19"/>
        <v>579222700</v>
      </c>
      <c r="U80">
        <f t="shared" si="19"/>
        <v>868834050</v>
      </c>
      <c r="V80">
        <f t="shared" si="19"/>
        <v>1390134480</v>
      </c>
      <c r="W80">
        <f t="shared" si="19"/>
        <v>2085201720</v>
      </c>
      <c r="X80">
        <f t="shared" si="19"/>
        <v>2896113500</v>
      </c>
      <c r="Y80">
        <f t="shared" si="19"/>
        <v>3475336200</v>
      </c>
      <c r="Z80">
        <f t="shared" si="19"/>
        <v>5560537920</v>
      </c>
      <c r="AA80">
        <f t="shared" si="19"/>
        <v>5792227000</v>
      </c>
      <c r="AB80">
        <f t="shared" si="19"/>
        <v>8688340500</v>
      </c>
      <c r="AC80">
        <f t="shared" si="19"/>
        <v>13901344800</v>
      </c>
      <c r="AD80">
        <f t="shared" si="19"/>
        <v>20852017200</v>
      </c>
      <c r="AE80">
        <f t="shared" si="10"/>
        <v>24327353400</v>
      </c>
      <c r="AF80">
        <f t="shared" si="10"/>
        <v>31857248500</v>
      </c>
      <c r="AG80">
        <f t="shared" si="10"/>
        <v>40545589000</v>
      </c>
      <c r="AK80">
        <v>74</v>
      </c>
      <c r="AL80" s="24">
        <f t="shared" si="21"/>
        <v>8.1552299999999995</v>
      </c>
      <c r="AM80">
        <f t="shared" si="18"/>
        <v>57.086609999999993</v>
      </c>
      <c r="AN80">
        <f t="shared" si="18"/>
        <v>81.552300000000002</v>
      </c>
      <c r="AO80">
        <f t="shared" si="18"/>
        <v>122.32844999999999</v>
      </c>
      <c r="AP80">
        <f t="shared" si="18"/>
        <v>163.1046</v>
      </c>
      <c r="AQ80">
        <f t="shared" si="18"/>
        <v>285.43304999999998</v>
      </c>
      <c r="AR80">
        <f t="shared" si="18"/>
        <v>407.76149999999996</v>
      </c>
      <c r="AS80">
        <f t="shared" si="18"/>
        <v>652.41840000000002</v>
      </c>
      <c r="AT80">
        <f t="shared" si="18"/>
        <v>978.62759999999992</v>
      </c>
      <c r="AU80">
        <f t="shared" si="18"/>
        <v>1386.3890999999999</v>
      </c>
      <c r="AV80">
        <f t="shared" si="18"/>
        <v>1957.2551999999998</v>
      </c>
      <c r="AW80">
        <f t="shared" si="18"/>
        <v>2691.2258999999999</v>
      </c>
      <c r="AX80">
        <f t="shared" si="18"/>
        <v>3751.4058</v>
      </c>
      <c r="AY80">
        <f t="shared" si="18"/>
        <v>6524.1839999999993</v>
      </c>
      <c r="AZ80">
        <f t="shared" si="18"/>
        <v>12232.844999999999</v>
      </c>
      <c r="BA80">
        <f t="shared" si="18"/>
        <v>20388.074999999997</v>
      </c>
      <c r="BB80">
        <f t="shared" ref="BB80:BK95" si="22">BB$5*VLOOKUP($AK80,$D$2:$E$1404,2,FALSE)</f>
        <v>32620.92</v>
      </c>
      <c r="BC80">
        <f t="shared" si="22"/>
        <v>81552.299999999988</v>
      </c>
      <c r="BD80">
        <f t="shared" si="22"/>
        <v>122328.45</v>
      </c>
      <c r="BE80">
        <f t="shared" si="22"/>
        <v>195725.52</v>
      </c>
      <c r="BF80">
        <f t="shared" si="22"/>
        <v>244656.9</v>
      </c>
      <c r="BG80">
        <f t="shared" si="22"/>
        <v>815523</v>
      </c>
      <c r="BH80">
        <f t="shared" si="22"/>
        <v>2446569</v>
      </c>
      <c r="BI80">
        <f t="shared" si="22"/>
        <v>6931945.5</v>
      </c>
      <c r="BJ80">
        <f t="shared" si="22"/>
        <v>24465690</v>
      </c>
      <c r="BK80">
        <f t="shared" si="22"/>
        <v>81552300</v>
      </c>
      <c r="BL80">
        <v>75</v>
      </c>
    </row>
    <row r="81" spans="1:64" ht="17.25" thickBot="1" x14ac:dyDescent="0.25">
      <c r="A81" s="131">
        <v>77</v>
      </c>
      <c r="B81" s="132">
        <v>5792227</v>
      </c>
      <c r="D81" s="131">
        <v>77</v>
      </c>
      <c r="E81" s="132">
        <v>8.2636900000000004</v>
      </c>
      <c r="M81">
        <v>77</v>
      </c>
      <c r="N81">
        <f t="shared" si="20"/>
        <v>59047940</v>
      </c>
      <c r="O81">
        <f t="shared" si="19"/>
        <v>118095880</v>
      </c>
      <c r="P81">
        <f t="shared" si="19"/>
        <v>177143820</v>
      </c>
      <c r="Q81">
        <f t="shared" si="19"/>
        <v>236191760</v>
      </c>
      <c r="R81">
        <f t="shared" si="19"/>
        <v>354287640</v>
      </c>
      <c r="S81">
        <f t="shared" si="19"/>
        <v>413335580</v>
      </c>
      <c r="T81">
        <f t="shared" si="19"/>
        <v>590479400</v>
      </c>
      <c r="U81">
        <f t="shared" si="19"/>
        <v>885719100</v>
      </c>
      <c r="V81">
        <f t="shared" si="19"/>
        <v>1417150560</v>
      </c>
      <c r="W81">
        <f t="shared" si="19"/>
        <v>2125725840</v>
      </c>
      <c r="X81">
        <f t="shared" si="19"/>
        <v>2952397000</v>
      </c>
      <c r="Y81">
        <f t="shared" si="19"/>
        <v>3542876400</v>
      </c>
      <c r="Z81">
        <f t="shared" si="19"/>
        <v>5668602240</v>
      </c>
      <c r="AA81">
        <f t="shared" si="19"/>
        <v>5904794000</v>
      </c>
      <c r="AB81">
        <f t="shared" si="19"/>
        <v>8857191000</v>
      </c>
      <c r="AC81">
        <f t="shared" si="19"/>
        <v>14171505600</v>
      </c>
      <c r="AD81">
        <f t="shared" si="19"/>
        <v>21257258400</v>
      </c>
      <c r="AE81">
        <f t="shared" si="10"/>
        <v>24800134800</v>
      </c>
      <c r="AF81">
        <f t="shared" si="10"/>
        <v>32476367000</v>
      </c>
      <c r="AG81">
        <f t="shared" si="10"/>
        <v>41333558000</v>
      </c>
      <c r="AK81">
        <v>75</v>
      </c>
      <c r="AL81" s="24">
        <f t="shared" si="21"/>
        <v>8.1918199999999999</v>
      </c>
      <c r="AM81">
        <f t="shared" ref="AM81:BB96" si="23">AM$5*VLOOKUP($AK81,$D$2:$E$1404,2,FALSE)</f>
        <v>57.342739999999999</v>
      </c>
      <c r="AN81">
        <f t="shared" si="23"/>
        <v>81.918199999999999</v>
      </c>
      <c r="AO81">
        <f t="shared" si="23"/>
        <v>122.87729999999999</v>
      </c>
      <c r="AP81">
        <f t="shared" si="23"/>
        <v>163.8364</v>
      </c>
      <c r="AQ81">
        <f t="shared" si="23"/>
        <v>286.71370000000002</v>
      </c>
      <c r="AR81">
        <f t="shared" si="23"/>
        <v>409.59100000000001</v>
      </c>
      <c r="AS81">
        <f t="shared" si="23"/>
        <v>655.34559999999999</v>
      </c>
      <c r="AT81">
        <f t="shared" si="23"/>
        <v>983.01839999999993</v>
      </c>
      <c r="AU81">
        <f t="shared" si="23"/>
        <v>1392.6094000000001</v>
      </c>
      <c r="AV81">
        <f t="shared" si="23"/>
        <v>1966.0367999999999</v>
      </c>
      <c r="AW81">
        <f t="shared" si="23"/>
        <v>2703.3006</v>
      </c>
      <c r="AX81">
        <f t="shared" si="23"/>
        <v>3768.2372</v>
      </c>
      <c r="AY81">
        <f t="shared" si="23"/>
        <v>6553.4560000000001</v>
      </c>
      <c r="AZ81">
        <f t="shared" si="23"/>
        <v>12287.73</v>
      </c>
      <c r="BA81">
        <f t="shared" si="23"/>
        <v>20479.55</v>
      </c>
      <c r="BB81">
        <f t="shared" si="23"/>
        <v>32767.279999999999</v>
      </c>
      <c r="BC81">
        <f t="shared" si="22"/>
        <v>81918.2</v>
      </c>
      <c r="BD81">
        <f t="shared" si="22"/>
        <v>122877.3</v>
      </c>
      <c r="BE81">
        <f t="shared" si="22"/>
        <v>196603.68</v>
      </c>
      <c r="BF81">
        <f t="shared" si="22"/>
        <v>245754.6</v>
      </c>
      <c r="BG81">
        <f t="shared" si="22"/>
        <v>819182</v>
      </c>
      <c r="BH81">
        <f t="shared" si="22"/>
        <v>2457546</v>
      </c>
      <c r="BI81">
        <f t="shared" si="22"/>
        <v>6963047</v>
      </c>
      <c r="BJ81">
        <f t="shared" si="22"/>
        <v>24575460</v>
      </c>
      <c r="BK81">
        <f t="shared" si="22"/>
        <v>81918200</v>
      </c>
      <c r="BL81" s="145">
        <v>76</v>
      </c>
    </row>
    <row r="82" spans="1:64" ht="17.25" thickBot="1" x14ac:dyDescent="0.25">
      <c r="A82" s="131">
        <v>78</v>
      </c>
      <c r="B82" s="132">
        <v>5904794</v>
      </c>
      <c r="D82" s="131">
        <v>78</v>
      </c>
      <c r="E82" s="132">
        <v>8.2989899999999999</v>
      </c>
      <c r="M82">
        <v>78</v>
      </c>
      <c r="N82">
        <f t="shared" si="20"/>
        <v>60180830</v>
      </c>
      <c r="O82">
        <f t="shared" si="19"/>
        <v>120361660</v>
      </c>
      <c r="P82">
        <f t="shared" si="19"/>
        <v>180542490</v>
      </c>
      <c r="Q82">
        <f t="shared" si="19"/>
        <v>240723320</v>
      </c>
      <c r="R82">
        <f t="shared" si="19"/>
        <v>361084980</v>
      </c>
      <c r="S82">
        <f t="shared" si="19"/>
        <v>421265810</v>
      </c>
      <c r="T82">
        <f t="shared" si="19"/>
        <v>601808300</v>
      </c>
      <c r="U82">
        <f t="shared" si="19"/>
        <v>902712450</v>
      </c>
      <c r="V82">
        <f t="shared" si="19"/>
        <v>1444339920</v>
      </c>
      <c r="W82">
        <f t="shared" si="19"/>
        <v>2166509880</v>
      </c>
      <c r="X82">
        <f t="shared" si="19"/>
        <v>3009041500</v>
      </c>
      <c r="Y82">
        <f t="shared" si="19"/>
        <v>3610849800</v>
      </c>
      <c r="Z82">
        <f t="shared" si="19"/>
        <v>5777359680</v>
      </c>
      <c r="AA82">
        <f t="shared" ref="O82:AD98" si="24">(VLOOKUP(AA$3,$G$4:$H$23,2,0)*VLOOKUP($M82+1,$A$4:$B$1404,2,0)
)</f>
        <v>6018083000</v>
      </c>
      <c r="AB82">
        <f t="shared" si="24"/>
        <v>9027124500</v>
      </c>
      <c r="AC82">
        <f t="shared" si="24"/>
        <v>14443399200</v>
      </c>
      <c r="AD82">
        <f t="shared" si="24"/>
        <v>21665098800</v>
      </c>
      <c r="AE82">
        <f t="shared" si="10"/>
        <v>25275948600</v>
      </c>
      <c r="AF82">
        <f t="shared" si="10"/>
        <v>33099456500</v>
      </c>
      <c r="AG82">
        <f t="shared" si="10"/>
        <v>42126581000</v>
      </c>
      <c r="AK82">
        <v>76</v>
      </c>
      <c r="AL82" s="24">
        <f t="shared" si="21"/>
        <v>8.2279699999999991</v>
      </c>
      <c r="AM82">
        <f t="shared" si="23"/>
        <v>57.595789999999994</v>
      </c>
      <c r="AN82">
        <f t="shared" si="23"/>
        <v>82.279699999999991</v>
      </c>
      <c r="AO82">
        <f t="shared" si="23"/>
        <v>123.41954999999999</v>
      </c>
      <c r="AP82">
        <f t="shared" si="23"/>
        <v>164.55939999999998</v>
      </c>
      <c r="AQ82">
        <f t="shared" si="23"/>
        <v>287.97894999999994</v>
      </c>
      <c r="AR82">
        <f t="shared" si="23"/>
        <v>411.39849999999996</v>
      </c>
      <c r="AS82">
        <f t="shared" si="23"/>
        <v>658.23759999999993</v>
      </c>
      <c r="AT82">
        <f t="shared" si="23"/>
        <v>987.35639999999989</v>
      </c>
      <c r="AU82">
        <f t="shared" si="23"/>
        <v>1398.7548999999999</v>
      </c>
      <c r="AV82">
        <f t="shared" si="23"/>
        <v>1974.7127999999998</v>
      </c>
      <c r="AW82">
        <f t="shared" si="23"/>
        <v>2715.2300999999998</v>
      </c>
      <c r="AX82">
        <f t="shared" si="23"/>
        <v>3784.8661999999995</v>
      </c>
      <c r="AY82">
        <f t="shared" si="23"/>
        <v>6582.3759999999993</v>
      </c>
      <c r="AZ82">
        <f t="shared" si="23"/>
        <v>12341.954999999998</v>
      </c>
      <c r="BA82">
        <f t="shared" si="23"/>
        <v>20569.924999999999</v>
      </c>
      <c r="BB82">
        <f t="shared" si="23"/>
        <v>32911.879999999997</v>
      </c>
      <c r="BC82">
        <f t="shared" si="22"/>
        <v>82279.7</v>
      </c>
      <c r="BD82">
        <f t="shared" si="22"/>
        <v>123419.54999999999</v>
      </c>
      <c r="BE82">
        <f t="shared" si="22"/>
        <v>197471.27999999997</v>
      </c>
      <c r="BF82">
        <f t="shared" si="22"/>
        <v>246839.09999999998</v>
      </c>
      <c r="BG82">
        <f t="shared" si="22"/>
        <v>822796.99999999988</v>
      </c>
      <c r="BH82">
        <f t="shared" si="22"/>
        <v>2468390.9999999995</v>
      </c>
      <c r="BI82">
        <f t="shared" si="22"/>
        <v>6993774.4999999991</v>
      </c>
      <c r="BJ82">
        <f t="shared" si="22"/>
        <v>24683909.999999996</v>
      </c>
      <c r="BK82">
        <f t="shared" si="22"/>
        <v>82279699.999999985</v>
      </c>
      <c r="BL82">
        <v>77</v>
      </c>
    </row>
    <row r="83" spans="1:64" ht="17.25" thickBot="1" x14ac:dyDescent="0.25">
      <c r="A83" s="131">
        <v>79</v>
      </c>
      <c r="B83" s="132">
        <v>6018083</v>
      </c>
      <c r="D83" s="131">
        <v>79</v>
      </c>
      <c r="E83" s="132">
        <v>8.3338800000000006</v>
      </c>
      <c r="M83">
        <v>79</v>
      </c>
      <c r="N83">
        <f t="shared" si="20"/>
        <v>61320830</v>
      </c>
      <c r="O83">
        <f t="shared" si="24"/>
        <v>122641660</v>
      </c>
      <c r="P83">
        <f t="shared" si="24"/>
        <v>183962490</v>
      </c>
      <c r="Q83">
        <f t="shared" si="24"/>
        <v>245283320</v>
      </c>
      <c r="R83">
        <f t="shared" si="24"/>
        <v>367924980</v>
      </c>
      <c r="S83">
        <f t="shared" si="24"/>
        <v>429245810</v>
      </c>
      <c r="T83">
        <f t="shared" si="24"/>
        <v>613208300</v>
      </c>
      <c r="U83">
        <f t="shared" si="24"/>
        <v>919812450</v>
      </c>
      <c r="V83">
        <f t="shared" si="24"/>
        <v>1471699920</v>
      </c>
      <c r="W83">
        <f t="shared" si="24"/>
        <v>2207549880</v>
      </c>
      <c r="X83">
        <f t="shared" si="24"/>
        <v>3066041500</v>
      </c>
      <c r="Y83">
        <f t="shared" si="24"/>
        <v>3679249800</v>
      </c>
      <c r="Z83">
        <f t="shared" si="24"/>
        <v>5886799680</v>
      </c>
      <c r="AA83">
        <f t="shared" si="24"/>
        <v>6132083000</v>
      </c>
      <c r="AB83">
        <f t="shared" si="24"/>
        <v>9198124500</v>
      </c>
      <c r="AC83">
        <f t="shared" si="24"/>
        <v>14716999200</v>
      </c>
      <c r="AD83">
        <f t="shared" si="24"/>
        <v>22075498800</v>
      </c>
      <c r="AE83">
        <f t="shared" si="10"/>
        <v>25754748600</v>
      </c>
      <c r="AF83">
        <f t="shared" si="10"/>
        <v>33726456500</v>
      </c>
      <c r="AG83">
        <f t="shared" si="10"/>
        <v>42924581000</v>
      </c>
      <c r="AK83">
        <v>77</v>
      </c>
      <c r="AL83" s="24">
        <f t="shared" si="21"/>
        <v>8.2636900000000004</v>
      </c>
      <c r="AM83">
        <f t="shared" si="23"/>
        <v>57.845830000000007</v>
      </c>
      <c r="AN83">
        <f t="shared" si="23"/>
        <v>82.636899999999997</v>
      </c>
      <c r="AO83">
        <f t="shared" si="23"/>
        <v>123.95535000000001</v>
      </c>
      <c r="AP83">
        <f t="shared" si="23"/>
        <v>165.27379999999999</v>
      </c>
      <c r="AQ83">
        <f t="shared" si="23"/>
        <v>289.22915</v>
      </c>
      <c r="AR83">
        <f t="shared" si="23"/>
        <v>413.18450000000001</v>
      </c>
      <c r="AS83">
        <f t="shared" si="23"/>
        <v>661.09519999999998</v>
      </c>
      <c r="AT83">
        <f t="shared" si="23"/>
        <v>991.64280000000008</v>
      </c>
      <c r="AU83">
        <f t="shared" si="23"/>
        <v>1404.8273000000002</v>
      </c>
      <c r="AV83">
        <f t="shared" si="23"/>
        <v>1983.2856000000002</v>
      </c>
      <c r="AW83">
        <f t="shared" si="23"/>
        <v>2727.0177000000003</v>
      </c>
      <c r="AX83">
        <f t="shared" si="23"/>
        <v>3801.2974000000004</v>
      </c>
      <c r="AY83">
        <f t="shared" si="23"/>
        <v>6610.9520000000002</v>
      </c>
      <c r="AZ83">
        <f t="shared" si="23"/>
        <v>12395.535</v>
      </c>
      <c r="BA83">
        <f t="shared" si="23"/>
        <v>20659.225000000002</v>
      </c>
      <c r="BB83">
        <f t="shared" si="23"/>
        <v>33054.76</v>
      </c>
      <c r="BC83">
        <f t="shared" si="22"/>
        <v>82636.900000000009</v>
      </c>
      <c r="BD83">
        <f t="shared" si="22"/>
        <v>123955.35</v>
      </c>
      <c r="BE83">
        <f t="shared" si="22"/>
        <v>198328.56</v>
      </c>
      <c r="BF83">
        <f t="shared" si="22"/>
        <v>247910.7</v>
      </c>
      <c r="BG83">
        <f t="shared" si="22"/>
        <v>826369</v>
      </c>
      <c r="BH83">
        <f t="shared" si="22"/>
        <v>2479107</v>
      </c>
      <c r="BI83">
        <f t="shared" si="22"/>
        <v>7024136.5</v>
      </c>
      <c r="BJ83">
        <f t="shared" si="22"/>
        <v>24791070</v>
      </c>
      <c r="BK83">
        <f t="shared" si="22"/>
        <v>82636900</v>
      </c>
      <c r="BL83" s="145">
        <v>78</v>
      </c>
    </row>
    <row r="84" spans="1:64" ht="17.25" thickBot="1" x14ac:dyDescent="0.25">
      <c r="A84" s="131">
        <v>80</v>
      </c>
      <c r="B84" s="132">
        <v>6132083</v>
      </c>
      <c r="D84" s="131">
        <v>80</v>
      </c>
      <c r="E84" s="132">
        <v>8.3683700000000005</v>
      </c>
      <c r="M84">
        <v>80</v>
      </c>
      <c r="N84">
        <f t="shared" si="20"/>
        <v>62467940</v>
      </c>
      <c r="O84">
        <f t="shared" si="24"/>
        <v>124935880</v>
      </c>
      <c r="P84">
        <f t="shared" si="24"/>
        <v>187403820</v>
      </c>
      <c r="Q84">
        <f t="shared" si="24"/>
        <v>249871760</v>
      </c>
      <c r="R84">
        <f t="shared" si="24"/>
        <v>374807640</v>
      </c>
      <c r="S84">
        <f t="shared" si="24"/>
        <v>437275580</v>
      </c>
      <c r="T84">
        <f t="shared" si="24"/>
        <v>624679400</v>
      </c>
      <c r="U84">
        <f t="shared" si="24"/>
        <v>937019100</v>
      </c>
      <c r="V84">
        <f t="shared" si="24"/>
        <v>1499230560</v>
      </c>
      <c r="W84">
        <f t="shared" si="24"/>
        <v>2248845840</v>
      </c>
      <c r="X84">
        <f t="shared" si="24"/>
        <v>3123397000</v>
      </c>
      <c r="Y84">
        <f t="shared" si="24"/>
        <v>3748076400</v>
      </c>
      <c r="Z84">
        <f t="shared" si="24"/>
        <v>5996922240</v>
      </c>
      <c r="AA84">
        <f t="shared" si="24"/>
        <v>6246794000</v>
      </c>
      <c r="AB84">
        <f t="shared" si="24"/>
        <v>9370191000</v>
      </c>
      <c r="AC84">
        <f t="shared" si="24"/>
        <v>14992305600</v>
      </c>
      <c r="AD84">
        <f t="shared" si="24"/>
        <v>22488458400</v>
      </c>
      <c r="AE84">
        <f t="shared" ref="AE84:AG147" si="25">(VLOOKUP(AE$3,$G$4:$H$23,2,0)*VLOOKUP($M84+1,$A$4:$B$1404,2,0)
)</f>
        <v>26236534800</v>
      </c>
      <c r="AF84">
        <f t="shared" si="25"/>
        <v>34357367000</v>
      </c>
      <c r="AG84">
        <f t="shared" si="25"/>
        <v>43727558000</v>
      </c>
      <c r="AK84">
        <v>78</v>
      </c>
      <c r="AL84" s="24">
        <f t="shared" si="21"/>
        <v>8.2989899999999999</v>
      </c>
      <c r="AM84">
        <f t="shared" si="23"/>
        <v>58.092929999999996</v>
      </c>
      <c r="AN84">
        <f t="shared" si="23"/>
        <v>82.989900000000006</v>
      </c>
      <c r="AO84">
        <f t="shared" si="23"/>
        <v>124.48484999999999</v>
      </c>
      <c r="AP84">
        <f t="shared" si="23"/>
        <v>165.97980000000001</v>
      </c>
      <c r="AQ84">
        <f t="shared" si="23"/>
        <v>290.46465000000001</v>
      </c>
      <c r="AR84">
        <f t="shared" si="23"/>
        <v>414.9495</v>
      </c>
      <c r="AS84">
        <f t="shared" si="23"/>
        <v>663.91920000000005</v>
      </c>
      <c r="AT84">
        <f t="shared" si="23"/>
        <v>995.87879999999996</v>
      </c>
      <c r="AU84">
        <f t="shared" si="23"/>
        <v>1410.8282999999999</v>
      </c>
      <c r="AV84">
        <f t="shared" si="23"/>
        <v>1991.7575999999999</v>
      </c>
      <c r="AW84">
        <f t="shared" si="23"/>
        <v>2738.6666999999998</v>
      </c>
      <c r="AX84">
        <f t="shared" si="23"/>
        <v>3817.5353999999998</v>
      </c>
      <c r="AY84">
        <f t="shared" si="23"/>
        <v>6639.192</v>
      </c>
      <c r="AZ84">
        <f t="shared" si="23"/>
        <v>12448.485000000001</v>
      </c>
      <c r="BA84">
        <f t="shared" si="23"/>
        <v>20747.474999999999</v>
      </c>
      <c r="BB84">
        <f t="shared" si="23"/>
        <v>33195.96</v>
      </c>
      <c r="BC84">
        <f t="shared" si="22"/>
        <v>82989.899999999994</v>
      </c>
      <c r="BD84">
        <f t="shared" si="22"/>
        <v>124484.84999999999</v>
      </c>
      <c r="BE84">
        <f t="shared" si="22"/>
        <v>199175.76</v>
      </c>
      <c r="BF84">
        <f t="shared" si="22"/>
        <v>248969.69999999998</v>
      </c>
      <c r="BG84">
        <f t="shared" si="22"/>
        <v>829899</v>
      </c>
      <c r="BH84">
        <f t="shared" si="22"/>
        <v>2489697</v>
      </c>
      <c r="BI84">
        <f t="shared" si="22"/>
        <v>7054141.5</v>
      </c>
      <c r="BJ84">
        <f t="shared" si="22"/>
        <v>24896970</v>
      </c>
      <c r="BK84">
        <f t="shared" si="22"/>
        <v>82989900</v>
      </c>
      <c r="BL84">
        <v>79</v>
      </c>
    </row>
    <row r="85" spans="1:64" ht="17.25" thickBot="1" x14ac:dyDescent="0.25">
      <c r="A85" s="131">
        <v>81</v>
      </c>
      <c r="B85" s="132">
        <v>6246794</v>
      </c>
      <c r="D85" s="131">
        <v>81</v>
      </c>
      <c r="E85" s="132">
        <v>8.4024699999999992</v>
      </c>
      <c r="M85">
        <v>81</v>
      </c>
      <c r="N85">
        <f t="shared" si="20"/>
        <v>63622110</v>
      </c>
      <c r="O85">
        <f t="shared" si="24"/>
        <v>127244220</v>
      </c>
      <c r="P85">
        <f t="shared" si="24"/>
        <v>190866330</v>
      </c>
      <c r="Q85">
        <f t="shared" si="24"/>
        <v>254488440</v>
      </c>
      <c r="R85">
        <f t="shared" si="24"/>
        <v>381732660</v>
      </c>
      <c r="S85">
        <f t="shared" si="24"/>
        <v>445354770</v>
      </c>
      <c r="T85">
        <f t="shared" si="24"/>
        <v>636221100</v>
      </c>
      <c r="U85">
        <f t="shared" si="24"/>
        <v>954331650</v>
      </c>
      <c r="V85">
        <f t="shared" si="24"/>
        <v>1526930640</v>
      </c>
      <c r="W85">
        <f t="shared" si="24"/>
        <v>2290395960</v>
      </c>
      <c r="X85">
        <f t="shared" si="24"/>
        <v>3181105500</v>
      </c>
      <c r="Y85">
        <f t="shared" si="24"/>
        <v>3817326600</v>
      </c>
      <c r="Z85">
        <f t="shared" si="24"/>
        <v>6107722560</v>
      </c>
      <c r="AA85">
        <f t="shared" si="24"/>
        <v>6362211000</v>
      </c>
      <c r="AB85">
        <f t="shared" si="24"/>
        <v>9543316500</v>
      </c>
      <c r="AC85">
        <f t="shared" si="24"/>
        <v>15269306400</v>
      </c>
      <c r="AD85">
        <f t="shared" si="24"/>
        <v>22903959600</v>
      </c>
      <c r="AE85">
        <f t="shared" si="25"/>
        <v>26721286200</v>
      </c>
      <c r="AF85">
        <f t="shared" si="25"/>
        <v>34992160500</v>
      </c>
      <c r="AG85">
        <f t="shared" si="25"/>
        <v>44535477000</v>
      </c>
      <c r="AK85">
        <v>79</v>
      </c>
      <c r="AL85" s="24">
        <f t="shared" si="21"/>
        <v>8.3338800000000006</v>
      </c>
      <c r="AM85">
        <f t="shared" si="23"/>
        <v>58.337160000000004</v>
      </c>
      <c r="AN85">
        <f t="shared" si="23"/>
        <v>83.338800000000006</v>
      </c>
      <c r="AO85">
        <f t="shared" si="23"/>
        <v>125.00820000000002</v>
      </c>
      <c r="AP85">
        <f t="shared" si="23"/>
        <v>166.67760000000001</v>
      </c>
      <c r="AQ85">
        <f t="shared" si="23"/>
        <v>291.68580000000003</v>
      </c>
      <c r="AR85">
        <f t="shared" si="23"/>
        <v>416.69400000000002</v>
      </c>
      <c r="AS85">
        <f t="shared" si="23"/>
        <v>666.71040000000005</v>
      </c>
      <c r="AT85">
        <f t="shared" si="23"/>
        <v>1000.0656000000001</v>
      </c>
      <c r="AU85">
        <f t="shared" si="23"/>
        <v>1416.7596000000001</v>
      </c>
      <c r="AV85">
        <f t="shared" si="23"/>
        <v>2000.1312000000003</v>
      </c>
      <c r="AW85">
        <f t="shared" si="23"/>
        <v>2750.1804000000002</v>
      </c>
      <c r="AX85">
        <f t="shared" si="23"/>
        <v>3833.5848000000001</v>
      </c>
      <c r="AY85">
        <f t="shared" si="23"/>
        <v>6667.1040000000003</v>
      </c>
      <c r="AZ85">
        <f t="shared" si="23"/>
        <v>12500.820000000002</v>
      </c>
      <c r="BA85">
        <f t="shared" si="23"/>
        <v>20834.7</v>
      </c>
      <c r="BB85">
        <f t="shared" si="23"/>
        <v>33335.520000000004</v>
      </c>
      <c r="BC85">
        <f t="shared" si="22"/>
        <v>83338.8</v>
      </c>
      <c r="BD85">
        <f t="shared" si="22"/>
        <v>125008.20000000001</v>
      </c>
      <c r="BE85">
        <f t="shared" si="22"/>
        <v>200013.12000000002</v>
      </c>
      <c r="BF85">
        <f t="shared" si="22"/>
        <v>250016.40000000002</v>
      </c>
      <c r="BG85">
        <f t="shared" si="22"/>
        <v>833388.00000000012</v>
      </c>
      <c r="BH85">
        <f t="shared" si="22"/>
        <v>2500164</v>
      </c>
      <c r="BI85">
        <f t="shared" si="22"/>
        <v>7083798.0000000009</v>
      </c>
      <c r="BJ85">
        <f t="shared" si="22"/>
        <v>25001640</v>
      </c>
      <c r="BK85">
        <f t="shared" si="22"/>
        <v>83338800</v>
      </c>
      <c r="BL85" s="145">
        <v>80</v>
      </c>
    </row>
    <row r="86" spans="1:64" ht="17.25" thickBot="1" x14ac:dyDescent="0.25">
      <c r="A86" s="131">
        <v>82</v>
      </c>
      <c r="B86" s="132">
        <v>6362211</v>
      </c>
      <c r="D86" s="131">
        <v>82</v>
      </c>
      <c r="E86" s="132">
        <v>8.4361800000000002</v>
      </c>
      <c r="M86">
        <v>82</v>
      </c>
      <c r="N86">
        <f t="shared" si="20"/>
        <v>64783330</v>
      </c>
      <c r="O86">
        <f t="shared" si="24"/>
        <v>129566660</v>
      </c>
      <c r="P86">
        <f t="shared" si="24"/>
        <v>194349990</v>
      </c>
      <c r="Q86">
        <f t="shared" si="24"/>
        <v>259133320</v>
      </c>
      <c r="R86">
        <f t="shared" si="24"/>
        <v>388699980</v>
      </c>
      <c r="S86">
        <f t="shared" si="24"/>
        <v>453483310</v>
      </c>
      <c r="T86">
        <f t="shared" si="24"/>
        <v>647833300</v>
      </c>
      <c r="U86">
        <f t="shared" si="24"/>
        <v>971749950</v>
      </c>
      <c r="V86">
        <f t="shared" si="24"/>
        <v>1554799920</v>
      </c>
      <c r="W86">
        <f t="shared" si="24"/>
        <v>2332199880</v>
      </c>
      <c r="X86">
        <f t="shared" si="24"/>
        <v>3239166500</v>
      </c>
      <c r="Y86">
        <f t="shared" si="24"/>
        <v>3886999800</v>
      </c>
      <c r="Z86">
        <f t="shared" si="24"/>
        <v>6219199680</v>
      </c>
      <c r="AA86">
        <f t="shared" si="24"/>
        <v>6478333000</v>
      </c>
      <c r="AB86">
        <f t="shared" si="24"/>
        <v>9717499500</v>
      </c>
      <c r="AC86">
        <f t="shared" si="24"/>
        <v>15547999200</v>
      </c>
      <c r="AD86">
        <f t="shared" si="24"/>
        <v>23321998800</v>
      </c>
      <c r="AE86">
        <f t="shared" si="25"/>
        <v>27208998600</v>
      </c>
      <c r="AF86">
        <f t="shared" si="25"/>
        <v>35630831500</v>
      </c>
      <c r="AG86">
        <f t="shared" si="25"/>
        <v>45348331000</v>
      </c>
      <c r="AK86">
        <v>80</v>
      </c>
      <c r="AL86" s="24">
        <f t="shared" si="21"/>
        <v>8.3683700000000005</v>
      </c>
      <c r="AM86">
        <f t="shared" si="23"/>
        <v>58.578590000000005</v>
      </c>
      <c r="AN86">
        <f t="shared" si="23"/>
        <v>83.683700000000002</v>
      </c>
      <c r="AO86">
        <f t="shared" si="23"/>
        <v>125.52555000000001</v>
      </c>
      <c r="AP86">
        <f t="shared" si="23"/>
        <v>167.3674</v>
      </c>
      <c r="AQ86">
        <f t="shared" si="23"/>
        <v>292.89295000000004</v>
      </c>
      <c r="AR86">
        <f t="shared" si="23"/>
        <v>418.41850000000005</v>
      </c>
      <c r="AS86">
        <f t="shared" si="23"/>
        <v>669.46960000000001</v>
      </c>
      <c r="AT86">
        <f t="shared" si="23"/>
        <v>1004.2044000000001</v>
      </c>
      <c r="AU86">
        <f t="shared" si="23"/>
        <v>1422.6229000000001</v>
      </c>
      <c r="AV86">
        <f t="shared" si="23"/>
        <v>2008.4088000000002</v>
      </c>
      <c r="AW86">
        <f t="shared" si="23"/>
        <v>2761.5621000000001</v>
      </c>
      <c r="AX86">
        <f t="shared" si="23"/>
        <v>3849.4502000000002</v>
      </c>
      <c r="AY86">
        <f t="shared" si="23"/>
        <v>6694.6960000000008</v>
      </c>
      <c r="AZ86">
        <f t="shared" si="23"/>
        <v>12552.555</v>
      </c>
      <c r="BA86">
        <f t="shared" si="23"/>
        <v>20920.925000000003</v>
      </c>
      <c r="BB86">
        <f t="shared" si="23"/>
        <v>33473.480000000003</v>
      </c>
      <c r="BC86">
        <f t="shared" si="22"/>
        <v>83683.700000000012</v>
      </c>
      <c r="BD86">
        <f t="shared" si="22"/>
        <v>125525.55</v>
      </c>
      <c r="BE86">
        <f t="shared" si="22"/>
        <v>200840.88</v>
      </c>
      <c r="BF86">
        <f t="shared" si="22"/>
        <v>251051.1</v>
      </c>
      <c r="BG86">
        <f t="shared" si="22"/>
        <v>836837</v>
      </c>
      <c r="BH86">
        <f t="shared" si="22"/>
        <v>2510511</v>
      </c>
      <c r="BI86">
        <f t="shared" si="22"/>
        <v>7113114.5</v>
      </c>
      <c r="BJ86">
        <f t="shared" si="22"/>
        <v>25105110</v>
      </c>
      <c r="BK86">
        <f t="shared" si="22"/>
        <v>83683700</v>
      </c>
      <c r="BL86">
        <v>81</v>
      </c>
    </row>
    <row r="87" spans="1:64" ht="17.25" thickBot="1" x14ac:dyDescent="0.25">
      <c r="A87" s="131">
        <v>83</v>
      </c>
      <c r="B87" s="132">
        <v>6478333</v>
      </c>
      <c r="D87" s="131">
        <v>83</v>
      </c>
      <c r="E87" s="132">
        <v>8.4695199999999993</v>
      </c>
      <c r="M87">
        <v>83</v>
      </c>
      <c r="N87">
        <f t="shared" si="20"/>
        <v>65951490</v>
      </c>
      <c r="O87">
        <f t="shared" si="24"/>
        <v>131902980</v>
      </c>
      <c r="P87">
        <f t="shared" si="24"/>
        <v>197854470</v>
      </c>
      <c r="Q87">
        <f t="shared" si="24"/>
        <v>263805960</v>
      </c>
      <c r="R87">
        <f t="shared" si="24"/>
        <v>395708940</v>
      </c>
      <c r="S87">
        <f t="shared" si="24"/>
        <v>461660430</v>
      </c>
      <c r="T87">
        <f t="shared" si="24"/>
        <v>659514900</v>
      </c>
      <c r="U87">
        <f t="shared" si="24"/>
        <v>989272350</v>
      </c>
      <c r="V87">
        <f t="shared" si="24"/>
        <v>1582835760</v>
      </c>
      <c r="W87">
        <f t="shared" si="24"/>
        <v>2374253640</v>
      </c>
      <c r="X87">
        <f t="shared" si="24"/>
        <v>3297574500</v>
      </c>
      <c r="Y87">
        <f t="shared" si="24"/>
        <v>3957089400</v>
      </c>
      <c r="Z87">
        <f t="shared" si="24"/>
        <v>6331343040</v>
      </c>
      <c r="AA87">
        <f t="shared" si="24"/>
        <v>6595149000</v>
      </c>
      <c r="AB87">
        <f t="shared" si="24"/>
        <v>9892723500</v>
      </c>
      <c r="AC87">
        <f t="shared" si="24"/>
        <v>15828357600</v>
      </c>
      <c r="AD87">
        <f t="shared" si="24"/>
        <v>23742536400</v>
      </c>
      <c r="AE87">
        <f t="shared" si="25"/>
        <v>27699625800</v>
      </c>
      <c r="AF87">
        <f t="shared" si="25"/>
        <v>36273319500</v>
      </c>
      <c r="AG87">
        <f t="shared" si="25"/>
        <v>46166043000</v>
      </c>
      <c r="AK87">
        <v>81</v>
      </c>
      <c r="AL87" s="24">
        <f t="shared" si="21"/>
        <v>8.4024699999999992</v>
      </c>
      <c r="AM87">
        <f t="shared" si="23"/>
        <v>58.817289999999993</v>
      </c>
      <c r="AN87">
        <f t="shared" si="23"/>
        <v>84.024699999999996</v>
      </c>
      <c r="AO87">
        <f t="shared" si="23"/>
        <v>126.03704999999999</v>
      </c>
      <c r="AP87">
        <f t="shared" si="23"/>
        <v>168.04939999999999</v>
      </c>
      <c r="AQ87">
        <f t="shared" si="23"/>
        <v>294.08644999999996</v>
      </c>
      <c r="AR87">
        <f t="shared" si="23"/>
        <v>420.12349999999998</v>
      </c>
      <c r="AS87">
        <f t="shared" si="23"/>
        <v>672.19759999999997</v>
      </c>
      <c r="AT87">
        <f t="shared" si="23"/>
        <v>1008.2963999999999</v>
      </c>
      <c r="AU87">
        <f t="shared" si="23"/>
        <v>1428.4198999999999</v>
      </c>
      <c r="AV87">
        <f t="shared" si="23"/>
        <v>2016.5927999999999</v>
      </c>
      <c r="AW87">
        <f t="shared" si="23"/>
        <v>2772.8150999999998</v>
      </c>
      <c r="AX87">
        <f t="shared" si="23"/>
        <v>3865.1361999999995</v>
      </c>
      <c r="AY87">
        <f t="shared" si="23"/>
        <v>6721.9759999999997</v>
      </c>
      <c r="AZ87">
        <f t="shared" si="23"/>
        <v>12603.704999999998</v>
      </c>
      <c r="BA87">
        <f t="shared" si="23"/>
        <v>21006.174999999999</v>
      </c>
      <c r="BB87">
        <f t="shared" si="23"/>
        <v>33609.879999999997</v>
      </c>
      <c r="BC87">
        <f t="shared" si="22"/>
        <v>84024.7</v>
      </c>
      <c r="BD87">
        <f t="shared" si="22"/>
        <v>126037.04999999999</v>
      </c>
      <c r="BE87">
        <f t="shared" si="22"/>
        <v>201659.27999999997</v>
      </c>
      <c r="BF87">
        <f t="shared" si="22"/>
        <v>252074.09999999998</v>
      </c>
      <c r="BG87">
        <f t="shared" si="22"/>
        <v>840246.99999999988</v>
      </c>
      <c r="BH87">
        <f t="shared" si="22"/>
        <v>2520740.9999999995</v>
      </c>
      <c r="BI87">
        <f t="shared" si="22"/>
        <v>7142099.4999999991</v>
      </c>
      <c r="BJ87">
        <f t="shared" si="22"/>
        <v>25207409.999999996</v>
      </c>
      <c r="BK87">
        <f t="shared" si="22"/>
        <v>84024699.999999985</v>
      </c>
      <c r="BL87" s="145">
        <v>82</v>
      </c>
    </row>
    <row r="88" spans="1:64" ht="17.25" thickBot="1" x14ac:dyDescent="0.25">
      <c r="A88" s="131">
        <v>84</v>
      </c>
      <c r="B88" s="132">
        <v>6595149</v>
      </c>
      <c r="D88" s="131">
        <v>84</v>
      </c>
      <c r="E88" s="132">
        <v>8.5024899999999999</v>
      </c>
      <c r="M88">
        <v>84</v>
      </c>
      <c r="N88">
        <f t="shared" si="20"/>
        <v>67126610</v>
      </c>
      <c r="O88">
        <f t="shared" si="24"/>
        <v>134253220</v>
      </c>
      <c r="P88">
        <f t="shared" si="24"/>
        <v>201379830</v>
      </c>
      <c r="Q88">
        <f t="shared" si="24"/>
        <v>268506440</v>
      </c>
      <c r="R88">
        <f t="shared" si="24"/>
        <v>402759660</v>
      </c>
      <c r="S88">
        <f t="shared" si="24"/>
        <v>469886270</v>
      </c>
      <c r="T88">
        <f t="shared" si="24"/>
        <v>671266100</v>
      </c>
      <c r="U88">
        <f t="shared" si="24"/>
        <v>1006899150</v>
      </c>
      <c r="V88">
        <f t="shared" si="24"/>
        <v>1611038640</v>
      </c>
      <c r="W88">
        <f t="shared" si="24"/>
        <v>2416557960</v>
      </c>
      <c r="X88">
        <f t="shared" si="24"/>
        <v>3356330500</v>
      </c>
      <c r="Y88">
        <f t="shared" si="24"/>
        <v>4027596600</v>
      </c>
      <c r="Z88">
        <f t="shared" si="24"/>
        <v>6444154560</v>
      </c>
      <c r="AA88">
        <f t="shared" si="24"/>
        <v>6712661000</v>
      </c>
      <c r="AB88">
        <f t="shared" si="24"/>
        <v>10068991500</v>
      </c>
      <c r="AC88">
        <f t="shared" si="24"/>
        <v>16110386400</v>
      </c>
      <c r="AD88">
        <f t="shared" si="24"/>
        <v>24165579600</v>
      </c>
      <c r="AE88">
        <f t="shared" si="25"/>
        <v>28193176200</v>
      </c>
      <c r="AF88">
        <f t="shared" si="25"/>
        <v>36919635500</v>
      </c>
      <c r="AG88">
        <f t="shared" si="25"/>
        <v>46988627000</v>
      </c>
      <c r="AK88">
        <v>82</v>
      </c>
      <c r="AL88" s="24">
        <f t="shared" si="21"/>
        <v>8.4361800000000002</v>
      </c>
      <c r="AM88">
        <f t="shared" si="23"/>
        <v>59.053260000000002</v>
      </c>
      <c r="AN88">
        <f t="shared" si="23"/>
        <v>84.361800000000002</v>
      </c>
      <c r="AO88">
        <f t="shared" si="23"/>
        <v>126.5427</v>
      </c>
      <c r="AP88">
        <f t="shared" si="23"/>
        <v>168.7236</v>
      </c>
      <c r="AQ88">
        <f t="shared" si="23"/>
        <v>295.2663</v>
      </c>
      <c r="AR88">
        <f t="shared" si="23"/>
        <v>421.80900000000003</v>
      </c>
      <c r="AS88">
        <f t="shared" si="23"/>
        <v>674.89440000000002</v>
      </c>
      <c r="AT88">
        <f t="shared" si="23"/>
        <v>1012.3416</v>
      </c>
      <c r="AU88">
        <f t="shared" si="23"/>
        <v>1434.1505999999999</v>
      </c>
      <c r="AV88">
        <f t="shared" si="23"/>
        <v>2024.6831999999999</v>
      </c>
      <c r="AW88">
        <f t="shared" si="23"/>
        <v>2783.9394000000002</v>
      </c>
      <c r="AX88">
        <f t="shared" si="23"/>
        <v>3880.6428000000001</v>
      </c>
      <c r="AY88">
        <f t="shared" si="23"/>
        <v>6748.9440000000004</v>
      </c>
      <c r="AZ88">
        <f t="shared" si="23"/>
        <v>12654.27</v>
      </c>
      <c r="BA88">
        <f t="shared" si="23"/>
        <v>21090.45</v>
      </c>
      <c r="BB88">
        <f t="shared" si="23"/>
        <v>33744.720000000001</v>
      </c>
      <c r="BC88">
        <f t="shared" si="22"/>
        <v>84361.8</v>
      </c>
      <c r="BD88">
        <f t="shared" si="22"/>
        <v>126542.7</v>
      </c>
      <c r="BE88">
        <f t="shared" si="22"/>
        <v>202468.32</v>
      </c>
      <c r="BF88">
        <f t="shared" si="22"/>
        <v>253085.4</v>
      </c>
      <c r="BG88">
        <f t="shared" si="22"/>
        <v>843618</v>
      </c>
      <c r="BH88">
        <f t="shared" si="22"/>
        <v>2530854</v>
      </c>
      <c r="BI88">
        <f t="shared" si="22"/>
        <v>7170753</v>
      </c>
      <c r="BJ88">
        <f t="shared" si="22"/>
        <v>25308540</v>
      </c>
      <c r="BK88">
        <f t="shared" si="22"/>
        <v>84361800</v>
      </c>
      <c r="BL88">
        <v>83</v>
      </c>
    </row>
    <row r="89" spans="1:64" ht="17.25" thickBot="1" x14ac:dyDescent="0.25">
      <c r="A89" s="131">
        <v>85</v>
      </c>
      <c r="B89" s="132">
        <v>6712661</v>
      </c>
      <c r="D89" s="131">
        <v>85</v>
      </c>
      <c r="E89" s="132">
        <v>8.5350999999999999</v>
      </c>
      <c r="M89">
        <v>85</v>
      </c>
      <c r="N89">
        <f t="shared" si="20"/>
        <v>68308610</v>
      </c>
      <c r="O89">
        <f t="shared" si="24"/>
        <v>136617220</v>
      </c>
      <c r="P89">
        <f t="shared" si="24"/>
        <v>204925830</v>
      </c>
      <c r="Q89">
        <f t="shared" si="24"/>
        <v>273234440</v>
      </c>
      <c r="R89">
        <f t="shared" si="24"/>
        <v>409851660</v>
      </c>
      <c r="S89">
        <f t="shared" si="24"/>
        <v>478160270</v>
      </c>
      <c r="T89">
        <f t="shared" si="24"/>
        <v>683086100</v>
      </c>
      <c r="U89">
        <f t="shared" si="24"/>
        <v>1024629150</v>
      </c>
      <c r="V89">
        <f t="shared" si="24"/>
        <v>1639406640</v>
      </c>
      <c r="W89">
        <f t="shared" si="24"/>
        <v>2459109960</v>
      </c>
      <c r="X89">
        <f t="shared" si="24"/>
        <v>3415430500</v>
      </c>
      <c r="Y89">
        <f t="shared" si="24"/>
        <v>4098516600</v>
      </c>
      <c r="Z89">
        <f t="shared" si="24"/>
        <v>6557626560</v>
      </c>
      <c r="AA89">
        <f t="shared" si="24"/>
        <v>6830861000</v>
      </c>
      <c r="AB89">
        <f t="shared" si="24"/>
        <v>10246291500</v>
      </c>
      <c r="AC89">
        <f t="shared" si="24"/>
        <v>16394066400</v>
      </c>
      <c r="AD89">
        <f t="shared" si="24"/>
        <v>24591099600</v>
      </c>
      <c r="AE89">
        <f t="shared" si="25"/>
        <v>28689616200</v>
      </c>
      <c r="AF89">
        <f t="shared" si="25"/>
        <v>37569735500</v>
      </c>
      <c r="AG89">
        <f t="shared" si="25"/>
        <v>47816027000</v>
      </c>
      <c r="AK89">
        <v>83</v>
      </c>
      <c r="AL89" s="24">
        <f t="shared" si="21"/>
        <v>8.4695199999999993</v>
      </c>
      <c r="AM89">
        <f t="shared" si="23"/>
        <v>59.286639999999991</v>
      </c>
      <c r="AN89">
        <f t="shared" si="23"/>
        <v>84.6952</v>
      </c>
      <c r="AO89">
        <f t="shared" si="23"/>
        <v>127.04279999999999</v>
      </c>
      <c r="AP89">
        <f t="shared" si="23"/>
        <v>169.3904</v>
      </c>
      <c r="AQ89">
        <f t="shared" si="23"/>
        <v>296.4332</v>
      </c>
      <c r="AR89">
        <f t="shared" si="23"/>
        <v>423.47599999999994</v>
      </c>
      <c r="AS89">
        <f t="shared" si="23"/>
        <v>677.5616</v>
      </c>
      <c r="AT89">
        <f t="shared" si="23"/>
        <v>1016.3423999999999</v>
      </c>
      <c r="AU89">
        <f t="shared" si="23"/>
        <v>1439.8183999999999</v>
      </c>
      <c r="AV89">
        <f t="shared" si="23"/>
        <v>2032.6847999999998</v>
      </c>
      <c r="AW89">
        <f t="shared" si="23"/>
        <v>2794.9415999999997</v>
      </c>
      <c r="AX89">
        <f t="shared" si="23"/>
        <v>3895.9791999999998</v>
      </c>
      <c r="AY89">
        <f t="shared" si="23"/>
        <v>6775.6159999999991</v>
      </c>
      <c r="AZ89">
        <f t="shared" si="23"/>
        <v>12704.279999999999</v>
      </c>
      <c r="BA89">
        <f t="shared" si="23"/>
        <v>21173.8</v>
      </c>
      <c r="BB89">
        <f t="shared" si="23"/>
        <v>33878.079999999994</v>
      </c>
      <c r="BC89">
        <f t="shared" si="22"/>
        <v>84695.2</v>
      </c>
      <c r="BD89">
        <f t="shared" si="22"/>
        <v>127042.79999999999</v>
      </c>
      <c r="BE89">
        <f t="shared" si="22"/>
        <v>203268.47999999998</v>
      </c>
      <c r="BF89">
        <f t="shared" si="22"/>
        <v>254085.59999999998</v>
      </c>
      <c r="BG89">
        <f t="shared" si="22"/>
        <v>846951.99999999988</v>
      </c>
      <c r="BH89">
        <f t="shared" si="22"/>
        <v>2540856</v>
      </c>
      <c r="BI89">
        <f t="shared" si="22"/>
        <v>7199091.9999999991</v>
      </c>
      <c r="BJ89">
        <f t="shared" si="22"/>
        <v>25408559.999999996</v>
      </c>
      <c r="BK89">
        <f t="shared" si="22"/>
        <v>84695200</v>
      </c>
      <c r="BL89" s="145">
        <v>84</v>
      </c>
    </row>
    <row r="90" spans="1:64" ht="17.25" thickBot="1" x14ac:dyDescent="0.25">
      <c r="A90" s="131">
        <v>86</v>
      </c>
      <c r="B90" s="132">
        <v>6830861</v>
      </c>
      <c r="D90" s="131">
        <v>86</v>
      </c>
      <c r="E90" s="132">
        <v>8.5673600000000008</v>
      </c>
      <c r="M90">
        <v>86</v>
      </c>
      <c r="N90">
        <f t="shared" si="20"/>
        <v>69497440</v>
      </c>
      <c r="O90">
        <f t="shared" si="24"/>
        <v>138994880</v>
      </c>
      <c r="P90">
        <f t="shared" si="24"/>
        <v>208492320</v>
      </c>
      <c r="Q90">
        <f t="shared" si="24"/>
        <v>277989760</v>
      </c>
      <c r="R90">
        <f t="shared" si="24"/>
        <v>416984640</v>
      </c>
      <c r="S90">
        <f t="shared" si="24"/>
        <v>486482080</v>
      </c>
      <c r="T90">
        <f t="shared" si="24"/>
        <v>694974400</v>
      </c>
      <c r="U90">
        <f t="shared" si="24"/>
        <v>1042461600</v>
      </c>
      <c r="V90">
        <f t="shared" si="24"/>
        <v>1667938560</v>
      </c>
      <c r="W90">
        <f t="shared" si="24"/>
        <v>2501907840</v>
      </c>
      <c r="X90">
        <f t="shared" si="24"/>
        <v>3474872000</v>
      </c>
      <c r="Y90">
        <f t="shared" si="24"/>
        <v>4169846400</v>
      </c>
      <c r="Z90">
        <f t="shared" si="24"/>
        <v>6671754240</v>
      </c>
      <c r="AA90">
        <f t="shared" si="24"/>
        <v>6949744000</v>
      </c>
      <c r="AB90">
        <f t="shared" si="24"/>
        <v>10424616000</v>
      </c>
      <c r="AC90">
        <f t="shared" si="24"/>
        <v>16679385600</v>
      </c>
      <c r="AD90">
        <f t="shared" si="24"/>
        <v>25019078400</v>
      </c>
      <c r="AE90">
        <f t="shared" si="25"/>
        <v>29188924800</v>
      </c>
      <c r="AF90">
        <f t="shared" si="25"/>
        <v>38223592000</v>
      </c>
      <c r="AG90">
        <f t="shared" si="25"/>
        <v>48648208000</v>
      </c>
      <c r="AK90">
        <v>84</v>
      </c>
      <c r="AL90" s="24">
        <f t="shared" si="21"/>
        <v>8.5024899999999999</v>
      </c>
      <c r="AM90">
        <f t="shared" si="23"/>
        <v>59.517429999999997</v>
      </c>
      <c r="AN90">
        <f t="shared" si="23"/>
        <v>85.024900000000002</v>
      </c>
      <c r="AO90">
        <f t="shared" si="23"/>
        <v>127.53735</v>
      </c>
      <c r="AP90">
        <f t="shared" si="23"/>
        <v>170.0498</v>
      </c>
      <c r="AQ90">
        <f t="shared" si="23"/>
        <v>297.58715000000001</v>
      </c>
      <c r="AR90">
        <f t="shared" si="23"/>
        <v>425.12450000000001</v>
      </c>
      <c r="AS90">
        <f t="shared" si="23"/>
        <v>680.19920000000002</v>
      </c>
      <c r="AT90">
        <f t="shared" si="23"/>
        <v>1020.2988</v>
      </c>
      <c r="AU90">
        <f t="shared" si="23"/>
        <v>1445.4232999999999</v>
      </c>
      <c r="AV90">
        <f t="shared" si="23"/>
        <v>2040.5976000000001</v>
      </c>
      <c r="AW90">
        <f t="shared" si="23"/>
        <v>2805.8217</v>
      </c>
      <c r="AX90">
        <f t="shared" si="23"/>
        <v>3911.1453999999999</v>
      </c>
      <c r="AY90">
        <f t="shared" si="23"/>
        <v>6801.9920000000002</v>
      </c>
      <c r="AZ90">
        <f t="shared" si="23"/>
        <v>12753.735000000001</v>
      </c>
      <c r="BA90">
        <f t="shared" si="23"/>
        <v>21256.224999999999</v>
      </c>
      <c r="BB90">
        <f t="shared" si="23"/>
        <v>34009.96</v>
      </c>
      <c r="BC90">
        <f t="shared" si="22"/>
        <v>85024.9</v>
      </c>
      <c r="BD90">
        <f t="shared" si="22"/>
        <v>127537.34999999999</v>
      </c>
      <c r="BE90">
        <f t="shared" si="22"/>
        <v>204059.76</v>
      </c>
      <c r="BF90">
        <f t="shared" si="22"/>
        <v>255074.69999999998</v>
      </c>
      <c r="BG90">
        <f t="shared" si="22"/>
        <v>850249</v>
      </c>
      <c r="BH90">
        <f t="shared" si="22"/>
        <v>2550747</v>
      </c>
      <c r="BI90">
        <f t="shared" si="22"/>
        <v>7227116.5</v>
      </c>
      <c r="BJ90">
        <f t="shared" si="22"/>
        <v>25507470</v>
      </c>
      <c r="BK90">
        <f t="shared" si="22"/>
        <v>85024900</v>
      </c>
      <c r="BL90">
        <v>85</v>
      </c>
    </row>
    <row r="91" spans="1:64" ht="17.25" thickBot="1" x14ac:dyDescent="0.25">
      <c r="A91" s="131">
        <v>87</v>
      </c>
      <c r="B91" s="132">
        <v>6949744</v>
      </c>
      <c r="D91" s="131">
        <v>87</v>
      </c>
      <c r="E91" s="132">
        <v>8.5992800000000003</v>
      </c>
      <c r="M91">
        <v>87</v>
      </c>
      <c r="N91">
        <f t="shared" si="20"/>
        <v>70693110</v>
      </c>
      <c r="O91">
        <f t="shared" si="24"/>
        <v>141386220</v>
      </c>
      <c r="P91">
        <f t="shared" si="24"/>
        <v>212079330</v>
      </c>
      <c r="Q91">
        <f t="shared" si="24"/>
        <v>282772440</v>
      </c>
      <c r="R91">
        <f t="shared" si="24"/>
        <v>424158660</v>
      </c>
      <c r="S91">
        <f t="shared" si="24"/>
        <v>494851770</v>
      </c>
      <c r="T91">
        <f t="shared" si="24"/>
        <v>706931100</v>
      </c>
      <c r="U91">
        <f t="shared" si="24"/>
        <v>1060396650</v>
      </c>
      <c r="V91">
        <f t="shared" si="24"/>
        <v>1696634640</v>
      </c>
      <c r="W91">
        <f t="shared" si="24"/>
        <v>2544951960</v>
      </c>
      <c r="X91">
        <f t="shared" si="24"/>
        <v>3534655500</v>
      </c>
      <c r="Y91">
        <f t="shared" si="24"/>
        <v>4241586600</v>
      </c>
      <c r="Z91">
        <f t="shared" si="24"/>
        <v>6786538560</v>
      </c>
      <c r="AA91">
        <f t="shared" si="24"/>
        <v>7069311000</v>
      </c>
      <c r="AB91">
        <f t="shared" si="24"/>
        <v>10603966500</v>
      </c>
      <c r="AC91">
        <f t="shared" si="24"/>
        <v>16966346400</v>
      </c>
      <c r="AD91">
        <f t="shared" si="24"/>
        <v>25449519600</v>
      </c>
      <c r="AE91">
        <f t="shared" si="25"/>
        <v>29691106200</v>
      </c>
      <c r="AF91">
        <f t="shared" si="25"/>
        <v>38881210500</v>
      </c>
      <c r="AG91">
        <f t="shared" si="25"/>
        <v>49485177000</v>
      </c>
      <c r="AK91">
        <v>85</v>
      </c>
      <c r="AL91" s="24">
        <f t="shared" si="21"/>
        <v>8.5350999999999999</v>
      </c>
      <c r="AM91">
        <f t="shared" si="23"/>
        <v>59.745699999999999</v>
      </c>
      <c r="AN91">
        <f t="shared" si="23"/>
        <v>85.350999999999999</v>
      </c>
      <c r="AO91">
        <f t="shared" si="23"/>
        <v>128.0265</v>
      </c>
      <c r="AP91">
        <f t="shared" si="23"/>
        <v>170.702</v>
      </c>
      <c r="AQ91">
        <f t="shared" si="23"/>
        <v>298.7285</v>
      </c>
      <c r="AR91">
        <f t="shared" si="23"/>
        <v>426.755</v>
      </c>
      <c r="AS91">
        <f t="shared" si="23"/>
        <v>682.80799999999999</v>
      </c>
      <c r="AT91">
        <f t="shared" si="23"/>
        <v>1024.212</v>
      </c>
      <c r="AU91">
        <f t="shared" si="23"/>
        <v>1450.9670000000001</v>
      </c>
      <c r="AV91">
        <f t="shared" si="23"/>
        <v>2048.424</v>
      </c>
      <c r="AW91">
        <f t="shared" si="23"/>
        <v>2816.5830000000001</v>
      </c>
      <c r="AX91">
        <f t="shared" si="23"/>
        <v>3926.1459999999997</v>
      </c>
      <c r="AY91">
        <f t="shared" si="23"/>
        <v>6828.08</v>
      </c>
      <c r="AZ91">
        <f t="shared" si="23"/>
        <v>12802.65</v>
      </c>
      <c r="BA91">
        <f t="shared" si="23"/>
        <v>21337.75</v>
      </c>
      <c r="BB91">
        <f t="shared" si="23"/>
        <v>34140.400000000001</v>
      </c>
      <c r="BC91">
        <f t="shared" si="22"/>
        <v>85351</v>
      </c>
      <c r="BD91">
        <f t="shared" si="22"/>
        <v>128026.5</v>
      </c>
      <c r="BE91">
        <f t="shared" si="22"/>
        <v>204842.4</v>
      </c>
      <c r="BF91">
        <f t="shared" si="22"/>
        <v>256053</v>
      </c>
      <c r="BG91">
        <f t="shared" si="22"/>
        <v>853510</v>
      </c>
      <c r="BH91">
        <f t="shared" si="22"/>
        <v>2560530</v>
      </c>
      <c r="BI91">
        <f t="shared" si="22"/>
        <v>7254835</v>
      </c>
      <c r="BJ91">
        <f t="shared" si="22"/>
        <v>25605300</v>
      </c>
      <c r="BK91">
        <f t="shared" si="22"/>
        <v>85351000</v>
      </c>
      <c r="BL91" s="145">
        <v>86</v>
      </c>
    </row>
    <row r="92" spans="1:64" ht="17.25" thickBot="1" x14ac:dyDescent="0.25">
      <c r="A92" s="131">
        <v>88</v>
      </c>
      <c r="B92" s="132">
        <v>7069311</v>
      </c>
      <c r="D92" s="131">
        <v>88</v>
      </c>
      <c r="E92" s="132">
        <v>8.6308600000000002</v>
      </c>
      <c r="M92">
        <v>88</v>
      </c>
      <c r="N92">
        <f t="shared" si="20"/>
        <v>71895550</v>
      </c>
      <c r="O92">
        <f t="shared" si="24"/>
        <v>143791100</v>
      </c>
      <c r="P92">
        <f t="shared" si="24"/>
        <v>215686650</v>
      </c>
      <c r="Q92">
        <f t="shared" si="24"/>
        <v>287582200</v>
      </c>
      <c r="R92">
        <f t="shared" si="24"/>
        <v>431373300</v>
      </c>
      <c r="S92">
        <f t="shared" si="24"/>
        <v>503268850</v>
      </c>
      <c r="T92">
        <f t="shared" si="24"/>
        <v>718955500</v>
      </c>
      <c r="U92">
        <f t="shared" si="24"/>
        <v>1078433250</v>
      </c>
      <c r="V92">
        <f t="shared" si="24"/>
        <v>1725493200</v>
      </c>
      <c r="W92">
        <f t="shared" si="24"/>
        <v>2588239800</v>
      </c>
      <c r="X92">
        <f t="shared" si="24"/>
        <v>3594777500</v>
      </c>
      <c r="Y92">
        <f t="shared" si="24"/>
        <v>4313733000</v>
      </c>
      <c r="Z92">
        <f t="shared" si="24"/>
        <v>6901972800</v>
      </c>
      <c r="AA92">
        <f t="shared" si="24"/>
        <v>7189555000</v>
      </c>
      <c r="AB92">
        <f t="shared" si="24"/>
        <v>10784332500</v>
      </c>
      <c r="AC92">
        <f t="shared" si="24"/>
        <v>17254932000</v>
      </c>
      <c r="AD92">
        <f t="shared" si="24"/>
        <v>25882398000</v>
      </c>
      <c r="AE92">
        <f t="shared" si="25"/>
        <v>30196131000</v>
      </c>
      <c r="AF92">
        <f t="shared" si="25"/>
        <v>39542552500</v>
      </c>
      <c r="AG92">
        <f t="shared" si="25"/>
        <v>50326885000</v>
      </c>
      <c r="AK92">
        <v>86</v>
      </c>
      <c r="AL92" s="24">
        <f t="shared" si="21"/>
        <v>8.5673600000000008</v>
      </c>
      <c r="AM92">
        <f t="shared" si="23"/>
        <v>59.971520000000005</v>
      </c>
      <c r="AN92">
        <f t="shared" si="23"/>
        <v>85.673600000000008</v>
      </c>
      <c r="AO92">
        <f t="shared" si="23"/>
        <v>128.5104</v>
      </c>
      <c r="AP92">
        <f t="shared" si="23"/>
        <v>171.34720000000002</v>
      </c>
      <c r="AQ92">
        <f t="shared" si="23"/>
        <v>299.85760000000005</v>
      </c>
      <c r="AR92">
        <f t="shared" si="23"/>
        <v>428.36800000000005</v>
      </c>
      <c r="AS92">
        <f t="shared" si="23"/>
        <v>685.38880000000006</v>
      </c>
      <c r="AT92">
        <f t="shared" si="23"/>
        <v>1028.0832</v>
      </c>
      <c r="AU92">
        <f t="shared" si="23"/>
        <v>1456.4512000000002</v>
      </c>
      <c r="AV92">
        <f t="shared" si="23"/>
        <v>2056.1664000000001</v>
      </c>
      <c r="AW92">
        <f t="shared" si="23"/>
        <v>2827.2288000000003</v>
      </c>
      <c r="AX92">
        <f t="shared" si="23"/>
        <v>3940.9856000000004</v>
      </c>
      <c r="AY92">
        <f t="shared" si="23"/>
        <v>6853.8880000000008</v>
      </c>
      <c r="AZ92">
        <f t="shared" si="23"/>
        <v>12851.04</v>
      </c>
      <c r="BA92">
        <f t="shared" si="23"/>
        <v>21418.400000000001</v>
      </c>
      <c r="BB92">
        <f t="shared" si="23"/>
        <v>34269.440000000002</v>
      </c>
      <c r="BC92">
        <f t="shared" si="22"/>
        <v>85673.600000000006</v>
      </c>
      <c r="BD92">
        <f t="shared" si="22"/>
        <v>128510.40000000001</v>
      </c>
      <c r="BE92">
        <f t="shared" si="22"/>
        <v>205616.64000000001</v>
      </c>
      <c r="BF92">
        <f t="shared" si="22"/>
        <v>257020.80000000002</v>
      </c>
      <c r="BG92">
        <f t="shared" si="22"/>
        <v>856736.00000000012</v>
      </c>
      <c r="BH92">
        <f t="shared" si="22"/>
        <v>2570208</v>
      </c>
      <c r="BI92">
        <f t="shared" si="22"/>
        <v>7282256.0000000009</v>
      </c>
      <c r="BJ92">
        <f t="shared" si="22"/>
        <v>25702080.000000004</v>
      </c>
      <c r="BK92">
        <f t="shared" si="22"/>
        <v>85673600.000000015</v>
      </c>
      <c r="BL92">
        <v>87</v>
      </c>
    </row>
    <row r="93" spans="1:64" ht="17.25" thickBot="1" x14ac:dyDescent="0.25">
      <c r="A93" s="131">
        <v>89</v>
      </c>
      <c r="B93" s="132">
        <v>7189555</v>
      </c>
      <c r="D93" s="131">
        <v>89</v>
      </c>
      <c r="E93" s="132">
        <v>8.6621199999999998</v>
      </c>
      <c r="M93">
        <v>89</v>
      </c>
      <c r="N93">
        <f t="shared" si="20"/>
        <v>73104720</v>
      </c>
      <c r="O93">
        <f t="shared" si="24"/>
        <v>146209440</v>
      </c>
      <c r="P93">
        <f t="shared" si="24"/>
        <v>219314160</v>
      </c>
      <c r="Q93">
        <f t="shared" si="24"/>
        <v>292418880</v>
      </c>
      <c r="R93">
        <f t="shared" si="24"/>
        <v>438628320</v>
      </c>
      <c r="S93">
        <f t="shared" si="24"/>
        <v>511733040</v>
      </c>
      <c r="T93">
        <f t="shared" si="24"/>
        <v>731047200</v>
      </c>
      <c r="U93">
        <f t="shared" si="24"/>
        <v>1096570800</v>
      </c>
      <c r="V93">
        <f t="shared" si="24"/>
        <v>1754513280</v>
      </c>
      <c r="W93">
        <f t="shared" si="24"/>
        <v>2631769920</v>
      </c>
      <c r="X93">
        <f t="shared" si="24"/>
        <v>3655236000</v>
      </c>
      <c r="Y93">
        <f t="shared" si="24"/>
        <v>4386283200</v>
      </c>
      <c r="Z93">
        <f t="shared" si="24"/>
        <v>7018053120</v>
      </c>
      <c r="AA93">
        <f t="shared" si="24"/>
        <v>7310472000</v>
      </c>
      <c r="AB93">
        <f t="shared" si="24"/>
        <v>10965708000</v>
      </c>
      <c r="AC93">
        <f t="shared" si="24"/>
        <v>17545132800</v>
      </c>
      <c r="AD93">
        <f t="shared" si="24"/>
        <v>26317699200</v>
      </c>
      <c r="AE93">
        <f t="shared" si="25"/>
        <v>30703982400</v>
      </c>
      <c r="AF93">
        <f t="shared" si="25"/>
        <v>40207596000</v>
      </c>
      <c r="AG93">
        <f t="shared" si="25"/>
        <v>51173304000</v>
      </c>
      <c r="AK93">
        <v>87</v>
      </c>
      <c r="AL93" s="24">
        <f t="shared" si="21"/>
        <v>8.5992800000000003</v>
      </c>
      <c r="AM93">
        <f t="shared" si="23"/>
        <v>60.194960000000002</v>
      </c>
      <c r="AN93">
        <f t="shared" si="23"/>
        <v>85.992800000000003</v>
      </c>
      <c r="AO93">
        <f t="shared" si="23"/>
        <v>128.98920000000001</v>
      </c>
      <c r="AP93">
        <f t="shared" si="23"/>
        <v>171.98560000000001</v>
      </c>
      <c r="AQ93">
        <f t="shared" si="23"/>
        <v>300.97480000000002</v>
      </c>
      <c r="AR93">
        <f t="shared" si="23"/>
        <v>429.964</v>
      </c>
      <c r="AS93">
        <f t="shared" si="23"/>
        <v>687.94240000000002</v>
      </c>
      <c r="AT93">
        <f t="shared" si="23"/>
        <v>1031.9136000000001</v>
      </c>
      <c r="AU93">
        <f t="shared" si="23"/>
        <v>1461.8776</v>
      </c>
      <c r="AV93">
        <f t="shared" si="23"/>
        <v>2063.8272000000002</v>
      </c>
      <c r="AW93">
        <f t="shared" si="23"/>
        <v>2837.7624000000001</v>
      </c>
      <c r="AX93">
        <f t="shared" si="23"/>
        <v>3955.6687999999999</v>
      </c>
      <c r="AY93">
        <f t="shared" si="23"/>
        <v>6879.424</v>
      </c>
      <c r="AZ93">
        <f t="shared" si="23"/>
        <v>12898.92</v>
      </c>
      <c r="BA93">
        <f t="shared" si="23"/>
        <v>21498.2</v>
      </c>
      <c r="BB93">
        <f t="shared" si="23"/>
        <v>34397.120000000003</v>
      </c>
      <c r="BC93">
        <f t="shared" si="22"/>
        <v>85992.8</v>
      </c>
      <c r="BD93">
        <f t="shared" si="22"/>
        <v>128989.2</v>
      </c>
      <c r="BE93">
        <f t="shared" si="22"/>
        <v>206382.72</v>
      </c>
      <c r="BF93">
        <f t="shared" si="22"/>
        <v>257978.4</v>
      </c>
      <c r="BG93">
        <f t="shared" si="22"/>
        <v>859928</v>
      </c>
      <c r="BH93">
        <f t="shared" si="22"/>
        <v>2579784</v>
      </c>
      <c r="BI93">
        <f t="shared" si="22"/>
        <v>7309388</v>
      </c>
      <c r="BJ93">
        <f t="shared" si="22"/>
        <v>25797840</v>
      </c>
      <c r="BK93">
        <f t="shared" si="22"/>
        <v>85992800</v>
      </c>
      <c r="BL93" s="145">
        <v>88</v>
      </c>
    </row>
    <row r="94" spans="1:64" ht="17.25" thickBot="1" x14ac:dyDescent="0.25">
      <c r="A94" s="131">
        <v>90</v>
      </c>
      <c r="B94" s="132">
        <v>7310472</v>
      </c>
      <c r="D94" s="131">
        <v>90</v>
      </c>
      <c r="E94" s="132">
        <v>8.6930499999999995</v>
      </c>
      <c r="M94">
        <v>90</v>
      </c>
      <c r="N94">
        <f t="shared" si="20"/>
        <v>74320610</v>
      </c>
      <c r="O94">
        <f t="shared" si="24"/>
        <v>148641220</v>
      </c>
      <c r="P94">
        <f t="shared" si="24"/>
        <v>222961830</v>
      </c>
      <c r="Q94">
        <f t="shared" si="24"/>
        <v>297282440</v>
      </c>
      <c r="R94">
        <f t="shared" si="24"/>
        <v>445923660</v>
      </c>
      <c r="S94">
        <f t="shared" si="24"/>
        <v>520244270</v>
      </c>
      <c r="T94">
        <f t="shared" si="24"/>
        <v>743206100</v>
      </c>
      <c r="U94">
        <f t="shared" si="24"/>
        <v>1114809150</v>
      </c>
      <c r="V94">
        <f t="shared" si="24"/>
        <v>1783694640</v>
      </c>
      <c r="W94">
        <f t="shared" si="24"/>
        <v>2675541960</v>
      </c>
      <c r="X94">
        <f t="shared" si="24"/>
        <v>3716030500</v>
      </c>
      <c r="Y94">
        <f t="shared" si="24"/>
        <v>4459236600</v>
      </c>
      <c r="Z94">
        <f t="shared" si="24"/>
        <v>7134778560</v>
      </c>
      <c r="AA94">
        <f t="shared" si="24"/>
        <v>7432061000</v>
      </c>
      <c r="AB94">
        <f t="shared" si="24"/>
        <v>11148091500</v>
      </c>
      <c r="AC94">
        <f t="shared" si="24"/>
        <v>17836946400</v>
      </c>
      <c r="AD94">
        <f t="shared" si="24"/>
        <v>26755419600</v>
      </c>
      <c r="AE94">
        <f t="shared" si="25"/>
        <v>31214656200</v>
      </c>
      <c r="AF94">
        <f t="shared" si="25"/>
        <v>40876335500</v>
      </c>
      <c r="AG94">
        <f t="shared" si="25"/>
        <v>52024427000</v>
      </c>
      <c r="AK94">
        <v>88</v>
      </c>
      <c r="AL94" s="24">
        <f t="shared" si="21"/>
        <v>8.6308600000000002</v>
      </c>
      <c r="AM94">
        <f t="shared" si="23"/>
        <v>60.416020000000003</v>
      </c>
      <c r="AN94">
        <f t="shared" si="23"/>
        <v>86.308599999999998</v>
      </c>
      <c r="AO94">
        <f t="shared" si="23"/>
        <v>129.46289999999999</v>
      </c>
      <c r="AP94">
        <f t="shared" si="23"/>
        <v>172.6172</v>
      </c>
      <c r="AQ94">
        <f t="shared" si="23"/>
        <v>302.08010000000002</v>
      </c>
      <c r="AR94">
        <f t="shared" si="23"/>
        <v>431.54300000000001</v>
      </c>
      <c r="AS94">
        <f t="shared" si="23"/>
        <v>690.46879999999999</v>
      </c>
      <c r="AT94">
        <f t="shared" si="23"/>
        <v>1035.7031999999999</v>
      </c>
      <c r="AU94">
        <f t="shared" si="23"/>
        <v>1467.2462</v>
      </c>
      <c r="AV94">
        <f t="shared" si="23"/>
        <v>2071.4063999999998</v>
      </c>
      <c r="AW94">
        <f t="shared" si="23"/>
        <v>2848.1838000000002</v>
      </c>
      <c r="AX94">
        <f t="shared" si="23"/>
        <v>3970.1956</v>
      </c>
      <c r="AY94">
        <f t="shared" si="23"/>
        <v>6904.6880000000001</v>
      </c>
      <c r="AZ94">
        <f t="shared" si="23"/>
        <v>12946.29</v>
      </c>
      <c r="BA94">
        <f t="shared" si="23"/>
        <v>21577.15</v>
      </c>
      <c r="BB94">
        <f t="shared" si="23"/>
        <v>34523.440000000002</v>
      </c>
      <c r="BC94">
        <f t="shared" si="22"/>
        <v>86308.6</v>
      </c>
      <c r="BD94">
        <f t="shared" si="22"/>
        <v>129462.90000000001</v>
      </c>
      <c r="BE94">
        <f t="shared" si="22"/>
        <v>207140.64</v>
      </c>
      <c r="BF94">
        <f t="shared" si="22"/>
        <v>258925.80000000002</v>
      </c>
      <c r="BG94">
        <f t="shared" si="22"/>
        <v>863086</v>
      </c>
      <c r="BH94">
        <f t="shared" si="22"/>
        <v>2589258</v>
      </c>
      <c r="BI94">
        <f t="shared" si="22"/>
        <v>7336231</v>
      </c>
      <c r="BJ94">
        <f t="shared" si="22"/>
        <v>25892580</v>
      </c>
      <c r="BK94">
        <f t="shared" si="22"/>
        <v>86308600</v>
      </c>
      <c r="BL94">
        <v>89</v>
      </c>
    </row>
    <row r="95" spans="1:64" ht="17.25" thickBot="1" x14ac:dyDescent="0.25">
      <c r="A95" s="131">
        <v>91</v>
      </c>
      <c r="B95" s="132">
        <v>7432061</v>
      </c>
      <c r="D95" s="131">
        <v>91</v>
      </c>
      <c r="E95" s="132">
        <v>8.7236700000000003</v>
      </c>
      <c r="M95">
        <v>91</v>
      </c>
      <c r="N95">
        <f t="shared" si="20"/>
        <v>75543160</v>
      </c>
      <c r="O95">
        <f t="shared" si="24"/>
        <v>151086320</v>
      </c>
      <c r="P95">
        <f t="shared" si="24"/>
        <v>226629480</v>
      </c>
      <c r="Q95">
        <f t="shared" si="24"/>
        <v>302172640</v>
      </c>
      <c r="R95">
        <f t="shared" si="24"/>
        <v>453258960</v>
      </c>
      <c r="S95">
        <f t="shared" si="24"/>
        <v>528802120</v>
      </c>
      <c r="T95">
        <f t="shared" si="24"/>
        <v>755431600</v>
      </c>
      <c r="U95">
        <f t="shared" si="24"/>
        <v>1133147400</v>
      </c>
      <c r="V95">
        <f t="shared" si="24"/>
        <v>1813035840</v>
      </c>
      <c r="W95">
        <f t="shared" si="24"/>
        <v>2719553760</v>
      </c>
      <c r="X95">
        <f t="shared" si="24"/>
        <v>3777158000</v>
      </c>
      <c r="Y95">
        <f t="shared" si="24"/>
        <v>4532589600</v>
      </c>
      <c r="Z95">
        <f t="shared" si="24"/>
        <v>7252143360</v>
      </c>
      <c r="AA95">
        <f t="shared" si="24"/>
        <v>7554316000</v>
      </c>
      <c r="AB95">
        <f t="shared" si="24"/>
        <v>11331474000</v>
      </c>
      <c r="AC95">
        <f t="shared" si="24"/>
        <v>18130358400</v>
      </c>
      <c r="AD95">
        <f t="shared" si="24"/>
        <v>27195537600</v>
      </c>
      <c r="AE95">
        <f t="shared" si="25"/>
        <v>31728127200</v>
      </c>
      <c r="AF95">
        <f t="shared" si="25"/>
        <v>41548738000</v>
      </c>
      <c r="AG95">
        <f t="shared" si="25"/>
        <v>52880212000</v>
      </c>
      <c r="AK95">
        <v>89</v>
      </c>
      <c r="AL95" s="24">
        <f t="shared" si="21"/>
        <v>8.6621199999999998</v>
      </c>
      <c r="AM95">
        <f t="shared" si="23"/>
        <v>60.634839999999997</v>
      </c>
      <c r="AN95">
        <f t="shared" si="23"/>
        <v>86.621200000000002</v>
      </c>
      <c r="AO95">
        <f t="shared" si="23"/>
        <v>129.93180000000001</v>
      </c>
      <c r="AP95">
        <f t="shared" si="23"/>
        <v>173.2424</v>
      </c>
      <c r="AQ95">
        <f t="shared" si="23"/>
        <v>303.17419999999998</v>
      </c>
      <c r="AR95">
        <f t="shared" si="23"/>
        <v>433.10599999999999</v>
      </c>
      <c r="AS95">
        <f t="shared" si="23"/>
        <v>692.96960000000001</v>
      </c>
      <c r="AT95">
        <f t="shared" si="23"/>
        <v>1039.4544000000001</v>
      </c>
      <c r="AU95">
        <f t="shared" si="23"/>
        <v>1472.5604000000001</v>
      </c>
      <c r="AV95">
        <f t="shared" si="23"/>
        <v>2078.9088000000002</v>
      </c>
      <c r="AW95">
        <f t="shared" si="23"/>
        <v>2858.4996000000001</v>
      </c>
      <c r="AX95">
        <f t="shared" si="23"/>
        <v>3984.5751999999998</v>
      </c>
      <c r="AY95">
        <f t="shared" si="23"/>
        <v>6929.6959999999999</v>
      </c>
      <c r="AZ95">
        <f t="shared" si="23"/>
        <v>12993.18</v>
      </c>
      <c r="BA95">
        <f t="shared" si="23"/>
        <v>21655.3</v>
      </c>
      <c r="BB95">
        <f t="shared" si="23"/>
        <v>34648.479999999996</v>
      </c>
      <c r="BC95">
        <f t="shared" si="22"/>
        <v>86621.2</v>
      </c>
      <c r="BD95">
        <f t="shared" si="22"/>
        <v>129931.8</v>
      </c>
      <c r="BE95">
        <f t="shared" si="22"/>
        <v>207890.88</v>
      </c>
      <c r="BF95">
        <f t="shared" si="22"/>
        <v>259863.6</v>
      </c>
      <c r="BG95">
        <f t="shared" si="22"/>
        <v>866212</v>
      </c>
      <c r="BH95">
        <f t="shared" si="22"/>
        <v>2598636</v>
      </c>
      <c r="BI95">
        <f t="shared" si="22"/>
        <v>7362802</v>
      </c>
      <c r="BJ95">
        <f t="shared" si="22"/>
        <v>25986360</v>
      </c>
      <c r="BK95">
        <f t="shared" si="22"/>
        <v>86621200</v>
      </c>
      <c r="BL95" s="145">
        <v>90</v>
      </c>
    </row>
    <row r="96" spans="1:64" ht="17.25" thickBot="1" x14ac:dyDescent="0.25">
      <c r="A96" s="131">
        <v>92</v>
      </c>
      <c r="B96" s="132">
        <v>7554316</v>
      </c>
      <c r="D96" s="131">
        <v>92</v>
      </c>
      <c r="E96" s="132">
        <v>8.7539800000000003</v>
      </c>
      <c r="M96">
        <v>92</v>
      </c>
      <c r="N96">
        <f t="shared" si="20"/>
        <v>76772330</v>
      </c>
      <c r="O96">
        <f t="shared" si="24"/>
        <v>153544660</v>
      </c>
      <c r="P96">
        <f t="shared" si="24"/>
        <v>230316990</v>
      </c>
      <c r="Q96">
        <f t="shared" si="24"/>
        <v>307089320</v>
      </c>
      <c r="R96">
        <f t="shared" si="24"/>
        <v>460633980</v>
      </c>
      <c r="S96">
        <f t="shared" si="24"/>
        <v>537406310</v>
      </c>
      <c r="T96">
        <f t="shared" si="24"/>
        <v>767723300</v>
      </c>
      <c r="U96">
        <f t="shared" si="24"/>
        <v>1151584950</v>
      </c>
      <c r="V96">
        <f t="shared" si="24"/>
        <v>1842535920</v>
      </c>
      <c r="W96">
        <f t="shared" si="24"/>
        <v>2763803880</v>
      </c>
      <c r="X96">
        <f t="shared" si="24"/>
        <v>3838616500</v>
      </c>
      <c r="Y96">
        <f t="shared" si="24"/>
        <v>4606339800</v>
      </c>
      <c r="Z96">
        <f t="shared" si="24"/>
        <v>7370143680</v>
      </c>
      <c r="AA96">
        <f t="shared" si="24"/>
        <v>7677233000</v>
      </c>
      <c r="AB96">
        <f t="shared" si="24"/>
        <v>11515849500</v>
      </c>
      <c r="AC96">
        <f t="shared" si="24"/>
        <v>18425359200</v>
      </c>
      <c r="AD96">
        <f t="shared" si="24"/>
        <v>27638038800</v>
      </c>
      <c r="AE96">
        <f t="shared" si="25"/>
        <v>32244378600</v>
      </c>
      <c r="AF96">
        <f t="shared" si="25"/>
        <v>42224781500</v>
      </c>
      <c r="AG96">
        <f t="shared" si="25"/>
        <v>53740631000</v>
      </c>
      <c r="AK96">
        <v>90</v>
      </c>
      <c r="AL96" s="24">
        <f t="shared" si="21"/>
        <v>8.6930499999999995</v>
      </c>
      <c r="AM96">
        <f t="shared" si="23"/>
        <v>60.851349999999996</v>
      </c>
      <c r="AN96">
        <f t="shared" si="23"/>
        <v>86.930499999999995</v>
      </c>
      <c r="AO96">
        <f t="shared" si="23"/>
        <v>130.39574999999999</v>
      </c>
      <c r="AP96">
        <f t="shared" si="23"/>
        <v>173.86099999999999</v>
      </c>
      <c r="AQ96">
        <f t="shared" si="23"/>
        <v>304.25675000000001</v>
      </c>
      <c r="AR96">
        <f t="shared" si="23"/>
        <v>434.65249999999997</v>
      </c>
      <c r="AS96">
        <f t="shared" si="23"/>
        <v>695.44399999999996</v>
      </c>
      <c r="AT96">
        <f t="shared" si="23"/>
        <v>1043.1659999999999</v>
      </c>
      <c r="AU96">
        <f t="shared" si="23"/>
        <v>1477.8184999999999</v>
      </c>
      <c r="AV96">
        <f t="shared" si="23"/>
        <v>2086.3319999999999</v>
      </c>
      <c r="AW96">
        <f t="shared" si="23"/>
        <v>2868.7064999999998</v>
      </c>
      <c r="AX96">
        <f t="shared" si="23"/>
        <v>3998.8029999999999</v>
      </c>
      <c r="AY96">
        <f t="shared" si="23"/>
        <v>6954.44</v>
      </c>
      <c r="AZ96">
        <f t="shared" si="23"/>
        <v>13039.574999999999</v>
      </c>
      <c r="BA96">
        <f t="shared" si="23"/>
        <v>21732.625</v>
      </c>
      <c r="BB96">
        <f t="shared" ref="BB96:BK111" si="26">BB$5*VLOOKUP($AK96,$D$2:$E$1404,2,FALSE)</f>
        <v>34772.199999999997</v>
      </c>
      <c r="BC96">
        <f t="shared" si="26"/>
        <v>86930.5</v>
      </c>
      <c r="BD96">
        <f t="shared" si="26"/>
        <v>130395.74999999999</v>
      </c>
      <c r="BE96">
        <f t="shared" si="26"/>
        <v>208633.19999999998</v>
      </c>
      <c r="BF96">
        <f t="shared" si="26"/>
        <v>260791.49999999997</v>
      </c>
      <c r="BG96">
        <f t="shared" si="26"/>
        <v>869305</v>
      </c>
      <c r="BH96">
        <f t="shared" si="26"/>
        <v>2607915</v>
      </c>
      <c r="BI96">
        <f t="shared" si="26"/>
        <v>7389092.5</v>
      </c>
      <c r="BJ96">
        <f t="shared" si="26"/>
        <v>26079150</v>
      </c>
      <c r="BK96">
        <f t="shared" si="26"/>
        <v>86930500</v>
      </c>
      <c r="BL96">
        <v>91</v>
      </c>
    </row>
    <row r="97" spans="1:64" ht="17.25" thickBot="1" x14ac:dyDescent="0.25">
      <c r="A97" s="131">
        <v>93</v>
      </c>
      <c r="B97" s="132">
        <v>7677233</v>
      </c>
      <c r="D97" s="131">
        <v>93</v>
      </c>
      <c r="E97" s="132">
        <v>8.7839799999999997</v>
      </c>
      <c r="M97">
        <v>93</v>
      </c>
      <c r="N97">
        <f t="shared" si="20"/>
        <v>78008110</v>
      </c>
      <c r="O97">
        <f t="shared" si="24"/>
        <v>156016220</v>
      </c>
      <c r="P97">
        <f t="shared" si="24"/>
        <v>234024330</v>
      </c>
      <c r="Q97">
        <f t="shared" si="24"/>
        <v>312032440</v>
      </c>
      <c r="R97">
        <f t="shared" si="24"/>
        <v>468048660</v>
      </c>
      <c r="S97">
        <f t="shared" si="24"/>
        <v>546056770</v>
      </c>
      <c r="T97">
        <f t="shared" si="24"/>
        <v>780081100</v>
      </c>
      <c r="U97">
        <f t="shared" si="24"/>
        <v>1170121650</v>
      </c>
      <c r="V97">
        <f t="shared" si="24"/>
        <v>1872194640</v>
      </c>
      <c r="W97">
        <f t="shared" si="24"/>
        <v>2808291960</v>
      </c>
      <c r="X97">
        <f t="shared" si="24"/>
        <v>3900405500</v>
      </c>
      <c r="Y97">
        <f t="shared" si="24"/>
        <v>4680486600</v>
      </c>
      <c r="Z97">
        <f t="shared" si="24"/>
        <v>7488778560</v>
      </c>
      <c r="AA97">
        <f t="shared" si="24"/>
        <v>7800811000</v>
      </c>
      <c r="AB97">
        <f t="shared" si="24"/>
        <v>11701216500</v>
      </c>
      <c r="AC97">
        <f t="shared" si="24"/>
        <v>18721946400</v>
      </c>
      <c r="AD97">
        <f t="shared" si="24"/>
        <v>28082919600</v>
      </c>
      <c r="AE97">
        <f t="shared" si="25"/>
        <v>32763406200</v>
      </c>
      <c r="AF97">
        <f t="shared" si="25"/>
        <v>42904460500</v>
      </c>
      <c r="AG97">
        <f t="shared" si="25"/>
        <v>54605677000</v>
      </c>
      <c r="AK97">
        <v>91</v>
      </c>
      <c r="AL97" s="24">
        <f t="shared" si="21"/>
        <v>8.7236700000000003</v>
      </c>
      <c r="AM97">
        <f t="shared" ref="AM97:BB112" si="27">AM$5*VLOOKUP($AK97,$D$2:$E$1404,2,FALSE)</f>
        <v>61.065690000000004</v>
      </c>
      <c r="AN97">
        <f t="shared" si="27"/>
        <v>87.236699999999999</v>
      </c>
      <c r="AO97">
        <f t="shared" si="27"/>
        <v>130.85505000000001</v>
      </c>
      <c r="AP97">
        <f t="shared" si="27"/>
        <v>174.4734</v>
      </c>
      <c r="AQ97">
        <f t="shared" si="27"/>
        <v>305.32845000000003</v>
      </c>
      <c r="AR97">
        <f t="shared" si="27"/>
        <v>436.18350000000004</v>
      </c>
      <c r="AS97">
        <f t="shared" si="27"/>
        <v>697.89359999999999</v>
      </c>
      <c r="AT97">
        <f t="shared" si="27"/>
        <v>1046.8404</v>
      </c>
      <c r="AU97">
        <f t="shared" si="27"/>
        <v>1483.0239000000001</v>
      </c>
      <c r="AV97">
        <f t="shared" si="27"/>
        <v>2093.6808000000001</v>
      </c>
      <c r="AW97">
        <f t="shared" si="27"/>
        <v>2878.8110999999999</v>
      </c>
      <c r="AX97">
        <f t="shared" si="27"/>
        <v>4012.8882000000003</v>
      </c>
      <c r="AY97">
        <f t="shared" si="27"/>
        <v>6978.9360000000006</v>
      </c>
      <c r="AZ97">
        <f t="shared" si="27"/>
        <v>13085.505000000001</v>
      </c>
      <c r="BA97">
        <f t="shared" si="27"/>
        <v>21809.174999999999</v>
      </c>
      <c r="BB97">
        <f t="shared" si="27"/>
        <v>34894.68</v>
      </c>
      <c r="BC97">
        <f t="shared" si="26"/>
        <v>87236.7</v>
      </c>
      <c r="BD97">
        <f t="shared" si="26"/>
        <v>130855.05</v>
      </c>
      <c r="BE97">
        <f t="shared" si="26"/>
        <v>209368.08000000002</v>
      </c>
      <c r="BF97">
        <f t="shared" si="26"/>
        <v>261710.1</v>
      </c>
      <c r="BG97">
        <f t="shared" si="26"/>
        <v>872367</v>
      </c>
      <c r="BH97">
        <f t="shared" si="26"/>
        <v>2617101</v>
      </c>
      <c r="BI97">
        <f t="shared" si="26"/>
        <v>7415119.5</v>
      </c>
      <c r="BJ97">
        <f t="shared" si="26"/>
        <v>26171010</v>
      </c>
      <c r="BK97">
        <f t="shared" si="26"/>
        <v>87236700</v>
      </c>
      <c r="BL97" s="145">
        <v>92</v>
      </c>
    </row>
    <row r="98" spans="1:64" ht="17.25" thickBot="1" x14ac:dyDescent="0.25">
      <c r="A98" s="131">
        <v>94</v>
      </c>
      <c r="B98" s="132">
        <v>7800811</v>
      </c>
      <c r="D98" s="131">
        <v>94</v>
      </c>
      <c r="E98" s="132">
        <v>8.8136899999999994</v>
      </c>
      <c r="M98">
        <v>94</v>
      </c>
      <c r="N98">
        <f t="shared" si="20"/>
        <v>79250440</v>
      </c>
      <c r="O98">
        <f t="shared" si="24"/>
        <v>158500880</v>
      </c>
      <c r="P98">
        <f t="shared" si="24"/>
        <v>237751320</v>
      </c>
      <c r="Q98">
        <f t="shared" si="24"/>
        <v>317001760</v>
      </c>
      <c r="R98">
        <f t="shared" si="24"/>
        <v>475502640</v>
      </c>
      <c r="S98">
        <f t="shared" si="24"/>
        <v>554753080</v>
      </c>
      <c r="T98">
        <f t="shared" si="24"/>
        <v>792504400</v>
      </c>
      <c r="U98">
        <f t="shared" si="24"/>
        <v>1188756600</v>
      </c>
      <c r="V98">
        <f t="shared" si="24"/>
        <v>1902010560</v>
      </c>
      <c r="W98">
        <f t="shared" si="24"/>
        <v>2853015840</v>
      </c>
      <c r="X98">
        <f t="shared" si="24"/>
        <v>3962522000</v>
      </c>
      <c r="Y98">
        <f t="shared" si="24"/>
        <v>4755026400</v>
      </c>
      <c r="Z98">
        <f t="shared" ref="O98:AD114" si="28">(VLOOKUP(Z$3,$G$4:$H$23,2,0)*VLOOKUP($M98+1,$A$4:$B$1404,2,0)
)</f>
        <v>7608042240</v>
      </c>
      <c r="AA98">
        <f t="shared" si="28"/>
        <v>7925044000</v>
      </c>
      <c r="AB98">
        <f t="shared" si="28"/>
        <v>11887566000</v>
      </c>
      <c r="AC98">
        <f t="shared" si="28"/>
        <v>19020105600</v>
      </c>
      <c r="AD98">
        <f t="shared" si="28"/>
        <v>28530158400</v>
      </c>
      <c r="AE98">
        <f t="shared" si="25"/>
        <v>33285184800</v>
      </c>
      <c r="AF98">
        <f t="shared" si="25"/>
        <v>43587742000</v>
      </c>
      <c r="AG98">
        <f t="shared" si="25"/>
        <v>55475308000</v>
      </c>
      <c r="AK98">
        <v>92</v>
      </c>
      <c r="AL98" s="24">
        <f t="shared" si="21"/>
        <v>8.7539800000000003</v>
      </c>
      <c r="AM98">
        <f t="shared" si="27"/>
        <v>61.277860000000004</v>
      </c>
      <c r="AN98">
        <f t="shared" si="27"/>
        <v>87.5398</v>
      </c>
      <c r="AO98">
        <f t="shared" si="27"/>
        <v>131.30969999999999</v>
      </c>
      <c r="AP98">
        <f t="shared" si="27"/>
        <v>175.0796</v>
      </c>
      <c r="AQ98">
        <f t="shared" si="27"/>
        <v>306.38929999999999</v>
      </c>
      <c r="AR98">
        <f t="shared" si="27"/>
        <v>437.69900000000001</v>
      </c>
      <c r="AS98">
        <f t="shared" si="27"/>
        <v>700.3184</v>
      </c>
      <c r="AT98">
        <f t="shared" si="27"/>
        <v>1050.4775999999999</v>
      </c>
      <c r="AU98">
        <f t="shared" si="27"/>
        <v>1488.1766</v>
      </c>
      <c r="AV98">
        <f t="shared" si="27"/>
        <v>2100.9551999999999</v>
      </c>
      <c r="AW98">
        <f t="shared" si="27"/>
        <v>2888.8134</v>
      </c>
      <c r="AX98">
        <f t="shared" si="27"/>
        <v>4026.8308000000002</v>
      </c>
      <c r="AY98">
        <f t="shared" si="27"/>
        <v>7003.1840000000002</v>
      </c>
      <c r="AZ98">
        <f t="shared" si="27"/>
        <v>13130.970000000001</v>
      </c>
      <c r="BA98">
        <f t="shared" si="27"/>
        <v>21884.95</v>
      </c>
      <c r="BB98">
        <f t="shared" si="27"/>
        <v>35015.919999999998</v>
      </c>
      <c r="BC98">
        <f t="shared" si="26"/>
        <v>87539.8</v>
      </c>
      <c r="BD98">
        <f t="shared" si="26"/>
        <v>131309.70000000001</v>
      </c>
      <c r="BE98">
        <f t="shared" si="26"/>
        <v>210095.52000000002</v>
      </c>
      <c r="BF98">
        <f t="shared" si="26"/>
        <v>262619.40000000002</v>
      </c>
      <c r="BG98">
        <f t="shared" si="26"/>
        <v>875398</v>
      </c>
      <c r="BH98">
        <f t="shared" si="26"/>
        <v>2626194</v>
      </c>
      <c r="BI98">
        <f t="shared" si="26"/>
        <v>7440883</v>
      </c>
      <c r="BJ98">
        <f t="shared" si="26"/>
        <v>26261940</v>
      </c>
      <c r="BK98">
        <f t="shared" si="26"/>
        <v>87539800</v>
      </c>
      <c r="BL98">
        <v>93</v>
      </c>
    </row>
    <row r="99" spans="1:64" ht="17.25" thickBot="1" x14ac:dyDescent="0.25">
      <c r="A99" s="131">
        <v>95</v>
      </c>
      <c r="B99" s="132">
        <v>7925044</v>
      </c>
      <c r="D99" s="131">
        <v>95</v>
      </c>
      <c r="E99" s="132">
        <v>8.8431099999999994</v>
      </c>
      <c r="M99">
        <v>95</v>
      </c>
      <c r="N99">
        <f t="shared" si="20"/>
        <v>80499270</v>
      </c>
      <c r="O99">
        <f t="shared" si="28"/>
        <v>160998540</v>
      </c>
      <c r="P99">
        <f t="shared" si="28"/>
        <v>241497810</v>
      </c>
      <c r="Q99">
        <f t="shared" si="28"/>
        <v>321997080</v>
      </c>
      <c r="R99">
        <f t="shared" si="28"/>
        <v>482995620</v>
      </c>
      <c r="S99">
        <f t="shared" si="28"/>
        <v>563494890</v>
      </c>
      <c r="T99">
        <f t="shared" si="28"/>
        <v>804992700</v>
      </c>
      <c r="U99">
        <f t="shared" si="28"/>
        <v>1207489050</v>
      </c>
      <c r="V99">
        <f t="shared" si="28"/>
        <v>1931982480</v>
      </c>
      <c r="W99">
        <f t="shared" si="28"/>
        <v>2897973720</v>
      </c>
      <c r="X99">
        <f t="shared" si="28"/>
        <v>4024963500</v>
      </c>
      <c r="Y99">
        <f t="shared" si="28"/>
        <v>4829956200</v>
      </c>
      <c r="Z99">
        <f t="shared" si="28"/>
        <v>7727929920</v>
      </c>
      <c r="AA99">
        <f t="shared" si="28"/>
        <v>8049927000</v>
      </c>
      <c r="AB99">
        <f t="shared" si="28"/>
        <v>12074890500</v>
      </c>
      <c r="AC99">
        <f t="shared" si="28"/>
        <v>19319824800</v>
      </c>
      <c r="AD99">
        <f t="shared" si="28"/>
        <v>28979737200</v>
      </c>
      <c r="AE99">
        <f t="shared" si="25"/>
        <v>33809693400</v>
      </c>
      <c r="AF99">
        <f t="shared" si="25"/>
        <v>44274598500</v>
      </c>
      <c r="AG99">
        <f t="shared" si="25"/>
        <v>56349489000</v>
      </c>
      <c r="AK99">
        <v>93</v>
      </c>
      <c r="AL99" s="24">
        <f t="shared" si="21"/>
        <v>8.7839799999999997</v>
      </c>
      <c r="AM99">
        <f t="shared" si="27"/>
        <v>61.487859999999998</v>
      </c>
      <c r="AN99">
        <f t="shared" si="27"/>
        <v>87.839799999999997</v>
      </c>
      <c r="AO99">
        <f t="shared" si="27"/>
        <v>131.75970000000001</v>
      </c>
      <c r="AP99">
        <f t="shared" si="27"/>
        <v>175.67959999999999</v>
      </c>
      <c r="AQ99">
        <f t="shared" si="27"/>
        <v>307.4393</v>
      </c>
      <c r="AR99">
        <f t="shared" si="27"/>
        <v>439.19899999999996</v>
      </c>
      <c r="AS99">
        <f t="shared" si="27"/>
        <v>702.71839999999997</v>
      </c>
      <c r="AT99">
        <f t="shared" si="27"/>
        <v>1054.0776000000001</v>
      </c>
      <c r="AU99">
        <f t="shared" si="27"/>
        <v>1493.2765999999999</v>
      </c>
      <c r="AV99">
        <f t="shared" si="27"/>
        <v>2108.1552000000001</v>
      </c>
      <c r="AW99">
        <f t="shared" si="27"/>
        <v>2898.7134000000001</v>
      </c>
      <c r="AX99">
        <f t="shared" si="27"/>
        <v>4040.6307999999999</v>
      </c>
      <c r="AY99">
        <f t="shared" si="27"/>
        <v>7027.1839999999993</v>
      </c>
      <c r="AZ99">
        <f t="shared" si="27"/>
        <v>13175.97</v>
      </c>
      <c r="BA99">
        <f t="shared" si="27"/>
        <v>21959.95</v>
      </c>
      <c r="BB99">
        <f t="shared" si="27"/>
        <v>35135.919999999998</v>
      </c>
      <c r="BC99">
        <f t="shared" si="26"/>
        <v>87839.8</v>
      </c>
      <c r="BD99">
        <f t="shared" si="26"/>
        <v>131759.69999999998</v>
      </c>
      <c r="BE99">
        <f t="shared" si="26"/>
        <v>210815.52</v>
      </c>
      <c r="BF99">
        <f t="shared" si="26"/>
        <v>263519.39999999997</v>
      </c>
      <c r="BG99">
        <f t="shared" si="26"/>
        <v>878398</v>
      </c>
      <c r="BH99">
        <f t="shared" si="26"/>
        <v>2635194</v>
      </c>
      <c r="BI99">
        <f t="shared" si="26"/>
        <v>7466383</v>
      </c>
      <c r="BJ99">
        <f t="shared" si="26"/>
        <v>26351940</v>
      </c>
      <c r="BK99">
        <f t="shared" si="26"/>
        <v>87839800</v>
      </c>
      <c r="BL99" s="145">
        <v>94</v>
      </c>
    </row>
    <row r="100" spans="1:64" ht="17.25" thickBot="1" x14ac:dyDescent="0.25">
      <c r="A100" s="131">
        <v>96</v>
      </c>
      <c r="B100" s="132">
        <v>8049927</v>
      </c>
      <c r="D100" s="131">
        <v>96</v>
      </c>
      <c r="E100" s="132">
        <v>8.8722399999999997</v>
      </c>
      <c r="M100">
        <v>96</v>
      </c>
      <c r="N100">
        <f t="shared" si="20"/>
        <v>81754610</v>
      </c>
      <c r="O100">
        <f t="shared" si="28"/>
        <v>163509220</v>
      </c>
      <c r="P100">
        <f t="shared" si="28"/>
        <v>245263830</v>
      </c>
      <c r="Q100">
        <f t="shared" si="28"/>
        <v>327018440</v>
      </c>
      <c r="R100">
        <f t="shared" si="28"/>
        <v>490527660</v>
      </c>
      <c r="S100">
        <f t="shared" si="28"/>
        <v>572282270</v>
      </c>
      <c r="T100">
        <f t="shared" si="28"/>
        <v>817546100</v>
      </c>
      <c r="U100">
        <f t="shared" si="28"/>
        <v>1226319150</v>
      </c>
      <c r="V100">
        <f t="shared" si="28"/>
        <v>1962110640</v>
      </c>
      <c r="W100">
        <f t="shared" si="28"/>
        <v>2943165960</v>
      </c>
      <c r="X100">
        <f t="shared" si="28"/>
        <v>4087730500</v>
      </c>
      <c r="Y100">
        <f t="shared" si="28"/>
        <v>4905276600</v>
      </c>
      <c r="Z100">
        <f t="shared" si="28"/>
        <v>7848442560</v>
      </c>
      <c r="AA100">
        <f t="shared" si="28"/>
        <v>8175461000</v>
      </c>
      <c r="AB100">
        <f t="shared" si="28"/>
        <v>12263191500</v>
      </c>
      <c r="AC100">
        <f t="shared" si="28"/>
        <v>19621106400</v>
      </c>
      <c r="AD100">
        <f t="shared" si="28"/>
        <v>29431659600</v>
      </c>
      <c r="AE100">
        <f t="shared" si="25"/>
        <v>34336936200</v>
      </c>
      <c r="AF100">
        <f t="shared" si="25"/>
        <v>44965035500</v>
      </c>
      <c r="AG100">
        <f t="shared" si="25"/>
        <v>57228227000</v>
      </c>
      <c r="AK100">
        <v>94</v>
      </c>
      <c r="AL100" s="24">
        <f t="shared" si="21"/>
        <v>8.8136899999999994</v>
      </c>
      <c r="AM100">
        <f t="shared" si="27"/>
        <v>61.695829999999994</v>
      </c>
      <c r="AN100">
        <f t="shared" si="27"/>
        <v>88.136899999999997</v>
      </c>
      <c r="AO100">
        <f t="shared" si="27"/>
        <v>132.20534999999998</v>
      </c>
      <c r="AP100">
        <f t="shared" si="27"/>
        <v>176.27379999999999</v>
      </c>
      <c r="AQ100">
        <f t="shared" si="27"/>
        <v>308.47915</v>
      </c>
      <c r="AR100">
        <f t="shared" si="27"/>
        <v>440.68449999999996</v>
      </c>
      <c r="AS100">
        <f t="shared" si="27"/>
        <v>705.09519999999998</v>
      </c>
      <c r="AT100">
        <f t="shared" si="27"/>
        <v>1057.6427999999999</v>
      </c>
      <c r="AU100">
        <f t="shared" si="27"/>
        <v>1498.3272999999999</v>
      </c>
      <c r="AV100">
        <f t="shared" si="27"/>
        <v>2115.2855999999997</v>
      </c>
      <c r="AW100">
        <f t="shared" si="27"/>
        <v>2908.5176999999999</v>
      </c>
      <c r="AX100">
        <f t="shared" si="27"/>
        <v>4054.2973999999999</v>
      </c>
      <c r="AY100">
        <f t="shared" si="27"/>
        <v>7050.9519999999993</v>
      </c>
      <c r="AZ100">
        <f t="shared" si="27"/>
        <v>13220.535</v>
      </c>
      <c r="BA100">
        <f t="shared" si="27"/>
        <v>22034.224999999999</v>
      </c>
      <c r="BB100">
        <f t="shared" si="27"/>
        <v>35254.759999999995</v>
      </c>
      <c r="BC100">
        <f t="shared" si="26"/>
        <v>88136.9</v>
      </c>
      <c r="BD100">
        <f t="shared" si="26"/>
        <v>132205.34999999998</v>
      </c>
      <c r="BE100">
        <f t="shared" si="26"/>
        <v>211528.56</v>
      </c>
      <c r="BF100">
        <f t="shared" si="26"/>
        <v>264410.69999999995</v>
      </c>
      <c r="BG100">
        <f t="shared" si="26"/>
        <v>881368.99999999988</v>
      </c>
      <c r="BH100">
        <f t="shared" si="26"/>
        <v>2644107</v>
      </c>
      <c r="BI100">
        <f t="shared" si="26"/>
        <v>7491636.4999999991</v>
      </c>
      <c r="BJ100">
        <f t="shared" si="26"/>
        <v>26441069.999999996</v>
      </c>
      <c r="BK100">
        <f t="shared" si="26"/>
        <v>88136900</v>
      </c>
      <c r="BL100">
        <v>95</v>
      </c>
    </row>
    <row r="101" spans="1:64" ht="17.25" thickBot="1" x14ac:dyDescent="0.25">
      <c r="A101" s="131">
        <v>97</v>
      </c>
      <c r="B101" s="132">
        <v>8175461</v>
      </c>
      <c r="D101" s="131">
        <v>97</v>
      </c>
      <c r="E101" s="132">
        <v>8.9010899999999999</v>
      </c>
      <c r="M101">
        <v>97</v>
      </c>
      <c r="N101">
        <f t="shared" si="20"/>
        <v>83016380</v>
      </c>
      <c r="O101">
        <f t="shared" si="28"/>
        <v>166032760</v>
      </c>
      <c r="P101">
        <f t="shared" si="28"/>
        <v>249049140</v>
      </c>
      <c r="Q101">
        <f t="shared" si="28"/>
        <v>332065520</v>
      </c>
      <c r="R101">
        <f t="shared" si="28"/>
        <v>498098280</v>
      </c>
      <c r="S101">
        <f t="shared" si="28"/>
        <v>581114660</v>
      </c>
      <c r="T101">
        <f t="shared" si="28"/>
        <v>830163800</v>
      </c>
      <c r="U101">
        <f t="shared" si="28"/>
        <v>1245245700</v>
      </c>
      <c r="V101">
        <f t="shared" si="28"/>
        <v>1992393120</v>
      </c>
      <c r="W101">
        <f t="shared" si="28"/>
        <v>2988589680</v>
      </c>
      <c r="X101">
        <f t="shared" si="28"/>
        <v>4150819000</v>
      </c>
      <c r="Y101">
        <f t="shared" si="28"/>
        <v>4980982800</v>
      </c>
      <c r="Z101">
        <f t="shared" si="28"/>
        <v>7969572480</v>
      </c>
      <c r="AA101">
        <f t="shared" si="28"/>
        <v>8301638000</v>
      </c>
      <c r="AB101">
        <f t="shared" si="28"/>
        <v>12452457000</v>
      </c>
      <c r="AC101">
        <f t="shared" si="28"/>
        <v>19923931200</v>
      </c>
      <c r="AD101">
        <f t="shared" si="28"/>
        <v>29885896800</v>
      </c>
      <c r="AE101">
        <f t="shared" si="25"/>
        <v>34866879600</v>
      </c>
      <c r="AF101">
        <f t="shared" si="25"/>
        <v>45659009000</v>
      </c>
      <c r="AG101">
        <f t="shared" si="25"/>
        <v>58111466000</v>
      </c>
      <c r="AK101">
        <v>95</v>
      </c>
      <c r="AL101" s="24">
        <f t="shared" si="21"/>
        <v>8.8431099999999994</v>
      </c>
      <c r="AM101">
        <f t="shared" si="27"/>
        <v>61.901769999999999</v>
      </c>
      <c r="AN101">
        <f t="shared" si="27"/>
        <v>88.431099999999986</v>
      </c>
      <c r="AO101">
        <f t="shared" si="27"/>
        <v>132.64664999999999</v>
      </c>
      <c r="AP101">
        <f t="shared" si="27"/>
        <v>176.86219999999997</v>
      </c>
      <c r="AQ101">
        <f t="shared" si="27"/>
        <v>309.50885</v>
      </c>
      <c r="AR101">
        <f t="shared" si="27"/>
        <v>442.15549999999996</v>
      </c>
      <c r="AS101">
        <f t="shared" si="27"/>
        <v>707.44879999999989</v>
      </c>
      <c r="AT101">
        <f t="shared" si="27"/>
        <v>1061.1732</v>
      </c>
      <c r="AU101">
        <f t="shared" si="27"/>
        <v>1503.3286999999998</v>
      </c>
      <c r="AV101">
        <f t="shared" si="27"/>
        <v>2122.3463999999999</v>
      </c>
      <c r="AW101">
        <f t="shared" si="27"/>
        <v>2918.2262999999998</v>
      </c>
      <c r="AX101">
        <f t="shared" si="27"/>
        <v>4067.8305999999998</v>
      </c>
      <c r="AY101">
        <f t="shared" si="27"/>
        <v>7074.4879999999994</v>
      </c>
      <c r="AZ101">
        <f t="shared" si="27"/>
        <v>13264.664999999999</v>
      </c>
      <c r="BA101">
        <f t="shared" si="27"/>
        <v>22107.774999999998</v>
      </c>
      <c r="BB101">
        <f t="shared" si="27"/>
        <v>35372.439999999995</v>
      </c>
      <c r="BC101">
        <f t="shared" si="26"/>
        <v>88431.099999999991</v>
      </c>
      <c r="BD101">
        <f t="shared" si="26"/>
        <v>132646.65</v>
      </c>
      <c r="BE101">
        <f t="shared" si="26"/>
        <v>212234.63999999998</v>
      </c>
      <c r="BF101">
        <f t="shared" si="26"/>
        <v>265293.3</v>
      </c>
      <c r="BG101">
        <f t="shared" si="26"/>
        <v>884310.99999999988</v>
      </c>
      <c r="BH101">
        <f t="shared" si="26"/>
        <v>2652933</v>
      </c>
      <c r="BI101">
        <f t="shared" si="26"/>
        <v>7516643.4999999991</v>
      </c>
      <c r="BJ101">
        <f t="shared" si="26"/>
        <v>26529329.999999996</v>
      </c>
      <c r="BK101">
        <f t="shared" si="26"/>
        <v>88431100</v>
      </c>
      <c r="BL101" s="145">
        <v>96</v>
      </c>
    </row>
    <row r="102" spans="1:64" ht="17.25" thickBot="1" x14ac:dyDescent="0.25">
      <c r="A102" s="131">
        <v>98</v>
      </c>
      <c r="B102" s="132">
        <v>8301638</v>
      </c>
      <c r="D102" s="131">
        <v>98</v>
      </c>
      <c r="E102" s="132">
        <v>8.9296699999999998</v>
      </c>
      <c r="M102">
        <v>98</v>
      </c>
      <c r="N102">
        <f t="shared" si="20"/>
        <v>84284610</v>
      </c>
      <c r="O102">
        <f t="shared" si="28"/>
        <v>168569220</v>
      </c>
      <c r="P102">
        <f t="shared" si="28"/>
        <v>252853830</v>
      </c>
      <c r="Q102">
        <f t="shared" si="28"/>
        <v>337138440</v>
      </c>
      <c r="R102">
        <f t="shared" si="28"/>
        <v>505707660</v>
      </c>
      <c r="S102">
        <f t="shared" si="28"/>
        <v>589992270</v>
      </c>
      <c r="T102">
        <f t="shared" si="28"/>
        <v>842846100</v>
      </c>
      <c r="U102">
        <f t="shared" si="28"/>
        <v>1264269150</v>
      </c>
      <c r="V102">
        <f t="shared" si="28"/>
        <v>2022830640</v>
      </c>
      <c r="W102">
        <f t="shared" si="28"/>
        <v>3034245960</v>
      </c>
      <c r="X102">
        <f t="shared" si="28"/>
        <v>4214230500</v>
      </c>
      <c r="Y102">
        <f t="shared" si="28"/>
        <v>5057076600</v>
      </c>
      <c r="Z102">
        <f t="shared" si="28"/>
        <v>8091322560</v>
      </c>
      <c r="AA102">
        <f t="shared" si="28"/>
        <v>8428461000</v>
      </c>
      <c r="AB102">
        <f t="shared" si="28"/>
        <v>12642691500</v>
      </c>
      <c r="AC102">
        <f t="shared" si="28"/>
        <v>20228306400</v>
      </c>
      <c r="AD102">
        <f t="shared" si="28"/>
        <v>30342459600</v>
      </c>
      <c r="AE102">
        <f t="shared" si="25"/>
        <v>35399536200</v>
      </c>
      <c r="AF102">
        <f t="shared" si="25"/>
        <v>46356535500</v>
      </c>
      <c r="AG102">
        <f t="shared" si="25"/>
        <v>58999227000</v>
      </c>
      <c r="AK102">
        <v>96</v>
      </c>
      <c r="AL102" s="24">
        <f t="shared" si="21"/>
        <v>8.8722399999999997</v>
      </c>
      <c r="AM102">
        <f t="shared" si="27"/>
        <v>62.10568</v>
      </c>
      <c r="AN102">
        <f t="shared" si="27"/>
        <v>88.722399999999993</v>
      </c>
      <c r="AO102">
        <f t="shared" si="27"/>
        <v>133.08359999999999</v>
      </c>
      <c r="AP102">
        <f t="shared" si="27"/>
        <v>177.44479999999999</v>
      </c>
      <c r="AQ102">
        <f t="shared" si="27"/>
        <v>310.52839999999998</v>
      </c>
      <c r="AR102">
        <f t="shared" si="27"/>
        <v>443.61199999999997</v>
      </c>
      <c r="AS102">
        <f t="shared" si="27"/>
        <v>709.77919999999995</v>
      </c>
      <c r="AT102">
        <f t="shared" si="27"/>
        <v>1064.6687999999999</v>
      </c>
      <c r="AU102">
        <f t="shared" si="27"/>
        <v>1508.2808</v>
      </c>
      <c r="AV102">
        <f t="shared" si="27"/>
        <v>2129.3375999999998</v>
      </c>
      <c r="AW102">
        <f t="shared" si="27"/>
        <v>2927.8391999999999</v>
      </c>
      <c r="AX102">
        <f t="shared" si="27"/>
        <v>4081.2303999999999</v>
      </c>
      <c r="AY102">
        <f t="shared" si="27"/>
        <v>7097.7919999999995</v>
      </c>
      <c r="AZ102">
        <f t="shared" si="27"/>
        <v>13308.359999999999</v>
      </c>
      <c r="BA102">
        <f t="shared" si="27"/>
        <v>22180.6</v>
      </c>
      <c r="BB102">
        <f t="shared" si="27"/>
        <v>35488.959999999999</v>
      </c>
      <c r="BC102">
        <f t="shared" si="26"/>
        <v>88722.4</v>
      </c>
      <c r="BD102">
        <f t="shared" si="26"/>
        <v>133083.6</v>
      </c>
      <c r="BE102">
        <f t="shared" si="26"/>
        <v>212933.75999999998</v>
      </c>
      <c r="BF102">
        <f t="shared" si="26"/>
        <v>266167.2</v>
      </c>
      <c r="BG102">
        <f t="shared" si="26"/>
        <v>887224</v>
      </c>
      <c r="BH102">
        <f t="shared" si="26"/>
        <v>2661672</v>
      </c>
      <c r="BI102">
        <f t="shared" si="26"/>
        <v>7541404</v>
      </c>
      <c r="BJ102">
        <f t="shared" si="26"/>
        <v>26616720</v>
      </c>
      <c r="BK102">
        <f t="shared" si="26"/>
        <v>88722400</v>
      </c>
      <c r="BL102">
        <v>97</v>
      </c>
    </row>
    <row r="103" spans="1:64" ht="17.25" thickBot="1" x14ac:dyDescent="0.25">
      <c r="A103" s="131">
        <v>99</v>
      </c>
      <c r="B103" s="132">
        <v>8428461</v>
      </c>
      <c r="D103" s="131">
        <v>99</v>
      </c>
      <c r="E103" s="132">
        <v>8.9579799999999992</v>
      </c>
      <c r="M103">
        <v>99</v>
      </c>
      <c r="N103">
        <f t="shared" si="20"/>
        <v>85559220</v>
      </c>
      <c r="O103">
        <f t="shared" si="28"/>
        <v>171118440</v>
      </c>
      <c r="P103">
        <f t="shared" si="28"/>
        <v>256677660</v>
      </c>
      <c r="Q103">
        <f t="shared" si="28"/>
        <v>342236880</v>
      </c>
      <c r="R103">
        <f t="shared" si="28"/>
        <v>513355320</v>
      </c>
      <c r="S103">
        <f t="shared" si="28"/>
        <v>598914540</v>
      </c>
      <c r="T103">
        <f t="shared" si="28"/>
        <v>855592200</v>
      </c>
      <c r="U103">
        <f t="shared" si="28"/>
        <v>1283388300</v>
      </c>
      <c r="V103">
        <f t="shared" si="28"/>
        <v>2053421280</v>
      </c>
      <c r="W103">
        <f t="shared" si="28"/>
        <v>3080131920</v>
      </c>
      <c r="X103">
        <f t="shared" si="28"/>
        <v>4277961000</v>
      </c>
      <c r="Y103">
        <f t="shared" si="28"/>
        <v>5133553200</v>
      </c>
      <c r="Z103">
        <f t="shared" si="28"/>
        <v>8213685120</v>
      </c>
      <c r="AA103">
        <f t="shared" si="28"/>
        <v>8555922000</v>
      </c>
      <c r="AB103">
        <f t="shared" si="28"/>
        <v>12833883000</v>
      </c>
      <c r="AC103">
        <f t="shared" si="28"/>
        <v>20534212800</v>
      </c>
      <c r="AD103">
        <f t="shared" si="28"/>
        <v>30801319200</v>
      </c>
      <c r="AE103">
        <f t="shared" si="25"/>
        <v>35934872400</v>
      </c>
      <c r="AF103">
        <f t="shared" si="25"/>
        <v>47057571000</v>
      </c>
      <c r="AG103">
        <f t="shared" si="25"/>
        <v>59891454000</v>
      </c>
      <c r="AK103">
        <v>97</v>
      </c>
      <c r="AL103" s="24">
        <f t="shared" si="21"/>
        <v>8.9010899999999999</v>
      </c>
      <c r="AM103">
        <f t="shared" si="27"/>
        <v>62.307630000000003</v>
      </c>
      <c r="AN103">
        <f t="shared" si="27"/>
        <v>89.010899999999992</v>
      </c>
      <c r="AO103">
        <f t="shared" si="27"/>
        <v>133.51634999999999</v>
      </c>
      <c r="AP103">
        <f t="shared" si="27"/>
        <v>178.02179999999998</v>
      </c>
      <c r="AQ103">
        <f t="shared" si="27"/>
        <v>311.53814999999997</v>
      </c>
      <c r="AR103">
        <f t="shared" si="27"/>
        <v>445.05450000000002</v>
      </c>
      <c r="AS103">
        <f t="shared" si="27"/>
        <v>712.08719999999994</v>
      </c>
      <c r="AT103">
        <f t="shared" si="27"/>
        <v>1068.1307999999999</v>
      </c>
      <c r="AU103">
        <f t="shared" si="27"/>
        <v>1513.1853000000001</v>
      </c>
      <c r="AV103">
        <f t="shared" si="27"/>
        <v>2136.2615999999998</v>
      </c>
      <c r="AW103">
        <f t="shared" si="27"/>
        <v>2937.3597</v>
      </c>
      <c r="AX103">
        <f t="shared" si="27"/>
        <v>4094.5014000000001</v>
      </c>
      <c r="AY103">
        <f t="shared" si="27"/>
        <v>7120.8720000000003</v>
      </c>
      <c r="AZ103">
        <f t="shared" si="27"/>
        <v>13351.635</v>
      </c>
      <c r="BA103">
        <f t="shared" si="27"/>
        <v>22252.724999999999</v>
      </c>
      <c r="BB103">
        <f t="shared" si="27"/>
        <v>35604.36</v>
      </c>
      <c r="BC103">
        <f t="shared" si="26"/>
        <v>89010.9</v>
      </c>
      <c r="BD103">
        <f t="shared" si="26"/>
        <v>133516.35</v>
      </c>
      <c r="BE103">
        <f t="shared" si="26"/>
        <v>213626.16</v>
      </c>
      <c r="BF103">
        <f t="shared" si="26"/>
        <v>267032.7</v>
      </c>
      <c r="BG103">
        <f t="shared" si="26"/>
        <v>890109</v>
      </c>
      <c r="BH103">
        <f t="shared" si="26"/>
        <v>2670327</v>
      </c>
      <c r="BI103">
        <f t="shared" si="26"/>
        <v>7565926.5</v>
      </c>
      <c r="BJ103">
        <f t="shared" si="26"/>
        <v>26703270</v>
      </c>
      <c r="BK103">
        <f t="shared" si="26"/>
        <v>89010900</v>
      </c>
      <c r="BL103" s="145">
        <v>98</v>
      </c>
    </row>
    <row r="104" spans="1:64" ht="17.25" thickBot="1" x14ac:dyDescent="0.25">
      <c r="A104" s="131">
        <v>100</v>
      </c>
      <c r="B104" s="132">
        <v>8555922</v>
      </c>
      <c r="D104" s="131">
        <v>100</v>
      </c>
      <c r="E104" s="132">
        <v>8.9860199999999999</v>
      </c>
      <c r="M104">
        <v>100</v>
      </c>
      <c r="N104">
        <f t="shared" si="20"/>
        <v>86840160</v>
      </c>
      <c r="O104">
        <f t="shared" si="28"/>
        <v>173680320</v>
      </c>
      <c r="P104">
        <f t="shared" si="28"/>
        <v>260520480</v>
      </c>
      <c r="Q104">
        <f t="shared" si="28"/>
        <v>347360640</v>
      </c>
      <c r="R104">
        <f t="shared" si="28"/>
        <v>521040960</v>
      </c>
      <c r="S104">
        <f t="shared" si="28"/>
        <v>607881120</v>
      </c>
      <c r="T104">
        <f t="shared" si="28"/>
        <v>868401600</v>
      </c>
      <c r="U104">
        <f t="shared" si="28"/>
        <v>1302602400</v>
      </c>
      <c r="V104">
        <f t="shared" si="28"/>
        <v>2084163840</v>
      </c>
      <c r="W104">
        <f t="shared" si="28"/>
        <v>3126245760</v>
      </c>
      <c r="X104">
        <f t="shared" si="28"/>
        <v>4342008000</v>
      </c>
      <c r="Y104">
        <f t="shared" si="28"/>
        <v>5210409600</v>
      </c>
      <c r="Z104">
        <f t="shared" si="28"/>
        <v>8336655360</v>
      </c>
      <c r="AA104">
        <f t="shared" si="28"/>
        <v>8684016000</v>
      </c>
      <c r="AB104">
        <f t="shared" si="28"/>
        <v>13026024000</v>
      </c>
      <c r="AC104">
        <f t="shared" si="28"/>
        <v>20841638400</v>
      </c>
      <c r="AD104">
        <f t="shared" si="28"/>
        <v>31262457600</v>
      </c>
      <c r="AE104">
        <f t="shared" si="25"/>
        <v>36472867200</v>
      </c>
      <c r="AF104">
        <f t="shared" si="25"/>
        <v>47762088000</v>
      </c>
      <c r="AG104">
        <f t="shared" si="25"/>
        <v>60788112000</v>
      </c>
      <c r="AK104">
        <v>98</v>
      </c>
      <c r="AL104" s="24">
        <f t="shared" si="21"/>
        <v>8.9296699999999998</v>
      </c>
      <c r="AM104">
        <f t="shared" si="27"/>
        <v>62.507689999999997</v>
      </c>
      <c r="AN104">
        <f t="shared" si="27"/>
        <v>89.296700000000001</v>
      </c>
      <c r="AO104">
        <f t="shared" si="27"/>
        <v>133.94505000000001</v>
      </c>
      <c r="AP104">
        <f t="shared" si="27"/>
        <v>178.5934</v>
      </c>
      <c r="AQ104">
        <f t="shared" si="27"/>
        <v>312.53845000000001</v>
      </c>
      <c r="AR104">
        <f t="shared" si="27"/>
        <v>446.48349999999999</v>
      </c>
      <c r="AS104">
        <f t="shared" si="27"/>
        <v>714.37360000000001</v>
      </c>
      <c r="AT104">
        <f t="shared" si="27"/>
        <v>1071.5604000000001</v>
      </c>
      <c r="AU104">
        <f t="shared" si="27"/>
        <v>1518.0438999999999</v>
      </c>
      <c r="AV104">
        <f t="shared" si="27"/>
        <v>2143.1208000000001</v>
      </c>
      <c r="AW104">
        <f t="shared" si="27"/>
        <v>2946.7910999999999</v>
      </c>
      <c r="AX104">
        <f t="shared" si="27"/>
        <v>4107.6481999999996</v>
      </c>
      <c r="AY104">
        <f t="shared" si="27"/>
        <v>7143.7359999999999</v>
      </c>
      <c r="AZ104">
        <f t="shared" si="27"/>
        <v>13394.504999999999</v>
      </c>
      <c r="BA104">
        <f t="shared" si="27"/>
        <v>22324.174999999999</v>
      </c>
      <c r="BB104">
        <f t="shared" si="27"/>
        <v>35718.68</v>
      </c>
      <c r="BC104">
        <f t="shared" si="26"/>
        <v>89296.7</v>
      </c>
      <c r="BD104">
        <f t="shared" si="26"/>
        <v>133945.04999999999</v>
      </c>
      <c r="BE104">
        <f t="shared" si="26"/>
        <v>214312.08</v>
      </c>
      <c r="BF104">
        <f t="shared" si="26"/>
        <v>267890.09999999998</v>
      </c>
      <c r="BG104">
        <f t="shared" si="26"/>
        <v>892967</v>
      </c>
      <c r="BH104">
        <f t="shared" si="26"/>
        <v>2678901</v>
      </c>
      <c r="BI104">
        <f t="shared" si="26"/>
        <v>7590219.5</v>
      </c>
      <c r="BJ104">
        <f t="shared" si="26"/>
        <v>26789010</v>
      </c>
      <c r="BK104">
        <f t="shared" si="26"/>
        <v>89296700</v>
      </c>
      <c r="BL104">
        <v>99</v>
      </c>
    </row>
    <row r="105" spans="1:64" ht="17.25" thickBot="1" x14ac:dyDescent="0.25">
      <c r="A105" s="131">
        <v>101</v>
      </c>
      <c r="B105" s="132">
        <v>8684016</v>
      </c>
      <c r="D105" s="131">
        <v>101</v>
      </c>
      <c r="E105" s="132">
        <v>9.0137999999999998</v>
      </c>
      <c r="M105">
        <v>101</v>
      </c>
      <c r="N105">
        <f t="shared" si="20"/>
        <v>88127440</v>
      </c>
      <c r="O105">
        <f t="shared" si="28"/>
        <v>176254880</v>
      </c>
      <c r="P105">
        <f t="shared" si="28"/>
        <v>264382320</v>
      </c>
      <c r="Q105">
        <f t="shared" si="28"/>
        <v>352509760</v>
      </c>
      <c r="R105">
        <f t="shared" si="28"/>
        <v>528764640</v>
      </c>
      <c r="S105">
        <f t="shared" si="28"/>
        <v>616892080</v>
      </c>
      <c r="T105">
        <f t="shared" si="28"/>
        <v>881274400</v>
      </c>
      <c r="U105">
        <f t="shared" si="28"/>
        <v>1321911600</v>
      </c>
      <c r="V105">
        <f t="shared" si="28"/>
        <v>2115058560</v>
      </c>
      <c r="W105">
        <f t="shared" si="28"/>
        <v>3172587840</v>
      </c>
      <c r="X105">
        <f t="shared" si="28"/>
        <v>4406372000</v>
      </c>
      <c r="Y105">
        <f t="shared" si="28"/>
        <v>5287646400</v>
      </c>
      <c r="Z105">
        <f t="shared" si="28"/>
        <v>8460234240</v>
      </c>
      <c r="AA105">
        <f t="shared" si="28"/>
        <v>8812744000</v>
      </c>
      <c r="AB105">
        <f t="shared" si="28"/>
        <v>13219116000</v>
      </c>
      <c r="AC105">
        <f t="shared" si="28"/>
        <v>21150585600</v>
      </c>
      <c r="AD105">
        <f t="shared" si="28"/>
        <v>31725878400</v>
      </c>
      <c r="AE105">
        <f t="shared" si="25"/>
        <v>37013524800</v>
      </c>
      <c r="AF105">
        <f t="shared" si="25"/>
        <v>48470092000</v>
      </c>
      <c r="AG105">
        <f t="shared" si="25"/>
        <v>61689208000</v>
      </c>
      <c r="AK105">
        <v>99</v>
      </c>
      <c r="AL105" s="24">
        <f t="shared" si="21"/>
        <v>8.9579799999999992</v>
      </c>
      <c r="AM105">
        <f t="shared" si="27"/>
        <v>62.705859999999994</v>
      </c>
      <c r="AN105">
        <f t="shared" si="27"/>
        <v>89.579799999999992</v>
      </c>
      <c r="AO105">
        <f t="shared" si="27"/>
        <v>134.36969999999999</v>
      </c>
      <c r="AP105">
        <f t="shared" si="27"/>
        <v>179.15959999999998</v>
      </c>
      <c r="AQ105">
        <f t="shared" si="27"/>
        <v>313.52929999999998</v>
      </c>
      <c r="AR105">
        <f t="shared" si="27"/>
        <v>447.89899999999994</v>
      </c>
      <c r="AS105">
        <f t="shared" si="27"/>
        <v>716.63839999999993</v>
      </c>
      <c r="AT105">
        <f t="shared" si="27"/>
        <v>1074.9576</v>
      </c>
      <c r="AU105">
        <f t="shared" si="27"/>
        <v>1522.8565999999998</v>
      </c>
      <c r="AV105">
        <f t="shared" si="27"/>
        <v>2149.9151999999999</v>
      </c>
      <c r="AW105">
        <f t="shared" si="27"/>
        <v>2956.1333999999997</v>
      </c>
      <c r="AX105">
        <f t="shared" si="27"/>
        <v>4120.6707999999999</v>
      </c>
      <c r="AY105">
        <f t="shared" si="27"/>
        <v>7166.3839999999991</v>
      </c>
      <c r="AZ105">
        <f t="shared" si="27"/>
        <v>13436.97</v>
      </c>
      <c r="BA105">
        <f t="shared" si="27"/>
        <v>22394.949999999997</v>
      </c>
      <c r="BB105">
        <f t="shared" si="27"/>
        <v>35831.919999999998</v>
      </c>
      <c r="BC105">
        <f t="shared" si="26"/>
        <v>89579.799999999988</v>
      </c>
      <c r="BD105">
        <f t="shared" si="26"/>
        <v>134369.69999999998</v>
      </c>
      <c r="BE105">
        <f t="shared" si="26"/>
        <v>214991.52</v>
      </c>
      <c r="BF105">
        <f t="shared" si="26"/>
        <v>268739.39999999997</v>
      </c>
      <c r="BG105">
        <f t="shared" si="26"/>
        <v>895797.99999999988</v>
      </c>
      <c r="BH105">
        <f t="shared" si="26"/>
        <v>2687393.9999999995</v>
      </c>
      <c r="BI105">
        <f t="shared" si="26"/>
        <v>7614282.9999999991</v>
      </c>
      <c r="BJ105">
        <f t="shared" si="26"/>
        <v>26873939.999999996</v>
      </c>
      <c r="BK105">
        <f t="shared" si="26"/>
        <v>89579799.999999985</v>
      </c>
      <c r="BL105" s="145">
        <v>100</v>
      </c>
    </row>
    <row r="106" spans="1:64" ht="17.25" thickBot="1" x14ac:dyDescent="0.25">
      <c r="A106" s="131">
        <v>102</v>
      </c>
      <c r="B106" s="132">
        <v>8812744</v>
      </c>
      <c r="D106" s="131">
        <v>102</v>
      </c>
      <c r="E106" s="132">
        <v>9.0413300000000003</v>
      </c>
      <c r="M106">
        <v>102</v>
      </c>
      <c r="N106">
        <f t="shared" si="20"/>
        <v>89420990</v>
      </c>
      <c r="O106">
        <f t="shared" si="28"/>
        <v>178841980</v>
      </c>
      <c r="P106">
        <f t="shared" si="28"/>
        <v>268262970</v>
      </c>
      <c r="Q106">
        <f t="shared" si="28"/>
        <v>357683960</v>
      </c>
      <c r="R106">
        <f t="shared" si="28"/>
        <v>536525940</v>
      </c>
      <c r="S106">
        <f t="shared" si="28"/>
        <v>625946930</v>
      </c>
      <c r="T106">
        <f t="shared" si="28"/>
        <v>894209900</v>
      </c>
      <c r="U106">
        <f t="shared" si="28"/>
        <v>1341314850</v>
      </c>
      <c r="V106">
        <f t="shared" si="28"/>
        <v>2146103760</v>
      </c>
      <c r="W106">
        <f t="shared" si="28"/>
        <v>3219155640</v>
      </c>
      <c r="X106">
        <f t="shared" si="28"/>
        <v>4471049500</v>
      </c>
      <c r="Y106">
        <f t="shared" si="28"/>
        <v>5365259400</v>
      </c>
      <c r="Z106">
        <f t="shared" si="28"/>
        <v>8584415040</v>
      </c>
      <c r="AA106">
        <f t="shared" si="28"/>
        <v>8942099000</v>
      </c>
      <c r="AB106">
        <f t="shared" si="28"/>
        <v>13413148500</v>
      </c>
      <c r="AC106">
        <f t="shared" si="28"/>
        <v>21461037600</v>
      </c>
      <c r="AD106">
        <f t="shared" si="28"/>
        <v>32191556400</v>
      </c>
      <c r="AE106">
        <f t="shared" si="25"/>
        <v>37556815800</v>
      </c>
      <c r="AF106">
        <f t="shared" si="25"/>
        <v>49181544500</v>
      </c>
      <c r="AG106">
        <f t="shared" si="25"/>
        <v>62594693000</v>
      </c>
      <c r="AK106">
        <v>100</v>
      </c>
      <c r="AL106" s="24">
        <f t="shared" si="21"/>
        <v>8.9860199999999999</v>
      </c>
      <c r="AM106">
        <f t="shared" si="27"/>
        <v>62.902140000000003</v>
      </c>
      <c r="AN106">
        <f t="shared" si="27"/>
        <v>89.860199999999992</v>
      </c>
      <c r="AO106">
        <f t="shared" si="27"/>
        <v>134.7903</v>
      </c>
      <c r="AP106">
        <f t="shared" si="27"/>
        <v>179.72039999999998</v>
      </c>
      <c r="AQ106">
        <f t="shared" si="27"/>
        <v>314.51069999999999</v>
      </c>
      <c r="AR106">
        <f t="shared" si="27"/>
        <v>449.30099999999999</v>
      </c>
      <c r="AS106">
        <f t="shared" si="27"/>
        <v>718.88159999999993</v>
      </c>
      <c r="AT106">
        <f t="shared" si="27"/>
        <v>1078.3224</v>
      </c>
      <c r="AU106">
        <f t="shared" si="27"/>
        <v>1527.6233999999999</v>
      </c>
      <c r="AV106">
        <f t="shared" si="27"/>
        <v>2156.6448</v>
      </c>
      <c r="AW106">
        <f t="shared" si="27"/>
        <v>2965.3865999999998</v>
      </c>
      <c r="AX106">
        <f t="shared" si="27"/>
        <v>4133.5691999999999</v>
      </c>
      <c r="AY106">
        <f t="shared" si="27"/>
        <v>7188.8159999999998</v>
      </c>
      <c r="AZ106">
        <f t="shared" si="27"/>
        <v>13479.03</v>
      </c>
      <c r="BA106">
        <f t="shared" si="27"/>
        <v>22465.05</v>
      </c>
      <c r="BB106">
        <f t="shared" si="27"/>
        <v>35944.080000000002</v>
      </c>
      <c r="BC106">
        <f t="shared" si="26"/>
        <v>89860.2</v>
      </c>
      <c r="BD106">
        <f t="shared" si="26"/>
        <v>134790.29999999999</v>
      </c>
      <c r="BE106">
        <f t="shared" si="26"/>
        <v>215664.48</v>
      </c>
      <c r="BF106">
        <f t="shared" si="26"/>
        <v>269580.59999999998</v>
      </c>
      <c r="BG106">
        <f t="shared" si="26"/>
        <v>898602</v>
      </c>
      <c r="BH106">
        <f t="shared" si="26"/>
        <v>2695806</v>
      </c>
      <c r="BI106">
        <f t="shared" si="26"/>
        <v>7638117</v>
      </c>
      <c r="BJ106">
        <f t="shared" si="26"/>
        <v>26958060</v>
      </c>
      <c r="BK106">
        <f t="shared" si="26"/>
        <v>89860200</v>
      </c>
      <c r="BL106">
        <v>101</v>
      </c>
    </row>
    <row r="107" spans="1:64" ht="17.25" thickBot="1" x14ac:dyDescent="0.25">
      <c r="A107" s="131">
        <v>103</v>
      </c>
      <c r="B107" s="132">
        <v>8942099</v>
      </c>
      <c r="D107" s="131">
        <v>103</v>
      </c>
      <c r="E107" s="132">
        <v>9.0686099999999996</v>
      </c>
      <c r="M107">
        <v>103</v>
      </c>
      <c r="N107">
        <f t="shared" si="20"/>
        <v>90720830</v>
      </c>
      <c r="O107">
        <f t="shared" si="28"/>
        <v>181441660</v>
      </c>
      <c r="P107">
        <f t="shared" si="28"/>
        <v>272162490</v>
      </c>
      <c r="Q107">
        <f t="shared" si="28"/>
        <v>362883320</v>
      </c>
      <c r="R107">
        <f t="shared" si="28"/>
        <v>544324980</v>
      </c>
      <c r="S107">
        <f t="shared" si="28"/>
        <v>635045810</v>
      </c>
      <c r="T107">
        <f t="shared" si="28"/>
        <v>907208300</v>
      </c>
      <c r="U107">
        <f t="shared" si="28"/>
        <v>1360812450</v>
      </c>
      <c r="V107">
        <f t="shared" si="28"/>
        <v>2177299920</v>
      </c>
      <c r="W107">
        <f t="shared" si="28"/>
        <v>3265949880</v>
      </c>
      <c r="X107">
        <f t="shared" si="28"/>
        <v>4536041500</v>
      </c>
      <c r="Y107">
        <f t="shared" si="28"/>
        <v>5443249800</v>
      </c>
      <c r="Z107">
        <f t="shared" si="28"/>
        <v>8709199680</v>
      </c>
      <c r="AA107">
        <f t="shared" si="28"/>
        <v>9072083000</v>
      </c>
      <c r="AB107">
        <f t="shared" si="28"/>
        <v>13608124500</v>
      </c>
      <c r="AC107">
        <f t="shared" si="28"/>
        <v>21772999200</v>
      </c>
      <c r="AD107">
        <f t="shared" si="28"/>
        <v>32659498800</v>
      </c>
      <c r="AE107">
        <f t="shared" si="25"/>
        <v>38102748600</v>
      </c>
      <c r="AF107">
        <f t="shared" si="25"/>
        <v>49896456500</v>
      </c>
      <c r="AG107">
        <f t="shared" si="25"/>
        <v>63504581000</v>
      </c>
      <c r="AK107">
        <v>101</v>
      </c>
      <c r="AL107" s="24">
        <f t="shared" si="21"/>
        <v>9.0137999999999998</v>
      </c>
      <c r="AM107">
        <f t="shared" si="27"/>
        <v>63.096599999999995</v>
      </c>
      <c r="AN107">
        <f t="shared" si="27"/>
        <v>90.138000000000005</v>
      </c>
      <c r="AO107">
        <f t="shared" si="27"/>
        <v>135.20699999999999</v>
      </c>
      <c r="AP107">
        <f t="shared" si="27"/>
        <v>180.27600000000001</v>
      </c>
      <c r="AQ107">
        <f t="shared" si="27"/>
        <v>315.483</v>
      </c>
      <c r="AR107">
        <f t="shared" si="27"/>
        <v>450.69</v>
      </c>
      <c r="AS107">
        <f t="shared" si="27"/>
        <v>721.10400000000004</v>
      </c>
      <c r="AT107">
        <f t="shared" si="27"/>
        <v>1081.6559999999999</v>
      </c>
      <c r="AU107">
        <f t="shared" si="27"/>
        <v>1532.346</v>
      </c>
      <c r="AV107">
        <f t="shared" si="27"/>
        <v>2163.3119999999999</v>
      </c>
      <c r="AW107">
        <f t="shared" si="27"/>
        <v>2974.5540000000001</v>
      </c>
      <c r="AX107">
        <f t="shared" si="27"/>
        <v>4146.348</v>
      </c>
      <c r="AY107">
        <f t="shared" si="27"/>
        <v>7211.04</v>
      </c>
      <c r="AZ107">
        <f t="shared" si="27"/>
        <v>13520.699999999999</v>
      </c>
      <c r="BA107">
        <f t="shared" si="27"/>
        <v>22534.5</v>
      </c>
      <c r="BB107">
        <f t="shared" si="27"/>
        <v>36055.199999999997</v>
      </c>
      <c r="BC107">
        <f t="shared" si="26"/>
        <v>90138</v>
      </c>
      <c r="BD107">
        <f t="shared" si="26"/>
        <v>135207</v>
      </c>
      <c r="BE107">
        <f t="shared" si="26"/>
        <v>216331.19999999998</v>
      </c>
      <c r="BF107">
        <f t="shared" si="26"/>
        <v>270414</v>
      </c>
      <c r="BG107">
        <f t="shared" si="26"/>
        <v>901380</v>
      </c>
      <c r="BH107">
        <f t="shared" si="26"/>
        <v>2704140</v>
      </c>
      <c r="BI107">
        <f t="shared" si="26"/>
        <v>7661730</v>
      </c>
      <c r="BJ107">
        <f t="shared" si="26"/>
        <v>27041400</v>
      </c>
      <c r="BK107">
        <f t="shared" si="26"/>
        <v>90138000</v>
      </c>
      <c r="BL107" s="145">
        <v>102</v>
      </c>
    </row>
    <row r="108" spans="1:64" ht="17.25" thickBot="1" x14ac:dyDescent="0.25">
      <c r="A108" s="131">
        <v>104</v>
      </c>
      <c r="B108" s="132">
        <v>9072083</v>
      </c>
      <c r="D108" s="131">
        <v>104</v>
      </c>
      <c r="E108" s="132">
        <v>9.0956399999999995</v>
      </c>
      <c r="M108">
        <v>104</v>
      </c>
      <c r="N108">
        <f t="shared" si="20"/>
        <v>92026880</v>
      </c>
      <c r="O108">
        <f t="shared" si="28"/>
        <v>184053760</v>
      </c>
      <c r="P108">
        <f t="shared" si="28"/>
        <v>276080640</v>
      </c>
      <c r="Q108">
        <f t="shared" si="28"/>
        <v>368107520</v>
      </c>
      <c r="R108">
        <f t="shared" si="28"/>
        <v>552161280</v>
      </c>
      <c r="S108">
        <f t="shared" si="28"/>
        <v>644188160</v>
      </c>
      <c r="T108">
        <f t="shared" si="28"/>
        <v>920268800</v>
      </c>
      <c r="U108">
        <f t="shared" si="28"/>
        <v>1380403200</v>
      </c>
      <c r="V108">
        <f t="shared" si="28"/>
        <v>2208645120</v>
      </c>
      <c r="W108">
        <f t="shared" si="28"/>
        <v>3312967680</v>
      </c>
      <c r="X108">
        <f t="shared" si="28"/>
        <v>4601344000</v>
      </c>
      <c r="Y108">
        <f t="shared" si="28"/>
        <v>5521612800</v>
      </c>
      <c r="Z108">
        <f t="shared" si="28"/>
        <v>8834580480</v>
      </c>
      <c r="AA108">
        <f t="shared" si="28"/>
        <v>9202688000</v>
      </c>
      <c r="AB108">
        <f t="shared" si="28"/>
        <v>13804032000</v>
      </c>
      <c r="AC108">
        <f t="shared" si="28"/>
        <v>22086451200</v>
      </c>
      <c r="AD108">
        <f t="shared" si="28"/>
        <v>33129676800</v>
      </c>
      <c r="AE108">
        <f t="shared" si="25"/>
        <v>38651289600</v>
      </c>
      <c r="AF108">
        <f t="shared" si="25"/>
        <v>50614784000</v>
      </c>
      <c r="AG108">
        <f t="shared" si="25"/>
        <v>64418816000</v>
      </c>
      <c r="AK108">
        <v>102</v>
      </c>
      <c r="AL108" s="24">
        <f t="shared" si="21"/>
        <v>9.0413300000000003</v>
      </c>
      <c r="AM108">
        <f t="shared" si="27"/>
        <v>63.28931</v>
      </c>
      <c r="AN108">
        <f t="shared" si="27"/>
        <v>90.413300000000007</v>
      </c>
      <c r="AO108">
        <f t="shared" si="27"/>
        <v>135.61995000000002</v>
      </c>
      <c r="AP108">
        <f t="shared" si="27"/>
        <v>180.82660000000001</v>
      </c>
      <c r="AQ108">
        <f t="shared" si="27"/>
        <v>316.44655</v>
      </c>
      <c r="AR108">
        <f t="shared" si="27"/>
        <v>452.06650000000002</v>
      </c>
      <c r="AS108">
        <f t="shared" si="27"/>
        <v>723.30640000000005</v>
      </c>
      <c r="AT108">
        <f t="shared" si="27"/>
        <v>1084.9596000000001</v>
      </c>
      <c r="AU108">
        <f t="shared" si="27"/>
        <v>1537.0261</v>
      </c>
      <c r="AV108">
        <f t="shared" si="27"/>
        <v>2169.9192000000003</v>
      </c>
      <c r="AW108">
        <f t="shared" si="27"/>
        <v>2983.6388999999999</v>
      </c>
      <c r="AX108">
        <f t="shared" si="27"/>
        <v>4159.0118000000002</v>
      </c>
      <c r="AY108">
        <f t="shared" si="27"/>
        <v>7233.0640000000003</v>
      </c>
      <c r="AZ108">
        <f t="shared" si="27"/>
        <v>13561.995000000001</v>
      </c>
      <c r="BA108">
        <f t="shared" si="27"/>
        <v>22603.325000000001</v>
      </c>
      <c r="BB108">
        <f t="shared" si="27"/>
        <v>36165.32</v>
      </c>
      <c r="BC108">
        <f t="shared" si="26"/>
        <v>90413.3</v>
      </c>
      <c r="BD108">
        <f t="shared" si="26"/>
        <v>135619.95000000001</v>
      </c>
      <c r="BE108">
        <f t="shared" si="26"/>
        <v>216991.92</v>
      </c>
      <c r="BF108">
        <f t="shared" si="26"/>
        <v>271239.90000000002</v>
      </c>
      <c r="BG108">
        <f t="shared" si="26"/>
        <v>904133</v>
      </c>
      <c r="BH108">
        <f t="shared" si="26"/>
        <v>2712399</v>
      </c>
      <c r="BI108">
        <f t="shared" si="26"/>
        <v>7685130.5</v>
      </c>
      <c r="BJ108">
        <f t="shared" si="26"/>
        <v>27123990</v>
      </c>
      <c r="BK108">
        <f t="shared" si="26"/>
        <v>90413300</v>
      </c>
      <c r="BL108">
        <v>103</v>
      </c>
    </row>
    <row r="109" spans="1:64" ht="17.25" thickBot="1" x14ac:dyDescent="0.25">
      <c r="A109" s="131">
        <v>105</v>
      </c>
      <c r="B109" s="132">
        <v>9202688</v>
      </c>
      <c r="D109" s="131">
        <v>105</v>
      </c>
      <c r="E109" s="132">
        <v>9.1224299999999996</v>
      </c>
      <c r="M109">
        <v>105</v>
      </c>
      <c r="N109">
        <f t="shared" si="20"/>
        <v>93339160</v>
      </c>
      <c r="O109">
        <f t="shared" si="28"/>
        <v>186678320</v>
      </c>
      <c r="P109">
        <f t="shared" si="28"/>
        <v>280017480</v>
      </c>
      <c r="Q109">
        <f t="shared" si="28"/>
        <v>373356640</v>
      </c>
      <c r="R109">
        <f t="shared" si="28"/>
        <v>560034960</v>
      </c>
      <c r="S109">
        <f t="shared" si="28"/>
        <v>653374120</v>
      </c>
      <c r="T109">
        <f t="shared" si="28"/>
        <v>933391600</v>
      </c>
      <c r="U109">
        <f t="shared" si="28"/>
        <v>1400087400</v>
      </c>
      <c r="V109">
        <f t="shared" si="28"/>
        <v>2240139840</v>
      </c>
      <c r="W109">
        <f t="shared" si="28"/>
        <v>3360209760</v>
      </c>
      <c r="X109">
        <f t="shared" si="28"/>
        <v>4666958000</v>
      </c>
      <c r="Y109">
        <f t="shared" si="28"/>
        <v>5600349600</v>
      </c>
      <c r="Z109">
        <f t="shared" si="28"/>
        <v>8960559360</v>
      </c>
      <c r="AA109">
        <f t="shared" si="28"/>
        <v>9333916000</v>
      </c>
      <c r="AB109">
        <f t="shared" si="28"/>
        <v>14000874000</v>
      </c>
      <c r="AC109">
        <f t="shared" si="28"/>
        <v>22401398400</v>
      </c>
      <c r="AD109">
        <f t="shared" si="28"/>
        <v>33602097600</v>
      </c>
      <c r="AE109">
        <f t="shared" si="25"/>
        <v>39202447200</v>
      </c>
      <c r="AF109">
        <f t="shared" si="25"/>
        <v>51336538000</v>
      </c>
      <c r="AG109">
        <f t="shared" si="25"/>
        <v>65337412000</v>
      </c>
      <c r="AK109">
        <v>103</v>
      </c>
      <c r="AL109" s="24">
        <f t="shared" si="21"/>
        <v>9.0686099999999996</v>
      </c>
      <c r="AM109">
        <f t="shared" si="27"/>
        <v>63.480269999999997</v>
      </c>
      <c r="AN109">
        <f t="shared" si="27"/>
        <v>90.686099999999996</v>
      </c>
      <c r="AO109">
        <f t="shared" si="27"/>
        <v>136.02914999999999</v>
      </c>
      <c r="AP109">
        <f t="shared" si="27"/>
        <v>181.37219999999999</v>
      </c>
      <c r="AQ109">
        <f t="shared" si="27"/>
        <v>317.40134999999998</v>
      </c>
      <c r="AR109">
        <f t="shared" si="27"/>
        <v>453.43049999999999</v>
      </c>
      <c r="AS109">
        <f t="shared" si="27"/>
        <v>725.48879999999997</v>
      </c>
      <c r="AT109">
        <f t="shared" si="27"/>
        <v>1088.2331999999999</v>
      </c>
      <c r="AU109">
        <f t="shared" si="27"/>
        <v>1541.6636999999998</v>
      </c>
      <c r="AV109">
        <f t="shared" si="27"/>
        <v>2176.4663999999998</v>
      </c>
      <c r="AW109">
        <f t="shared" si="27"/>
        <v>2992.6412999999998</v>
      </c>
      <c r="AX109">
        <f t="shared" si="27"/>
        <v>4171.5605999999998</v>
      </c>
      <c r="AY109">
        <f t="shared" si="27"/>
        <v>7254.8879999999999</v>
      </c>
      <c r="AZ109">
        <f t="shared" si="27"/>
        <v>13602.914999999999</v>
      </c>
      <c r="BA109">
        <f t="shared" si="27"/>
        <v>22671.524999999998</v>
      </c>
      <c r="BB109">
        <f t="shared" si="27"/>
        <v>36274.439999999995</v>
      </c>
      <c r="BC109">
        <f t="shared" si="26"/>
        <v>90686.099999999991</v>
      </c>
      <c r="BD109">
        <f t="shared" si="26"/>
        <v>136029.15</v>
      </c>
      <c r="BE109">
        <f t="shared" si="26"/>
        <v>217646.63999999998</v>
      </c>
      <c r="BF109">
        <f t="shared" si="26"/>
        <v>272058.3</v>
      </c>
      <c r="BG109">
        <f t="shared" si="26"/>
        <v>906861</v>
      </c>
      <c r="BH109">
        <f t="shared" si="26"/>
        <v>2720583</v>
      </c>
      <c r="BI109">
        <f t="shared" si="26"/>
        <v>7708318.5</v>
      </c>
      <c r="BJ109">
        <f t="shared" si="26"/>
        <v>27205830</v>
      </c>
      <c r="BK109">
        <f t="shared" si="26"/>
        <v>90686100</v>
      </c>
      <c r="BL109" s="145">
        <v>104</v>
      </c>
    </row>
    <row r="110" spans="1:64" ht="17.25" thickBot="1" x14ac:dyDescent="0.25">
      <c r="A110" s="131">
        <v>106</v>
      </c>
      <c r="B110" s="132">
        <v>9333916</v>
      </c>
      <c r="D110" s="131">
        <v>106</v>
      </c>
      <c r="E110" s="132">
        <v>9.1489799999999999</v>
      </c>
      <c r="M110">
        <v>106</v>
      </c>
      <c r="N110">
        <f t="shared" si="20"/>
        <v>94657610</v>
      </c>
      <c r="O110">
        <f t="shared" si="28"/>
        <v>189315220</v>
      </c>
      <c r="P110">
        <f t="shared" si="28"/>
        <v>283972830</v>
      </c>
      <c r="Q110">
        <f t="shared" si="28"/>
        <v>378630440</v>
      </c>
      <c r="R110">
        <f t="shared" si="28"/>
        <v>567945660</v>
      </c>
      <c r="S110">
        <f t="shared" si="28"/>
        <v>662603270</v>
      </c>
      <c r="T110">
        <f t="shared" si="28"/>
        <v>946576100</v>
      </c>
      <c r="U110">
        <f t="shared" si="28"/>
        <v>1419864150</v>
      </c>
      <c r="V110">
        <f t="shared" si="28"/>
        <v>2271782640</v>
      </c>
      <c r="W110">
        <f t="shared" si="28"/>
        <v>3407673960</v>
      </c>
      <c r="X110">
        <f t="shared" si="28"/>
        <v>4732880500</v>
      </c>
      <c r="Y110">
        <f t="shared" si="28"/>
        <v>5679456600</v>
      </c>
      <c r="Z110">
        <f t="shared" si="28"/>
        <v>9087130560</v>
      </c>
      <c r="AA110">
        <f t="shared" si="28"/>
        <v>9465761000</v>
      </c>
      <c r="AB110">
        <f t="shared" si="28"/>
        <v>14198641500</v>
      </c>
      <c r="AC110">
        <f t="shared" si="28"/>
        <v>22717826400</v>
      </c>
      <c r="AD110">
        <f t="shared" si="28"/>
        <v>34076739600</v>
      </c>
      <c r="AE110">
        <f t="shared" si="25"/>
        <v>39756196200</v>
      </c>
      <c r="AF110">
        <f t="shared" si="25"/>
        <v>52061685500</v>
      </c>
      <c r="AG110">
        <f t="shared" si="25"/>
        <v>66260327000</v>
      </c>
      <c r="AK110">
        <v>104</v>
      </c>
      <c r="AL110" s="24">
        <f t="shared" si="21"/>
        <v>9.0956399999999995</v>
      </c>
      <c r="AM110">
        <f t="shared" si="27"/>
        <v>63.669479999999993</v>
      </c>
      <c r="AN110">
        <f t="shared" si="27"/>
        <v>90.956400000000002</v>
      </c>
      <c r="AO110">
        <f t="shared" si="27"/>
        <v>136.43459999999999</v>
      </c>
      <c r="AP110">
        <f t="shared" si="27"/>
        <v>181.9128</v>
      </c>
      <c r="AQ110">
        <f t="shared" si="27"/>
        <v>318.34739999999999</v>
      </c>
      <c r="AR110">
        <f t="shared" si="27"/>
        <v>454.78199999999998</v>
      </c>
      <c r="AS110">
        <f t="shared" si="27"/>
        <v>727.65120000000002</v>
      </c>
      <c r="AT110">
        <f t="shared" si="27"/>
        <v>1091.4767999999999</v>
      </c>
      <c r="AU110">
        <f t="shared" si="27"/>
        <v>1546.2587999999998</v>
      </c>
      <c r="AV110">
        <f t="shared" si="27"/>
        <v>2182.9535999999998</v>
      </c>
      <c r="AW110">
        <f t="shared" si="27"/>
        <v>3001.5611999999996</v>
      </c>
      <c r="AX110">
        <f t="shared" si="27"/>
        <v>4183.9943999999996</v>
      </c>
      <c r="AY110">
        <f t="shared" si="27"/>
        <v>7276.5119999999997</v>
      </c>
      <c r="AZ110">
        <f t="shared" si="27"/>
        <v>13643.46</v>
      </c>
      <c r="BA110">
        <f t="shared" si="27"/>
        <v>22739.1</v>
      </c>
      <c r="BB110">
        <f t="shared" si="27"/>
        <v>36382.559999999998</v>
      </c>
      <c r="BC110">
        <f t="shared" si="26"/>
        <v>90956.4</v>
      </c>
      <c r="BD110">
        <f t="shared" si="26"/>
        <v>136434.6</v>
      </c>
      <c r="BE110">
        <f t="shared" si="26"/>
        <v>218295.36</v>
      </c>
      <c r="BF110">
        <f t="shared" si="26"/>
        <v>272869.2</v>
      </c>
      <c r="BG110">
        <f t="shared" si="26"/>
        <v>909564</v>
      </c>
      <c r="BH110">
        <f t="shared" si="26"/>
        <v>2728692</v>
      </c>
      <c r="BI110">
        <f t="shared" si="26"/>
        <v>7731294</v>
      </c>
      <c r="BJ110">
        <f t="shared" si="26"/>
        <v>27286920</v>
      </c>
      <c r="BK110">
        <f t="shared" si="26"/>
        <v>90956400</v>
      </c>
      <c r="BL110">
        <v>105</v>
      </c>
    </row>
    <row r="111" spans="1:64" ht="17.25" thickBot="1" x14ac:dyDescent="0.25">
      <c r="A111" s="131">
        <v>107</v>
      </c>
      <c r="B111" s="132">
        <v>9465761</v>
      </c>
      <c r="D111" s="131">
        <v>107</v>
      </c>
      <c r="E111" s="132">
        <v>9.1753</v>
      </c>
      <c r="M111">
        <v>107</v>
      </c>
      <c r="N111">
        <f t="shared" si="20"/>
        <v>95982220</v>
      </c>
      <c r="O111">
        <f t="shared" si="28"/>
        <v>191964440</v>
      </c>
      <c r="P111">
        <f t="shared" si="28"/>
        <v>287946660</v>
      </c>
      <c r="Q111">
        <f t="shared" si="28"/>
        <v>383928880</v>
      </c>
      <c r="R111">
        <f t="shared" si="28"/>
        <v>575893320</v>
      </c>
      <c r="S111">
        <f t="shared" si="28"/>
        <v>671875540</v>
      </c>
      <c r="T111">
        <f t="shared" si="28"/>
        <v>959822200</v>
      </c>
      <c r="U111">
        <f t="shared" si="28"/>
        <v>1439733300</v>
      </c>
      <c r="V111">
        <f t="shared" si="28"/>
        <v>2303573280</v>
      </c>
      <c r="W111">
        <f t="shared" si="28"/>
        <v>3455359920</v>
      </c>
      <c r="X111">
        <f t="shared" si="28"/>
        <v>4799111000</v>
      </c>
      <c r="Y111">
        <f t="shared" si="28"/>
        <v>5758933200</v>
      </c>
      <c r="Z111">
        <f t="shared" si="28"/>
        <v>9214293120</v>
      </c>
      <c r="AA111">
        <f t="shared" si="28"/>
        <v>9598222000</v>
      </c>
      <c r="AB111">
        <f t="shared" si="28"/>
        <v>14397333000</v>
      </c>
      <c r="AC111">
        <f t="shared" si="28"/>
        <v>23035732800</v>
      </c>
      <c r="AD111">
        <f t="shared" si="28"/>
        <v>34553599200</v>
      </c>
      <c r="AE111">
        <f t="shared" si="25"/>
        <v>40312532400</v>
      </c>
      <c r="AF111">
        <f t="shared" si="25"/>
        <v>52790221000</v>
      </c>
      <c r="AG111">
        <f t="shared" si="25"/>
        <v>67187554000</v>
      </c>
      <c r="AK111">
        <v>105</v>
      </c>
      <c r="AL111" s="24">
        <f t="shared" si="21"/>
        <v>9.1224299999999996</v>
      </c>
      <c r="AM111">
        <f t="shared" si="27"/>
        <v>63.857009999999995</v>
      </c>
      <c r="AN111">
        <f t="shared" si="27"/>
        <v>91.224299999999999</v>
      </c>
      <c r="AO111">
        <f t="shared" si="27"/>
        <v>136.83644999999999</v>
      </c>
      <c r="AP111">
        <f t="shared" si="27"/>
        <v>182.4486</v>
      </c>
      <c r="AQ111">
        <f t="shared" si="27"/>
        <v>319.28505000000001</v>
      </c>
      <c r="AR111">
        <f t="shared" si="27"/>
        <v>456.12149999999997</v>
      </c>
      <c r="AS111">
        <f t="shared" si="27"/>
        <v>729.7944</v>
      </c>
      <c r="AT111">
        <f t="shared" si="27"/>
        <v>1094.6915999999999</v>
      </c>
      <c r="AU111">
        <f t="shared" si="27"/>
        <v>1550.8130999999998</v>
      </c>
      <c r="AV111">
        <f t="shared" si="27"/>
        <v>2189.3831999999998</v>
      </c>
      <c r="AW111">
        <f t="shared" si="27"/>
        <v>3010.4018999999998</v>
      </c>
      <c r="AX111">
        <f t="shared" si="27"/>
        <v>4196.3177999999998</v>
      </c>
      <c r="AY111">
        <f t="shared" si="27"/>
        <v>7297.9439999999995</v>
      </c>
      <c r="AZ111">
        <f t="shared" si="27"/>
        <v>13683.644999999999</v>
      </c>
      <c r="BA111">
        <f t="shared" si="27"/>
        <v>22806.075000000001</v>
      </c>
      <c r="BB111">
        <f t="shared" si="27"/>
        <v>36489.72</v>
      </c>
      <c r="BC111">
        <f t="shared" si="26"/>
        <v>91224.3</v>
      </c>
      <c r="BD111">
        <f t="shared" si="26"/>
        <v>136836.44999999998</v>
      </c>
      <c r="BE111">
        <f t="shared" si="26"/>
        <v>218938.31999999998</v>
      </c>
      <c r="BF111">
        <f t="shared" si="26"/>
        <v>273672.89999999997</v>
      </c>
      <c r="BG111">
        <f t="shared" si="26"/>
        <v>912243</v>
      </c>
      <c r="BH111">
        <f t="shared" si="26"/>
        <v>2736729</v>
      </c>
      <c r="BI111">
        <f t="shared" si="26"/>
        <v>7754065.5</v>
      </c>
      <c r="BJ111">
        <f t="shared" si="26"/>
        <v>27367290</v>
      </c>
      <c r="BK111">
        <f t="shared" si="26"/>
        <v>91224300</v>
      </c>
      <c r="BL111" s="145">
        <v>106</v>
      </c>
    </row>
    <row r="112" spans="1:64" ht="17.25" thickBot="1" x14ac:dyDescent="0.25">
      <c r="A112" s="131">
        <v>108</v>
      </c>
      <c r="B112" s="132">
        <v>9598222</v>
      </c>
      <c r="D112" s="131">
        <v>108</v>
      </c>
      <c r="E112" s="132">
        <v>9.20139</v>
      </c>
      <c r="M112">
        <v>108</v>
      </c>
      <c r="N112">
        <f t="shared" si="20"/>
        <v>97312940</v>
      </c>
      <c r="O112">
        <f t="shared" si="28"/>
        <v>194625880</v>
      </c>
      <c r="P112">
        <f t="shared" si="28"/>
        <v>291938820</v>
      </c>
      <c r="Q112">
        <f t="shared" si="28"/>
        <v>389251760</v>
      </c>
      <c r="R112">
        <f t="shared" si="28"/>
        <v>583877640</v>
      </c>
      <c r="S112">
        <f t="shared" si="28"/>
        <v>681190580</v>
      </c>
      <c r="T112">
        <f t="shared" si="28"/>
        <v>973129400</v>
      </c>
      <c r="U112">
        <f t="shared" si="28"/>
        <v>1459694100</v>
      </c>
      <c r="V112">
        <f t="shared" si="28"/>
        <v>2335510560</v>
      </c>
      <c r="W112">
        <f t="shared" si="28"/>
        <v>3503265840</v>
      </c>
      <c r="X112">
        <f t="shared" si="28"/>
        <v>4865647000</v>
      </c>
      <c r="Y112">
        <f t="shared" si="28"/>
        <v>5838776400</v>
      </c>
      <c r="Z112">
        <f t="shared" si="28"/>
        <v>9342042240</v>
      </c>
      <c r="AA112">
        <f t="shared" si="28"/>
        <v>9731294000</v>
      </c>
      <c r="AB112">
        <f t="shared" si="28"/>
        <v>14596941000</v>
      </c>
      <c r="AC112">
        <f t="shared" si="28"/>
        <v>23355105600</v>
      </c>
      <c r="AD112">
        <f t="shared" si="28"/>
        <v>35032658400</v>
      </c>
      <c r="AE112">
        <f t="shared" si="25"/>
        <v>40871434800</v>
      </c>
      <c r="AF112">
        <f t="shared" si="25"/>
        <v>53522117000</v>
      </c>
      <c r="AG112">
        <f t="shared" si="25"/>
        <v>68119058000</v>
      </c>
      <c r="AK112">
        <v>106</v>
      </c>
      <c r="AL112" s="24">
        <f t="shared" si="21"/>
        <v>9.1489799999999999</v>
      </c>
      <c r="AM112">
        <f t="shared" si="27"/>
        <v>64.042860000000005</v>
      </c>
      <c r="AN112">
        <f t="shared" si="27"/>
        <v>91.489800000000002</v>
      </c>
      <c r="AO112">
        <f t="shared" si="27"/>
        <v>137.2347</v>
      </c>
      <c r="AP112">
        <f t="shared" si="27"/>
        <v>182.9796</v>
      </c>
      <c r="AQ112">
        <f t="shared" si="27"/>
        <v>320.21429999999998</v>
      </c>
      <c r="AR112">
        <f t="shared" si="27"/>
        <v>457.44900000000001</v>
      </c>
      <c r="AS112">
        <f t="shared" si="27"/>
        <v>731.91840000000002</v>
      </c>
      <c r="AT112">
        <f t="shared" si="27"/>
        <v>1097.8776</v>
      </c>
      <c r="AU112">
        <f t="shared" si="27"/>
        <v>1555.3265999999999</v>
      </c>
      <c r="AV112">
        <f t="shared" si="27"/>
        <v>2195.7552000000001</v>
      </c>
      <c r="AW112">
        <f t="shared" si="27"/>
        <v>3019.1633999999999</v>
      </c>
      <c r="AX112">
        <f t="shared" si="27"/>
        <v>4208.5307999999995</v>
      </c>
      <c r="AY112">
        <f t="shared" si="27"/>
        <v>7319.1840000000002</v>
      </c>
      <c r="AZ112">
        <f t="shared" si="27"/>
        <v>13723.47</v>
      </c>
      <c r="BA112">
        <f t="shared" si="27"/>
        <v>22872.45</v>
      </c>
      <c r="BB112">
        <f t="shared" ref="BB112:BK127" si="29">BB$5*VLOOKUP($AK112,$D$2:$E$1404,2,FALSE)</f>
        <v>36595.919999999998</v>
      </c>
      <c r="BC112">
        <f t="shared" si="29"/>
        <v>91489.8</v>
      </c>
      <c r="BD112">
        <f t="shared" si="29"/>
        <v>137234.70000000001</v>
      </c>
      <c r="BE112">
        <f t="shared" si="29"/>
        <v>219575.52</v>
      </c>
      <c r="BF112">
        <f t="shared" si="29"/>
        <v>274469.40000000002</v>
      </c>
      <c r="BG112">
        <f t="shared" si="29"/>
        <v>914898</v>
      </c>
      <c r="BH112">
        <f t="shared" si="29"/>
        <v>2744694</v>
      </c>
      <c r="BI112">
        <f t="shared" si="29"/>
        <v>7776633</v>
      </c>
      <c r="BJ112">
        <f t="shared" si="29"/>
        <v>27446940</v>
      </c>
      <c r="BK112">
        <f t="shared" si="29"/>
        <v>91489800</v>
      </c>
      <c r="BL112">
        <v>107</v>
      </c>
    </row>
    <row r="113" spans="1:64" ht="17.25" thickBot="1" x14ac:dyDescent="0.25">
      <c r="A113" s="131">
        <v>109</v>
      </c>
      <c r="B113" s="132">
        <v>9731294</v>
      </c>
      <c r="D113" s="131">
        <v>109</v>
      </c>
      <c r="E113" s="132">
        <v>9.2272599999999994</v>
      </c>
      <c r="M113">
        <v>109</v>
      </c>
      <c r="N113">
        <f t="shared" si="20"/>
        <v>98649720</v>
      </c>
      <c r="O113">
        <f t="shared" si="28"/>
        <v>197299440</v>
      </c>
      <c r="P113">
        <f t="shared" si="28"/>
        <v>295949160</v>
      </c>
      <c r="Q113">
        <f t="shared" si="28"/>
        <v>394598880</v>
      </c>
      <c r="R113">
        <f t="shared" si="28"/>
        <v>591898320</v>
      </c>
      <c r="S113">
        <f t="shared" si="28"/>
        <v>690548040</v>
      </c>
      <c r="T113">
        <f t="shared" si="28"/>
        <v>986497200</v>
      </c>
      <c r="U113">
        <f t="shared" si="28"/>
        <v>1479745800</v>
      </c>
      <c r="V113">
        <f t="shared" si="28"/>
        <v>2367593280</v>
      </c>
      <c r="W113">
        <f t="shared" si="28"/>
        <v>3551389920</v>
      </c>
      <c r="X113">
        <f t="shared" si="28"/>
        <v>4932486000</v>
      </c>
      <c r="Y113">
        <f t="shared" si="28"/>
        <v>5918983200</v>
      </c>
      <c r="Z113">
        <f t="shared" si="28"/>
        <v>9470373120</v>
      </c>
      <c r="AA113">
        <f t="shared" si="28"/>
        <v>9864972000</v>
      </c>
      <c r="AB113">
        <f t="shared" si="28"/>
        <v>14797458000</v>
      </c>
      <c r="AC113">
        <f t="shared" si="28"/>
        <v>23675932800</v>
      </c>
      <c r="AD113">
        <f t="shared" si="28"/>
        <v>35513899200</v>
      </c>
      <c r="AE113">
        <f t="shared" si="25"/>
        <v>41432882400</v>
      </c>
      <c r="AF113">
        <f t="shared" si="25"/>
        <v>54257346000</v>
      </c>
      <c r="AG113">
        <f t="shared" si="25"/>
        <v>69054804000</v>
      </c>
      <c r="AK113">
        <v>107</v>
      </c>
      <c r="AL113" s="24">
        <f t="shared" si="21"/>
        <v>9.1753</v>
      </c>
      <c r="AM113">
        <f t="shared" ref="AM113:BB128" si="30">AM$5*VLOOKUP($AK113,$D$2:$E$1404,2,FALSE)</f>
        <v>64.227100000000007</v>
      </c>
      <c r="AN113">
        <f t="shared" si="30"/>
        <v>91.753</v>
      </c>
      <c r="AO113">
        <f t="shared" si="30"/>
        <v>137.62950000000001</v>
      </c>
      <c r="AP113">
        <f t="shared" si="30"/>
        <v>183.506</v>
      </c>
      <c r="AQ113">
        <f t="shared" si="30"/>
        <v>321.13549999999998</v>
      </c>
      <c r="AR113">
        <f t="shared" si="30"/>
        <v>458.76499999999999</v>
      </c>
      <c r="AS113">
        <f t="shared" si="30"/>
        <v>734.024</v>
      </c>
      <c r="AT113">
        <f t="shared" si="30"/>
        <v>1101.0360000000001</v>
      </c>
      <c r="AU113">
        <f t="shared" si="30"/>
        <v>1559.8009999999999</v>
      </c>
      <c r="AV113">
        <f t="shared" si="30"/>
        <v>2202.0720000000001</v>
      </c>
      <c r="AW113">
        <f t="shared" si="30"/>
        <v>3027.8490000000002</v>
      </c>
      <c r="AX113">
        <f t="shared" si="30"/>
        <v>4220.6379999999999</v>
      </c>
      <c r="AY113">
        <f t="shared" si="30"/>
        <v>7340.24</v>
      </c>
      <c r="AZ113">
        <f t="shared" si="30"/>
        <v>13762.95</v>
      </c>
      <c r="BA113">
        <f t="shared" si="30"/>
        <v>22938.25</v>
      </c>
      <c r="BB113">
        <f t="shared" si="30"/>
        <v>36701.199999999997</v>
      </c>
      <c r="BC113">
        <f t="shared" si="29"/>
        <v>91753</v>
      </c>
      <c r="BD113">
        <f t="shared" si="29"/>
        <v>137629.5</v>
      </c>
      <c r="BE113">
        <f t="shared" si="29"/>
        <v>220207.2</v>
      </c>
      <c r="BF113">
        <f t="shared" si="29"/>
        <v>275259</v>
      </c>
      <c r="BG113">
        <f t="shared" si="29"/>
        <v>917530</v>
      </c>
      <c r="BH113">
        <f t="shared" si="29"/>
        <v>2752590</v>
      </c>
      <c r="BI113">
        <f t="shared" si="29"/>
        <v>7799005</v>
      </c>
      <c r="BJ113">
        <f t="shared" si="29"/>
        <v>27525900</v>
      </c>
      <c r="BK113">
        <f t="shared" si="29"/>
        <v>91753000</v>
      </c>
      <c r="BL113" s="145">
        <v>108</v>
      </c>
    </row>
    <row r="114" spans="1:64" ht="17.25" thickBot="1" x14ac:dyDescent="0.25">
      <c r="A114" s="131">
        <v>110</v>
      </c>
      <c r="B114" s="132">
        <v>9864972</v>
      </c>
      <c r="D114" s="131">
        <v>110</v>
      </c>
      <c r="E114" s="132">
        <v>9.25291</v>
      </c>
      <c r="M114">
        <v>110</v>
      </c>
      <c r="N114">
        <f t="shared" si="20"/>
        <v>99992550</v>
      </c>
      <c r="O114">
        <f t="shared" si="28"/>
        <v>199985100</v>
      </c>
      <c r="P114">
        <f t="shared" si="28"/>
        <v>299977650</v>
      </c>
      <c r="Q114">
        <f t="shared" si="28"/>
        <v>399970200</v>
      </c>
      <c r="R114">
        <f t="shared" si="28"/>
        <v>599955300</v>
      </c>
      <c r="S114">
        <f t="shared" si="28"/>
        <v>699947850</v>
      </c>
      <c r="T114">
        <f t="shared" si="28"/>
        <v>999925500</v>
      </c>
      <c r="U114">
        <f t="shared" si="28"/>
        <v>1499888250</v>
      </c>
      <c r="V114">
        <f t="shared" si="28"/>
        <v>2399821200</v>
      </c>
      <c r="W114">
        <f t="shared" si="28"/>
        <v>3599731800</v>
      </c>
      <c r="X114">
        <f t="shared" si="28"/>
        <v>4999627500</v>
      </c>
      <c r="Y114">
        <f t="shared" ref="O114:AD130" si="31">(VLOOKUP(Y$3,$G$4:$H$23,2,0)*VLOOKUP($M114+1,$A$4:$B$1404,2,0)
)</f>
        <v>5999553000</v>
      </c>
      <c r="Z114">
        <f t="shared" si="31"/>
        <v>9599284800</v>
      </c>
      <c r="AA114">
        <f t="shared" si="31"/>
        <v>9999255000</v>
      </c>
      <c r="AB114">
        <f t="shared" si="31"/>
        <v>14998882500</v>
      </c>
      <c r="AC114">
        <f t="shared" si="31"/>
        <v>23998212000</v>
      </c>
      <c r="AD114">
        <f t="shared" si="31"/>
        <v>35997318000</v>
      </c>
      <c r="AE114">
        <f t="shared" si="25"/>
        <v>41996871000</v>
      </c>
      <c r="AF114">
        <f t="shared" si="25"/>
        <v>54995902500</v>
      </c>
      <c r="AG114">
        <f t="shared" si="25"/>
        <v>69994785000</v>
      </c>
      <c r="AK114">
        <v>108</v>
      </c>
      <c r="AL114" s="24">
        <f t="shared" si="21"/>
        <v>9.20139</v>
      </c>
      <c r="AM114">
        <f t="shared" si="30"/>
        <v>64.409729999999996</v>
      </c>
      <c r="AN114">
        <f t="shared" si="30"/>
        <v>92.013900000000007</v>
      </c>
      <c r="AO114">
        <f t="shared" si="30"/>
        <v>138.02085</v>
      </c>
      <c r="AP114">
        <f t="shared" si="30"/>
        <v>184.02780000000001</v>
      </c>
      <c r="AQ114">
        <f t="shared" si="30"/>
        <v>322.04865000000001</v>
      </c>
      <c r="AR114">
        <f t="shared" si="30"/>
        <v>460.06950000000001</v>
      </c>
      <c r="AS114">
        <f t="shared" si="30"/>
        <v>736.11120000000005</v>
      </c>
      <c r="AT114">
        <f t="shared" si="30"/>
        <v>1104.1668</v>
      </c>
      <c r="AU114">
        <f t="shared" si="30"/>
        <v>1564.2363</v>
      </c>
      <c r="AV114">
        <f t="shared" si="30"/>
        <v>2208.3335999999999</v>
      </c>
      <c r="AW114">
        <f t="shared" si="30"/>
        <v>3036.4587000000001</v>
      </c>
      <c r="AX114">
        <f t="shared" si="30"/>
        <v>4232.6394</v>
      </c>
      <c r="AY114">
        <f t="shared" si="30"/>
        <v>7361.1120000000001</v>
      </c>
      <c r="AZ114">
        <f t="shared" si="30"/>
        <v>13802.084999999999</v>
      </c>
      <c r="BA114">
        <f t="shared" si="30"/>
        <v>23003.474999999999</v>
      </c>
      <c r="BB114">
        <f t="shared" si="30"/>
        <v>36805.56</v>
      </c>
      <c r="BC114">
        <f t="shared" si="29"/>
        <v>92013.9</v>
      </c>
      <c r="BD114">
        <f t="shared" si="29"/>
        <v>138020.85</v>
      </c>
      <c r="BE114">
        <f t="shared" si="29"/>
        <v>220833.36</v>
      </c>
      <c r="BF114">
        <f t="shared" si="29"/>
        <v>276041.7</v>
      </c>
      <c r="BG114">
        <f t="shared" si="29"/>
        <v>920139</v>
      </c>
      <c r="BH114">
        <f t="shared" si="29"/>
        <v>2760417</v>
      </c>
      <c r="BI114">
        <f t="shared" si="29"/>
        <v>7821181.5</v>
      </c>
      <c r="BJ114">
        <f t="shared" si="29"/>
        <v>27604170</v>
      </c>
      <c r="BK114">
        <f t="shared" si="29"/>
        <v>92013900</v>
      </c>
      <c r="BL114">
        <v>109</v>
      </c>
    </row>
    <row r="115" spans="1:64" ht="17.25" thickBot="1" x14ac:dyDescent="0.25">
      <c r="A115" s="131">
        <v>111</v>
      </c>
      <c r="B115" s="132">
        <v>9999255</v>
      </c>
      <c r="D115" s="131">
        <v>111</v>
      </c>
      <c r="E115" s="132">
        <v>9.27834</v>
      </c>
      <c r="M115">
        <v>111</v>
      </c>
      <c r="N115">
        <f t="shared" si="20"/>
        <v>101341440</v>
      </c>
      <c r="O115">
        <f t="shared" si="31"/>
        <v>202682880</v>
      </c>
      <c r="P115">
        <f t="shared" si="31"/>
        <v>304024320</v>
      </c>
      <c r="Q115">
        <f t="shared" si="31"/>
        <v>405365760</v>
      </c>
      <c r="R115">
        <f t="shared" si="31"/>
        <v>608048640</v>
      </c>
      <c r="S115">
        <f t="shared" si="31"/>
        <v>709390080</v>
      </c>
      <c r="T115">
        <f t="shared" si="31"/>
        <v>1013414400</v>
      </c>
      <c r="U115">
        <f t="shared" si="31"/>
        <v>1520121600</v>
      </c>
      <c r="V115">
        <f t="shared" si="31"/>
        <v>2432194560</v>
      </c>
      <c r="W115">
        <f t="shared" si="31"/>
        <v>3648291840</v>
      </c>
      <c r="X115">
        <f t="shared" si="31"/>
        <v>5067072000</v>
      </c>
      <c r="Y115">
        <f t="shared" si="31"/>
        <v>6080486400</v>
      </c>
      <c r="Z115">
        <f t="shared" si="31"/>
        <v>9728778240</v>
      </c>
      <c r="AA115">
        <f t="shared" si="31"/>
        <v>10134144000</v>
      </c>
      <c r="AB115">
        <f t="shared" si="31"/>
        <v>15201216000</v>
      </c>
      <c r="AC115">
        <f t="shared" si="31"/>
        <v>24321945600</v>
      </c>
      <c r="AD115">
        <f t="shared" si="31"/>
        <v>36482918400</v>
      </c>
      <c r="AE115">
        <f t="shared" si="25"/>
        <v>42563404800</v>
      </c>
      <c r="AF115">
        <f t="shared" si="25"/>
        <v>55737792000</v>
      </c>
      <c r="AG115">
        <f t="shared" si="25"/>
        <v>70939008000</v>
      </c>
      <c r="AK115">
        <v>109</v>
      </c>
      <c r="AL115" s="24">
        <f t="shared" si="21"/>
        <v>9.2272599999999994</v>
      </c>
      <c r="AM115">
        <f t="shared" si="30"/>
        <v>64.590819999999994</v>
      </c>
      <c r="AN115">
        <f t="shared" si="30"/>
        <v>92.272599999999997</v>
      </c>
      <c r="AO115">
        <f t="shared" si="30"/>
        <v>138.40889999999999</v>
      </c>
      <c r="AP115">
        <f t="shared" si="30"/>
        <v>184.54519999999999</v>
      </c>
      <c r="AQ115">
        <f t="shared" si="30"/>
        <v>322.95409999999998</v>
      </c>
      <c r="AR115">
        <f t="shared" si="30"/>
        <v>461.36299999999994</v>
      </c>
      <c r="AS115">
        <f t="shared" si="30"/>
        <v>738.18079999999998</v>
      </c>
      <c r="AT115">
        <f t="shared" si="30"/>
        <v>1107.2711999999999</v>
      </c>
      <c r="AU115">
        <f t="shared" si="30"/>
        <v>1568.6342</v>
      </c>
      <c r="AV115">
        <f t="shared" si="30"/>
        <v>2214.5423999999998</v>
      </c>
      <c r="AW115">
        <f t="shared" si="30"/>
        <v>3044.9957999999997</v>
      </c>
      <c r="AX115">
        <f t="shared" si="30"/>
        <v>4244.5396000000001</v>
      </c>
      <c r="AY115">
        <f t="shared" si="30"/>
        <v>7381.8079999999991</v>
      </c>
      <c r="AZ115">
        <f t="shared" si="30"/>
        <v>13840.89</v>
      </c>
      <c r="BA115">
        <f t="shared" si="30"/>
        <v>23068.149999999998</v>
      </c>
      <c r="BB115">
        <f t="shared" si="30"/>
        <v>36909.040000000001</v>
      </c>
      <c r="BC115">
        <f t="shared" si="29"/>
        <v>92272.599999999991</v>
      </c>
      <c r="BD115">
        <f t="shared" si="29"/>
        <v>138408.9</v>
      </c>
      <c r="BE115">
        <f t="shared" si="29"/>
        <v>221454.24</v>
      </c>
      <c r="BF115">
        <f t="shared" si="29"/>
        <v>276817.8</v>
      </c>
      <c r="BG115">
        <f t="shared" si="29"/>
        <v>922725.99999999988</v>
      </c>
      <c r="BH115">
        <f t="shared" si="29"/>
        <v>2768178</v>
      </c>
      <c r="BI115">
        <f t="shared" si="29"/>
        <v>7843170.9999999991</v>
      </c>
      <c r="BJ115">
        <f t="shared" si="29"/>
        <v>27681779.999999996</v>
      </c>
      <c r="BK115">
        <f t="shared" si="29"/>
        <v>92272600</v>
      </c>
      <c r="BL115" s="145">
        <v>110</v>
      </c>
    </row>
    <row r="116" spans="1:64" ht="17.25" thickBot="1" x14ac:dyDescent="0.25">
      <c r="A116" s="131">
        <v>112</v>
      </c>
      <c r="B116" s="132">
        <v>10134144</v>
      </c>
      <c r="D116" s="131">
        <v>112</v>
      </c>
      <c r="E116" s="132">
        <v>9.3035599999999992</v>
      </c>
      <c r="M116">
        <v>112</v>
      </c>
      <c r="N116">
        <f t="shared" si="20"/>
        <v>102696330</v>
      </c>
      <c r="O116">
        <f t="shared" si="31"/>
        <v>205392660</v>
      </c>
      <c r="P116">
        <f t="shared" si="31"/>
        <v>308088990</v>
      </c>
      <c r="Q116">
        <f t="shared" si="31"/>
        <v>410785320</v>
      </c>
      <c r="R116">
        <f t="shared" si="31"/>
        <v>616177980</v>
      </c>
      <c r="S116">
        <f t="shared" si="31"/>
        <v>718874310</v>
      </c>
      <c r="T116">
        <f t="shared" si="31"/>
        <v>1026963300</v>
      </c>
      <c r="U116">
        <f t="shared" si="31"/>
        <v>1540444950</v>
      </c>
      <c r="V116">
        <f t="shared" si="31"/>
        <v>2464711920</v>
      </c>
      <c r="W116">
        <f t="shared" si="31"/>
        <v>3697067880</v>
      </c>
      <c r="X116">
        <f t="shared" si="31"/>
        <v>5134816500</v>
      </c>
      <c r="Y116">
        <f t="shared" si="31"/>
        <v>6161779800</v>
      </c>
      <c r="Z116">
        <f t="shared" si="31"/>
        <v>9858847680</v>
      </c>
      <c r="AA116">
        <f t="shared" si="31"/>
        <v>10269633000</v>
      </c>
      <c r="AB116">
        <f t="shared" si="31"/>
        <v>15404449500</v>
      </c>
      <c r="AC116">
        <f t="shared" si="31"/>
        <v>24647119200</v>
      </c>
      <c r="AD116">
        <f t="shared" si="31"/>
        <v>36970678800</v>
      </c>
      <c r="AE116">
        <f t="shared" si="25"/>
        <v>43132458600</v>
      </c>
      <c r="AF116">
        <f t="shared" si="25"/>
        <v>56482981500</v>
      </c>
      <c r="AG116">
        <f t="shared" si="25"/>
        <v>71887431000</v>
      </c>
      <c r="AK116">
        <v>110</v>
      </c>
      <c r="AL116" s="24">
        <f t="shared" si="21"/>
        <v>9.25291</v>
      </c>
      <c r="AM116">
        <f t="shared" si="30"/>
        <v>64.77037</v>
      </c>
      <c r="AN116">
        <f t="shared" si="30"/>
        <v>92.5291</v>
      </c>
      <c r="AO116">
        <f t="shared" si="30"/>
        <v>138.79365000000001</v>
      </c>
      <c r="AP116">
        <f t="shared" si="30"/>
        <v>185.0582</v>
      </c>
      <c r="AQ116">
        <f t="shared" si="30"/>
        <v>323.85185000000001</v>
      </c>
      <c r="AR116">
        <f t="shared" si="30"/>
        <v>462.64549999999997</v>
      </c>
      <c r="AS116">
        <f t="shared" si="30"/>
        <v>740.2328</v>
      </c>
      <c r="AT116">
        <f t="shared" si="30"/>
        <v>1110.3492000000001</v>
      </c>
      <c r="AU116">
        <f t="shared" si="30"/>
        <v>1572.9947</v>
      </c>
      <c r="AV116">
        <f t="shared" si="30"/>
        <v>2220.6984000000002</v>
      </c>
      <c r="AW116">
        <f t="shared" si="30"/>
        <v>3053.4603000000002</v>
      </c>
      <c r="AX116">
        <f t="shared" si="30"/>
        <v>4256.3386</v>
      </c>
      <c r="AY116">
        <f t="shared" si="30"/>
        <v>7402.3279999999995</v>
      </c>
      <c r="AZ116">
        <f t="shared" si="30"/>
        <v>13879.365</v>
      </c>
      <c r="BA116">
        <f t="shared" si="30"/>
        <v>23132.275000000001</v>
      </c>
      <c r="BB116">
        <f t="shared" si="30"/>
        <v>37011.64</v>
      </c>
      <c r="BC116">
        <f t="shared" si="29"/>
        <v>92529.1</v>
      </c>
      <c r="BD116">
        <f t="shared" si="29"/>
        <v>138793.65</v>
      </c>
      <c r="BE116">
        <f t="shared" si="29"/>
        <v>222069.84</v>
      </c>
      <c r="BF116">
        <f t="shared" si="29"/>
        <v>277587.3</v>
      </c>
      <c r="BG116">
        <f t="shared" si="29"/>
        <v>925291</v>
      </c>
      <c r="BH116">
        <f t="shared" si="29"/>
        <v>2775873</v>
      </c>
      <c r="BI116">
        <f t="shared" si="29"/>
        <v>7864973.5</v>
      </c>
      <c r="BJ116">
        <f t="shared" si="29"/>
        <v>27758730</v>
      </c>
      <c r="BK116">
        <f t="shared" si="29"/>
        <v>92529100</v>
      </c>
      <c r="BL116">
        <v>111</v>
      </c>
    </row>
    <row r="117" spans="1:64" ht="17.25" thickBot="1" x14ac:dyDescent="0.25">
      <c r="A117" s="131">
        <v>113</v>
      </c>
      <c r="B117" s="132">
        <v>10269633</v>
      </c>
      <c r="D117" s="131">
        <v>113</v>
      </c>
      <c r="E117" s="132">
        <v>9.3285599999999995</v>
      </c>
      <c r="M117">
        <v>113</v>
      </c>
      <c r="N117">
        <f t="shared" si="20"/>
        <v>104057220</v>
      </c>
      <c r="O117">
        <f t="shared" si="31"/>
        <v>208114440</v>
      </c>
      <c r="P117">
        <f t="shared" si="31"/>
        <v>312171660</v>
      </c>
      <c r="Q117">
        <f t="shared" si="31"/>
        <v>416228880</v>
      </c>
      <c r="R117">
        <f t="shared" si="31"/>
        <v>624343320</v>
      </c>
      <c r="S117">
        <f t="shared" si="31"/>
        <v>728400540</v>
      </c>
      <c r="T117">
        <f t="shared" si="31"/>
        <v>1040572200</v>
      </c>
      <c r="U117">
        <f t="shared" si="31"/>
        <v>1560858300</v>
      </c>
      <c r="V117">
        <f t="shared" si="31"/>
        <v>2497373280</v>
      </c>
      <c r="W117">
        <f t="shared" si="31"/>
        <v>3746059920</v>
      </c>
      <c r="X117">
        <f t="shared" si="31"/>
        <v>5202861000</v>
      </c>
      <c r="Y117">
        <f t="shared" si="31"/>
        <v>6243433200</v>
      </c>
      <c r="Z117">
        <f t="shared" si="31"/>
        <v>9989493120</v>
      </c>
      <c r="AA117">
        <f t="shared" si="31"/>
        <v>10405722000</v>
      </c>
      <c r="AB117">
        <f t="shared" si="31"/>
        <v>15608583000</v>
      </c>
      <c r="AC117">
        <f t="shared" si="31"/>
        <v>24973732800</v>
      </c>
      <c r="AD117">
        <f t="shared" si="31"/>
        <v>37460599200</v>
      </c>
      <c r="AE117">
        <f t="shared" si="25"/>
        <v>43704032400</v>
      </c>
      <c r="AF117">
        <f t="shared" si="25"/>
        <v>57231471000</v>
      </c>
      <c r="AG117">
        <f t="shared" si="25"/>
        <v>72840054000</v>
      </c>
      <c r="AK117">
        <v>111</v>
      </c>
      <c r="AL117" s="24">
        <f t="shared" si="21"/>
        <v>9.27834</v>
      </c>
      <c r="AM117">
        <f t="shared" si="30"/>
        <v>64.94838</v>
      </c>
      <c r="AN117">
        <f t="shared" si="30"/>
        <v>92.7834</v>
      </c>
      <c r="AO117">
        <f t="shared" si="30"/>
        <v>139.17509999999999</v>
      </c>
      <c r="AP117">
        <f t="shared" si="30"/>
        <v>185.5668</v>
      </c>
      <c r="AQ117">
        <f t="shared" si="30"/>
        <v>324.74189999999999</v>
      </c>
      <c r="AR117">
        <f t="shared" si="30"/>
        <v>463.91700000000003</v>
      </c>
      <c r="AS117">
        <f t="shared" si="30"/>
        <v>742.2672</v>
      </c>
      <c r="AT117">
        <f t="shared" si="30"/>
        <v>1113.4007999999999</v>
      </c>
      <c r="AU117">
        <f t="shared" si="30"/>
        <v>1577.3178</v>
      </c>
      <c r="AV117">
        <f t="shared" si="30"/>
        <v>2226.8015999999998</v>
      </c>
      <c r="AW117">
        <f t="shared" si="30"/>
        <v>3061.8521999999998</v>
      </c>
      <c r="AX117">
        <f t="shared" si="30"/>
        <v>4268.0364</v>
      </c>
      <c r="AY117">
        <f t="shared" si="30"/>
        <v>7422.6720000000005</v>
      </c>
      <c r="AZ117">
        <f t="shared" si="30"/>
        <v>13917.51</v>
      </c>
      <c r="BA117">
        <f t="shared" si="30"/>
        <v>23195.85</v>
      </c>
      <c r="BB117">
        <f t="shared" si="30"/>
        <v>37113.360000000001</v>
      </c>
      <c r="BC117">
        <f t="shared" si="29"/>
        <v>92783.4</v>
      </c>
      <c r="BD117">
        <f t="shared" si="29"/>
        <v>139175.1</v>
      </c>
      <c r="BE117">
        <f t="shared" si="29"/>
        <v>222680.16</v>
      </c>
      <c r="BF117">
        <f t="shared" si="29"/>
        <v>278350.2</v>
      </c>
      <c r="BG117">
        <f t="shared" si="29"/>
        <v>927834</v>
      </c>
      <c r="BH117">
        <f t="shared" si="29"/>
        <v>2783502</v>
      </c>
      <c r="BI117">
        <f t="shared" si="29"/>
        <v>7886589</v>
      </c>
      <c r="BJ117">
        <f t="shared" si="29"/>
        <v>27835020</v>
      </c>
      <c r="BK117">
        <f t="shared" si="29"/>
        <v>92783400</v>
      </c>
      <c r="BL117" s="145">
        <v>112</v>
      </c>
    </row>
    <row r="118" spans="1:64" ht="17.25" thickBot="1" x14ac:dyDescent="0.25">
      <c r="A118" s="131">
        <v>114</v>
      </c>
      <c r="B118" s="132">
        <v>10405722</v>
      </c>
      <c r="D118" s="131">
        <v>114</v>
      </c>
      <c r="E118" s="132">
        <v>9.3533600000000003</v>
      </c>
      <c r="M118">
        <v>114</v>
      </c>
      <c r="N118">
        <f t="shared" si="20"/>
        <v>105424050</v>
      </c>
      <c r="O118">
        <f t="shared" si="31"/>
        <v>210848100</v>
      </c>
      <c r="P118">
        <f t="shared" si="31"/>
        <v>316272150</v>
      </c>
      <c r="Q118">
        <f t="shared" si="31"/>
        <v>421696200</v>
      </c>
      <c r="R118">
        <f t="shared" si="31"/>
        <v>632544300</v>
      </c>
      <c r="S118">
        <f t="shared" si="31"/>
        <v>737968350</v>
      </c>
      <c r="T118">
        <f t="shared" si="31"/>
        <v>1054240500</v>
      </c>
      <c r="U118">
        <f t="shared" si="31"/>
        <v>1581360750</v>
      </c>
      <c r="V118">
        <f t="shared" si="31"/>
        <v>2530177200</v>
      </c>
      <c r="W118">
        <f t="shared" si="31"/>
        <v>3795265800</v>
      </c>
      <c r="X118">
        <f t="shared" si="31"/>
        <v>5271202500</v>
      </c>
      <c r="Y118">
        <f t="shared" si="31"/>
        <v>6325443000</v>
      </c>
      <c r="Z118">
        <f t="shared" si="31"/>
        <v>10120708800</v>
      </c>
      <c r="AA118">
        <f t="shared" si="31"/>
        <v>10542405000</v>
      </c>
      <c r="AB118">
        <f t="shared" si="31"/>
        <v>15813607500</v>
      </c>
      <c r="AC118">
        <f t="shared" si="31"/>
        <v>25301772000</v>
      </c>
      <c r="AD118">
        <f t="shared" si="31"/>
        <v>37952658000</v>
      </c>
      <c r="AE118">
        <f t="shared" si="25"/>
        <v>44278101000</v>
      </c>
      <c r="AF118">
        <f t="shared" si="25"/>
        <v>57983227500</v>
      </c>
      <c r="AG118">
        <f t="shared" si="25"/>
        <v>73796835000</v>
      </c>
      <c r="AK118">
        <v>112</v>
      </c>
      <c r="AL118" s="24">
        <f t="shared" si="21"/>
        <v>9.3035599999999992</v>
      </c>
      <c r="AM118">
        <f t="shared" si="30"/>
        <v>65.124919999999989</v>
      </c>
      <c r="AN118">
        <f t="shared" si="30"/>
        <v>93.035599999999988</v>
      </c>
      <c r="AO118">
        <f t="shared" si="30"/>
        <v>139.55339999999998</v>
      </c>
      <c r="AP118">
        <f t="shared" si="30"/>
        <v>186.07119999999998</v>
      </c>
      <c r="AQ118">
        <f t="shared" si="30"/>
        <v>325.62459999999999</v>
      </c>
      <c r="AR118">
        <f t="shared" si="30"/>
        <v>465.17799999999994</v>
      </c>
      <c r="AS118">
        <f t="shared" si="30"/>
        <v>744.2847999999999</v>
      </c>
      <c r="AT118">
        <f t="shared" si="30"/>
        <v>1116.4271999999999</v>
      </c>
      <c r="AU118">
        <f t="shared" si="30"/>
        <v>1581.6052</v>
      </c>
      <c r="AV118">
        <f t="shared" si="30"/>
        <v>2232.8543999999997</v>
      </c>
      <c r="AW118">
        <f t="shared" si="30"/>
        <v>3070.1747999999998</v>
      </c>
      <c r="AX118">
        <f t="shared" si="30"/>
        <v>4279.6376</v>
      </c>
      <c r="AY118">
        <f t="shared" si="30"/>
        <v>7442.847999999999</v>
      </c>
      <c r="AZ118">
        <f t="shared" si="30"/>
        <v>13955.339999999998</v>
      </c>
      <c r="BA118">
        <f t="shared" si="30"/>
        <v>23258.899999999998</v>
      </c>
      <c r="BB118">
        <f t="shared" si="30"/>
        <v>37214.239999999998</v>
      </c>
      <c r="BC118">
        <f t="shared" si="29"/>
        <v>93035.599999999991</v>
      </c>
      <c r="BD118">
        <f t="shared" si="29"/>
        <v>139553.4</v>
      </c>
      <c r="BE118">
        <f t="shared" si="29"/>
        <v>223285.43999999997</v>
      </c>
      <c r="BF118">
        <f t="shared" si="29"/>
        <v>279106.8</v>
      </c>
      <c r="BG118">
        <f t="shared" si="29"/>
        <v>930355.99999999988</v>
      </c>
      <c r="BH118">
        <f t="shared" si="29"/>
        <v>2791067.9999999995</v>
      </c>
      <c r="BI118">
        <f t="shared" si="29"/>
        <v>7908025.9999999991</v>
      </c>
      <c r="BJ118">
        <f t="shared" si="29"/>
        <v>27910679.999999996</v>
      </c>
      <c r="BK118">
        <f t="shared" si="29"/>
        <v>93035599.999999985</v>
      </c>
      <c r="BL118">
        <v>113</v>
      </c>
    </row>
    <row r="119" spans="1:64" ht="17.25" thickBot="1" x14ac:dyDescent="0.25">
      <c r="A119" s="131">
        <v>115</v>
      </c>
      <c r="B119" s="132">
        <v>10542405</v>
      </c>
      <c r="D119" s="131">
        <v>115</v>
      </c>
      <c r="E119" s="132">
        <v>9.3779599999999999</v>
      </c>
      <c r="M119">
        <v>115</v>
      </c>
      <c r="N119">
        <f t="shared" si="20"/>
        <v>106796830</v>
      </c>
      <c r="O119">
        <f t="shared" si="31"/>
        <v>213593660</v>
      </c>
      <c r="P119">
        <f t="shared" si="31"/>
        <v>320390490</v>
      </c>
      <c r="Q119">
        <f t="shared" si="31"/>
        <v>427187320</v>
      </c>
      <c r="R119">
        <f t="shared" si="31"/>
        <v>640780980</v>
      </c>
      <c r="S119">
        <f t="shared" si="31"/>
        <v>747577810</v>
      </c>
      <c r="T119">
        <f t="shared" si="31"/>
        <v>1067968300</v>
      </c>
      <c r="U119">
        <f t="shared" si="31"/>
        <v>1601952450</v>
      </c>
      <c r="V119">
        <f t="shared" si="31"/>
        <v>2563123920</v>
      </c>
      <c r="W119">
        <f t="shared" si="31"/>
        <v>3844685880</v>
      </c>
      <c r="X119">
        <f t="shared" si="31"/>
        <v>5339841500</v>
      </c>
      <c r="Y119">
        <f t="shared" si="31"/>
        <v>6407809800</v>
      </c>
      <c r="Z119">
        <f t="shared" si="31"/>
        <v>10252495680</v>
      </c>
      <c r="AA119">
        <f t="shared" si="31"/>
        <v>10679683000</v>
      </c>
      <c r="AB119">
        <f t="shared" si="31"/>
        <v>16019524500</v>
      </c>
      <c r="AC119">
        <f t="shared" si="31"/>
        <v>25631239200</v>
      </c>
      <c r="AD119">
        <f t="shared" si="31"/>
        <v>38446858800</v>
      </c>
      <c r="AE119">
        <f t="shared" si="25"/>
        <v>44854668600</v>
      </c>
      <c r="AF119">
        <f t="shared" si="25"/>
        <v>58738256500</v>
      </c>
      <c r="AG119">
        <f t="shared" si="25"/>
        <v>74757781000</v>
      </c>
      <c r="AK119">
        <v>113</v>
      </c>
      <c r="AL119" s="24">
        <f t="shared" si="21"/>
        <v>9.3285599999999995</v>
      </c>
      <c r="AM119">
        <f t="shared" si="30"/>
        <v>65.29992</v>
      </c>
      <c r="AN119">
        <f t="shared" si="30"/>
        <v>93.285599999999988</v>
      </c>
      <c r="AO119">
        <f t="shared" si="30"/>
        <v>139.92839999999998</v>
      </c>
      <c r="AP119">
        <f t="shared" si="30"/>
        <v>186.57119999999998</v>
      </c>
      <c r="AQ119">
        <f t="shared" si="30"/>
        <v>326.49959999999999</v>
      </c>
      <c r="AR119">
        <f t="shared" si="30"/>
        <v>466.428</v>
      </c>
      <c r="AS119">
        <f t="shared" si="30"/>
        <v>746.2847999999999</v>
      </c>
      <c r="AT119">
        <f t="shared" si="30"/>
        <v>1119.4271999999999</v>
      </c>
      <c r="AU119">
        <f t="shared" si="30"/>
        <v>1585.8552</v>
      </c>
      <c r="AV119">
        <f t="shared" si="30"/>
        <v>2238.8543999999997</v>
      </c>
      <c r="AW119">
        <f t="shared" si="30"/>
        <v>3078.4247999999998</v>
      </c>
      <c r="AX119">
        <f t="shared" si="30"/>
        <v>4291.1376</v>
      </c>
      <c r="AY119">
        <f t="shared" si="30"/>
        <v>7462.848</v>
      </c>
      <c r="AZ119">
        <f t="shared" si="30"/>
        <v>13992.84</v>
      </c>
      <c r="BA119">
        <f t="shared" si="30"/>
        <v>23321.399999999998</v>
      </c>
      <c r="BB119">
        <f t="shared" si="30"/>
        <v>37314.239999999998</v>
      </c>
      <c r="BC119">
        <f t="shared" si="29"/>
        <v>93285.599999999991</v>
      </c>
      <c r="BD119">
        <f t="shared" si="29"/>
        <v>139928.4</v>
      </c>
      <c r="BE119">
        <f t="shared" si="29"/>
        <v>223885.44</v>
      </c>
      <c r="BF119">
        <f t="shared" si="29"/>
        <v>279856.8</v>
      </c>
      <c r="BG119">
        <f t="shared" si="29"/>
        <v>932856</v>
      </c>
      <c r="BH119">
        <f t="shared" si="29"/>
        <v>2798568</v>
      </c>
      <c r="BI119">
        <f t="shared" si="29"/>
        <v>7929276</v>
      </c>
      <c r="BJ119">
        <f t="shared" si="29"/>
        <v>27985680</v>
      </c>
      <c r="BK119">
        <f t="shared" si="29"/>
        <v>93285600</v>
      </c>
      <c r="BL119" s="145">
        <v>114</v>
      </c>
    </row>
    <row r="120" spans="1:64" ht="17.25" thickBot="1" x14ac:dyDescent="0.25">
      <c r="A120" s="131">
        <v>116</v>
      </c>
      <c r="B120" s="132">
        <v>10679683</v>
      </c>
      <c r="D120" s="131">
        <v>116</v>
      </c>
      <c r="E120" s="132">
        <v>9.4023599999999998</v>
      </c>
      <c r="M120">
        <v>116</v>
      </c>
      <c r="N120">
        <f t="shared" si="20"/>
        <v>108175500</v>
      </c>
      <c r="O120">
        <f t="shared" si="31"/>
        <v>216351000</v>
      </c>
      <c r="P120">
        <f t="shared" si="31"/>
        <v>324526500</v>
      </c>
      <c r="Q120">
        <f t="shared" si="31"/>
        <v>432702000</v>
      </c>
      <c r="R120">
        <f t="shared" si="31"/>
        <v>649053000</v>
      </c>
      <c r="S120">
        <f t="shared" si="31"/>
        <v>757228500</v>
      </c>
      <c r="T120">
        <f t="shared" si="31"/>
        <v>1081755000</v>
      </c>
      <c r="U120">
        <f t="shared" si="31"/>
        <v>1622632500</v>
      </c>
      <c r="V120">
        <f t="shared" si="31"/>
        <v>2596212000</v>
      </c>
      <c r="W120">
        <f t="shared" si="31"/>
        <v>3894318000</v>
      </c>
      <c r="X120">
        <f t="shared" si="31"/>
        <v>5408775000</v>
      </c>
      <c r="Y120">
        <f t="shared" si="31"/>
        <v>6490530000</v>
      </c>
      <c r="Z120">
        <f t="shared" si="31"/>
        <v>10384848000</v>
      </c>
      <c r="AA120">
        <f t="shared" si="31"/>
        <v>10817550000</v>
      </c>
      <c r="AB120">
        <f t="shared" si="31"/>
        <v>16226325000</v>
      </c>
      <c r="AC120">
        <f t="shared" si="31"/>
        <v>25962120000</v>
      </c>
      <c r="AD120">
        <f t="shared" si="31"/>
        <v>38943180000</v>
      </c>
      <c r="AE120">
        <f t="shared" si="25"/>
        <v>45433710000</v>
      </c>
      <c r="AF120">
        <f t="shared" si="25"/>
        <v>59496525000</v>
      </c>
      <c r="AG120">
        <f t="shared" si="25"/>
        <v>75722850000</v>
      </c>
      <c r="AK120">
        <v>114</v>
      </c>
      <c r="AL120" s="24">
        <f t="shared" si="21"/>
        <v>9.3533600000000003</v>
      </c>
      <c r="AM120">
        <f t="shared" si="30"/>
        <v>65.473520000000008</v>
      </c>
      <c r="AN120">
        <f t="shared" si="30"/>
        <v>93.533600000000007</v>
      </c>
      <c r="AO120">
        <f t="shared" si="30"/>
        <v>140.3004</v>
      </c>
      <c r="AP120">
        <f t="shared" si="30"/>
        <v>187.06720000000001</v>
      </c>
      <c r="AQ120">
        <f t="shared" si="30"/>
        <v>327.36760000000004</v>
      </c>
      <c r="AR120">
        <f t="shared" si="30"/>
        <v>467.66800000000001</v>
      </c>
      <c r="AS120">
        <f t="shared" si="30"/>
        <v>748.26880000000006</v>
      </c>
      <c r="AT120">
        <f t="shared" si="30"/>
        <v>1122.4032</v>
      </c>
      <c r="AU120">
        <f t="shared" si="30"/>
        <v>1590.0712000000001</v>
      </c>
      <c r="AV120">
        <f t="shared" si="30"/>
        <v>2244.8063999999999</v>
      </c>
      <c r="AW120">
        <f t="shared" si="30"/>
        <v>3086.6088</v>
      </c>
      <c r="AX120">
        <f t="shared" si="30"/>
        <v>4302.5456000000004</v>
      </c>
      <c r="AY120">
        <f t="shared" si="30"/>
        <v>7482.6880000000001</v>
      </c>
      <c r="AZ120">
        <f t="shared" si="30"/>
        <v>14030.04</v>
      </c>
      <c r="BA120">
        <f t="shared" si="30"/>
        <v>23383.4</v>
      </c>
      <c r="BB120">
        <f t="shared" si="30"/>
        <v>37413.440000000002</v>
      </c>
      <c r="BC120">
        <f t="shared" si="29"/>
        <v>93533.6</v>
      </c>
      <c r="BD120">
        <f t="shared" si="29"/>
        <v>140300.4</v>
      </c>
      <c r="BE120">
        <f t="shared" si="29"/>
        <v>224480.64000000001</v>
      </c>
      <c r="BF120">
        <f t="shared" si="29"/>
        <v>280600.8</v>
      </c>
      <c r="BG120">
        <f t="shared" si="29"/>
        <v>935336</v>
      </c>
      <c r="BH120">
        <f t="shared" si="29"/>
        <v>2806008</v>
      </c>
      <c r="BI120">
        <f t="shared" si="29"/>
        <v>7950356</v>
      </c>
      <c r="BJ120">
        <f t="shared" si="29"/>
        <v>28060080</v>
      </c>
      <c r="BK120">
        <f t="shared" si="29"/>
        <v>93533600</v>
      </c>
      <c r="BL120">
        <v>115</v>
      </c>
    </row>
    <row r="121" spans="1:64" ht="17.25" thickBot="1" x14ac:dyDescent="0.25">
      <c r="A121" s="131">
        <v>117</v>
      </c>
      <c r="B121" s="132">
        <v>10817550</v>
      </c>
      <c r="D121" s="131">
        <v>117</v>
      </c>
      <c r="E121" s="132">
        <v>9.4265600000000003</v>
      </c>
      <c r="M121">
        <v>117</v>
      </c>
      <c r="N121">
        <f t="shared" si="20"/>
        <v>109560050</v>
      </c>
      <c r="O121">
        <f t="shared" si="31"/>
        <v>219120100</v>
      </c>
      <c r="P121">
        <f t="shared" si="31"/>
        <v>328680150</v>
      </c>
      <c r="Q121">
        <f t="shared" si="31"/>
        <v>438240200</v>
      </c>
      <c r="R121">
        <f t="shared" si="31"/>
        <v>657360300</v>
      </c>
      <c r="S121">
        <f t="shared" si="31"/>
        <v>766920350</v>
      </c>
      <c r="T121">
        <f t="shared" si="31"/>
        <v>1095600500</v>
      </c>
      <c r="U121">
        <f t="shared" si="31"/>
        <v>1643400750</v>
      </c>
      <c r="V121">
        <f t="shared" si="31"/>
        <v>2629441200</v>
      </c>
      <c r="W121">
        <f t="shared" si="31"/>
        <v>3944161800</v>
      </c>
      <c r="X121">
        <f t="shared" si="31"/>
        <v>5478002500</v>
      </c>
      <c r="Y121">
        <f t="shared" si="31"/>
        <v>6573603000</v>
      </c>
      <c r="Z121">
        <f t="shared" si="31"/>
        <v>10517764800</v>
      </c>
      <c r="AA121">
        <f t="shared" si="31"/>
        <v>10956005000</v>
      </c>
      <c r="AB121">
        <f t="shared" si="31"/>
        <v>16434007500</v>
      </c>
      <c r="AC121">
        <f t="shared" si="31"/>
        <v>26294412000</v>
      </c>
      <c r="AD121">
        <f t="shared" si="31"/>
        <v>39441618000</v>
      </c>
      <c r="AE121">
        <f t="shared" si="25"/>
        <v>46015221000</v>
      </c>
      <c r="AF121">
        <f t="shared" si="25"/>
        <v>60258027500</v>
      </c>
      <c r="AG121">
        <f t="shared" si="25"/>
        <v>76692035000</v>
      </c>
      <c r="AK121">
        <v>115</v>
      </c>
      <c r="AL121" s="24">
        <f t="shared" si="21"/>
        <v>9.3779599999999999</v>
      </c>
      <c r="AM121">
        <f t="shared" si="30"/>
        <v>65.645719999999997</v>
      </c>
      <c r="AN121">
        <f t="shared" si="30"/>
        <v>93.779600000000002</v>
      </c>
      <c r="AO121">
        <f t="shared" si="30"/>
        <v>140.6694</v>
      </c>
      <c r="AP121">
        <f t="shared" si="30"/>
        <v>187.5592</v>
      </c>
      <c r="AQ121">
        <f t="shared" si="30"/>
        <v>328.22859999999997</v>
      </c>
      <c r="AR121">
        <f t="shared" si="30"/>
        <v>468.89799999999997</v>
      </c>
      <c r="AS121">
        <f t="shared" si="30"/>
        <v>750.23680000000002</v>
      </c>
      <c r="AT121">
        <f t="shared" si="30"/>
        <v>1125.3552</v>
      </c>
      <c r="AU121">
        <f t="shared" si="30"/>
        <v>1594.2531999999999</v>
      </c>
      <c r="AV121">
        <f t="shared" si="30"/>
        <v>2250.7103999999999</v>
      </c>
      <c r="AW121">
        <f t="shared" si="30"/>
        <v>3094.7267999999999</v>
      </c>
      <c r="AX121">
        <f t="shared" si="30"/>
        <v>4313.8616000000002</v>
      </c>
      <c r="AY121">
        <f t="shared" si="30"/>
        <v>7502.3679999999995</v>
      </c>
      <c r="AZ121">
        <f t="shared" si="30"/>
        <v>14066.94</v>
      </c>
      <c r="BA121">
        <f t="shared" si="30"/>
        <v>23444.899999999998</v>
      </c>
      <c r="BB121">
        <f t="shared" si="30"/>
        <v>37511.839999999997</v>
      </c>
      <c r="BC121">
        <f t="shared" si="29"/>
        <v>93779.599999999991</v>
      </c>
      <c r="BD121">
        <f t="shared" si="29"/>
        <v>140669.4</v>
      </c>
      <c r="BE121">
        <f t="shared" si="29"/>
        <v>225071.04</v>
      </c>
      <c r="BF121">
        <f t="shared" si="29"/>
        <v>281338.8</v>
      </c>
      <c r="BG121">
        <f t="shared" si="29"/>
        <v>937796</v>
      </c>
      <c r="BH121">
        <f t="shared" si="29"/>
        <v>2813388</v>
      </c>
      <c r="BI121">
        <f t="shared" si="29"/>
        <v>7971266</v>
      </c>
      <c r="BJ121">
        <f t="shared" si="29"/>
        <v>28133880</v>
      </c>
      <c r="BK121">
        <f t="shared" si="29"/>
        <v>93779600</v>
      </c>
      <c r="BL121" s="145">
        <v>116</v>
      </c>
    </row>
    <row r="122" spans="1:64" ht="17.25" thickBot="1" x14ac:dyDescent="0.25">
      <c r="A122" s="131">
        <v>118</v>
      </c>
      <c r="B122" s="132">
        <v>10956005</v>
      </c>
      <c r="D122" s="131">
        <v>118</v>
      </c>
      <c r="E122" s="132">
        <v>9.4505599999999994</v>
      </c>
      <c r="M122">
        <v>118</v>
      </c>
      <c r="N122">
        <f t="shared" si="20"/>
        <v>110950440</v>
      </c>
      <c r="O122">
        <f t="shared" si="31"/>
        <v>221900880</v>
      </c>
      <c r="P122">
        <f t="shared" si="31"/>
        <v>332851320</v>
      </c>
      <c r="Q122">
        <f t="shared" si="31"/>
        <v>443801760</v>
      </c>
      <c r="R122">
        <f t="shared" si="31"/>
        <v>665702640</v>
      </c>
      <c r="S122">
        <f t="shared" si="31"/>
        <v>776653080</v>
      </c>
      <c r="T122">
        <f t="shared" si="31"/>
        <v>1109504400</v>
      </c>
      <c r="U122">
        <f t="shared" si="31"/>
        <v>1664256600</v>
      </c>
      <c r="V122">
        <f t="shared" si="31"/>
        <v>2662810560</v>
      </c>
      <c r="W122">
        <f t="shared" si="31"/>
        <v>3994215840</v>
      </c>
      <c r="X122">
        <f t="shared" si="31"/>
        <v>5547522000</v>
      </c>
      <c r="Y122">
        <f t="shared" si="31"/>
        <v>6657026400</v>
      </c>
      <c r="Z122">
        <f t="shared" si="31"/>
        <v>10651242240</v>
      </c>
      <c r="AA122">
        <f t="shared" si="31"/>
        <v>11095044000</v>
      </c>
      <c r="AB122">
        <f t="shared" si="31"/>
        <v>16642566000</v>
      </c>
      <c r="AC122">
        <f t="shared" si="31"/>
        <v>26628105600</v>
      </c>
      <c r="AD122">
        <f t="shared" si="31"/>
        <v>39942158400</v>
      </c>
      <c r="AE122">
        <f t="shared" si="25"/>
        <v>46599184800</v>
      </c>
      <c r="AF122">
        <f t="shared" si="25"/>
        <v>61022742000</v>
      </c>
      <c r="AG122">
        <f t="shared" si="25"/>
        <v>77665308000</v>
      </c>
      <c r="AK122">
        <v>116</v>
      </c>
      <c r="AL122" s="24">
        <f t="shared" si="21"/>
        <v>9.4023599999999998</v>
      </c>
      <c r="AM122">
        <f t="shared" si="30"/>
        <v>65.816519999999997</v>
      </c>
      <c r="AN122">
        <f t="shared" si="30"/>
        <v>94.023600000000002</v>
      </c>
      <c r="AO122">
        <f t="shared" si="30"/>
        <v>141.03540000000001</v>
      </c>
      <c r="AP122">
        <f t="shared" si="30"/>
        <v>188.0472</v>
      </c>
      <c r="AQ122">
        <f t="shared" si="30"/>
        <v>329.08260000000001</v>
      </c>
      <c r="AR122">
        <f t="shared" si="30"/>
        <v>470.11799999999999</v>
      </c>
      <c r="AS122">
        <f t="shared" si="30"/>
        <v>752.18880000000001</v>
      </c>
      <c r="AT122">
        <f t="shared" si="30"/>
        <v>1128.2832000000001</v>
      </c>
      <c r="AU122">
        <f t="shared" si="30"/>
        <v>1598.4012</v>
      </c>
      <c r="AV122">
        <f t="shared" si="30"/>
        <v>2256.5664000000002</v>
      </c>
      <c r="AW122">
        <f t="shared" si="30"/>
        <v>3102.7788</v>
      </c>
      <c r="AX122">
        <f t="shared" si="30"/>
        <v>4325.0856000000003</v>
      </c>
      <c r="AY122">
        <f t="shared" si="30"/>
        <v>7521.8879999999999</v>
      </c>
      <c r="AZ122">
        <f t="shared" si="30"/>
        <v>14103.539999999999</v>
      </c>
      <c r="BA122">
        <f t="shared" si="30"/>
        <v>23505.899999999998</v>
      </c>
      <c r="BB122">
        <f t="shared" si="30"/>
        <v>37609.440000000002</v>
      </c>
      <c r="BC122">
        <f t="shared" si="29"/>
        <v>94023.599999999991</v>
      </c>
      <c r="BD122">
        <f t="shared" si="29"/>
        <v>141035.4</v>
      </c>
      <c r="BE122">
        <f t="shared" si="29"/>
        <v>225656.63999999998</v>
      </c>
      <c r="BF122">
        <f t="shared" si="29"/>
        <v>282070.8</v>
      </c>
      <c r="BG122">
        <f t="shared" si="29"/>
        <v>940236</v>
      </c>
      <c r="BH122">
        <f t="shared" si="29"/>
        <v>2820708</v>
      </c>
      <c r="BI122">
        <f t="shared" si="29"/>
        <v>7992006</v>
      </c>
      <c r="BJ122">
        <f t="shared" si="29"/>
        <v>28207080</v>
      </c>
      <c r="BK122">
        <f t="shared" si="29"/>
        <v>94023600</v>
      </c>
      <c r="BL122">
        <v>117</v>
      </c>
    </row>
    <row r="123" spans="1:64" ht="17.25" thickBot="1" x14ac:dyDescent="0.25">
      <c r="A123" s="131">
        <v>119</v>
      </c>
      <c r="B123" s="132">
        <v>11095044</v>
      </c>
      <c r="D123" s="131">
        <v>119</v>
      </c>
      <c r="E123" s="132">
        <v>9.4743700000000004</v>
      </c>
      <c r="M123">
        <v>119</v>
      </c>
      <c r="N123">
        <f t="shared" si="20"/>
        <v>112346660</v>
      </c>
      <c r="O123">
        <f t="shared" si="31"/>
        <v>224693320</v>
      </c>
      <c r="P123">
        <f t="shared" si="31"/>
        <v>337039980</v>
      </c>
      <c r="Q123">
        <f t="shared" si="31"/>
        <v>449386640</v>
      </c>
      <c r="R123">
        <f t="shared" si="31"/>
        <v>674079960</v>
      </c>
      <c r="S123">
        <f t="shared" si="31"/>
        <v>786426620</v>
      </c>
      <c r="T123">
        <f t="shared" si="31"/>
        <v>1123466600</v>
      </c>
      <c r="U123">
        <f t="shared" si="31"/>
        <v>1685199900</v>
      </c>
      <c r="V123">
        <f t="shared" si="31"/>
        <v>2696319840</v>
      </c>
      <c r="W123">
        <f t="shared" si="31"/>
        <v>4044479760</v>
      </c>
      <c r="X123">
        <f t="shared" si="31"/>
        <v>5617333000</v>
      </c>
      <c r="Y123">
        <f t="shared" si="31"/>
        <v>6740799600</v>
      </c>
      <c r="Z123">
        <f t="shared" si="31"/>
        <v>10785279360</v>
      </c>
      <c r="AA123">
        <f t="shared" si="31"/>
        <v>11234666000</v>
      </c>
      <c r="AB123">
        <f t="shared" si="31"/>
        <v>16851999000</v>
      </c>
      <c r="AC123">
        <f t="shared" si="31"/>
        <v>26963198400</v>
      </c>
      <c r="AD123">
        <f t="shared" si="31"/>
        <v>40444797600</v>
      </c>
      <c r="AE123">
        <f t="shared" si="25"/>
        <v>47185597200</v>
      </c>
      <c r="AF123">
        <f t="shared" si="25"/>
        <v>61790663000</v>
      </c>
      <c r="AG123">
        <f t="shared" si="25"/>
        <v>78642662000</v>
      </c>
      <c r="AK123">
        <v>117</v>
      </c>
      <c r="AL123" s="24">
        <f t="shared" si="21"/>
        <v>9.4265600000000003</v>
      </c>
      <c r="AM123">
        <f t="shared" si="30"/>
        <v>65.985920000000007</v>
      </c>
      <c r="AN123">
        <f t="shared" si="30"/>
        <v>94.265600000000006</v>
      </c>
      <c r="AO123">
        <f t="shared" si="30"/>
        <v>141.39840000000001</v>
      </c>
      <c r="AP123">
        <f t="shared" si="30"/>
        <v>188.53120000000001</v>
      </c>
      <c r="AQ123">
        <f t="shared" si="30"/>
        <v>329.92959999999999</v>
      </c>
      <c r="AR123">
        <f t="shared" si="30"/>
        <v>471.32800000000003</v>
      </c>
      <c r="AS123">
        <f t="shared" si="30"/>
        <v>754.12480000000005</v>
      </c>
      <c r="AT123">
        <f t="shared" si="30"/>
        <v>1131.1872000000001</v>
      </c>
      <c r="AU123">
        <f t="shared" si="30"/>
        <v>1602.5152</v>
      </c>
      <c r="AV123">
        <f t="shared" si="30"/>
        <v>2262.3744000000002</v>
      </c>
      <c r="AW123">
        <f t="shared" si="30"/>
        <v>3110.7647999999999</v>
      </c>
      <c r="AX123">
        <f t="shared" si="30"/>
        <v>4336.2175999999999</v>
      </c>
      <c r="AY123">
        <f t="shared" si="30"/>
        <v>7541.2480000000005</v>
      </c>
      <c r="AZ123">
        <f t="shared" si="30"/>
        <v>14139.84</v>
      </c>
      <c r="BA123">
        <f t="shared" si="30"/>
        <v>23566.400000000001</v>
      </c>
      <c r="BB123">
        <f t="shared" si="30"/>
        <v>37706.239999999998</v>
      </c>
      <c r="BC123">
        <f t="shared" si="29"/>
        <v>94265.600000000006</v>
      </c>
      <c r="BD123">
        <f t="shared" si="29"/>
        <v>141398.39999999999</v>
      </c>
      <c r="BE123">
        <f t="shared" si="29"/>
        <v>226237.44</v>
      </c>
      <c r="BF123">
        <f t="shared" si="29"/>
        <v>282796.79999999999</v>
      </c>
      <c r="BG123">
        <f t="shared" si="29"/>
        <v>942656</v>
      </c>
      <c r="BH123">
        <f t="shared" si="29"/>
        <v>2827968</v>
      </c>
      <c r="BI123">
        <f t="shared" si="29"/>
        <v>8012576</v>
      </c>
      <c r="BJ123">
        <f t="shared" si="29"/>
        <v>28279680</v>
      </c>
      <c r="BK123">
        <f t="shared" si="29"/>
        <v>94265600</v>
      </c>
      <c r="BL123" s="145">
        <v>118</v>
      </c>
    </row>
    <row r="124" spans="1:64" ht="17.25" thickBot="1" x14ac:dyDescent="0.25">
      <c r="A124" s="131">
        <v>120</v>
      </c>
      <c r="B124" s="132">
        <v>11234666</v>
      </c>
      <c r="D124" s="131">
        <v>120</v>
      </c>
      <c r="E124" s="132">
        <v>9.4979999999999993</v>
      </c>
      <c r="M124">
        <v>120</v>
      </c>
      <c r="N124">
        <f t="shared" si="20"/>
        <v>113748720</v>
      </c>
      <c r="O124">
        <f t="shared" si="31"/>
        <v>227497440</v>
      </c>
      <c r="P124">
        <f t="shared" si="31"/>
        <v>341246160</v>
      </c>
      <c r="Q124">
        <f t="shared" si="31"/>
        <v>454994880</v>
      </c>
      <c r="R124">
        <f t="shared" si="31"/>
        <v>682492320</v>
      </c>
      <c r="S124">
        <f t="shared" si="31"/>
        <v>796241040</v>
      </c>
      <c r="T124">
        <f t="shared" si="31"/>
        <v>1137487200</v>
      </c>
      <c r="U124">
        <f t="shared" si="31"/>
        <v>1706230800</v>
      </c>
      <c r="V124">
        <f t="shared" si="31"/>
        <v>2729969280</v>
      </c>
      <c r="W124">
        <f t="shared" si="31"/>
        <v>4094953920</v>
      </c>
      <c r="X124">
        <f t="shared" si="31"/>
        <v>5687436000</v>
      </c>
      <c r="Y124">
        <f t="shared" si="31"/>
        <v>6824923200</v>
      </c>
      <c r="Z124">
        <f t="shared" si="31"/>
        <v>10919877120</v>
      </c>
      <c r="AA124">
        <f t="shared" si="31"/>
        <v>11374872000</v>
      </c>
      <c r="AB124">
        <f t="shared" si="31"/>
        <v>17062308000</v>
      </c>
      <c r="AC124">
        <f t="shared" si="31"/>
        <v>27299692800</v>
      </c>
      <c r="AD124">
        <f t="shared" si="31"/>
        <v>40949539200</v>
      </c>
      <c r="AE124">
        <f t="shared" si="25"/>
        <v>47774462400</v>
      </c>
      <c r="AF124">
        <f t="shared" si="25"/>
        <v>62561796000</v>
      </c>
      <c r="AG124">
        <f t="shared" si="25"/>
        <v>79624104000</v>
      </c>
      <c r="AK124">
        <v>118</v>
      </c>
      <c r="AL124" s="24">
        <f t="shared" si="21"/>
        <v>9.4505599999999994</v>
      </c>
      <c r="AM124">
        <f t="shared" si="30"/>
        <v>66.153919999999999</v>
      </c>
      <c r="AN124">
        <f t="shared" si="30"/>
        <v>94.505599999999987</v>
      </c>
      <c r="AO124">
        <f t="shared" si="30"/>
        <v>141.75839999999999</v>
      </c>
      <c r="AP124">
        <f t="shared" si="30"/>
        <v>189.01119999999997</v>
      </c>
      <c r="AQ124">
        <f t="shared" si="30"/>
        <v>330.76959999999997</v>
      </c>
      <c r="AR124">
        <f t="shared" si="30"/>
        <v>472.52799999999996</v>
      </c>
      <c r="AS124">
        <f t="shared" si="30"/>
        <v>756.0447999999999</v>
      </c>
      <c r="AT124">
        <f t="shared" si="30"/>
        <v>1134.0672</v>
      </c>
      <c r="AU124">
        <f t="shared" si="30"/>
        <v>1606.5952</v>
      </c>
      <c r="AV124">
        <f t="shared" si="30"/>
        <v>2268.1343999999999</v>
      </c>
      <c r="AW124">
        <f t="shared" si="30"/>
        <v>3118.6848</v>
      </c>
      <c r="AX124">
        <f t="shared" si="30"/>
        <v>4347.2575999999999</v>
      </c>
      <c r="AY124">
        <f t="shared" si="30"/>
        <v>7560.4479999999994</v>
      </c>
      <c r="AZ124">
        <f t="shared" si="30"/>
        <v>14175.839999999998</v>
      </c>
      <c r="BA124">
        <f t="shared" si="30"/>
        <v>23626.399999999998</v>
      </c>
      <c r="BB124">
        <f t="shared" si="30"/>
        <v>37802.239999999998</v>
      </c>
      <c r="BC124">
        <f t="shared" si="29"/>
        <v>94505.599999999991</v>
      </c>
      <c r="BD124">
        <f t="shared" si="29"/>
        <v>141758.39999999999</v>
      </c>
      <c r="BE124">
        <f t="shared" si="29"/>
        <v>226813.43999999997</v>
      </c>
      <c r="BF124">
        <f t="shared" si="29"/>
        <v>283516.79999999999</v>
      </c>
      <c r="BG124">
        <f t="shared" si="29"/>
        <v>945055.99999999988</v>
      </c>
      <c r="BH124">
        <f t="shared" si="29"/>
        <v>2835168</v>
      </c>
      <c r="BI124">
        <f t="shared" si="29"/>
        <v>8032975.9999999991</v>
      </c>
      <c r="BJ124">
        <f t="shared" si="29"/>
        <v>28351680</v>
      </c>
      <c r="BK124">
        <f t="shared" si="29"/>
        <v>94505600</v>
      </c>
      <c r="BL124">
        <v>119</v>
      </c>
    </row>
    <row r="125" spans="1:64" ht="17.25" thickBot="1" x14ac:dyDescent="0.25">
      <c r="A125" s="131">
        <v>121</v>
      </c>
      <c r="B125" s="132">
        <v>11374872</v>
      </c>
      <c r="D125" s="131">
        <v>121</v>
      </c>
      <c r="E125" s="132">
        <v>9.5214400000000001</v>
      </c>
      <c r="M125">
        <v>121</v>
      </c>
      <c r="N125">
        <f t="shared" si="20"/>
        <v>115156550</v>
      </c>
      <c r="O125">
        <f t="shared" si="31"/>
        <v>230313100</v>
      </c>
      <c r="P125">
        <f t="shared" si="31"/>
        <v>345469650</v>
      </c>
      <c r="Q125">
        <f t="shared" si="31"/>
        <v>460626200</v>
      </c>
      <c r="R125">
        <f t="shared" si="31"/>
        <v>690939300</v>
      </c>
      <c r="S125">
        <f t="shared" si="31"/>
        <v>806095850</v>
      </c>
      <c r="T125">
        <f t="shared" si="31"/>
        <v>1151565500</v>
      </c>
      <c r="U125">
        <f t="shared" si="31"/>
        <v>1727348250</v>
      </c>
      <c r="V125">
        <f t="shared" si="31"/>
        <v>2763757200</v>
      </c>
      <c r="W125">
        <f t="shared" si="31"/>
        <v>4145635800</v>
      </c>
      <c r="X125">
        <f t="shared" si="31"/>
        <v>5757827500</v>
      </c>
      <c r="Y125">
        <f t="shared" si="31"/>
        <v>6909393000</v>
      </c>
      <c r="Z125">
        <f t="shared" si="31"/>
        <v>11055028800</v>
      </c>
      <c r="AA125">
        <f t="shared" si="31"/>
        <v>11515655000</v>
      </c>
      <c r="AB125">
        <f t="shared" si="31"/>
        <v>17273482500</v>
      </c>
      <c r="AC125">
        <f t="shared" si="31"/>
        <v>27637572000</v>
      </c>
      <c r="AD125">
        <f t="shared" si="31"/>
        <v>41456358000</v>
      </c>
      <c r="AE125">
        <f t="shared" si="25"/>
        <v>48365751000</v>
      </c>
      <c r="AF125">
        <f t="shared" si="25"/>
        <v>63336102500</v>
      </c>
      <c r="AG125">
        <f t="shared" si="25"/>
        <v>80609585000</v>
      </c>
      <c r="AK125">
        <v>119</v>
      </c>
      <c r="AL125" s="24">
        <f t="shared" si="21"/>
        <v>9.4743700000000004</v>
      </c>
      <c r="AM125">
        <f t="shared" si="30"/>
        <v>66.32059000000001</v>
      </c>
      <c r="AN125">
        <f t="shared" si="30"/>
        <v>94.743700000000004</v>
      </c>
      <c r="AO125">
        <f t="shared" si="30"/>
        <v>142.11555000000001</v>
      </c>
      <c r="AP125">
        <f t="shared" si="30"/>
        <v>189.48740000000001</v>
      </c>
      <c r="AQ125">
        <f t="shared" si="30"/>
        <v>331.60295000000002</v>
      </c>
      <c r="AR125">
        <f t="shared" si="30"/>
        <v>473.71850000000001</v>
      </c>
      <c r="AS125">
        <f t="shared" si="30"/>
        <v>757.94960000000003</v>
      </c>
      <c r="AT125">
        <f t="shared" si="30"/>
        <v>1136.9244000000001</v>
      </c>
      <c r="AU125">
        <f t="shared" si="30"/>
        <v>1610.6429000000001</v>
      </c>
      <c r="AV125">
        <f t="shared" si="30"/>
        <v>2273.8488000000002</v>
      </c>
      <c r="AW125">
        <f t="shared" si="30"/>
        <v>3126.5421000000001</v>
      </c>
      <c r="AX125">
        <f t="shared" si="30"/>
        <v>4358.2102000000004</v>
      </c>
      <c r="AY125">
        <f t="shared" si="30"/>
        <v>7579.4960000000001</v>
      </c>
      <c r="AZ125">
        <f t="shared" si="30"/>
        <v>14211.555</v>
      </c>
      <c r="BA125">
        <f t="shared" si="30"/>
        <v>23685.924999999999</v>
      </c>
      <c r="BB125">
        <f t="shared" si="30"/>
        <v>37897.480000000003</v>
      </c>
      <c r="BC125">
        <f t="shared" si="29"/>
        <v>94743.7</v>
      </c>
      <c r="BD125">
        <f t="shared" si="29"/>
        <v>142115.55000000002</v>
      </c>
      <c r="BE125">
        <f t="shared" si="29"/>
        <v>227384.88</v>
      </c>
      <c r="BF125">
        <f t="shared" si="29"/>
        <v>284231.10000000003</v>
      </c>
      <c r="BG125">
        <f t="shared" si="29"/>
        <v>947437</v>
      </c>
      <c r="BH125">
        <f t="shared" si="29"/>
        <v>2842311</v>
      </c>
      <c r="BI125">
        <f t="shared" si="29"/>
        <v>8053214.5</v>
      </c>
      <c r="BJ125">
        <f t="shared" si="29"/>
        <v>28423110</v>
      </c>
      <c r="BK125">
        <f t="shared" si="29"/>
        <v>94743700</v>
      </c>
      <c r="BL125" s="145">
        <v>120</v>
      </c>
    </row>
    <row r="126" spans="1:64" ht="17.25" thickBot="1" x14ac:dyDescent="0.25">
      <c r="A126" s="131">
        <v>122</v>
      </c>
      <c r="B126" s="132">
        <v>11515655</v>
      </c>
      <c r="D126" s="131">
        <v>122</v>
      </c>
      <c r="E126" s="132">
        <v>9.5447000000000006</v>
      </c>
      <c r="M126">
        <v>122</v>
      </c>
      <c r="N126">
        <f t="shared" si="20"/>
        <v>116570110</v>
      </c>
      <c r="O126">
        <f t="shared" si="31"/>
        <v>233140220</v>
      </c>
      <c r="P126">
        <f t="shared" si="31"/>
        <v>349710330</v>
      </c>
      <c r="Q126">
        <f t="shared" si="31"/>
        <v>466280440</v>
      </c>
      <c r="R126">
        <f t="shared" si="31"/>
        <v>699420660</v>
      </c>
      <c r="S126">
        <f t="shared" si="31"/>
        <v>815990770</v>
      </c>
      <c r="T126">
        <f t="shared" si="31"/>
        <v>1165701100</v>
      </c>
      <c r="U126">
        <f t="shared" si="31"/>
        <v>1748551650</v>
      </c>
      <c r="V126">
        <f t="shared" si="31"/>
        <v>2797682640</v>
      </c>
      <c r="W126">
        <f t="shared" si="31"/>
        <v>4196523960</v>
      </c>
      <c r="X126">
        <f t="shared" si="31"/>
        <v>5828505500</v>
      </c>
      <c r="Y126">
        <f t="shared" si="31"/>
        <v>6994206600</v>
      </c>
      <c r="Z126">
        <f t="shared" si="31"/>
        <v>11190730560</v>
      </c>
      <c r="AA126">
        <f t="shared" si="31"/>
        <v>11657011000</v>
      </c>
      <c r="AB126">
        <f t="shared" si="31"/>
        <v>17485516500</v>
      </c>
      <c r="AC126">
        <f t="shared" si="31"/>
        <v>27976826400</v>
      </c>
      <c r="AD126">
        <f t="shared" si="31"/>
        <v>41965239600</v>
      </c>
      <c r="AE126">
        <f t="shared" si="25"/>
        <v>48959446200</v>
      </c>
      <c r="AF126">
        <f t="shared" si="25"/>
        <v>64113560500</v>
      </c>
      <c r="AG126">
        <f t="shared" si="25"/>
        <v>81599077000</v>
      </c>
      <c r="AK126">
        <v>120</v>
      </c>
      <c r="AL126" s="24">
        <f t="shared" si="21"/>
        <v>9.4979999999999993</v>
      </c>
      <c r="AM126">
        <f t="shared" si="30"/>
        <v>66.48599999999999</v>
      </c>
      <c r="AN126">
        <f t="shared" si="30"/>
        <v>94.97999999999999</v>
      </c>
      <c r="AO126">
        <f t="shared" si="30"/>
        <v>142.47</v>
      </c>
      <c r="AP126">
        <f t="shared" si="30"/>
        <v>189.95999999999998</v>
      </c>
      <c r="AQ126">
        <f t="shared" si="30"/>
        <v>332.42999999999995</v>
      </c>
      <c r="AR126">
        <f t="shared" si="30"/>
        <v>474.9</v>
      </c>
      <c r="AS126">
        <f t="shared" si="30"/>
        <v>759.83999999999992</v>
      </c>
      <c r="AT126">
        <f t="shared" si="30"/>
        <v>1139.76</v>
      </c>
      <c r="AU126">
        <f t="shared" si="30"/>
        <v>1614.6599999999999</v>
      </c>
      <c r="AV126">
        <f t="shared" si="30"/>
        <v>2279.52</v>
      </c>
      <c r="AW126">
        <f t="shared" si="30"/>
        <v>3134.3399999999997</v>
      </c>
      <c r="AX126">
        <f t="shared" si="30"/>
        <v>4369.08</v>
      </c>
      <c r="AY126">
        <f t="shared" si="30"/>
        <v>7598.4</v>
      </c>
      <c r="AZ126">
        <f t="shared" si="30"/>
        <v>14246.999999999998</v>
      </c>
      <c r="BA126">
        <f t="shared" si="30"/>
        <v>23745</v>
      </c>
      <c r="BB126">
        <f t="shared" si="30"/>
        <v>37992</v>
      </c>
      <c r="BC126">
        <f t="shared" si="29"/>
        <v>94980</v>
      </c>
      <c r="BD126">
        <f t="shared" si="29"/>
        <v>142470</v>
      </c>
      <c r="BE126">
        <f t="shared" si="29"/>
        <v>227951.99999999997</v>
      </c>
      <c r="BF126">
        <f t="shared" si="29"/>
        <v>284940</v>
      </c>
      <c r="BG126">
        <f t="shared" si="29"/>
        <v>949799.99999999988</v>
      </c>
      <c r="BH126">
        <f t="shared" si="29"/>
        <v>2849400</v>
      </c>
      <c r="BI126">
        <f t="shared" si="29"/>
        <v>8073299.9999999991</v>
      </c>
      <c r="BJ126">
        <f t="shared" si="29"/>
        <v>28493999.999999996</v>
      </c>
      <c r="BK126">
        <f t="shared" si="29"/>
        <v>94980000</v>
      </c>
      <c r="BL126">
        <v>121</v>
      </c>
    </row>
    <row r="127" spans="1:64" ht="17.25" thickBot="1" x14ac:dyDescent="0.25">
      <c r="A127" s="131">
        <v>123</v>
      </c>
      <c r="B127" s="132">
        <v>11657011</v>
      </c>
      <c r="D127" s="131">
        <v>123</v>
      </c>
      <c r="E127" s="132">
        <v>9.5677800000000008</v>
      </c>
      <c r="M127">
        <v>123</v>
      </c>
      <c r="N127">
        <f t="shared" si="20"/>
        <v>117989440</v>
      </c>
      <c r="O127">
        <f t="shared" si="31"/>
        <v>235978880</v>
      </c>
      <c r="P127">
        <f t="shared" si="31"/>
        <v>353968320</v>
      </c>
      <c r="Q127">
        <f t="shared" si="31"/>
        <v>471957760</v>
      </c>
      <c r="R127">
        <f t="shared" si="31"/>
        <v>707936640</v>
      </c>
      <c r="S127">
        <f t="shared" si="31"/>
        <v>825926080</v>
      </c>
      <c r="T127">
        <f t="shared" si="31"/>
        <v>1179894400</v>
      </c>
      <c r="U127">
        <f t="shared" si="31"/>
        <v>1769841600</v>
      </c>
      <c r="V127">
        <f t="shared" si="31"/>
        <v>2831746560</v>
      </c>
      <c r="W127">
        <f t="shared" si="31"/>
        <v>4247619840</v>
      </c>
      <c r="X127">
        <f t="shared" si="31"/>
        <v>5899472000</v>
      </c>
      <c r="Y127">
        <f t="shared" si="31"/>
        <v>7079366400</v>
      </c>
      <c r="Z127">
        <f t="shared" si="31"/>
        <v>11326986240</v>
      </c>
      <c r="AA127">
        <f t="shared" si="31"/>
        <v>11798944000</v>
      </c>
      <c r="AB127">
        <f t="shared" si="31"/>
        <v>17698416000</v>
      </c>
      <c r="AC127">
        <f t="shared" si="31"/>
        <v>28317465600</v>
      </c>
      <c r="AD127">
        <f t="shared" si="31"/>
        <v>42476198400</v>
      </c>
      <c r="AE127">
        <f t="shared" si="25"/>
        <v>49555564800</v>
      </c>
      <c r="AF127">
        <f t="shared" si="25"/>
        <v>64894192000</v>
      </c>
      <c r="AG127">
        <f t="shared" si="25"/>
        <v>82592608000</v>
      </c>
      <c r="AK127">
        <v>121</v>
      </c>
      <c r="AL127" s="24">
        <f t="shared" si="21"/>
        <v>9.5214400000000001</v>
      </c>
      <c r="AM127">
        <f t="shared" si="30"/>
        <v>66.650080000000003</v>
      </c>
      <c r="AN127">
        <f t="shared" si="30"/>
        <v>95.214399999999998</v>
      </c>
      <c r="AO127">
        <f t="shared" si="30"/>
        <v>142.82159999999999</v>
      </c>
      <c r="AP127">
        <f t="shared" si="30"/>
        <v>190.4288</v>
      </c>
      <c r="AQ127">
        <f t="shared" si="30"/>
        <v>333.25040000000001</v>
      </c>
      <c r="AR127">
        <f t="shared" si="30"/>
        <v>476.072</v>
      </c>
      <c r="AS127">
        <f t="shared" si="30"/>
        <v>761.71519999999998</v>
      </c>
      <c r="AT127">
        <f t="shared" si="30"/>
        <v>1142.5727999999999</v>
      </c>
      <c r="AU127">
        <f t="shared" si="30"/>
        <v>1618.6448</v>
      </c>
      <c r="AV127">
        <f t="shared" si="30"/>
        <v>2285.1455999999998</v>
      </c>
      <c r="AW127">
        <f t="shared" si="30"/>
        <v>3142.0752000000002</v>
      </c>
      <c r="AX127">
        <f t="shared" si="30"/>
        <v>4379.8624</v>
      </c>
      <c r="AY127">
        <f t="shared" si="30"/>
        <v>7617.152</v>
      </c>
      <c r="AZ127">
        <f t="shared" si="30"/>
        <v>14282.16</v>
      </c>
      <c r="BA127">
        <f t="shared" si="30"/>
        <v>23803.599999999999</v>
      </c>
      <c r="BB127">
        <f t="shared" si="30"/>
        <v>38085.760000000002</v>
      </c>
      <c r="BC127">
        <f t="shared" si="29"/>
        <v>95214.399999999994</v>
      </c>
      <c r="BD127">
        <f t="shared" si="29"/>
        <v>142821.6</v>
      </c>
      <c r="BE127">
        <f t="shared" si="29"/>
        <v>228514.56</v>
      </c>
      <c r="BF127">
        <f t="shared" si="29"/>
        <v>285643.2</v>
      </c>
      <c r="BG127">
        <f t="shared" si="29"/>
        <v>952144</v>
      </c>
      <c r="BH127">
        <f t="shared" si="29"/>
        <v>2856432</v>
      </c>
      <c r="BI127">
        <f t="shared" si="29"/>
        <v>8093224</v>
      </c>
      <c r="BJ127">
        <f t="shared" si="29"/>
        <v>28564320</v>
      </c>
      <c r="BK127">
        <f t="shared" si="29"/>
        <v>95214400</v>
      </c>
      <c r="BL127" s="145">
        <v>122</v>
      </c>
    </row>
    <row r="128" spans="1:64" ht="17.25" thickBot="1" x14ac:dyDescent="0.25">
      <c r="A128" s="131">
        <v>124</v>
      </c>
      <c r="B128" s="132">
        <v>11798944</v>
      </c>
      <c r="D128" s="131">
        <v>124</v>
      </c>
      <c r="E128" s="132">
        <v>9.5906900000000004</v>
      </c>
      <c r="M128">
        <v>124</v>
      </c>
      <c r="N128">
        <f t="shared" si="20"/>
        <v>119414440</v>
      </c>
      <c r="O128">
        <f t="shared" si="31"/>
        <v>238828880</v>
      </c>
      <c r="P128">
        <f t="shared" si="31"/>
        <v>358243320</v>
      </c>
      <c r="Q128">
        <f t="shared" si="31"/>
        <v>477657760</v>
      </c>
      <c r="R128">
        <f t="shared" si="31"/>
        <v>716486640</v>
      </c>
      <c r="S128">
        <f t="shared" si="31"/>
        <v>835901080</v>
      </c>
      <c r="T128">
        <f t="shared" si="31"/>
        <v>1194144400</v>
      </c>
      <c r="U128">
        <f t="shared" si="31"/>
        <v>1791216600</v>
      </c>
      <c r="V128">
        <f t="shared" si="31"/>
        <v>2865946560</v>
      </c>
      <c r="W128">
        <f t="shared" si="31"/>
        <v>4298919840</v>
      </c>
      <c r="X128">
        <f t="shared" si="31"/>
        <v>5970722000</v>
      </c>
      <c r="Y128">
        <f t="shared" si="31"/>
        <v>7164866400</v>
      </c>
      <c r="Z128">
        <f t="shared" si="31"/>
        <v>11463786240</v>
      </c>
      <c r="AA128">
        <f t="shared" si="31"/>
        <v>11941444000</v>
      </c>
      <c r="AB128">
        <f t="shared" si="31"/>
        <v>17912166000</v>
      </c>
      <c r="AC128">
        <f t="shared" si="31"/>
        <v>28659465600</v>
      </c>
      <c r="AD128">
        <f t="shared" si="31"/>
        <v>42989198400</v>
      </c>
      <c r="AE128">
        <f t="shared" si="25"/>
        <v>50154064800</v>
      </c>
      <c r="AF128">
        <f t="shared" si="25"/>
        <v>65677942000</v>
      </c>
      <c r="AG128">
        <f t="shared" si="25"/>
        <v>83590108000</v>
      </c>
      <c r="AK128">
        <v>122</v>
      </c>
      <c r="AL128" s="24">
        <f t="shared" si="21"/>
        <v>9.5447000000000006</v>
      </c>
      <c r="AM128">
        <f t="shared" si="30"/>
        <v>66.812899999999999</v>
      </c>
      <c r="AN128">
        <f t="shared" si="30"/>
        <v>95.447000000000003</v>
      </c>
      <c r="AO128">
        <f t="shared" si="30"/>
        <v>143.1705</v>
      </c>
      <c r="AP128">
        <f t="shared" si="30"/>
        <v>190.89400000000001</v>
      </c>
      <c r="AQ128">
        <f t="shared" si="30"/>
        <v>334.06450000000001</v>
      </c>
      <c r="AR128">
        <f t="shared" si="30"/>
        <v>477.23500000000001</v>
      </c>
      <c r="AS128">
        <f t="shared" si="30"/>
        <v>763.57600000000002</v>
      </c>
      <c r="AT128">
        <f t="shared" si="30"/>
        <v>1145.364</v>
      </c>
      <c r="AU128">
        <f t="shared" si="30"/>
        <v>1622.5990000000002</v>
      </c>
      <c r="AV128">
        <f t="shared" si="30"/>
        <v>2290.7280000000001</v>
      </c>
      <c r="AW128">
        <f t="shared" si="30"/>
        <v>3149.7510000000002</v>
      </c>
      <c r="AX128">
        <f t="shared" si="30"/>
        <v>4390.5619999999999</v>
      </c>
      <c r="AY128">
        <f t="shared" si="30"/>
        <v>7635.76</v>
      </c>
      <c r="AZ128">
        <f t="shared" si="30"/>
        <v>14317.050000000001</v>
      </c>
      <c r="BA128">
        <f t="shared" si="30"/>
        <v>23861.75</v>
      </c>
      <c r="BB128">
        <f t="shared" ref="BB128:BK143" si="32">BB$5*VLOOKUP($AK128,$D$2:$E$1404,2,FALSE)</f>
        <v>38178.800000000003</v>
      </c>
      <c r="BC128">
        <f t="shared" si="32"/>
        <v>95447</v>
      </c>
      <c r="BD128">
        <f t="shared" si="32"/>
        <v>143170.5</v>
      </c>
      <c r="BE128">
        <f t="shared" si="32"/>
        <v>229072.80000000002</v>
      </c>
      <c r="BF128">
        <f t="shared" si="32"/>
        <v>286341</v>
      </c>
      <c r="BG128">
        <f t="shared" si="32"/>
        <v>954470.00000000012</v>
      </c>
      <c r="BH128">
        <f t="shared" si="32"/>
        <v>2863410</v>
      </c>
      <c r="BI128">
        <f t="shared" si="32"/>
        <v>8112995.0000000009</v>
      </c>
      <c r="BJ128">
        <f t="shared" si="32"/>
        <v>28634100.000000004</v>
      </c>
      <c r="BK128">
        <f t="shared" si="32"/>
        <v>95447000</v>
      </c>
      <c r="BL128">
        <v>123</v>
      </c>
    </row>
    <row r="129" spans="1:64" ht="17.25" thickBot="1" x14ac:dyDescent="0.25">
      <c r="A129" s="131">
        <v>125</v>
      </c>
      <c r="B129" s="132">
        <v>11941444</v>
      </c>
      <c r="D129" s="131">
        <v>125</v>
      </c>
      <c r="E129" s="132">
        <v>9.6134199999999996</v>
      </c>
      <c r="M129">
        <v>125</v>
      </c>
      <c r="N129">
        <f t="shared" si="20"/>
        <v>120845160</v>
      </c>
      <c r="O129">
        <f t="shared" si="31"/>
        <v>241690320</v>
      </c>
      <c r="P129">
        <f t="shared" si="31"/>
        <v>362535480</v>
      </c>
      <c r="Q129">
        <f t="shared" si="31"/>
        <v>483380640</v>
      </c>
      <c r="R129">
        <f t="shared" si="31"/>
        <v>725070960</v>
      </c>
      <c r="S129">
        <f t="shared" si="31"/>
        <v>845916120</v>
      </c>
      <c r="T129">
        <f t="shared" si="31"/>
        <v>1208451600</v>
      </c>
      <c r="U129">
        <f t="shared" si="31"/>
        <v>1812677400</v>
      </c>
      <c r="V129">
        <f t="shared" si="31"/>
        <v>2900283840</v>
      </c>
      <c r="W129">
        <f t="shared" si="31"/>
        <v>4350425760</v>
      </c>
      <c r="X129">
        <f t="shared" si="31"/>
        <v>6042258000</v>
      </c>
      <c r="Y129">
        <f t="shared" si="31"/>
        <v>7250709600</v>
      </c>
      <c r="Z129">
        <f t="shared" si="31"/>
        <v>11601135360</v>
      </c>
      <c r="AA129">
        <f t="shared" si="31"/>
        <v>12084516000</v>
      </c>
      <c r="AB129">
        <f t="shared" si="31"/>
        <v>18126774000</v>
      </c>
      <c r="AC129">
        <f t="shared" si="31"/>
        <v>29002838400</v>
      </c>
      <c r="AD129">
        <f t="shared" si="31"/>
        <v>43504257600</v>
      </c>
      <c r="AE129">
        <f t="shared" si="25"/>
        <v>50754967200</v>
      </c>
      <c r="AF129">
        <f t="shared" si="25"/>
        <v>66464838000</v>
      </c>
      <c r="AG129">
        <f t="shared" si="25"/>
        <v>84591612000</v>
      </c>
      <c r="AK129">
        <v>123</v>
      </c>
      <c r="AL129" s="24">
        <f t="shared" si="21"/>
        <v>9.5677800000000008</v>
      </c>
      <c r="AM129">
        <f t="shared" ref="AM129:BB144" si="33">AM$5*VLOOKUP($AK129,$D$2:$E$1404,2,FALSE)</f>
        <v>66.974460000000008</v>
      </c>
      <c r="AN129">
        <f t="shared" si="33"/>
        <v>95.677800000000005</v>
      </c>
      <c r="AO129">
        <f t="shared" si="33"/>
        <v>143.51670000000001</v>
      </c>
      <c r="AP129">
        <f t="shared" si="33"/>
        <v>191.35560000000001</v>
      </c>
      <c r="AQ129">
        <f t="shared" si="33"/>
        <v>334.87230000000005</v>
      </c>
      <c r="AR129">
        <f t="shared" si="33"/>
        <v>478.38900000000007</v>
      </c>
      <c r="AS129">
        <f t="shared" si="33"/>
        <v>765.42240000000004</v>
      </c>
      <c r="AT129">
        <f t="shared" si="33"/>
        <v>1148.1336000000001</v>
      </c>
      <c r="AU129">
        <f t="shared" si="33"/>
        <v>1626.5226000000002</v>
      </c>
      <c r="AV129">
        <f t="shared" si="33"/>
        <v>2296.2672000000002</v>
      </c>
      <c r="AW129">
        <f t="shared" si="33"/>
        <v>3157.3674000000001</v>
      </c>
      <c r="AX129">
        <f t="shared" si="33"/>
        <v>4401.1788000000006</v>
      </c>
      <c r="AY129">
        <f t="shared" si="33"/>
        <v>7654.2240000000011</v>
      </c>
      <c r="AZ129">
        <f t="shared" si="33"/>
        <v>14351.670000000002</v>
      </c>
      <c r="BA129">
        <f t="shared" si="33"/>
        <v>23919.45</v>
      </c>
      <c r="BB129">
        <f t="shared" si="33"/>
        <v>38271.120000000003</v>
      </c>
      <c r="BC129">
        <f t="shared" si="32"/>
        <v>95677.8</v>
      </c>
      <c r="BD129">
        <f t="shared" si="32"/>
        <v>143516.70000000001</v>
      </c>
      <c r="BE129">
        <f t="shared" si="32"/>
        <v>229626.72000000003</v>
      </c>
      <c r="BF129">
        <f t="shared" si="32"/>
        <v>287033.40000000002</v>
      </c>
      <c r="BG129">
        <f t="shared" si="32"/>
        <v>956778.00000000012</v>
      </c>
      <c r="BH129">
        <f t="shared" si="32"/>
        <v>2870334.0000000005</v>
      </c>
      <c r="BI129">
        <f t="shared" si="32"/>
        <v>8132613.0000000009</v>
      </c>
      <c r="BJ129">
        <f t="shared" si="32"/>
        <v>28703340.000000004</v>
      </c>
      <c r="BK129">
        <f t="shared" si="32"/>
        <v>95677800.000000015</v>
      </c>
      <c r="BL129" s="145">
        <v>124</v>
      </c>
    </row>
    <row r="130" spans="1:64" ht="17.25" thickBot="1" x14ac:dyDescent="0.25">
      <c r="A130" s="131">
        <v>126</v>
      </c>
      <c r="B130" s="132">
        <v>12084516</v>
      </c>
      <c r="D130" s="131">
        <v>126</v>
      </c>
      <c r="E130" s="132">
        <v>9.63598</v>
      </c>
      <c r="M130">
        <v>126</v>
      </c>
      <c r="N130">
        <f t="shared" si="20"/>
        <v>122281550</v>
      </c>
      <c r="O130">
        <f t="shared" si="31"/>
        <v>244563100</v>
      </c>
      <c r="P130">
        <f t="shared" si="31"/>
        <v>366844650</v>
      </c>
      <c r="Q130">
        <f t="shared" si="31"/>
        <v>489126200</v>
      </c>
      <c r="R130">
        <f t="shared" si="31"/>
        <v>733689300</v>
      </c>
      <c r="S130">
        <f t="shared" si="31"/>
        <v>855970850</v>
      </c>
      <c r="T130">
        <f t="shared" si="31"/>
        <v>1222815500</v>
      </c>
      <c r="U130">
        <f t="shared" si="31"/>
        <v>1834223250</v>
      </c>
      <c r="V130">
        <f t="shared" si="31"/>
        <v>2934757200</v>
      </c>
      <c r="W130">
        <f t="shared" si="31"/>
        <v>4402135800</v>
      </c>
      <c r="X130">
        <f t="shared" ref="O130:AD146" si="34">(VLOOKUP(X$3,$G$4:$H$23,2,0)*VLOOKUP($M130+1,$A$4:$B$1404,2,0)
)</f>
        <v>6114077500</v>
      </c>
      <c r="Y130">
        <f t="shared" si="34"/>
        <v>7336893000</v>
      </c>
      <c r="Z130">
        <f t="shared" si="34"/>
        <v>11739028800</v>
      </c>
      <c r="AA130">
        <f t="shared" si="34"/>
        <v>12228155000</v>
      </c>
      <c r="AB130">
        <f t="shared" si="34"/>
        <v>18342232500</v>
      </c>
      <c r="AC130">
        <f t="shared" si="34"/>
        <v>29347572000</v>
      </c>
      <c r="AD130">
        <f t="shared" si="34"/>
        <v>44021358000</v>
      </c>
      <c r="AE130">
        <f t="shared" si="25"/>
        <v>51358251000</v>
      </c>
      <c r="AF130">
        <f t="shared" si="25"/>
        <v>67254852500</v>
      </c>
      <c r="AG130">
        <f t="shared" si="25"/>
        <v>85597085000</v>
      </c>
      <c r="AK130">
        <v>124</v>
      </c>
      <c r="AL130" s="24">
        <f t="shared" si="21"/>
        <v>9.5906900000000004</v>
      </c>
      <c r="AM130">
        <f t="shared" si="33"/>
        <v>67.134830000000008</v>
      </c>
      <c r="AN130">
        <f t="shared" si="33"/>
        <v>95.906900000000007</v>
      </c>
      <c r="AO130">
        <f t="shared" si="33"/>
        <v>143.86035000000001</v>
      </c>
      <c r="AP130">
        <f t="shared" si="33"/>
        <v>191.81380000000001</v>
      </c>
      <c r="AQ130">
        <f t="shared" si="33"/>
        <v>335.67415</v>
      </c>
      <c r="AR130">
        <f t="shared" si="33"/>
        <v>479.53450000000004</v>
      </c>
      <c r="AS130">
        <f t="shared" si="33"/>
        <v>767.25520000000006</v>
      </c>
      <c r="AT130">
        <f t="shared" si="33"/>
        <v>1150.8828000000001</v>
      </c>
      <c r="AU130">
        <f t="shared" si="33"/>
        <v>1630.4173000000001</v>
      </c>
      <c r="AV130">
        <f t="shared" si="33"/>
        <v>2301.7656000000002</v>
      </c>
      <c r="AW130">
        <f t="shared" si="33"/>
        <v>3164.9277000000002</v>
      </c>
      <c r="AX130">
        <f t="shared" si="33"/>
        <v>4411.7174000000005</v>
      </c>
      <c r="AY130">
        <f t="shared" si="33"/>
        <v>7672.5520000000006</v>
      </c>
      <c r="AZ130">
        <f t="shared" si="33"/>
        <v>14386.035</v>
      </c>
      <c r="BA130">
        <f t="shared" si="33"/>
        <v>23976.725000000002</v>
      </c>
      <c r="BB130">
        <f t="shared" si="33"/>
        <v>38362.76</v>
      </c>
      <c r="BC130">
        <f t="shared" si="32"/>
        <v>95906.900000000009</v>
      </c>
      <c r="BD130">
        <f t="shared" si="32"/>
        <v>143860.35</v>
      </c>
      <c r="BE130">
        <f t="shared" si="32"/>
        <v>230176.56</v>
      </c>
      <c r="BF130">
        <f t="shared" si="32"/>
        <v>287720.7</v>
      </c>
      <c r="BG130">
        <f t="shared" si="32"/>
        <v>959069</v>
      </c>
      <c r="BH130">
        <f t="shared" si="32"/>
        <v>2877207</v>
      </c>
      <c r="BI130">
        <f t="shared" si="32"/>
        <v>8152086.5</v>
      </c>
      <c r="BJ130">
        <f t="shared" si="32"/>
        <v>28772070</v>
      </c>
      <c r="BK130">
        <f t="shared" si="32"/>
        <v>95906900</v>
      </c>
      <c r="BL130">
        <v>125</v>
      </c>
    </row>
    <row r="131" spans="1:64" ht="17.25" thickBot="1" x14ac:dyDescent="0.25">
      <c r="A131" s="131">
        <v>127</v>
      </c>
      <c r="B131" s="132">
        <v>12228155</v>
      </c>
      <c r="D131" s="131">
        <v>127</v>
      </c>
      <c r="E131" s="132">
        <v>9.6583699999999997</v>
      </c>
      <c r="M131">
        <v>127</v>
      </c>
      <c r="N131">
        <f t="shared" si="20"/>
        <v>123723550</v>
      </c>
      <c r="O131">
        <f t="shared" si="34"/>
        <v>247447100</v>
      </c>
      <c r="P131">
        <f t="shared" si="34"/>
        <v>371170650</v>
      </c>
      <c r="Q131">
        <f t="shared" si="34"/>
        <v>494894200</v>
      </c>
      <c r="R131">
        <f t="shared" si="34"/>
        <v>742341300</v>
      </c>
      <c r="S131">
        <f t="shared" si="34"/>
        <v>866064850</v>
      </c>
      <c r="T131">
        <f t="shared" si="34"/>
        <v>1237235500</v>
      </c>
      <c r="U131">
        <f t="shared" si="34"/>
        <v>1855853250</v>
      </c>
      <c r="V131">
        <f t="shared" si="34"/>
        <v>2969365200</v>
      </c>
      <c r="W131">
        <f t="shared" si="34"/>
        <v>4454047800</v>
      </c>
      <c r="X131">
        <f t="shared" si="34"/>
        <v>6186177500</v>
      </c>
      <c r="Y131">
        <f t="shared" si="34"/>
        <v>7423413000</v>
      </c>
      <c r="Z131">
        <f t="shared" si="34"/>
        <v>11877460800</v>
      </c>
      <c r="AA131">
        <f t="shared" si="34"/>
        <v>12372355000</v>
      </c>
      <c r="AB131">
        <f t="shared" si="34"/>
        <v>18558532500</v>
      </c>
      <c r="AC131">
        <f t="shared" si="34"/>
        <v>29693652000</v>
      </c>
      <c r="AD131">
        <f t="shared" si="34"/>
        <v>44540478000</v>
      </c>
      <c r="AE131">
        <f t="shared" si="25"/>
        <v>51963891000</v>
      </c>
      <c r="AF131">
        <f t="shared" si="25"/>
        <v>68047952500</v>
      </c>
      <c r="AG131">
        <f t="shared" si="25"/>
        <v>86606485000</v>
      </c>
      <c r="AK131">
        <v>125</v>
      </c>
      <c r="AL131" s="24">
        <f t="shared" si="21"/>
        <v>9.6134199999999996</v>
      </c>
      <c r="AM131">
        <f t="shared" si="33"/>
        <v>67.293939999999992</v>
      </c>
      <c r="AN131">
        <f t="shared" si="33"/>
        <v>96.134199999999993</v>
      </c>
      <c r="AO131">
        <f t="shared" si="33"/>
        <v>144.2013</v>
      </c>
      <c r="AP131">
        <f t="shared" si="33"/>
        <v>192.26839999999999</v>
      </c>
      <c r="AQ131">
        <f t="shared" si="33"/>
        <v>336.46969999999999</v>
      </c>
      <c r="AR131">
        <f t="shared" si="33"/>
        <v>480.67099999999999</v>
      </c>
      <c r="AS131">
        <f t="shared" si="33"/>
        <v>769.07359999999994</v>
      </c>
      <c r="AT131">
        <f t="shared" si="33"/>
        <v>1153.6104</v>
      </c>
      <c r="AU131">
        <f t="shared" si="33"/>
        <v>1634.2813999999998</v>
      </c>
      <c r="AV131">
        <f t="shared" si="33"/>
        <v>2307.2208000000001</v>
      </c>
      <c r="AW131">
        <f t="shared" si="33"/>
        <v>3172.4285999999997</v>
      </c>
      <c r="AX131">
        <f t="shared" si="33"/>
        <v>4422.1732000000002</v>
      </c>
      <c r="AY131">
        <f t="shared" si="33"/>
        <v>7690.7359999999999</v>
      </c>
      <c r="AZ131">
        <f t="shared" si="33"/>
        <v>14420.13</v>
      </c>
      <c r="BA131">
        <f t="shared" si="33"/>
        <v>24033.55</v>
      </c>
      <c r="BB131">
        <f t="shared" si="33"/>
        <v>38453.68</v>
      </c>
      <c r="BC131">
        <f t="shared" si="32"/>
        <v>96134.2</v>
      </c>
      <c r="BD131">
        <f t="shared" si="32"/>
        <v>144201.29999999999</v>
      </c>
      <c r="BE131">
        <f t="shared" si="32"/>
        <v>230722.08</v>
      </c>
      <c r="BF131">
        <f t="shared" si="32"/>
        <v>288402.59999999998</v>
      </c>
      <c r="BG131">
        <f t="shared" si="32"/>
        <v>961342</v>
      </c>
      <c r="BH131">
        <f t="shared" si="32"/>
        <v>2884026</v>
      </c>
      <c r="BI131">
        <f t="shared" si="32"/>
        <v>8171407</v>
      </c>
      <c r="BJ131">
        <f t="shared" si="32"/>
        <v>28840260</v>
      </c>
      <c r="BK131">
        <f t="shared" si="32"/>
        <v>96134200</v>
      </c>
      <c r="BL131" s="145">
        <v>126</v>
      </c>
    </row>
    <row r="132" spans="1:64" ht="17.25" thickBot="1" x14ac:dyDescent="0.25">
      <c r="A132" s="131">
        <v>128</v>
      </c>
      <c r="B132" s="132">
        <v>12372355</v>
      </c>
      <c r="D132" s="131">
        <v>128</v>
      </c>
      <c r="E132" s="132">
        <v>9.6806000000000001</v>
      </c>
      <c r="M132">
        <v>128</v>
      </c>
      <c r="N132">
        <f t="shared" si="20"/>
        <v>125171220</v>
      </c>
      <c r="O132">
        <f t="shared" si="34"/>
        <v>250342440</v>
      </c>
      <c r="P132">
        <f t="shared" si="34"/>
        <v>375513660</v>
      </c>
      <c r="Q132">
        <f t="shared" si="34"/>
        <v>500684880</v>
      </c>
      <c r="R132">
        <f t="shared" si="34"/>
        <v>751027320</v>
      </c>
      <c r="S132">
        <f t="shared" si="34"/>
        <v>876198540</v>
      </c>
      <c r="T132">
        <f t="shared" si="34"/>
        <v>1251712200</v>
      </c>
      <c r="U132">
        <f t="shared" si="34"/>
        <v>1877568300</v>
      </c>
      <c r="V132">
        <f t="shared" si="34"/>
        <v>3004109280</v>
      </c>
      <c r="W132">
        <f t="shared" si="34"/>
        <v>4506163920</v>
      </c>
      <c r="X132">
        <f t="shared" si="34"/>
        <v>6258561000</v>
      </c>
      <c r="Y132">
        <f t="shared" si="34"/>
        <v>7510273200</v>
      </c>
      <c r="Z132">
        <f t="shared" si="34"/>
        <v>12016437120</v>
      </c>
      <c r="AA132">
        <f t="shared" si="34"/>
        <v>12517122000</v>
      </c>
      <c r="AB132">
        <f t="shared" si="34"/>
        <v>18775683000</v>
      </c>
      <c r="AC132">
        <f t="shared" si="34"/>
        <v>30041092800</v>
      </c>
      <c r="AD132">
        <f t="shared" si="34"/>
        <v>45061639200</v>
      </c>
      <c r="AE132">
        <f t="shared" si="25"/>
        <v>52571912400</v>
      </c>
      <c r="AF132">
        <f t="shared" si="25"/>
        <v>68844171000</v>
      </c>
      <c r="AG132">
        <f t="shared" si="25"/>
        <v>87619854000</v>
      </c>
      <c r="AK132">
        <v>126</v>
      </c>
      <c r="AL132" s="24">
        <f t="shared" si="21"/>
        <v>9.63598</v>
      </c>
      <c r="AM132">
        <f t="shared" si="33"/>
        <v>67.451859999999996</v>
      </c>
      <c r="AN132">
        <f t="shared" si="33"/>
        <v>96.359800000000007</v>
      </c>
      <c r="AO132">
        <f t="shared" si="33"/>
        <v>144.53970000000001</v>
      </c>
      <c r="AP132">
        <f t="shared" si="33"/>
        <v>192.71960000000001</v>
      </c>
      <c r="AQ132">
        <f t="shared" si="33"/>
        <v>337.2593</v>
      </c>
      <c r="AR132">
        <f t="shared" si="33"/>
        <v>481.79899999999998</v>
      </c>
      <c r="AS132">
        <f t="shared" si="33"/>
        <v>770.87840000000006</v>
      </c>
      <c r="AT132">
        <f t="shared" si="33"/>
        <v>1156.3176000000001</v>
      </c>
      <c r="AU132">
        <f t="shared" si="33"/>
        <v>1638.1166000000001</v>
      </c>
      <c r="AV132">
        <f t="shared" si="33"/>
        <v>2312.6352000000002</v>
      </c>
      <c r="AW132">
        <f t="shared" si="33"/>
        <v>3179.8733999999999</v>
      </c>
      <c r="AX132">
        <f t="shared" si="33"/>
        <v>4432.5508</v>
      </c>
      <c r="AY132">
        <f t="shared" si="33"/>
        <v>7708.7839999999997</v>
      </c>
      <c r="AZ132">
        <f t="shared" si="33"/>
        <v>14453.97</v>
      </c>
      <c r="BA132">
        <f t="shared" si="33"/>
        <v>24089.95</v>
      </c>
      <c r="BB132">
        <f t="shared" si="33"/>
        <v>38543.919999999998</v>
      </c>
      <c r="BC132">
        <f t="shared" si="32"/>
        <v>96359.8</v>
      </c>
      <c r="BD132">
        <f t="shared" si="32"/>
        <v>144539.70000000001</v>
      </c>
      <c r="BE132">
        <f t="shared" si="32"/>
        <v>231263.52</v>
      </c>
      <c r="BF132">
        <f t="shared" si="32"/>
        <v>289079.40000000002</v>
      </c>
      <c r="BG132">
        <f t="shared" si="32"/>
        <v>963598</v>
      </c>
      <c r="BH132">
        <f t="shared" si="32"/>
        <v>2890794</v>
      </c>
      <c r="BI132">
        <f t="shared" si="32"/>
        <v>8190583</v>
      </c>
      <c r="BJ132">
        <f t="shared" si="32"/>
        <v>28907940</v>
      </c>
      <c r="BK132">
        <f t="shared" si="32"/>
        <v>96359800</v>
      </c>
      <c r="BL132">
        <v>127</v>
      </c>
    </row>
    <row r="133" spans="1:64" ht="17.25" thickBot="1" x14ac:dyDescent="0.25">
      <c r="A133" s="131">
        <v>129</v>
      </c>
      <c r="B133" s="132">
        <v>12517122</v>
      </c>
      <c r="D133" s="131">
        <v>129</v>
      </c>
      <c r="E133" s="132">
        <v>9.7026599999999998</v>
      </c>
      <c r="M133">
        <v>129</v>
      </c>
      <c r="N133">
        <f t="shared" ref="N133:N196" si="35">(VLOOKUP(N$3,$G$4:$H$23,2,0)*VLOOKUP($M133+1,$A$4:$B$1404,2,0)
)</f>
        <v>126624440</v>
      </c>
      <c r="O133">
        <f t="shared" si="34"/>
        <v>253248880</v>
      </c>
      <c r="P133">
        <f t="shared" si="34"/>
        <v>379873320</v>
      </c>
      <c r="Q133">
        <f t="shared" si="34"/>
        <v>506497760</v>
      </c>
      <c r="R133">
        <f t="shared" si="34"/>
        <v>759746640</v>
      </c>
      <c r="S133">
        <f t="shared" si="34"/>
        <v>886371080</v>
      </c>
      <c r="T133">
        <f t="shared" si="34"/>
        <v>1266244400</v>
      </c>
      <c r="U133">
        <f t="shared" si="34"/>
        <v>1899366600</v>
      </c>
      <c r="V133">
        <f t="shared" si="34"/>
        <v>3038986560</v>
      </c>
      <c r="W133">
        <f t="shared" si="34"/>
        <v>4558479840</v>
      </c>
      <c r="X133">
        <f t="shared" si="34"/>
        <v>6331222000</v>
      </c>
      <c r="Y133">
        <f t="shared" si="34"/>
        <v>7597466400</v>
      </c>
      <c r="Z133">
        <f t="shared" si="34"/>
        <v>12155946240</v>
      </c>
      <c r="AA133">
        <f t="shared" si="34"/>
        <v>12662444000</v>
      </c>
      <c r="AB133">
        <f t="shared" si="34"/>
        <v>18993666000</v>
      </c>
      <c r="AC133">
        <f t="shared" si="34"/>
        <v>30389865600</v>
      </c>
      <c r="AD133">
        <f t="shared" si="34"/>
        <v>45584798400</v>
      </c>
      <c r="AE133">
        <f t="shared" si="25"/>
        <v>53182264800</v>
      </c>
      <c r="AF133">
        <f t="shared" si="25"/>
        <v>69643442000</v>
      </c>
      <c r="AG133">
        <f t="shared" si="25"/>
        <v>88637108000</v>
      </c>
      <c r="AK133">
        <v>127</v>
      </c>
      <c r="AL133" s="24">
        <f t="shared" si="21"/>
        <v>9.6583699999999997</v>
      </c>
      <c r="AM133">
        <f t="shared" si="33"/>
        <v>67.608589999999992</v>
      </c>
      <c r="AN133">
        <f t="shared" si="33"/>
        <v>96.583699999999993</v>
      </c>
      <c r="AO133">
        <f t="shared" si="33"/>
        <v>144.87555</v>
      </c>
      <c r="AP133">
        <f t="shared" si="33"/>
        <v>193.16739999999999</v>
      </c>
      <c r="AQ133">
        <f t="shared" si="33"/>
        <v>338.04294999999996</v>
      </c>
      <c r="AR133">
        <f t="shared" si="33"/>
        <v>482.91849999999999</v>
      </c>
      <c r="AS133">
        <f t="shared" si="33"/>
        <v>772.66959999999995</v>
      </c>
      <c r="AT133">
        <f t="shared" si="33"/>
        <v>1159.0044</v>
      </c>
      <c r="AU133">
        <f t="shared" si="33"/>
        <v>1641.9229</v>
      </c>
      <c r="AV133">
        <f t="shared" si="33"/>
        <v>2318.0088000000001</v>
      </c>
      <c r="AW133">
        <f t="shared" si="33"/>
        <v>3187.2620999999999</v>
      </c>
      <c r="AX133">
        <f t="shared" si="33"/>
        <v>4442.8501999999999</v>
      </c>
      <c r="AY133">
        <f t="shared" si="33"/>
        <v>7726.6959999999999</v>
      </c>
      <c r="AZ133">
        <f t="shared" si="33"/>
        <v>14487.555</v>
      </c>
      <c r="BA133">
        <f t="shared" si="33"/>
        <v>24145.924999999999</v>
      </c>
      <c r="BB133">
        <f t="shared" si="33"/>
        <v>38633.479999999996</v>
      </c>
      <c r="BC133">
        <f t="shared" si="32"/>
        <v>96583.7</v>
      </c>
      <c r="BD133">
        <f t="shared" si="32"/>
        <v>144875.54999999999</v>
      </c>
      <c r="BE133">
        <f t="shared" si="32"/>
        <v>231800.88</v>
      </c>
      <c r="BF133">
        <f t="shared" si="32"/>
        <v>289751.09999999998</v>
      </c>
      <c r="BG133">
        <f t="shared" si="32"/>
        <v>965837</v>
      </c>
      <c r="BH133">
        <f t="shared" si="32"/>
        <v>2897511</v>
      </c>
      <c r="BI133">
        <f t="shared" si="32"/>
        <v>8209614.5</v>
      </c>
      <c r="BJ133">
        <f t="shared" si="32"/>
        <v>28975110</v>
      </c>
      <c r="BK133">
        <f t="shared" si="32"/>
        <v>96583700</v>
      </c>
      <c r="BL133" s="145">
        <v>128</v>
      </c>
    </row>
    <row r="134" spans="1:64" ht="17.25" thickBot="1" x14ac:dyDescent="0.25">
      <c r="A134" s="131">
        <v>130</v>
      </c>
      <c r="B134" s="132">
        <v>12662444</v>
      </c>
      <c r="D134" s="131">
        <v>130</v>
      </c>
      <c r="E134" s="132">
        <v>9.7245600000000003</v>
      </c>
      <c r="M134">
        <v>130</v>
      </c>
      <c r="N134">
        <f t="shared" si="35"/>
        <v>128083270</v>
      </c>
      <c r="O134">
        <f t="shared" si="34"/>
        <v>256166540</v>
      </c>
      <c r="P134">
        <f t="shared" si="34"/>
        <v>384249810</v>
      </c>
      <c r="Q134">
        <f t="shared" si="34"/>
        <v>512333080</v>
      </c>
      <c r="R134">
        <f t="shared" si="34"/>
        <v>768499620</v>
      </c>
      <c r="S134">
        <f t="shared" si="34"/>
        <v>896582890</v>
      </c>
      <c r="T134">
        <f t="shared" si="34"/>
        <v>1280832700</v>
      </c>
      <c r="U134">
        <f t="shared" si="34"/>
        <v>1921249050</v>
      </c>
      <c r="V134">
        <f t="shared" si="34"/>
        <v>3073998480</v>
      </c>
      <c r="W134">
        <f t="shared" si="34"/>
        <v>4610997720</v>
      </c>
      <c r="X134">
        <f t="shared" si="34"/>
        <v>6404163500</v>
      </c>
      <c r="Y134">
        <f t="shared" si="34"/>
        <v>7684996200</v>
      </c>
      <c r="Z134">
        <f t="shared" si="34"/>
        <v>12295993920</v>
      </c>
      <c r="AA134">
        <f t="shared" si="34"/>
        <v>12808327000</v>
      </c>
      <c r="AB134">
        <f t="shared" si="34"/>
        <v>19212490500</v>
      </c>
      <c r="AC134">
        <f t="shared" si="34"/>
        <v>30739984800</v>
      </c>
      <c r="AD134">
        <f t="shared" si="34"/>
        <v>46109977200</v>
      </c>
      <c r="AE134">
        <f t="shared" si="25"/>
        <v>53794973400</v>
      </c>
      <c r="AF134">
        <f t="shared" si="25"/>
        <v>70445798500</v>
      </c>
      <c r="AG134">
        <f t="shared" si="25"/>
        <v>89658289000</v>
      </c>
      <c r="AK134">
        <v>128</v>
      </c>
      <c r="AL134" s="24">
        <f t="shared" si="21"/>
        <v>9.6806000000000001</v>
      </c>
      <c r="AM134">
        <f t="shared" si="33"/>
        <v>67.764200000000002</v>
      </c>
      <c r="AN134">
        <f t="shared" si="33"/>
        <v>96.805999999999997</v>
      </c>
      <c r="AO134">
        <f t="shared" si="33"/>
        <v>145.209</v>
      </c>
      <c r="AP134">
        <f t="shared" si="33"/>
        <v>193.61199999999999</v>
      </c>
      <c r="AQ134">
        <f t="shared" si="33"/>
        <v>338.82100000000003</v>
      </c>
      <c r="AR134">
        <f t="shared" si="33"/>
        <v>484.03000000000003</v>
      </c>
      <c r="AS134">
        <f t="shared" si="33"/>
        <v>774.44799999999998</v>
      </c>
      <c r="AT134">
        <f t="shared" si="33"/>
        <v>1161.672</v>
      </c>
      <c r="AU134">
        <f t="shared" si="33"/>
        <v>1645.702</v>
      </c>
      <c r="AV134">
        <f t="shared" si="33"/>
        <v>2323.3440000000001</v>
      </c>
      <c r="AW134">
        <f t="shared" si="33"/>
        <v>3194.598</v>
      </c>
      <c r="AX134">
        <f t="shared" si="33"/>
        <v>4453.076</v>
      </c>
      <c r="AY134">
        <f t="shared" si="33"/>
        <v>7744.4800000000005</v>
      </c>
      <c r="AZ134">
        <f t="shared" si="33"/>
        <v>14520.9</v>
      </c>
      <c r="BA134">
        <f t="shared" si="33"/>
        <v>24201.5</v>
      </c>
      <c r="BB134">
        <f t="shared" si="33"/>
        <v>38722.400000000001</v>
      </c>
      <c r="BC134">
        <f t="shared" si="32"/>
        <v>96806</v>
      </c>
      <c r="BD134">
        <f t="shared" si="32"/>
        <v>145209</v>
      </c>
      <c r="BE134">
        <f t="shared" si="32"/>
        <v>232334.4</v>
      </c>
      <c r="BF134">
        <f t="shared" si="32"/>
        <v>290418</v>
      </c>
      <c r="BG134">
        <f t="shared" si="32"/>
        <v>968060</v>
      </c>
      <c r="BH134">
        <f t="shared" si="32"/>
        <v>2904180</v>
      </c>
      <c r="BI134">
        <f t="shared" si="32"/>
        <v>8228510</v>
      </c>
      <c r="BJ134">
        <f t="shared" si="32"/>
        <v>29041800</v>
      </c>
      <c r="BK134">
        <f t="shared" si="32"/>
        <v>96806000</v>
      </c>
      <c r="BL134">
        <v>129</v>
      </c>
    </row>
    <row r="135" spans="1:64" ht="17.25" thickBot="1" x14ac:dyDescent="0.25">
      <c r="A135" s="131">
        <v>131</v>
      </c>
      <c r="B135" s="132">
        <v>12808327</v>
      </c>
      <c r="D135" s="131">
        <v>131</v>
      </c>
      <c r="E135" s="132">
        <v>9.7462999999999997</v>
      </c>
      <c r="M135">
        <v>131</v>
      </c>
      <c r="N135">
        <f t="shared" si="35"/>
        <v>129547660</v>
      </c>
      <c r="O135">
        <f t="shared" si="34"/>
        <v>259095320</v>
      </c>
      <c r="P135">
        <f t="shared" si="34"/>
        <v>388642980</v>
      </c>
      <c r="Q135">
        <f t="shared" si="34"/>
        <v>518190640</v>
      </c>
      <c r="R135">
        <f t="shared" si="34"/>
        <v>777285960</v>
      </c>
      <c r="S135">
        <f t="shared" si="34"/>
        <v>906833620</v>
      </c>
      <c r="T135">
        <f t="shared" si="34"/>
        <v>1295476600</v>
      </c>
      <c r="U135">
        <f t="shared" si="34"/>
        <v>1943214900</v>
      </c>
      <c r="V135">
        <f t="shared" si="34"/>
        <v>3109143840</v>
      </c>
      <c r="W135">
        <f t="shared" si="34"/>
        <v>4663715760</v>
      </c>
      <c r="X135">
        <f t="shared" si="34"/>
        <v>6477383000</v>
      </c>
      <c r="Y135">
        <f t="shared" si="34"/>
        <v>7772859600</v>
      </c>
      <c r="Z135">
        <f t="shared" si="34"/>
        <v>12436575360</v>
      </c>
      <c r="AA135">
        <f t="shared" si="34"/>
        <v>12954766000</v>
      </c>
      <c r="AB135">
        <f t="shared" si="34"/>
        <v>19432149000</v>
      </c>
      <c r="AC135">
        <f t="shared" si="34"/>
        <v>31091438400</v>
      </c>
      <c r="AD135">
        <f t="shared" si="34"/>
        <v>46637157600</v>
      </c>
      <c r="AE135">
        <f t="shared" si="25"/>
        <v>54410017200</v>
      </c>
      <c r="AF135">
        <f t="shared" si="25"/>
        <v>71251213000</v>
      </c>
      <c r="AG135">
        <f t="shared" si="25"/>
        <v>90683362000</v>
      </c>
      <c r="AK135">
        <v>129</v>
      </c>
      <c r="AL135" s="24">
        <f t="shared" ref="AL135:AL198" si="36">VLOOKUP(AK135,D$2:E$1404,2,FALSE)</f>
        <v>9.7026599999999998</v>
      </c>
      <c r="AM135">
        <f t="shared" si="33"/>
        <v>67.918620000000004</v>
      </c>
      <c r="AN135">
        <f t="shared" si="33"/>
        <v>97.026600000000002</v>
      </c>
      <c r="AO135">
        <f t="shared" si="33"/>
        <v>145.53989999999999</v>
      </c>
      <c r="AP135">
        <f t="shared" si="33"/>
        <v>194.0532</v>
      </c>
      <c r="AQ135">
        <f t="shared" si="33"/>
        <v>339.59309999999999</v>
      </c>
      <c r="AR135">
        <f t="shared" si="33"/>
        <v>485.13299999999998</v>
      </c>
      <c r="AS135">
        <f t="shared" si="33"/>
        <v>776.21280000000002</v>
      </c>
      <c r="AT135">
        <f t="shared" si="33"/>
        <v>1164.3191999999999</v>
      </c>
      <c r="AU135">
        <f t="shared" si="33"/>
        <v>1649.4521999999999</v>
      </c>
      <c r="AV135">
        <f t="shared" si="33"/>
        <v>2328.6383999999998</v>
      </c>
      <c r="AW135">
        <f t="shared" si="33"/>
        <v>3201.8777999999998</v>
      </c>
      <c r="AX135">
        <f t="shared" si="33"/>
        <v>4463.2236000000003</v>
      </c>
      <c r="AY135">
        <f t="shared" si="33"/>
        <v>7762.1279999999997</v>
      </c>
      <c r="AZ135">
        <f t="shared" si="33"/>
        <v>14553.99</v>
      </c>
      <c r="BA135">
        <f t="shared" si="33"/>
        <v>24256.649999999998</v>
      </c>
      <c r="BB135">
        <f t="shared" si="33"/>
        <v>38810.639999999999</v>
      </c>
      <c r="BC135">
        <f t="shared" si="32"/>
        <v>97026.599999999991</v>
      </c>
      <c r="BD135">
        <f t="shared" si="32"/>
        <v>145539.9</v>
      </c>
      <c r="BE135">
        <f t="shared" si="32"/>
        <v>232863.84</v>
      </c>
      <c r="BF135">
        <f t="shared" si="32"/>
        <v>291079.8</v>
      </c>
      <c r="BG135">
        <f t="shared" si="32"/>
        <v>970266</v>
      </c>
      <c r="BH135">
        <f t="shared" si="32"/>
        <v>2910798</v>
      </c>
      <c r="BI135">
        <f t="shared" si="32"/>
        <v>8247261</v>
      </c>
      <c r="BJ135">
        <f t="shared" si="32"/>
        <v>29107980</v>
      </c>
      <c r="BK135">
        <f t="shared" si="32"/>
        <v>97026600</v>
      </c>
      <c r="BL135" s="145">
        <v>130</v>
      </c>
    </row>
    <row r="136" spans="1:64" ht="17.25" thickBot="1" x14ac:dyDescent="0.25">
      <c r="A136" s="131">
        <v>132</v>
      </c>
      <c r="B136" s="132">
        <v>12954766</v>
      </c>
      <c r="D136" s="131">
        <v>132</v>
      </c>
      <c r="E136" s="132">
        <v>9.7678899999999995</v>
      </c>
      <c r="M136">
        <v>132</v>
      </c>
      <c r="N136">
        <f t="shared" si="35"/>
        <v>131017610</v>
      </c>
      <c r="O136">
        <f t="shared" si="34"/>
        <v>262035220</v>
      </c>
      <c r="P136">
        <f t="shared" si="34"/>
        <v>393052830</v>
      </c>
      <c r="Q136">
        <f t="shared" si="34"/>
        <v>524070440</v>
      </c>
      <c r="R136">
        <f t="shared" si="34"/>
        <v>786105660</v>
      </c>
      <c r="S136">
        <f t="shared" si="34"/>
        <v>917123270</v>
      </c>
      <c r="T136">
        <f t="shared" si="34"/>
        <v>1310176100</v>
      </c>
      <c r="U136">
        <f t="shared" si="34"/>
        <v>1965264150</v>
      </c>
      <c r="V136">
        <f t="shared" si="34"/>
        <v>3144422640</v>
      </c>
      <c r="W136">
        <f t="shared" si="34"/>
        <v>4716633960</v>
      </c>
      <c r="X136">
        <f t="shared" si="34"/>
        <v>6550880500</v>
      </c>
      <c r="Y136">
        <f t="shared" si="34"/>
        <v>7861056600</v>
      </c>
      <c r="Z136">
        <f t="shared" si="34"/>
        <v>12577690560</v>
      </c>
      <c r="AA136">
        <f t="shared" si="34"/>
        <v>13101761000</v>
      </c>
      <c r="AB136">
        <f t="shared" si="34"/>
        <v>19652641500</v>
      </c>
      <c r="AC136">
        <f t="shared" si="34"/>
        <v>31444226400</v>
      </c>
      <c r="AD136">
        <f t="shared" si="34"/>
        <v>47166339600</v>
      </c>
      <c r="AE136">
        <f t="shared" si="25"/>
        <v>55027396200</v>
      </c>
      <c r="AF136">
        <f t="shared" si="25"/>
        <v>72059685500</v>
      </c>
      <c r="AG136">
        <f t="shared" si="25"/>
        <v>91712327000</v>
      </c>
      <c r="AK136">
        <v>130</v>
      </c>
      <c r="AL136" s="24">
        <f t="shared" si="36"/>
        <v>9.7245600000000003</v>
      </c>
      <c r="AM136">
        <f t="shared" si="33"/>
        <v>68.071920000000006</v>
      </c>
      <c r="AN136">
        <f t="shared" si="33"/>
        <v>97.245599999999996</v>
      </c>
      <c r="AO136">
        <f t="shared" si="33"/>
        <v>145.86840000000001</v>
      </c>
      <c r="AP136">
        <f t="shared" si="33"/>
        <v>194.49119999999999</v>
      </c>
      <c r="AQ136">
        <f t="shared" si="33"/>
        <v>340.3596</v>
      </c>
      <c r="AR136">
        <f t="shared" si="33"/>
        <v>486.22800000000001</v>
      </c>
      <c r="AS136">
        <f t="shared" si="33"/>
        <v>777.96479999999997</v>
      </c>
      <c r="AT136">
        <f t="shared" si="33"/>
        <v>1166.9472000000001</v>
      </c>
      <c r="AU136">
        <f t="shared" si="33"/>
        <v>1653.1752000000001</v>
      </c>
      <c r="AV136">
        <f t="shared" si="33"/>
        <v>2333.8944000000001</v>
      </c>
      <c r="AW136">
        <f t="shared" si="33"/>
        <v>3209.1048000000001</v>
      </c>
      <c r="AX136">
        <f t="shared" si="33"/>
        <v>4473.2975999999999</v>
      </c>
      <c r="AY136">
        <f t="shared" si="33"/>
        <v>7779.6480000000001</v>
      </c>
      <c r="AZ136">
        <f t="shared" si="33"/>
        <v>14586.84</v>
      </c>
      <c r="BA136">
        <f t="shared" si="33"/>
        <v>24311.4</v>
      </c>
      <c r="BB136">
        <f t="shared" si="33"/>
        <v>38898.239999999998</v>
      </c>
      <c r="BC136">
        <f t="shared" si="32"/>
        <v>97245.6</v>
      </c>
      <c r="BD136">
        <f t="shared" si="32"/>
        <v>145868.4</v>
      </c>
      <c r="BE136">
        <f t="shared" si="32"/>
        <v>233389.44</v>
      </c>
      <c r="BF136">
        <f t="shared" si="32"/>
        <v>291736.8</v>
      </c>
      <c r="BG136">
        <f t="shared" si="32"/>
        <v>972456</v>
      </c>
      <c r="BH136">
        <f t="shared" si="32"/>
        <v>2917368</v>
      </c>
      <c r="BI136">
        <f t="shared" si="32"/>
        <v>8265876</v>
      </c>
      <c r="BJ136">
        <f t="shared" si="32"/>
        <v>29173680</v>
      </c>
      <c r="BK136">
        <f t="shared" si="32"/>
        <v>97245600</v>
      </c>
      <c r="BL136">
        <v>131</v>
      </c>
    </row>
    <row r="137" spans="1:64" ht="17.25" thickBot="1" x14ac:dyDescent="0.25">
      <c r="A137" s="131">
        <v>133</v>
      </c>
      <c r="B137" s="132">
        <v>13101761</v>
      </c>
      <c r="D137" s="131">
        <v>133</v>
      </c>
      <c r="E137" s="132">
        <v>9.78932</v>
      </c>
      <c r="M137">
        <v>133</v>
      </c>
      <c r="N137">
        <f t="shared" si="35"/>
        <v>132493050</v>
      </c>
      <c r="O137">
        <f t="shared" si="34"/>
        <v>264986100</v>
      </c>
      <c r="P137">
        <f t="shared" si="34"/>
        <v>397479150</v>
      </c>
      <c r="Q137">
        <f t="shared" si="34"/>
        <v>529972200</v>
      </c>
      <c r="R137">
        <f t="shared" si="34"/>
        <v>794958300</v>
      </c>
      <c r="S137">
        <f t="shared" si="34"/>
        <v>927451350</v>
      </c>
      <c r="T137">
        <f t="shared" si="34"/>
        <v>1324930500</v>
      </c>
      <c r="U137">
        <f t="shared" si="34"/>
        <v>1987395750</v>
      </c>
      <c r="V137">
        <f t="shared" si="34"/>
        <v>3179833200</v>
      </c>
      <c r="W137">
        <f t="shared" si="34"/>
        <v>4769749800</v>
      </c>
      <c r="X137">
        <f t="shared" si="34"/>
        <v>6624652500</v>
      </c>
      <c r="Y137">
        <f t="shared" si="34"/>
        <v>7949583000</v>
      </c>
      <c r="Z137">
        <f t="shared" si="34"/>
        <v>12719332800</v>
      </c>
      <c r="AA137">
        <f t="shared" si="34"/>
        <v>13249305000</v>
      </c>
      <c r="AB137">
        <f t="shared" si="34"/>
        <v>19873957500</v>
      </c>
      <c r="AC137">
        <f t="shared" si="34"/>
        <v>31798332000</v>
      </c>
      <c r="AD137">
        <f t="shared" si="34"/>
        <v>47697498000</v>
      </c>
      <c r="AE137">
        <f t="shared" si="25"/>
        <v>55647081000</v>
      </c>
      <c r="AF137">
        <f t="shared" si="25"/>
        <v>72871177500</v>
      </c>
      <c r="AG137">
        <f t="shared" si="25"/>
        <v>92745135000</v>
      </c>
      <c r="AK137">
        <v>131</v>
      </c>
      <c r="AL137" s="24">
        <f t="shared" si="36"/>
        <v>9.7462999999999997</v>
      </c>
      <c r="AM137">
        <f t="shared" si="33"/>
        <v>68.224099999999993</v>
      </c>
      <c r="AN137">
        <f t="shared" si="33"/>
        <v>97.462999999999994</v>
      </c>
      <c r="AO137">
        <f t="shared" si="33"/>
        <v>146.19450000000001</v>
      </c>
      <c r="AP137">
        <f t="shared" si="33"/>
        <v>194.92599999999999</v>
      </c>
      <c r="AQ137">
        <f t="shared" si="33"/>
        <v>341.12049999999999</v>
      </c>
      <c r="AR137">
        <f t="shared" si="33"/>
        <v>487.315</v>
      </c>
      <c r="AS137">
        <f t="shared" si="33"/>
        <v>779.70399999999995</v>
      </c>
      <c r="AT137">
        <f t="shared" si="33"/>
        <v>1169.556</v>
      </c>
      <c r="AU137">
        <f t="shared" si="33"/>
        <v>1656.8709999999999</v>
      </c>
      <c r="AV137">
        <f t="shared" si="33"/>
        <v>2339.1120000000001</v>
      </c>
      <c r="AW137">
        <f t="shared" si="33"/>
        <v>3216.279</v>
      </c>
      <c r="AX137">
        <f t="shared" si="33"/>
        <v>4483.2979999999998</v>
      </c>
      <c r="AY137">
        <f t="shared" si="33"/>
        <v>7797.04</v>
      </c>
      <c r="AZ137">
        <f t="shared" si="33"/>
        <v>14619.449999999999</v>
      </c>
      <c r="BA137">
        <f t="shared" si="33"/>
        <v>24365.75</v>
      </c>
      <c r="BB137">
        <f t="shared" si="33"/>
        <v>38985.199999999997</v>
      </c>
      <c r="BC137">
        <f t="shared" si="32"/>
        <v>97463</v>
      </c>
      <c r="BD137">
        <f t="shared" si="32"/>
        <v>146194.5</v>
      </c>
      <c r="BE137">
        <f t="shared" si="32"/>
        <v>233911.19999999998</v>
      </c>
      <c r="BF137">
        <f t="shared" si="32"/>
        <v>292389</v>
      </c>
      <c r="BG137">
        <f t="shared" si="32"/>
        <v>974630</v>
      </c>
      <c r="BH137">
        <f t="shared" si="32"/>
        <v>2923890</v>
      </c>
      <c r="BI137">
        <f t="shared" si="32"/>
        <v>8284355</v>
      </c>
      <c r="BJ137">
        <f t="shared" si="32"/>
        <v>29238900</v>
      </c>
      <c r="BK137">
        <f t="shared" si="32"/>
        <v>97463000</v>
      </c>
      <c r="BL137" s="145">
        <v>132</v>
      </c>
    </row>
    <row r="138" spans="1:64" ht="17.25" thickBot="1" x14ac:dyDescent="0.25">
      <c r="A138" s="131">
        <v>134</v>
      </c>
      <c r="B138" s="132">
        <v>13249305</v>
      </c>
      <c r="D138" s="131">
        <v>134</v>
      </c>
      <c r="E138" s="132">
        <v>9.8106000000000009</v>
      </c>
      <c r="M138">
        <v>134</v>
      </c>
      <c r="N138">
        <f t="shared" si="35"/>
        <v>133974000</v>
      </c>
      <c r="O138">
        <f t="shared" si="34"/>
        <v>267948000</v>
      </c>
      <c r="P138">
        <f t="shared" si="34"/>
        <v>401922000</v>
      </c>
      <c r="Q138">
        <f t="shared" si="34"/>
        <v>535896000</v>
      </c>
      <c r="R138">
        <f t="shared" si="34"/>
        <v>803844000</v>
      </c>
      <c r="S138">
        <f t="shared" si="34"/>
        <v>937818000</v>
      </c>
      <c r="T138">
        <f t="shared" si="34"/>
        <v>1339740000</v>
      </c>
      <c r="U138">
        <f t="shared" si="34"/>
        <v>2009610000</v>
      </c>
      <c r="V138">
        <f t="shared" si="34"/>
        <v>3215376000</v>
      </c>
      <c r="W138">
        <f t="shared" si="34"/>
        <v>4823064000</v>
      </c>
      <c r="X138">
        <f t="shared" si="34"/>
        <v>6698700000</v>
      </c>
      <c r="Y138">
        <f t="shared" si="34"/>
        <v>8038440000</v>
      </c>
      <c r="Z138">
        <f t="shared" si="34"/>
        <v>12861504000</v>
      </c>
      <c r="AA138">
        <f t="shared" si="34"/>
        <v>13397400000</v>
      </c>
      <c r="AB138">
        <f t="shared" si="34"/>
        <v>20096100000</v>
      </c>
      <c r="AC138">
        <f t="shared" si="34"/>
        <v>32153760000</v>
      </c>
      <c r="AD138">
        <f t="shared" si="34"/>
        <v>48230640000</v>
      </c>
      <c r="AE138">
        <f t="shared" si="25"/>
        <v>56269080000</v>
      </c>
      <c r="AF138">
        <f t="shared" si="25"/>
        <v>73685700000</v>
      </c>
      <c r="AG138">
        <f t="shared" si="25"/>
        <v>93781800000</v>
      </c>
      <c r="AK138">
        <v>132</v>
      </c>
      <c r="AL138" s="24">
        <f t="shared" si="36"/>
        <v>9.7678899999999995</v>
      </c>
      <c r="AM138">
        <f t="shared" si="33"/>
        <v>68.375230000000002</v>
      </c>
      <c r="AN138">
        <f t="shared" si="33"/>
        <v>97.678899999999999</v>
      </c>
      <c r="AO138">
        <f t="shared" si="33"/>
        <v>146.51835</v>
      </c>
      <c r="AP138">
        <f t="shared" si="33"/>
        <v>195.3578</v>
      </c>
      <c r="AQ138">
        <f t="shared" si="33"/>
        <v>341.87615</v>
      </c>
      <c r="AR138">
        <f t="shared" si="33"/>
        <v>488.39449999999999</v>
      </c>
      <c r="AS138">
        <f t="shared" si="33"/>
        <v>781.43119999999999</v>
      </c>
      <c r="AT138">
        <f t="shared" si="33"/>
        <v>1172.1468</v>
      </c>
      <c r="AU138">
        <f t="shared" si="33"/>
        <v>1660.5412999999999</v>
      </c>
      <c r="AV138">
        <f t="shared" si="33"/>
        <v>2344.2936</v>
      </c>
      <c r="AW138">
        <f t="shared" si="33"/>
        <v>3223.4036999999998</v>
      </c>
      <c r="AX138">
        <f t="shared" si="33"/>
        <v>4493.2294000000002</v>
      </c>
      <c r="AY138">
        <f t="shared" si="33"/>
        <v>7814.3119999999999</v>
      </c>
      <c r="AZ138">
        <f t="shared" si="33"/>
        <v>14651.834999999999</v>
      </c>
      <c r="BA138">
        <f t="shared" si="33"/>
        <v>24419.724999999999</v>
      </c>
      <c r="BB138">
        <f t="shared" si="33"/>
        <v>39071.56</v>
      </c>
      <c r="BC138">
        <f t="shared" si="32"/>
        <v>97678.9</v>
      </c>
      <c r="BD138">
        <f t="shared" si="32"/>
        <v>146518.35</v>
      </c>
      <c r="BE138">
        <f t="shared" si="32"/>
        <v>234429.36</v>
      </c>
      <c r="BF138">
        <f t="shared" si="32"/>
        <v>293036.7</v>
      </c>
      <c r="BG138">
        <f t="shared" si="32"/>
        <v>976789</v>
      </c>
      <c r="BH138">
        <f t="shared" si="32"/>
        <v>2930367</v>
      </c>
      <c r="BI138">
        <f t="shared" si="32"/>
        <v>8302706.5</v>
      </c>
      <c r="BJ138">
        <f t="shared" si="32"/>
        <v>29303670</v>
      </c>
      <c r="BK138">
        <f t="shared" si="32"/>
        <v>97678900</v>
      </c>
      <c r="BL138">
        <v>133</v>
      </c>
    </row>
    <row r="139" spans="1:64" ht="17.25" thickBot="1" x14ac:dyDescent="0.25">
      <c r="A139" s="131">
        <v>135</v>
      </c>
      <c r="B139" s="132">
        <v>13397400</v>
      </c>
      <c r="D139" s="131">
        <v>135</v>
      </c>
      <c r="E139" s="132">
        <v>9.8317300000000003</v>
      </c>
      <c r="M139">
        <v>135</v>
      </c>
      <c r="N139">
        <f t="shared" si="35"/>
        <v>135460380</v>
      </c>
      <c r="O139">
        <f t="shared" si="34"/>
        <v>270920760</v>
      </c>
      <c r="P139">
        <f t="shared" si="34"/>
        <v>406381140</v>
      </c>
      <c r="Q139">
        <f t="shared" si="34"/>
        <v>541841520</v>
      </c>
      <c r="R139">
        <f t="shared" si="34"/>
        <v>812762280</v>
      </c>
      <c r="S139">
        <f t="shared" si="34"/>
        <v>948222660</v>
      </c>
      <c r="T139">
        <f t="shared" si="34"/>
        <v>1354603800</v>
      </c>
      <c r="U139">
        <f t="shared" si="34"/>
        <v>2031905700</v>
      </c>
      <c r="V139">
        <f t="shared" si="34"/>
        <v>3251049120</v>
      </c>
      <c r="W139">
        <f t="shared" si="34"/>
        <v>4876573680</v>
      </c>
      <c r="X139">
        <f t="shared" si="34"/>
        <v>6773019000</v>
      </c>
      <c r="Y139">
        <f t="shared" si="34"/>
        <v>8127622800</v>
      </c>
      <c r="Z139">
        <f t="shared" si="34"/>
        <v>13004196480</v>
      </c>
      <c r="AA139">
        <f t="shared" si="34"/>
        <v>13546038000</v>
      </c>
      <c r="AB139">
        <f t="shared" si="34"/>
        <v>20319057000</v>
      </c>
      <c r="AC139">
        <f t="shared" si="34"/>
        <v>32510491200</v>
      </c>
      <c r="AD139">
        <f t="shared" si="34"/>
        <v>48765736800</v>
      </c>
      <c r="AE139">
        <f t="shared" si="25"/>
        <v>56893359600</v>
      </c>
      <c r="AF139">
        <f t="shared" si="25"/>
        <v>74503209000</v>
      </c>
      <c r="AG139">
        <f t="shared" si="25"/>
        <v>94822266000</v>
      </c>
      <c r="AK139">
        <v>133</v>
      </c>
      <c r="AL139" s="24">
        <f t="shared" si="36"/>
        <v>9.78932</v>
      </c>
      <c r="AM139">
        <f t="shared" si="33"/>
        <v>68.525239999999997</v>
      </c>
      <c r="AN139">
        <f t="shared" si="33"/>
        <v>97.893200000000007</v>
      </c>
      <c r="AO139">
        <f t="shared" si="33"/>
        <v>146.8398</v>
      </c>
      <c r="AP139">
        <f t="shared" si="33"/>
        <v>195.78640000000001</v>
      </c>
      <c r="AQ139">
        <f t="shared" si="33"/>
        <v>342.62619999999998</v>
      </c>
      <c r="AR139">
        <f t="shared" si="33"/>
        <v>489.46600000000001</v>
      </c>
      <c r="AS139">
        <f t="shared" si="33"/>
        <v>783.14560000000006</v>
      </c>
      <c r="AT139">
        <f t="shared" si="33"/>
        <v>1174.7184</v>
      </c>
      <c r="AU139">
        <f t="shared" si="33"/>
        <v>1664.1844000000001</v>
      </c>
      <c r="AV139">
        <f t="shared" si="33"/>
        <v>2349.4367999999999</v>
      </c>
      <c r="AW139">
        <f t="shared" si="33"/>
        <v>3230.4756000000002</v>
      </c>
      <c r="AX139">
        <f t="shared" si="33"/>
        <v>4503.0871999999999</v>
      </c>
      <c r="AY139">
        <f t="shared" si="33"/>
        <v>7831.4560000000001</v>
      </c>
      <c r="AZ139">
        <f t="shared" si="33"/>
        <v>14683.98</v>
      </c>
      <c r="BA139">
        <f t="shared" si="33"/>
        <v>24473.3</v>
      </c>
      <c r="BB139">
        <f t="shared" si="33"/>
        <v>39157.279999999999</v>
      </c>
      <c r="BC139">
        <f t="shared" si="32"/>
        <v>97893.2</v>
      </c>
      <c r="BD139">
        <f t="shared" si="32"/>
        <v>146839.79999999999</v>
      </c>
      <c r="BE139">
        <f t="shared" si="32"/>
        <v>234943.68</v>
      </c>
      <c r="BF139">
        <f t="shared" si="32"/>
        <v>293679.59999999998</v>
      </c>
      <c r="BG139">
        <f t="shared" si="32"/>
        <v>978932</v>
      </c>
      <c r="BH139">
        <f t="shared" si="32"/>
        <v>2936796</v>
      </c>
      <c r="BI139">
        <f t="shared" si="32"/>
        <v>8320922</v>
      </c>
      <c r="BJ139">
        <f t="shared" si="32"/>
        <v>29367960</v>
      </c>
      <c r="BK139">
        <f t="shared" si="32"/>
        <v>97893200</v>
      </c>
      <c r="BL139" s="145">
        <v>134</v>
      </c>
    </row>
    <row r="140" spans="1:64" ht="17.25" thickBot="1" x14ac:dyDescent="0.25">
      <c r="A140" s="131">
        <v>136</v>
      </c>
      <c r="B140" s="132">
        <v>13546038</v>
      </c>
      <c r="D140" s="131">
        <v>136</v>
      </c>
      <c r="E140" s="132">
        <v>9.8527100000000001</v>
      </c>
      <c r="M140">
        <v>136</v>
      </c>
      <c r="N140">
        <f t="shared" si="35"/>
        <v>136952220</v>
      </c>
      <c r="O140">
        <f t="shared" si="34"/>
        <v>273904440</v>
      </c>
      <c r="P140">
        <f t="shared" si="34"/>
        <v>410856660</v>
      </c>
      <c r="Q140">
        <f t="shared" si="34"/>
        <v>547808880</v>
      </c>
      <c r="R140">
        <f t="shared" si="34"/>
        <v>821713320</v>
      </c>
      <c r="S140">
        <f t="shared" si="34"/>
        <v>958665540</v>
      </c>
      <c r="T140">
        <f t="shared" si="34"/>
        <v>1369522200</v>
      </c>
      <c r="U140">
        <f t="shared" si="34"/>
        <v>2054283300</v>
      </c>
      <c r="V140">
        <f t="shared" si="34"/>
        <v>3286853280</v>
      </c>
      <c r="W140">
        <f t="shared" si="34"/>
        <v>4930279920</v>
      </c>
      <c r="X140">
        <f t="shared" si="34"/>
        <v>6847611000</v>
      </c>
      <c r="Y140">
        <f t="shared" si="34"/>
        <v>8217133200</v>
      </c>
      <c r="Z140">
        <f t="shared" si="34"/>
        <v>13147413120</v>
      </c>
      <c r="AA140">
        <f t="shared" si="34"/>
        <v>13695222000</v>
      </c>
      <c r="AB140">
        <f t="shared" si="34"/>
        <v>20542833000</v>
      </c>
      <c r="AC140">
        <f t="shared" si="34"/>
        <v>32868532800</v>
      </c>
      <c r="AD140">
        <f t="shared" si="34"/>
        <v>49302799200</v>
      </c>
      <c r="AE140">
        <f t="shared" si="25"/>
        <v>57519932400</v>
      </c>
      <c r="AF140">
        <f t="shared" si="25"/>
        <v>75323721000</v>
      </c>
      <c r="AG140">
        <f t="shared" si="25"/>
        <v>95866554000</v>
      </c>
      <c r="AK140">
        <v>134</v>
      </c>
      <c r="AL140" s="24">
        <f t="shared" si="36"/>
        <v>9.8106000000000009</v>
      </c>
      <c r="AM140">
        <f t="shared" si="33"/>
        <v>68.674200000000013</v>
      </c>
      <c r="AN140">
        <f t="shared" si="33"/>
        <v>98.106000000000009</v>
      </c>
      <c r="AO140">
        <f t="shared" si="33"/>
        <v>147.15900000000002</v>
      </c>
      <c r="AP140">
        <f t="shared" si="33"/>
        <v>196.21200000000002</v>
      </c>
      <c r="AQ140">
        <f t="shared" si="33"/>
        <v>343.37100000000004</v>
      </c>
      <c r="AR140">
        <f t="shared" si="33"/>
        <v>490.53000000000003</v>
      </c>
      <c r="AS140">
        <f t="shared" si="33"/>
        <v>784.84800000000007</v>
      </c>
      <c r="AT140">
        <f t="shared" si="33"/>
        <v>1177.2720000000002</v>
      </c>
      <c r="AU140">
        <f t="shared" si="33"/>
        <v>1667.8020000000001</v>
      </c>
      <c r="AV140">
        <f t="shared" si="33"/>
        <v>2354.5440000000003</v>
      </c>
      <c r="AW140">
        <f t="shared" si="33"/>
        <v>3237.4980000000005</v>
      </c>
      <c r="AX140">
        <f t="shared" si="33"/>
        <v>4512.8760000000002</v>
      </c>
      <c r="AY140">
        <f t="shared" si="33"/>
        <v>7848.4800000000005</v>
      </c>
      <c r="AZ140">
        <f t="shared" si="33"/>
        <v>14715.900000000001</v>
      </c>
      <c r="BA140">
        <f t="shared" si="33"/>
        <v>24526.500000000004</v>
      </c>
      <c r="BB140">
        <f t="shared" si="33"/>
        <v>39242.400000000001</v>
      </c>
      <c r="BC140">
        <f t="shared" si="32"/>
        <v>98106.000000000015</v>
      </c>
      <c r="BD140">
        <f t="shared" si="32"/>
        <v>147159</v>
      </c>
      <c r="BE140">
        <f t="shared" si="32"/>
        <v>235454.40000000002</v>
      </c>
      <c r="BF140">
        <f t="shared" si="32"/>
        <v>294318</v>
      </c>
      <c r="BG140">
        <f t="shared" si="32"/>
        <v>981060.00000000012</v>
      </c>
      <c r="BH140">
        <f t="shared" si="32"/>
        <v>2943180.0000000005</v>
      </c>
      <c r="BI140">
        <f t="shared" si="32"/>
        <v>8339010.0000000009</v>
      </c>
      <c r="BJ140">
        <f t="shared" si="32"/>
        <v>29431800.000000004</v>
      </c>
      <c r="BK140">
        <f t="shared" si="32"/>
        <v>98106000.000000015</v>
      </c>
      <c r="BL140">
        <v>135</v>
      </c>
    </row>
    <row r="141" spans="1:64" ht="17.25" thickBot="1" x14ac:dyDescent="0.25">
      <c r="A141" s="131">
        <v>137</v>
      </c>
      <c r="B141" s="132">
        <v>13695222</v>
      </c>
      <c r="D141" s="131">
        <v>137</v>
      </c>
      <c r="E141" s="132">
        <v>9.8735499999999998</v>
      </c>
      <c r="M141">
        <v>137</v>
      </c>
      <c r="N141">
        <f t="shared" si="35"/>
        <v>138449500</v>
      </c>
      <c r="O141">
        <f t="shared" si="34"/>
        <v>276899000</v>
      </c>
      <c r="P141">
        <f t="shared" si="34"/>
        <v>415348500</v>
      </c>
      <c r="Q141">
        <f t="shared" si="34"/>
        <v>553798000</v>
      </c>
      <c r="R141">
        <f t="shared" si="34"/>
        <v>830697000</v>
      </c>
      <c r="S141">
        <f t="shared" si="34"/>
        <v>969146500</v>
      </c>
      <c r="T141">
        <f t="shared" si="34"/>
        <v>1384495000</v>
      </c>
      <c r="U141">
        <f t="shared" si="34"/>
        <v>2076742500</v>
      </c>
      <c r="V141">
        <f t="shared" si="34"/>
        <v>3322788000</v>
      </c>
      <c r="W141">
        <f t="shared" si="34"/>
        <v>4984182000</v>
      </c>
      <c r="X141">
        <f t="shared" si="34"/>
        <v>6922475000</v>
      </c>
      <c r="Y141">
        <f t="shared" si="34"/>
        <v>8306970000</v>
      </c>
      <c r="Z141">
        <f t="shared" si="34"/>
        <v>13291152000</v>
      </c>
      <c r="AA141">
        <f t="shared" si="34"/>
        <v>13844950000</v>
      </c>
      <c r="AB141">
        <f t="shared" si="34"/>
        <v>20767425000</v>
      </c>
      <c r="AC141">
        <f t="shared" si="34"/>
        <v>33227880000</v>
      </c>
      <c r="AD141">
        <f t="shared" si="34"/>
        <v>49841820000</v>
      </c>
      <c r="AE141">
        <f t="shared" si="25"/>
        <v>58148790000</v>
      </c>
      <c r="AF141">
        <f t="shared" si="25"/>
        <v>76147225000</v>
      </c>
      <c r="AG141">
        <f t="shared" si="25"/>
        <v>96914650000</v>
      </c>
      <c r="AK141">
        <v>135</v>
      </c>
      <c r="AL141" s="24">
        <f t="shared" si="36"/>
        <v>9.8317300000000003</v>
      </c>
      <c r="AM141">
        <f t="shared" si="33"/>
        <v>68.822110000000009</v>
      </c>
      <c r="AN141">
        <f t="shared" si="33"/>
        <v>98.317300000000003</v>
      </c>
      <c r="AO141">
        <f t="shared" si="33"/>
        <v>147.47595000000001</v>
      </c>
      <c r="AP141">
        <f t="shared" si="33"/>
        <v>196.63460000000001</v>
      </c>
      <c r="AQ141">
        <f t="shared" si="33"/>
        <v>344.11054999999999</v>
      </c>
      <c r="AR141">
        <f t="shared" si="33"/>
        <v>491.5865</v>
      </c>
      <c r="AS141">
        <f t="shared" si="33"/>
        <v>786.53840000000002</v>
      </c>
      <c r="AT141">
        <f t="shared" si="33"/>
        <v>1179.8076000000001</v>
      </c>
      <c r="AU141">
        <f t="shared" si="33"/>
        <v>1671.3941</v>
      </c>
      <c r="AV141">
        <f t="shared" si="33"/>
        <v>2359.6152000000002</v>
      </c>
      <c r="AW141">
        <f t="shared" si="33"/>
        <v>3244.4709000000003</v>
      </c>
      <c r="AX141">
        <f t="shared" si="33"/>
        <v>4522.5958000000001</v>
      </c>
      <c r="AY141">
        <f t="shared" si="33"/>
        <v>7865.384</v>
      </c>
      <c r="AZ141">
        <f t="shared" si="33"/>
        <v>14747.595000000001</v>
      </c>
      <c r="BA141">
        <f t="shared" si="33"/>
        <v>24579.325000000001</v>
      </c>
      <c r="BB141">
        <f t="shared" si="33"/>
        <v>39326.92</v>
      </c>
      <c r="BC141">
        <f t="shared" si="32"/>
        <v>98317.3</v>
      </c>
      <c r="BD141">
        <f t="shared" si="32"/>
        <v>147475.95000000001</v>
      </c>
      <c r="BE141">
        <f t="shared" si="32"/>
        <v>235961.52000000002</v>
      </c>
      <c r="BF141">
        <f t="shared" si="32"/>
        <v>294951.90000000002</v>
      </c>
      <c r="BG141">
        <f t="shared" si="32"/>
        <v>983173</v>
      </c>
      <c r="BH141">
        <f t="shared" si="32"/>
        <v>2949519</v>
      </c>
      <c r="BI141">
        <f t="shared" si="32"/>
        <v>8356970.5</v>
      </c>
      <c r="BJ141">
        <f t="shared" si="32"/>
        <v>29495190</v>
      </c>
      <c r="BK141">
        <f t="shared" si="32"/>
        <v>98317300</v>
      </c>
      <c r="BL141" s="145">
        <v>136</v>
      </c>
    </row>
    <row r="142" spans="1:64" ht="17.25" thickBot="1" x14ac:dyDescent="0.25">
      <c r="A142" s="131">
        <v>138</v>
      </c>
      <c r="B142" s="132">
        <v>13844950</v>
      </c>
      <c r="D142" s="131">
        <v>138</v>
      </c>
      <c r="E142" s="132">
        <v>9.8942399999999999</v>
      </c>
      <c r="M142">
        <v>138</v>
      </c>
      <c r="N142">
        <f t="shared" si="35"/>
        <v>139952220</v>
      </c>
      <c r="O142">
        <f t="shared" si="34"/>
        <v>279904440</v>
      </c>
      <c r="P142">
        <f t="shared" si="34"/>
        <v>419856660</v>
      </c>
      <c r="Q142">
        <f t="shared" si="34"/>
        <v>559808880</v>
      </c>
      <c r="R142">
        <f t="shared" si="34"/>
        <v>839713320</v>
      </c>
      <c r="S142">
        <f t="shared" si="34"/>
        <v>979665540</v>
      </c>
      <c r="T142">
        <f t="shared" si="34"/>
        <v>1399522200</v>
      </c>
      <c r="U142">
        <f t="shared" si="34"/>
        <v>2099283300</v>
      </c>
      <c r="V142">
        <f t="shared" si="34"/>
        <v>3358853280</v>
      </c>
      <c r="W142">
        <f t="shared" si="34"/>
        <v>5038279920</v>
      </c>
      <c r="X142">
        <f t="shared" si="34"/>
        <v>6997611000</v>
      </c>
      <c r="Y142">
        <f t="shared" si="34"/>
        <v>8397133200</v>
      </c>
      <c r="Z142">
        <f t="shared" si="34"/>
        <v>13435413120</v>
      </c>
      <c r="AA142">
        <f t="shared" si="34"/>
        <v>13995222000</v>
      </c>
      <c r="AB142">
        <f t="shared" si="34"/>
        <v>20992833000</v>
      </c>
      <c r="AC142">
        <f t="shared" si="34"/>
        <v>33588532800</v>
      </c>
      <c r="AD142">
        <f t="shared" si="34"/>
        <v>50382799200</v>
      </c>
      <c r="AE142">
        <f t="shared" si="25"/>
        <v>58779932400</v>
      </c>
      <c r="AF142">
        <f t="shared" si="25"/>
        <v>76973721000</v>
      </c>
      <c r="AG142">
        <f t="shared" si="25"/>
        <v>97966554000</v>
      </c>
      <c r="AK142">
        <v>136</v>
      </c>
      <c r="AL142" s="24">
        <f t="shared" si="36"/>
        <v>9.8527100000000001</v>
      </c>
      <c r="AM142">
        <f t="shared" si="33"/>
        <v>68.968969999999999</v>
      </c>
      <c r="AN142">
        <f t="shared" si="33"/>
        <v>98.527100000000004</v>
      </c>
      <c r="AO142">
        <f t="shared" si="33"/>
        <v>147.79065</v>
      </c>
      <c r="AP142">
        <f t="shared" si="33"/>
        <v>197.05420000000001</v>
      </c>
      <c r="AQ142">
        <f t="shared" si="33"/>
        <v>344.84485000000001</v>
      </c>
      <c r="AR142">
        <f t="shared" si="33"/>
        <v>492.63549999999998</v>
      </c>
      <c r="AS142">
        <f t="shared" si="33"/>
        <v>788.21680000000003</v>
      </c>
      <c r="AT142">
        <f t="shared" si="33"/>
        <v>1182.3252</v>
      </c>
      <c r="AU142">
        <f t="shared" si="33"/>
        <v>1674.9607000000001</v>
      </c>
      <c r="AV142">
        <f t="shared" si="33"/>
        <v>2364.6504</v>
      </c>
      <c r="AW142">
        <f t="shared" si="33"/>
        <v>3251.3942999999999</v>
      </c>
      <c r="AX142">
        <f t="shared" si="33"/>
        <v>4532.2466000000004</v>
      </c>
      <c r="AY142">
        <f t="shared" si="33"/>
        <v>7882.1679999999997</v>
      </c>
      <c r="AZ142">
        <f t="shared" si="33"/>
        <v>14779.065000000001</v>
      </c>
      <c r="BA142">
        <f t="shared" si="33"/>
        <v>24631.775000000001</v>
      </c>
      <c r="BB142">
        <f t="shared" si="33"/>
        <v>39410.840000000004</v>
      </c>
      <c r="BC142">
        <f t="shared" si="32"/>
        <v>98527.1</v>
      </c>
      <c r="BD142">
        <f t="shared" si="32"/>
        <v>147790.65</v>
      </c>
      <c r="BE142">
        <f t="shared" si="32"/>
        <v>236465.04</v>
      </c>
      <c r="BF142">
        <f t="shared" si="32"/>
        <v>295581.3</v>
      </c>
      <c r="BG142">
        <f t="shared" si="32"/>
        <v>985271</v>
      </c>
      <c r="BH142">
        <f t="shared" si="32"/>
        <v>2955813</v>
      </c>
      <c r="BI142">
        <f t="shared" si="32"/>
        <v>8374803.5</v>
      </c>
      <c r="BJ142">
        <f t="shared" si="32"/>
        <v>29558130</v>
      </c>
      <c r="BK142">
        <f t="shared" si="32"/>
        <v>98527100</v>
      </c>
      <c r="BL142">
        <v>137</v>
      </c>
    </row>
    <row r="143" spans="1:64" ht="17.25" thickBot="1" x14ac:dyDescent="0.25">
      <c r="A143" s="131">
        <v>139</v>
      </c>
      <c r="B143" s="132">
        <v>13995222</v>
      </c>
      <c r="D143" s="131">
        <v>139</v>
      </c>
      <c r="E143" s="132">
        <v>9.91479</v>
      </c>
      <c r="M143">
        <v>139</v>
      </c>
      <c r="N143">
        <f t="shared" si="35"/>
        <v>141460330</v>
      </c>
      <c r="O143">
        <f t="shared" si="34"/>
        <v>282920660</v>
      </c>
      <c r="P143">
        <f t="shared" si="34"/>
        <v>424380990</v>
      </c>
      <c r="Q143">
        <f t="shared" si="34"/>
        <v>565841320</v>
      </c>
      <c r="R143">
        <f t="shared" si="34"/>
        <v>848761980</v>
      </c>
      <c r="S143">
        <f t="shared" si="34"/>
        <v>990222310</v>
      </c>
      <c r="T143">
        <f t="shared" si="34"/>
        <v>1414603300</v>
      </c>
      <c r="U143">
        <f t="shared" si="34"/>
        <v>2121904950</v>
      </c>
      <c r="V143">
        <f t="shared" si="34"/>
        <v>3395047920</v>
      </c>
      <c r="W143">
        <f t="shared" si="34"/>
        <v>5092571880</v>
      </c>
      <c r="X143">
        <f t="shared" si="34"/>
        <v>7073016500</v>
      </c>
      <c r="Y143">
        <f t="shared" si="34"/>
        <v>8487619800</v>
      </c>
      <c r="Z143">
        <f t="shared" si="34"/>
        <v>13580191680</v>
      </c>
      <c r="AA143">
        <f t="shared" si="34"/>
        <v>14146033000</v>
      </c>
      <c r="AB143">
        <f t="shared" si="34"/>
        <v>21219049500</v>
      </c>
      <c r="AC143">
        <f t="shared" si="34"/>
        <v>33950479200</v>
      </c>
      <c r="AD143">
        <f t="shared" si="34"/>
        <v>50925718800</v>
      </c>
      <c r="AE143">
        <f t="shared" si="25"/>
        <v>59413338600</v>
      </c>
      <c r="AF143">
        <f t="shared" si="25"/>
        <v>77803181500</v>
      </c>
      <c r="AG143">
        <f t="shared" si="25"/>
        <v>99022231000</v>
      </c>
      <c r="AK143">
        <v>137</v>
      </c>
      <c r="AL143" s="24">
        <f t="shared" si="36"/>
        <v>9.8735499999999998</v>
      </c>
      <c r="AM143">
        <f t="shared" si="33"/>
        <v>69.114850000000004</v>
      </c>
      <c r="AN143">
        <f t="shared" si="33"/>
        <v>98.735500000000002</v>
      </c>
      <c r="AO143">
        <f t="shared" si="33"/>
        <v>148.10325</v>
      </c>
      <c r="AP143">
        <f t="shared" si="33"/>
        <v>197.471</v>
      </c>
      <c r="AQ143">
        <f t="shared" si="33"/>
        <v>345.57425000000001</v>
      </c>
      <c r="AR143">
        <f t="shared" si="33"/>
        <v>493.67750000000001</v>
      </c>
      <c r="AS143">
        <f t="shared" si="33"/>
        <v>789.88400000000001</v>
      </c>
      <c r="AT143">
        <f t="shared" si="33"/>
        <v>1184.826</v>
      </c>
      <c r="AU143">
        <f t="shared" si="33"/>
        <v>1678.5035</v>
      </c>
      <c r="AV143">
        <f t="shared" si="33"/>
        <v>2369.652</v>
      </c>
      <c r="AW143">
        <f t="shared" si="33"/>
        <v>3258.2714999999998</v>
      </c>
      <c r="AX143">
        <f t="shared" si="33"/>
        <v>4541.8329999999996</v>
      </c>
      <c r="AY143">
        <f t="shared" si="33"/>
        <v>7898.84</v>
      </c>
      <c r="AZ143">
        <f t="shared" si="33"/>
        <v>14810.324999999999</v>
      </c>
      <c r="BA143">
        <f t="shared" si="33"/>
        <v>24683.875</v>
      </c>
      <c r="BB143">
        <f t="shared" si="33"/>
        <v>39494.199999999997</v>
      </c>
      <c r="BC143">
        <f t="shared" si="32"/>
        <v>98735.5</v>
      </c>
      <c r="BD143">
        <f t="shared" si="32"/>
        <v>148103.25</v>
      </c>
      <c r="BE143">
        <f t="shared" si="32"/>
        <v>236965.19999999998</v>
      </c>
      <c r="BF143">
        <f t="shared" si="32"/>
        <v>296206.5</v>
      </c>
      <c r="BG143">
        <f t="shared" si="32"/>
        <v>987355</v>
      </c>
      <c r="BH143">
        <f t="shared" si="32"/>
        <v>2962065</v>
      </c>
      <c r="BI143">
        <f t="shared" si="32"/>
        <v>8392517.5</v>
      </c>
      <c r="BJ143">
        <f t="shared" si="32"/>
        <v>29620650</v>
      </c>
      <c r="BK143">
        <f t="shared" si="32"/>
        <v>98735500</v>
      </c>
      <c r="BL143" s="145">
        <v>138</v>
      </c>
    </row>
    <row r="144" spans="1:64" ht="17.25" thickBot="1" x14ac:dyDescent="0.25">
      <c r="A144" s="131">
        <v>140</v>
      </c>
      <c r="B144" s="132">
        <v>14146033</v>
      </c>
      <c r="D144" s="131">
        <v>140</v>
      </c>
      <c r="E144" s="132">
        <v>9.9352</v>
      </c>
      <c r="M144">
        <v>140</v>
      </c>
      <c r="N144">
        <f t="shared" si="35"/>
        <v>142973830</v>
      </c>
      <c r="O144">
        <f t="shared" si="34"/>
        <v>285947660</v>
      </c>
      <c r="P144">
        <f t="shared" si="34"/>
        <v>428921490</v>
      </c>
      <c r="Q144">
        <f t="shared" si="34"/>
        <v>571895320</v>
      </c>
      <c r="R144">
        <f t="shared" si="34"/>
        <v>857842980</v>
      </c>
      <c r="S144">
        <f t="shared" si="34"/>
        <v>1000816810</v>
      </c>
      <c r="T144">
        <f t="shared" si="34"/>
        <v>1429738300</v>
      </c>
      <c r="U144">
        <f t="shared" si="34"/>
        <v>2144607450</v>
      </c>
      <c r="V144">
        <f t="shared" si="34"/>
        <v>3431371920</v>
      </c>
      <c r="W144">
        <f t="shared" si="34"/>
        <v>5147057880</v>
      </c>
      <c r="X144">
        <f t="shared" si="34"/>
        <v>7148691500</v>
      </c>
      <c r="Y144">
        <f t="shared" si="34"/>
        <v>8578429800</v>
      </c>
      <c r="Z144">
        <f t="shared" si="34"/>
        <v>13725487680</v>
      </c>
      <c r="AA144">
        <f t="shared" si="34"/>
        <v>14297383000</v>
      </c>
      <c r="AB144">
        <f t="shared" si="34"/>
        <v>21446074500</v>
      </c>
      <c r="AC144">
        <f t="shared" si="34"/>
        <v>34313719200</v>
      </c>
      <c r="AD144">
        <f t="shared" si="34"/>
        <v>51470578800</v>
      </c>
      <c r="AE144">
        <f t="shared" si="25"/>
        <v>60049008600</v>
      </c>
      <c r="AF144">
        <f t="shared" si="25"/>
        <v>78635606500</v>
      </c>
      <c r="AG144">
        <f t="shared" si="25"/>
        <v>100081681000</v>
      </c>
      <c r="AK144">
        <v>138</v>
      </c>
      <c r="AL144" s="24">
        <f t="shared" si="36"/>
        <v>9.8942399999999999</v>
      </c>
      <c r="AM144">
        <f t="shared" si="33"/>
        <v>69.259680000000003</v>
      </c>
      <c r="AN144">
        <f t="shared" si="33"/>
        <v>98.942399999999992</v>
      </c>
      <c r="AO144">
        <f t="shared" si="33"/>
        <v>148.4136</v>
      </c>
      <c r="AP144">
        <f t="shared" si="33"/>
        <v>197.88479999999998</v>
      </c>
      <c r="AQ144">
        <f t="shared" si="33"/>
        <v>346.29840000000002</v>
      </c>
      <c r="AR144">
        <f t="shared" si="33"/>
        <v>494.71199999999999</v>
      </c>
      <c r="AS144">
        <f t="shared" si="33"/>
        <v>791.53919999999994</v>
      </c>
      <c r="AT144">
        <f t="shared" si="33"/>
        <v>1187.3088</v>
      </c>
      <c r="AU144">
        <f t="shared" si="33"/>
        <v>1682.0208</v>
      </c>
      <c r="AV144">
        <f t="shared" si="33"/>
        <v>2374.6176</v>
      </c>
      <c r="AW144">
        <f t="shared" si="33"/>
        <v>3265.0992000000001</v>
      </c>
      <c r="AX144">
        <f t="shared" si="33"/>
        <v>4551.3504000000003</v>
      </c>
      <c r="AY144">
        <f t="shared" si="33"/>
        <v>7915.3919999999998</v>
      </c>
      <c r="AZ144">
        <f t="shared" si="33"/>
        <v>14841.36</v>
      </c>
      <c r="BA144">
        <f t="shared" si="33"/>
        <v>24735.599999999999</v>
      </c>
      <c r="BB144">
        <f t="shared" ref="BB144:BK159" si="37">BB$5*VLOOKUP($AK144,$D$2:$E$1404,2,FALSE)</f>
        <v>39576.959999999999</v>
      </c>
      <c r="BC144">
        <f t="shared" si="37"/>
        <v>98942.399999999994</v>
      </c>
      <c r="BD144">
        <f t="shared" si="37"/>
        <v>148413.6</v>
      </c>
      <c r="BE144">
        <f t="shared" si="37"/>
        <v>237461.76000000001</v>
      </c>
      <c r="BF144">
        <f t="shared" si="37"/>
        <v>296827.2</v>
      </c>
      <c r="BG144">
        <f t="shared" si="37"/>
        <v>989424</v>
      </c>
      <c r="BH144">
        <f t="shared" si="37"/>
        <v>2968272</v>
      </c>
      <c r="BI144">
        <f t="shared" si="37"/>
        <v>8410104</v>
      </c>
      <c r="BJ144">
        <f t="shared" si="37"/>
        <v>29682720</v>
      </c>
      <c r="BK144">
        <f t="shared" si="37"/>
        <v>98942400</v>
      </c>
      <c r="BL144">
        <v>139</v>
      </c>
    </row>
    <row r="145" spans="1:64" ht="17.25" thickBot="1" x14ac:dyDescent="0.25">
      <c r="A145" s="131">
        <v>141</v>
      </c>
      <c r="B145" s="132">
        <v>14297383</v>
      </c>
      <c r="D145" s="131">
        <v>141</v>
      </c>
      <c r="E145" s="132">
        <v>9.9554799999999997</v>
      </c>
      <c r="M145">
        <v>141</v>
      </c>
      <c r="N145">
        <f t="shared" si="35"/>
        <v>144492660</v>
      </c>
      <c r="O145">
        <f t="shared" si="34"/>
        <v>288985320</v>
      </c>
      <c r="P145">
        <f t="shared" si="34"/>
        <v>433477980</v>
      </c>
      <c r="Q145">
        <f t="shared" si="34"/>
        <v>577970640</v>
      </c>
      <c r="R145">
        <f t="shared" si="34"/>
        <v>866955960</v>
      </c>
      <c r="S145">
        <f t="shared" si="34"/>
        <v>1011448620</v>
      </c>
      <c r="T145">
        <f t="shared" si="34"/>
        <v>1444926600</v>
      </c>
      <c r="U145">
        <f t="shared" si="34"/>
        <v>2167389900</v>
      </c>
      <c r="V145">
        <f t="shared" si="34"/>
        <v>3467823840</v>
      </c>
      <c r="W145">
        <f t="shared" si="34"/>
        <v>5201735760</v>
      </c>
      <c r="X145">
        <f t="shared" si="34"/>
        <v>7224633000</v>
      </c>
      <c r="Y145">
        <f t="shared" si="34"/>
        <v>8669559600</v>
      </c>
      <c r="Z145">
        <f t="shared" si="34"/>
        <v>13871295360</v>
      </c>
      <c r="AA145">
        <f t="shared" si="34"/>
        <v>14449266000</v>
      </c>
      <c r="AB145">
        <f t="shared" si="34"/>
        <v>21673899000</v>
      </c>
      <c r="AC145">
        <f t="shared" si="34"/>
        <v>34678238400</v>
      </c>
      <c r="AD145">
        <f t="shared" si="34"/>
        <v>52017357600</v>
      </c>
      <c r="AE145">
        <f t="shared" si="25"/>
        <v>60686917200</v>
      </c>
      <c r="AF145">
        <f t="shared" si="25"/>
        <v>79470963000</v>
      </c>
      <c r="AG145">
        <f t="shared" si="25"/>
        <v>101144862000</v>
      </c>
      <c r="AK145">
        <v>139</v>
      </c>
      <c r="AL145" s="24">
        <f t="shared" si="36"/>
        <v>9.91479</v>
      </c>
      <c r="AM145">
        <f t="shared" ref="AM145:BB160" si="38">AM$5*VLOOKUP($AK145,$D$2:$E$1404,2,FALSE)</f>
        <v>69.403530000000003</v>
      </c>
      <c r="AN145">
        <f t="shared" si="38"/>
        <v>99.147899999999993</v>
      </c>
      <c r="AO145">
        <f t="shared" si="38"/>
        <v>148.72184999999999</v>
      </c>
      <c r="AP145">
        <f t="shared" si="38"/>
        <v>198.29579999999999</v>
      </c>
      <c r="AQ145">
        <f t="shared" si="38"/>
        <v>347.01765</v>
      </c>
      <c r="AR145">
        <f t="shared" si="38"/>
        <v>495.73950000000002</v>
      </c>
      <c r="AS145">
        <f t="shared" si="38"/>
        <v>793.18319999999994</v>
      </c>
      <c r="AT145">
        <f t="shared" si="38"/>
        <v>1189.7747999999999</v>
      </c>
      <c r="AU145">
        <f t="shared" si="38"/>
        <v>1685.5143</v>
      </c>
      <c r="AV145">
        <f t="shared" si="38"/>
        <v>2379.5495999999998</v>
      </c>
      <c r="AW145">
        <f t="shared" si="38"/>
        <v>3271.8807000000002</v>
      </c>
      <c r="AX145">
        <f t="shared" si="38"/>
        <v>4560.8033999999998</v>
      </c>
      <c r="AY145">
        <f t="shared" si="38"/>
        <v>7931.8320000000003</v>
      </c>
      <c r="AZ145">
        <f t="shared" si="38"/>
        <v>14872.184999999999</v>
      </c>
      <c r="BA145">
        <f t="shared" si="38"/>
        <v>24786.974999999999</v>
      </c>
      <c r="BB145">
        <f t="shared" si="38"/>
        <v>39659.160000000003</v>
      </c>
      <c r="BC145">
        <f t="shared" si="37"/>
        <v>99147.9</v>
      </c>
      <c r="BD145">
        <f t="shared" si="37"/>
        <v>148721.85</v>
      </c>
      <c r="BE145">
        <f t="shared" si="37"/>
        <v>237954.96</v>
      </c>
      <c r="BF145">
        <f t="shared" si="37"/>
        <v>297443.7</v>
      </c>
      <c r="BG145">
        <f t="shared" si="37"/>
        <v>991479</v>
      </c>
      <c r="BH145">
        <f t="shared" si="37"/>
        <v>2974437</v>
      </c>
      <c r="BI145">
        <f t="shared" si="37"/>
        <v>8427571.5</v>
      </c>
      <c r="BJ145">
        <f t="shared" si="37"/>
        <v>29744370</v>
      </c>
      <c r="BK145">
        <f t="shared" si="37"/>
        <v>99147900</v>
      </c>
      <c r="BL145" s="145">
        <v>140</v>
      </c>
    </row>
    <row r="146" spans="1:64" ht="17.25" thickBot="1" x14ac:dyDescent="0.25">
      <c r="A146" s="131">
        <v>142</v>
      </c>
      <c r="B146" s="132">
        <v>14449266</v>
      </c>
      <c r="D146" s="131">
        <v>142</v>
      </c>
      <c r="E146" s="132">
        <v>9.9756199999999993</v>
      </c>
      <c r="M146">
        <v>142</v>
      </c>
      <c r="N146">
        <f t="shared" si="35"/>
        <v>146016830</v>
      </c>
      <c r="O146">
        <f t="shared" si="34"/>
        <v>292033660</v>
      </c>
      <c r="P146">
        <f t="shared" si="34"/>
        <v>438050490</v>
      </c>
      <c r="Q146">
        <f t="shared" si="34"/>
        <v>584067320</v>
      </c>
      <c r="R146">
        <f t="shared" si="34"/>
        <v>876100980</v>
      </c>
      <c r="S146">
        <f t="shared" si="34"/>
        <v>1022117810</v>
      </c>
      <c r="T146">
        <f t="shared" si="34"/>
        <v>1460168300</v>
      </c>
      <c r="U146">
        <f t="shared" si="34"/>
        <v>2190252450</v>
      </c>
      <c r="V146">
        <f t="shared" si="34"/>
        <v>3504403920</v>
      </c>
      <c r="W146">
        <f t="shared" ref="O146:AD162" si="39">(VLOOKUP(W$3,$G$4:$H$23,2,0)*VLOOKUP($M146+1,$A$4:$B$1404,2,0)
)</f>
        <v>5256605880</v>
      </c>
      <c r="X146">
        <f t="shared" si="39"/>
        <v>7300841500</v>
      </c>
      <c r="Y146">
        <f t="shared" si="39"/>
        <v>8761009800</v>
      </c>
      <c r="Z146">
        <f t="shared" si="39"/>
        <v>14017615680</v>
      </c>
      <c r="AA146">
        <f t="shared" si="39"/>
        <v>14601683000</v>
      </c>
      <c r="AB146">
        <f t="shared" si="39"/>
        <v>21902524500</v>
      </c>
      <c r="AC146">
        <f t="shared" si="39"/>
        <v>35044039200</v>
      </c>
      <c r="AD146">
        <f t="shared" si="39"/>
        <v>52566058800</v>
      </c>
      <c r="AE146">
        <f t="shared" si="25"/>
        <v>61327068600</v>
      </c>
      <c r="AF146">
        <f t="shared" si="25"/>
        <v>80309256500</v>
      </c>
      <c r="AG146">
        <f t="shared" si="25"/>
        <v>102211781000</v>
      </c>
      <c r="AK146">
        <v>140</v>
      </c>
      <c r="AL146" s="24">
        <f t="shared" si="36"/>
        <v>9.9352</v>
      </c>
      <c r="AM146">
        <f t="shared" si="38"/>
        <v>69.546400000000006</v>
      </c>
      <c r="AN146">
        <f t="shared" si="38"/>
        <v>99.352000000000004</v>
      </c>
      <c r="AO146">
        <f t="shared" si="38"/>
        <v>149.02799999999999</v>
      </c>
      <c r="AP146">
        <f t="shared" si="38"/>
        <v>198.70400000000001</v>
      </c>
      <c r="AQ146">
        <f t="shared" si="38"/>
        <v>347.73200000000003</v>
      </c>
      <c r="AR146">
        <f t="shared" si="38"/>
        <v>496.76</v>
      </c>
      <c r="AS146">
        <f t="shared" si="38"/>
        <v>794.81600000000003</v>
      </c>
      <c r="AT146">
        <f t="shared" si="38"/>
        <v>1192.2239999999999</v>
      </c>
      <c r="AU146">
        <f t="shared" si="38"/>
        <v>1688.9839999999999</v>
      </c>
      <c r="AV146">
        <f t="shared" si="38"/>
        <v>2384.4479999999999</v>
      </c>
      <c r="AW146">
        <f t="shared" si="38"/>
        <v>3278.616</v>
      </c>
      <c r="AX146">
        <f t="shared" si="38"/>
        <v>4570.192</v>
      </c>
      <c r="AY146">
        <f t="shared" si="38"/>
        <v>7948.16</v>
      </c>
      <c r="AZ146">
        <f t="shared" si="38"/>
        <v>14902.8</v>
      </c>
      <c r="BA146">
        <f t="shared" si="38"/>
        <v>24838</v>
      </c>
      <c r="BB146">
        <f t="shared" si="38"/>
        <v>39740.800000000003</v>
      </c>
      <c r="BC146">
        <f t="shared" si="37"/>
        <v>99352</v>
      </c>
      <c r="BD146">
        <f t="shared" si="37"/>
        <v>149028</v>
      </c>
      <c r="BE146">
        <f t="shared" si="37"/>
        <v>238444.79999999999</v>
      </c>
      <c r="BF146">
        <f t="shared" si="37"/>
        <v>298056</v>
      </c>
      <c r="BG146">
        <f t="shared" si="37"/>
        <v>993520</v>
      </c>
      <c r="BH146">
        <f t="shared" si="37"/>
        <v>2980560</v>
      </c>
      <c r="BI146">
        <f t="shared" si="37"/>
        <v>8444920</v>
      </c>
      <c r="BJ146">
        <f t="shared" si="37"/>
        <v>29805600</v>
      </c>
      <c r="BK146">
        <f t="shared" si="37"/>
        <v>99352000</v>
      </c>
      <c r="BL146">
        <v>141</v>
      </c>
    </row>
    <row r="147" spans="1:64" ht="17.25" thickBot="1" x14ac:dyDescent="0.25">
      <c r="A147" s="131">
        <v>143</v>
      </c>
      <c r="B147" s="132">
        <v>14601683</v>
      </c>
      <c r="D147" s="131">
        <v>143</v>
      </c>
      <c r="E147" s="132">
        <v>9.9956300000000002</v>
      </c>
      <c r="M147">
        <v>143</v>
      </c>
      <c r="N147">
        <f t="shared" si="35"/>
        <v>147546330</v>
      </c>
      <c r="O147">
        <f t="shared" si="39"/>
        <v>295092660</v>
      </c>
      <c r="P147">
        <f t="shared" si="39"/>
        <v>442638990</v>
      </c>
      <c r="Q147">
        <f t="shared" si="39"/>
        <v>590185320</v>
      </c>
      <c r="R147">
        <f t="shared" si="39"/>
        <v>885277980</v>
      </c>
      <c r="S147">
        <f t="shared" si="39"/>
        <v>1032824310</v>
      </c>
      <c r="T147">
        <f t="shared" si="39"/>
        <v>1475463300</v>
      </c>
      <c r="U147">
        <f t="shared" si="39"/>
        <v>2213194950</v>
      </c>
      <c r="V147">
        <f t="shared" si="39"/>
        <v>3541111920</v>
      </c>
      <c r="W147">
        <f t="shared" si="39"/>
        <v>5311667880</v>
      </c>
      <c r="X147">
        <f t="shared" si="39"/>
        <v>7377316500</v>
      </c>
      <c r="Y147">
        <f t="shared" si="39"/>
        <v>8852779800</v>
      </c>
      <c r="Z147">
        <f t="shared" si="39"/>
        <v>14164447680</v>
      </c>
      <c r="AA147">
        <f t="shared" si="39"/>
        <v>14754633000</v>
      </c>
      <c r="AB147">
        <f t="shared" si="39"/>
        <v>22131949500</v>
      </c>
      <c r="AC147">
        <f t="shared" si="39"/>
        <v>35411119200</v>
      </c>
      <c r="AD147">
        <f t="shared" si="39"/>
        <v>53116678800</v>
      </c>
      <c r="AE147">
        <f t="shared" si="25"/>
        <v>61969458600</v>
      </c>
      <c r="AF147">
        <f t="shared" si="25"/>
        <v>81150481500</v>
      </c>
      <c r="AG147">
        <f t="shared" si="25"/>
        <v>103282431000</v>
      </c>
      <c r="AK147">
        <v>141</v>
      </c>
      <c r="AL147" s="24">
        <f t="shared" si="36"/>
        <v>9.9554799999999997</v>
      </c>
      <c r="AM147">
        <f t="shared" si="38"/>
        <v>69.688360000000003</v>
      </c>
      <c r="AN147">
        <f t="shared" si="38"/>
        <v>99.5548</v>
      </c>
      <c r="AO147">
        <f t="shared" si="38"/>
        <v>149.3322</v>
      </c>
      <c r="AP147">
        <f t="shared" si="38"/>
        <v>199.1096</v>
      </c>
      <c r="AQ147">
        <f t="shared" si="38"/>
        <v>348.4418</v>
      </c>
      <c r="AR147">
        <f t="shared" si="38"/>
        <v>497.774</v>
      </c>
      <c r="AS147">
        <f t="shared" si="38"/>
        <v>796.4384</v>
      </c>
      <c r="AT147">
        <f t="shared" si="38"/>
        <v>1194.6576</v>
      </c>
      <c r="AU147">
        <f t="shared" si="38"/>
        <v>1692.4315999999999</v>
      </c>
      <c r="AV147">
        <f t="shared" si="38"/>
        <v>2389.3152</v>
      </c>
      <c r="AW147">
        <f t="shared" si="38"/>
        <v>3285.3083999999999</v>
      </c>
      <c r="AX147">
        <f t="shared" si="38"/>
        <v>4579.5208000000002</v>
      </c>
      <c r="AY147">
        <f t="shared" si="38"/>
        <v>7964.384</v>
      </c>
      <c r="AZ147">
        <f t="shared" si="38"/>
        <v>14933.22</v>
      </c>
      <c r="BA147">
        <f t="shared" si="38"/>
        <v>24888.7</v>
      </c>
      <c r="BB147">
        <f t="shared" si="38"/>
        <v>39821.919999999998</v>
      </c>
      <c r="BC147">
        <f t="shared" si="37"/>
        <v>99554.8</v>
      </c>
      <c r="BD147">
        <f t="shared" si="37"/>
        <v>149332.19999999998</v>
      </c>
      <c r="BE147">
        <f t="shared" si="37"/>
        <v>238931.52</v>
      </c>
      <c r="BF147">
        <f t="shared" si="37"/>
        <v>298664.39999999997</v>
      </c>
      <c r="BG147">
        <f t="shared" si="37"/>
        <v>995548</v>
      </c>
      <c r="BH147">
        <f t="shared" si="37"/>
        <v>2986644</v>
      </c>
      <c r="BI147">
        <f t="shared" si="37"/>
        <v>8462158</v>
      </c>
      <c r="BJ147">
        <f t="shared" si="37"/>
        <v>29866440</v>
      </c>
      <c r="BK147">
        <f t="shared" si="37"/>
        <v>99554800</v>
      </c>
      <c r="BL147" s="145">
        <v>142</v>
      </c>
    </row>
    <row r="148" spans="1:64" ht="17.25" thickBot="1" x14ac:dyDescent="0.25">
      <c r="A148" s="131">
        <v>144</v>
      </c>
      <c r="B148" s="132">
        <v>14754633</v>
      </c>
      <c r="D148" s="131">
        <v>144</v>
      </c>
      <c r="E148" s="132">
        <v>10.015499999999999</v>
      </c>
      <c r="M148">
        <v>144</v>
      </c>
      <c r="N148">
        <f t="shared" si="35"/>
        <v>149081110</v>
      </c>
      <c r="O148">
        <f t="shared" si="39"/>
        <v>298162220</v>
      </c>
      <c r="P148">
        <f t="shared" si="39"/>
        <v>447243330</v>
      </c>
      <c r="Q148">
        <f t="shared" si="39"/>
        <v>596324440</v>
      </c>
      <c r="R148">
        <f t="shared" si="39"/>
        <v>894486660</v>
      </c>
      <c r="S148">
        <f t="shared" si="39"/>
        <v>1043567770</v>
      </c>
      <c r="T148">
        <f t="shared" si="39"/>
        <v>1490811100</v>
      </c>
      <c r="U148">
        <f t="shared" si="39"/>
        <v>2236216650</v>
      </c>
      <c r="V148">
        <f t="shared" si="39"/>
        <v>3577946640</v>
      </c>
      <c r="W148">
        <f t="shared" si="39"/>
        <v>5366919960</v>
      </c>
      <c r="X148">
        <f t="shared" si="39"/>
        <v>7454055500</v>
      </c>
      <c r="Y148">
        <f t="shared" si="39"/>
        <v>8944866600</v>
      </c>
      <c r="Z148">
        <f t="shared" si="39"/>
        <v>14311786560</v>
      </c>
      <c r="AA148">
        <f t="shared" si="39"/>
        <v>14908111000</v>
      </c>
      <c r="AB148">
        <f t="shared" si="39"/>
        <v>22362166500</v>
      </c>
      <c r="AC148">
        <f t="shared" si="39"/>
        <v>35779466400</v>
      </c>
      <c r="AD148">
        <f t="shared" si="39"/>
        <v>53669199600</v>
      </c>
      <c r="AE148">
        <f t="shared" ref="AE148:AG167" si="40">(VLOOKUP(AE$3,$G$4:$H$23,2,0)*VLOOKUP($M148+1,$A$4:$B$1404,2,0)
)</f>
        <v>62614066200</v>
      </c>
      <c r="AF148">
        <f t="shared" si="40"/>
        <v>81994610500</v>
      </c>
      <c r="AG148">
        <f t="shared" si="40"/>
        <v>104356777000</v>
      </c>
      <c r="AK148">
        <v>142</v>
      </c>
      <c r="AL148" s="24">
        <f t="shared" si="36"/>
        <v>9.9756199999999993</v>
      </c>
      <c r="AM148">
        <f t="shared" si="38"/>
        <v>69.829340000000002</v>
      </c>
      <c r="AN148">
        <f t="shared" si="38"/>
        <v>99.756199999999993</v>
      </c>
      <c r="AO148">
        <f t="shared" si="38"/>
        <v>149.6343</v>
      </c>
      <c r="AP148">
        <f t="shared" si="38"/>
        <v>199.51239999999999</v>
      </c>
      <c r="AQ148">
        <f t="shared" si="38"/>
        <v>349.14669999999995</v>
      </c>
      <c r="AR148">
        <f t="shared" si="38"/>
        <v>498.78099999999995</v>
      </c>
      <c r="AS148">
        <f t="shared" si="38"/>
        <v>798.04959999999994</v>
      </c>
      <c r="AT148">
        <f t="shared" si="38"/>
        <v>1197.0744</v>
      </c>
      <c r="AU148">
        <f t="shared" si="38"/>
        <v>1695.8553999999999</v>
      </c>
      <c r="AV148">
        <f t="shared" si="38"/>
        <v>2394.1487999999999</v>
      </c>
      <c r="AW148">
        <f t="shared" si="38"/>
        <v>3291.9545999999996</v>
      </c>
      <c r="AX148">
        <f t="shared" si="38"/>
        <v>4588.7851999999993</v>
      </c>
      <c r="AY148">
        <f t="shared" si="38"/>
        <v>7980.4959999999992</v>
      </c>
      <c r="AZ148">
        <f t="shared" si="38"/>
        <v>14963.429999999998</v>
      </c>
      <c r="BA148">
        <f t="shared" si="38"/>
        <v>24939.05</v>
      </c>
      <c r="BB148">
        <f t="shared" si="38"/>
        <v>39902.479999999996</v>
      </c>
      <c r="BC148">
        <f t="shared" si="37"/>
        <v>99756.2</v>
      </c>
      <c r="BD148">
        <f t="shared" si="37"/>
        <v>149634.29999999999</v>
      </c>
      <c r="BE148">
        <f t="shared" si="37"/>
        <v>239414.87999999998</v>
      </c>
      <c r="BF148">
        <f t="shared" si="37"/>
        <v>299268.59999999998</v>
      </c>
      <c r="BG148">
        <f t="shared" si="37"/>
        <v>997561.99999999988</v>
      </c>
      <c r="BH148">
        <f t="shared" si="37"/>
        <v>2992686</v>
      </c>
      <c r="BI148">
        <f t="shared" si="37"/>
        <v>8479277</v>
      </c>
      <c r="BJ148">
        <f t="shared" si="37"/>
        <v>29926859.999999996</v>
      </c>
      <c r="BK148">
        <f t="shared" si="37"/>
        <v>99756200</v>
      </c>
      <c r="BL148">
        <v>143</v>
      </c>
    </row>
    <row r="149" spans="1:64" ht="17.25" thickBot="1" x14ac:dyDescent="0.25">
      <c r="A149" s="131">
        <v>145</v>
      </c>
      <c r="B149" s="132">
        <v>14908111</v>
      </c>
      <c r="D149" s="131">
        <v>145</v>
      </c>
      <c r="E149" s="132">
        <v>10.03524</v>
      </c>
      <c r="M149">
        <v>145</v>
      </c>
      <c r="N149">
        <f t="shared" si="35"/>
        <v>150621160</v>
      </c>
      <c r="O149">
        <f t="shared" si="39"/>
        <v>301242320</v>
      </c>
      <c r="P149">
        <f t="shared" si="39"/>
        <v>451863480</v>
      </c>
      <c r="Q149">
        <f t="shared" si="39"/>
        <v>602484640</v>
      </c>
      <c r="R149">
        <f t="shared" si="39"/>
        <v>903726960</v>
      </c>
      <c r="S149">
        <f t="shared" si="39"/>
        <v>1054348120</v>
      </c>
      <c r="T149">
        <f t="shared" si="39"/>
        <v>1506211600</v>
      </c>
      <c r="U149">
        <f t="shared" si="39"/>
        <v>2259317400</v>
      </c>
      <c r="V149">
        <f t="shared" si="39"/>
        <v>3614907840</v>
      </c>
      <c r="W149">
        <f t="shared" si="39"/>
        <v>5422361760</v>
      </c>
      <c r="X149">
        <f t="shared" si="39"/>
        <v>7531058000</v>
      </c>
      <c r="Y149">
        <f t="shared" si="39"/>
        <v>9037269600</v>
      </c>
      <c r="Z149">
        <f t="shared" si="39"/>
        <v>14459631360</v>
      </c>
      <c r="AA149">
        <f t="shared" si="39"/>
        <v>15062116000</v>
      </c>
      <c r="AB149">
        <f t="shared" si="39"/>
        <v>22593174000</v>
      </c>
      <c r="AC149">
        <f t="shared" si="39"/>
        <v>36149078400</v>
      </c>
      <c r="AD149">
        <f t="shared" si="39"/>
        <v>54223617600</v>
      </c>
      <c r="AE149">
        <f t="shared" si="40"/>
        <v>63260887200</v>
      </c>
      <c r="AF149">
        <f t="shared" si="40"/>
        <v>82841638000</v>
      </c>
      <c r="AG149">
        <f t="shared" si="40"/>
        <v>105434812000</v>
      </c>
      <c r="AK149">
        <v>143</v>
      </c>
      <c r="AL149" s="24">
        <f t="shared" si="36"/>
        <v>9.9956300000000002</v>
      </c>
      <c r="AM149">
        <f t="shared" si="38"/>
        <v>69.969409999999996</v>
      </c>
      <c r="AN149">
        <f t="shared" si="38"/>
        <v>99.956299999999999</v>
      </c>
      <c r="AO149">
        <f t="shared" si="38"/>
        <v>149.93445</v>
      </c>
      <c r="AP149">
        <f t="shared" si="38"/>
        <v>199.9126</v>
      </c>
      <c r="AQ149">
        <f t="shared" si="38"/>
        <v>349.84705000000002</v>
      </c>
      <c r="AR149">
        <f t="shared" si="38"/>
        <v>499.78149999999999</v>
      </c>
      <c r="AS149">
        <f t="shared" si="38"/>
        <v>799.65039999999999</v>
      </c>
      <c r="AT149">
        <f t="shared" si="38"/>
        <v>1199.4756</v>
      </c>
      <c r="AU149">
        <f t="shared" si="38"/>
        <v>1699.2571</v>
      </c>
      <c r="AV149">
        <f t="shared" si="38"/>
        <v>2398.9512</v>
      </c>
      <c r="AW149">
        <f t="shared" si="38"/>
        <v>3298.5579000000002</v>
      </c>
      <c r="AX149">
        <f t="shared" si="38"/>
        <v>4597.9898000000003</v>
      </c>
      <c r="AY149">
        <f t="shared" si="38"/>
        <v>7996.5039999999999</v>
      </c>
      <c r="AZ149">
        <f t="shared" si="38"/>
        <v>14993.445</v>
      </c>
      <c r="BA149">
        <f t="shared" si="38"/>
        <v>24989.075000000001</v>
      </c>
      <c r="BB149">
        <f t="shared" si="38"/>
        <v>39982.520000000004</v>
      </c>
      <c r="BC149">
        <f t="shared" si="37"/>
        <v>99956.3</v>
      </c>
      <c r="BD149">
        <f t="shared" si="37"/>
        <v>149934.45000000001</v>
      </c>
      <c r="BE149">
        <f t="shared" si="37"/>
        <v>239895.12</v>
      </c>
      <c r="BF149">
        <f t="shared" si="37"/>
        <v>299868.90000000002</v>
      </c>
      <c r="BG149">
        <f t="shared" si="37"/>
        <v>999563</v>
      </c>
      <c r="BH149">
        <f t="shared" si="37"/>
        <v>2998689</v>
      </c>
      <c r="BI149">
        <f t="shared" si="37"/>
        <v>8496285.5</v>
      </c>
      <c r="BJ149">
        <f t="shared" si="37"/>
        <v>29986890</v>
      </c>
      <c r="BK149">
        <f t="shared" si="37"/>
        <v>99956300</v>
      </c>
      <c r="BL149" s="145">
        <v>144</v>
      </c>
    </row>
    <row r="150" spans="1:64" ht="17.25" thickBot="1" x14ac:dyDescent="0.25">
      <c r="A150" s="131">
        <v>146</v>
      </c>
      <c r="B150" s="132">
        <v>15062116</v>
      </c>
      <c r="D150" s="131">
        <v>146</v>
      </c>
      <c r="E150" s="132">
        <v>10.05485</v>
      </c>
      <c r="M150">
        <v>146</v>
      </c>
      <c r="N150">
        <f t="shared" si="35"/>
        <v>152166500</v>
      </c>
      <c r="O150">
        <f t="shared" si="39"/>
        <v>304333000</v>
      </c>
      <c r="P150">
        <f t="shared" si="39"/>
        <v>456499500</v>
      </c>
      <c r="Q150">
        <f t="shared" si="39"/>
        <v>608666000</v>
      </c>
      <c r="R150">
        <f t="shared" si="39"/>
        <v>912999000</v>
      </c>
      <c r="S150">
        <f t="shared" si="39"/>
        <v>1065165500</v>
      </c>
      <c r="T150">
        <f t="shared" si="39"/>
        <v>1521665000</v>
      </c>
      <c r="U150">
        <f t="shared" si="39"/>
        <v>2282497500</v>
      </c>
      <c r="V150">
        <f t="shared" si="39"/>
        <v>3651996000</v>
      </c>
      <c r="W150">
        <f t="shared" si="39"/>
        <v>5477994000</v>
      </c>
      <c r="X150">
        <f t="shared" si="39"/>
        <v>7608325000</v>
      </c>
      <c r="Y150">
        <f t="shared" si="39"/>
        <v>9129990000</v>
      </c>
      <c r="Z150">
        <f t="shared" si="39"/>
        <v>14607984000</v>
      </c>
      <c r="AA150">
        <f t="shared" si="39"/>
        <v>15216650000</v>
      </c>
      <c r="AB150">
        <f t="shared" si="39"/>
        <v>22824975000</v>
      </c>
      <c r="AC150">
        <f t="shared" si="39"/>
        <v>36519960000</v>
      </c>
      <c r="AD150">
        <f t="shared" si="39"/>
        <v>54779940000</v>
      </c>
      <c r="AE150">
        <f t="shared" si="40"/>
        <v>63909930000</v>
      </c>
      <c r="AF150">
        <f t="shared" si="40"/>
        <v>83691575000</v>
      </c>
      <c r="AG150">
        <f t="shared" si="40"/>
        <v>106516550000</v>
      </c>
      <c r="AK150">
        <v>144</v>
      </c>
      <c r="AL150" s="24">
        <f t="shared" si="36"/>
        <v>10.015499999999999</v>
      </c>
      <c r="AM150">
        <f t="shared" si="38"/>
        <v>70.108499999999992</v>
      </c>
      <c r="AN150">
        <f t="shared" si="38"/>
        <v>100.155</v>
      </c>
      <c r="AO150">
        <f t="shared" si="38"/>
        <v>150.23249999999999</v>
      </c>
      <c r="AP150">
        <f t="shared" si="38"/>
        <v>200.31</v>
      </c>
      <c r="AQ150">
        <f t="shared" si="38"/>
        <v>350.54249999999996</v>
      </c>
      <c r="AR150">
        <f t="shared" si="38"/>
        <v>500.77499999999998</v>
      </c>
      <c r="AS150">
        <f t="shared" si="38"/>
        <v>801.24</v>
      </c>
      <c r="AT150">
        <f t="shared" si="38"/>
        <v>1201.8599999999999</v>
      </c>
      <c r="AU150">
        <f t="shared" si="38"/>
        <v>1702.635</v>
      </c>
      <c r="AV150">
        <f t="shared" si="38"/>
        <v>2403.7199999999998</v>
      </c>
      <c r="AW150">
        <f t="shared" si="38"/>
        <v>3305.1149999999998</v>
      </c>
      <c r="AX150">
        <f t="shared" si="38"/>
        <v>4607.13</v>
      </c>
      <c r="AY150">
        <f t="shared" si="38"/>
        <v>8012.4</v>
      </c>
      <c r="AZ150">
        <f t="shared" si="38"/>
        <v>15023.25</v>
      </c>
      <c r="BA150">
        <f t="shared" si="38"/>
        <v>25038.75</v>
      </c>
      <c r="BB150">
        <f t="shared" si="38"/>
        <v>40062</v>
      </c>
      <c r="BC150">
        <f t="shared" si="37"/>
        <v>100155</v>
      </c>
      <c r="BD150">
        <f t="shared" si="37"/>
        <v>150232.5</v>
      </c>
      <c r="BE150">
        <f t="shared" si="37"/>
        <v>240372</v>
      </c>
      <c r="BF150">
        <f t="shared" si="37"/>
        <v>300465</v>
      </c>
      <c r="BG150">
        <f t="shared" si="37"/>
        <v>1001549.9999999999</v>
      </c>
      <c r="BH150">
        <f t="shared" si="37"/>
        <v>3004650</v>
      </c>
      <c r="BI150">
        <f t="shared" si="37"/>
        <v>8513175</v>
      </c>
      <c r="BJ150">
        <f t="shared" si="37"/>
        <v>30046500</v>
      </c>
      <c r="BK150">
        <f t="shared" si="37"/>
        <v>100155000</v>
      </c>
      <c r="BL150">
        <v>145</v>
      </c>
    </row>
    <row r="151" spans="1:64" ht="17.25" thickBot="1" x14ac:dyDescent="0.25">
      <c r="A151" s="131">
        <v>147</v>
      </c>
      <c r="B151" s="132">
        <v>15216650</v>
      </c>
      <c r="D151" s="131">
        <v>147</v>
      </c>
      <c r="E151" s="132">
        <v>10.074339999999999</v>
      </c>
      <c r="M151">
        <v>147</v>
      </c>
      <c r="N151">
        <f t="shared" si="35"/>
        <v>153717110</v>
      </c>
      <c r="O151">
        <f t="shared" si="39"/>
        <v>307434220</v>
      </c>
      <c r="P151">
        <f t="shared" si="39"/>
        <v>461151330</v>
      </c>
      <c r="Q151">
        <f t="shared" si="39"/>
        <v>614868440</v>
      </c>
      <c r="R151">
        <f t="shared" si="39"/>
        <v>922302660</v>
      </c>
      <c r="S151">
        <f t="shared" si="39"/>
        <v>1076019770</v>
      </c>
      <c r="T151">
        <f t="shared" si="39"/>
        <v>1537171100</v>
      </c>
      <c r="U151">
        <f t="shared" si="39"/>
        <v>2305756650</v>
      </c>
      <c r="V151">
        <f t="shared" si="39"/>
        <v>3689210640</v>
      </c>
      <c r="W151">
        <f t="shared" si="39"/>
        <v>5533815960</v>
      </c>
      <c r="X151">
        <f t="shared" si="39"/>
        <v>7685855500</v>
      </c>
      <c r="Y151">
        <f t="shared" si="39"/>
        <v>9223026600</v>
      </c>
      <c r="Z151">
        <f t="shared" si="39"/>
        <v>14756842560</v>
      </c>
      <c r="AA151">
        <f t="shared" si="39"/>
        <v>15371711000</v>
      </c>
      <c r="AB151">
        <f t="shared" si="39"/>
        <v>23057566500</v>
      </c>
      <c r="AC151">
        <f t="shared" si="39"/>
        <v>36892106400</v>
      </c>
      <c r="AD151">
        <f t="shared" si="39"/>
        <v>55338159600</v>
      </c>
      <c r="AE151">
        <f t="shared" si="40"/>
        <v>64561186200</v>
      </c>
      <c r="AF151">
        <f t="shared" si="40"/>
        <v>84544410500</v>
      </c>
      <c r="AG151">
        <f t="shared" si="40"/>
        <v>107601977000</v>
      </c>
      <c r="AK151">
        <v>145</v>
      </c>
      <c r="AL151" s="24">
        <f t="shared" si="36"/>
        <v>10.03524</v>
      </c>
      <c r="AM151">
        <f t="shared" si="38"/>
        <v>70.246679999999998</v>
      </c>
      <c r="AN151">
        <f t="shared" si="38"/>
        <v>100.3524</v>
      </c>
      <c r="AO151">
        <f t="shared" si="38"/>
        <v>150.52860000000001</v>
      </c>
      <c r="AP151">
        <f t="shared" si="38"/>
        <v>200.70480000000001</v>
      </c>
      <c r="AQ151">
        <f t="shared" si="38"/>
        <v>351.23340000000002</v>
      </c>
      <c r="AR151">
        <f t="shared" si="38"/>
        <v>501.762</v>
      </c>
      <c r="AS151">
        <f t="shared" si="38"/>
        <v>802.81920000000002</v>
      </c>
      <c r="AT151">
        <f t="shared" si="38"/>
        <v>1204.2288000000001</v>
      </c>
      <c r="AU151">
        <f t="shared" si="38"/>
        <v>1705.9908</v>
      </c>
      <c r="AV151">
        <f t="shared" si="38"/>
        <v>2408.4576000000002</v>
      </c>
      <c r="AW151">
        <f t="shared" si="38"/>
        <v>3311.6291999999999</v>
      </c>
      <c r="AX151">
        <f t="shared" si="38"/>
        <v>4616.2103999999999</v>
      </c>
      <c r="AY151">
        <f t="shared" si="38"/>
        <v>8028.192</v>
      </c>
      <c r="AZ151">
        <f t="shared" si="38"/>
        <v>15052.86</v>
      </c>
      <c r="BA151">
        <f t="shared" si="38"/>
        <v>25088.1</v>
      </c>
      <c r="BB151">
        <f t="shared" si="38"/>
        <v>40140.959999999999</v>
      </c>
      <c r="BC151">
        <f t="shared" si="37"/>
        <v>100352.4</v>
      </c>
      <c r="BD151">
        <f t="shared" si="37"/>
        <v>150528.6</v>
      </c>
      <c r="BE151">
        <f t="shared" si="37"/>
        <v>240845.76</v>
      </c>
      <c r="BF151">
        <f t="shared" si="37"/>
        <v>301057.2</v>
      </c>
      <c r="BG151">
        <f t="shared" si="37"/>
        <v>1003524</v>
      </c>
      <c r="BH151">
        <f t="shared" si="37"/>
        <v>3010572</v>
      </c>
      <c r="BI151">
        <f t="shared" si="37"/>
        <v>8529954</v>
      </c>
      <c r="BJ151">
        <f t="shared" si="37"/>
        <v>30105720</v>
      </c>
      <c r="BK151">
        <f t="shared" si="37"/>
        <v>100352400</v>
      </c>
      <c r="BL151" s="145">
        <v>146</v>
      </c>
    </row>
    <row r="152" spans="1:64" ht="17.25" thickBot="1" x14ac:dyDescent="0.25">
      <c r="A152" s="131">
        <v>148</v>
      </c>
      <c r="B152" s="132">
        <v>15371711</v>
      </c>
      <c r="D152" s="131">
        <v>148</v>
      </c>
      <c r="E152" s="132">
        <v>10.0937</v>
      </c>
      <c r="M152">
        <v>148</v>
      </c>
      <c r="N152">
        <f t="shared" si="35"/>
        <v>155272940</v>
      </c>
      <c r="O152">
        <f t="shared" si="39"/>
        <v>310545880</v>
      </c>
      <c r="P152">
        <f t="shared" si="39"/>
        <v>465818820</v>
      </c>
      <c r="Q152">
        <f t="shared" si="39"/>
        <v>621091760</v>
      </c>
      <c r="R152">
        <f t="shared" si="39"/>
        <v>931637640</v>
      </c>
      <c r="S152">
        <f t="shared" si="39"/>
        <v>1086910580</v>
      </c>
      <c r="T152">
        <f t="shared" si="39"/>
        <v>1552729400</v>
      </c>
      <c r="U152">
        <f t="shared" si="39"/>
        <v>2329094100</v>
      </c>
      <c r="V152">
        <f t="shared" si="39"/>
        <v>3726550560</v>
      </c>
      <c r="W152">
        <f t="shared" si="39"/>
        <v>5589825840</v>
      </c>
      <c r="X152">
        <f t="shared" si="39"/>
        <v>7763647000</v>
      </c>
      <c r="Y152">
        <f t="shared" si="39"/>
        <v>9316376400</v>
      </c>
      <c r="Z152">
        <f t="shared" si="39"/>
        <v>14906202240</v>
      </c>
      <c r="AA152">
        <f t="shared" si="39"/>
        <v>15527294000</v>
      </c>
      <c r="AB152">
        <f t="shared" si="39"/>
        <v>23290941000</v>
      </c>
      <c r="AC152">
        <f t="shared" si="39"/>
        <v>37265505600</v>
      </c>
      <c r="AD152">
        <f t="shared" si="39"/>
        <v>55898258400</v>
      </c>
      <c r="AE152">
        <f t="shared" si="40"/>
        <v>65214634800</v>
      </c>
      <c r="AF152">
        <f t="shared" si="40"/>
        <v>85400117000</v>
      </c>
      <c r="AG152">
        <f t="shared" si="40"/>
        <v>108691058000</v>
      </c>
      <c r="AK152">
        <v>146</v>
      </c>
      <c r="AL152" s="24">
        <f t="shared" si="36"/>
        <v>10.05485</v>
      </c>
      <c r="AM152">
        <f t="shared" si="38"/>
        <v>70.383949999999999</v>
      </c>
      <c r="AN152">
        <f t="shared" si="38"/>
        <v>100.5485</v>
      </c>
      <c r="AO152">
        <f t="shared" si="38"/>
        <v>150.82275000000001</v>
      </c>
      <c r="AP152">
        <f t="shared" si="38"/>
        <v>201.09700000000001</v>
      </c>
      <c r="AQ152">
        <f t="shared" si="38"/>
        <v>351.91975000000002</v>
      </c>
      <c r="AR152">
        <f t="shared" si="38"/>
        <v>502.74250000000001</v>
      </c>
      <c r="AS152">
        <f t="shared" si="38"/>
        <v>804.38800000000003</v>
      </c>
      <c r="AT152">
        <f t="shared" si="38"/>
        <v>1206.5820000000001</v>
      </c>
      <c r="AU152">
        <f t="shared" si="38"/>
        <v>1709.3244999999999</v>
      </c>
      <c r="AV152">
        <f t="shared" si="38"/>
        <v>2413.1640000000002</v>
      </c>
      <c r="AW152">
        <f t="shared" si="38"/>
        <v>3318.1005</v>
      </c>
      <c r="AX152">
        <f t="shared" si="38"/>
        <v>4625.2309999999998</v>
      </c>
      <c r="AY152">
        <f t="shared" si="38"/>
        <v>8043.88</v>
      </c>
      <c r="AZ152">
        <f t="shared" si="38"/>
        <v>15082.275</v>
      </c>
      <c r="BA152">
        <f t="shared" si="38"/>
        <v>25137.125</v>
      </c>
      <c r="BB152">
        <f t="shared" si="38"/>
        <v>40219.4</v>
      </c>
      <c r="BC152">
        <f t="shared" si="37"/>
        <v>100548.5</v>
      </c>
      <c r="BD152">
        <f t="shared" si="37"/>
        <v>150822.75</v>
      </c>
      <c r="BE152">
        <f t="shared" si="37"/>
        <v>241316.4</v>
      </c>
      <c r="BF152">
        <f t="shared" si="37"/>
        <v>301645.5</v>
      </c>
      <c r="BG152">
        <f t="shared" si="37"/>
        <v>1005485</v>
      </c>
      <c r="BH152">
        <f t="shared" si="37"/>
        <v>3016455</v>
      </c>
      <c r="BI152">
        <f t="shared" si="37"/>
        <v>8546622.5</v>
      </c>
      <c r="BJ152">
        <f t="shared" si="37"/>
        <v>30164550</v>
      </c>
      <c r="BK152">
        <f t="shared" si="37"/>
        <v>100548500</v>
      </c>
      <c r="BL152">
        <v>147</v>
      </c>
    </row>
    <row r="153" spans="1:64" ht="17.25" thickBot="1" x14ac:dyDescent="0.25">
      <c r="A153" s="131">
        <v>149</v>
      </c>
      <c r="B153" s="132">
        <v>15527294</v>
      </c>
      <c r="D153" s="131">
        <v>149</v>
      </c>
      <c r="E153" s="132">
        <v>10.11294</v>
      </c>
      <c r="M153">
        <v>149</v>
      </c>
      <c r="N153">
        <f t="shared" si="35"/>
        <v>156834000</v>
      </c>
      <c r="O153">
        <f t="shared" si="39"/>
        <v>313668000</v>
      </c>
      <c r="P153">
        <f t="shared" si="39"/>
        <v>470502000</v>
      </c>
      <c r="Q153">
        <f t="shared" si="39"/>
        <v>627336000</v>
      </c>
      <c r="R153">
        <f t="shared" si="39"/>
        <v>941004000</v>
      </c>
      <c r="S153">
        <f t="shared" si="39"/>
        <v>1097838000</v>
      </c>
      <c r="T153">
        <f t="shared" si="39"/>
        <v>1568340000</v>
      </c>
      <c r="U153">
        <f t="shared" si="39"/>
        <v>2352510000</v>
      </c>
      <c r="V153">
        <f t="shared" si="39"/>
        <v>3764016000</v>
      </c>
      <c r="W153">
        <f t="shared" si="39"/>
        <v>5646024000</v>
      </c>
      <c r="X153">
        <f t="shared" si="39"/>
        <v>7841700000</v>
      </c>
      <c r="Y153">
        <f t="shared" si="39"/>
        <v>9410040000</v>
      </c>
      <c r="Z153">
        <f t="shared" si="39"/>
        <v>15056064000</v>
      </c>
      <c r="AA153">
        <f t="shared" si="39"/>
        <v>15683400000</v>
      </c>
      <c r="AB153">
        <f t="shared" si="39"/>
        <v>23525100000</v>
      </c>
      <c r="AC153">
        <f t="shared" si="39"/>
        <v>37640160000</v>
      </c>
      <c r="AD153">
        <f t="shared" si="39"/>
        <v>56460240000</v>
      </c>
      <c r="AE153">
        <f t="shared" si="40"/>
        <v>65870280000</v>
      </c>
      <c r="AF153">
        <f t="shared" si="40"/>
        <v>86258700000</v>
      </c>
      <c r="AG153">
        <f t="shared" si="40"/>
        <v>109783800000</v>
      </c>
      <c r="AK153">
        <v>147</v>
      </c>
      <c r="AL153" s="24">
        <f t="shared" si="36"/>
        <v>10.074339999999999</v>
      </c>
      <c r="AM153">
        <f t="shared" si="38"/>
        <v>70.520379999999989</v>
      </c>
      <c r="AN153">
        <f t="shared" si="38"/>
        <v>100.74339999999999</v>
      </c>
      <c r="AO153">
        <f t="shared" si="38"/>
        <v>151.11509999999998</v>
      </c>
      <c r="AP153">
        <f t="shared" si="38"/>
        <v>201.48679999999999</v>
      </c>
      <c r="AQ153">
        <f t="shared" si="38"/>
        <v>352.6019</v>
      </c>
      <c r="AR153">
        <f t="shared" si="38"/>
        <v>503.71699999999998</v>
      </c>
      <c r="AS153">
        <f t="shared" si="38"/>
        <v>805.94719999999995</v>
      </c>
      <c r="AT153">
        <f t="shared" si="38"/>
        <v>1208.9207999999999</v>
      </c>
      <c r="AU153">
        <f t="shared" si="38"/>
        <v>1712.6378</v>
      </c>
      <c r="AV153">
        <f t="shared" si="38"/>
        <v>2417.8415999999997</v>
      </c>
      <c r="AW153">
        <f t="shared" si="38"/>
        <v>3324.5321999999996</v>
      </c>
      <c r="AX153">
        <f t="shared" si="38"/>
        <v>4634.1963999999998</v>
      </c>
      <c r="AY153">
        <f t="shared" si="38"/>
        <v>8059.4719999999998</v>
      </c>
      <c r="AZ153">
        <f t="shared" si="38"/>
        <v>15111.509999999998</v>
      </c>
      <c r="BA153">
        <f t="shared" si="38"/>
        <v>25185.85</v>
      </c>
      <c r="BB153">
        <f t="shared" si="38"/>
        <v>40297.360000000001</v>
      </c>
      <c r="BC153">
        <f t="shared" si="37"/>
        <v>100743.4</v>
      </c>
      <c r="BD153">
        <f t="shared" si="37"/>
        <v>151115.09999999998</v>
      </c>
      <c r="BE153">
        <f t="shared" si="37"/>
        <v>241784.15999999997</v>
      </c>
      <c r="BF153">
        <f t="shared" si="37"/>
        <v>302230.19999999995</v>
      </c>
      <c r="BG153">
        <f t="shared" si="37"/>
        <v>1007433.9999999999</v>
      </c>
      <c r="BH153">
        <f t="shared" si="37"/>
        <v>3022302</v>
      </c>
      <c r="BI153">
        <f t="shared" si="37"/>
        <v>8563189</v>
      </c>
      <c r="BJ153">
        <f t="shared" si="37"/>
        <v>30223020</v>
      </c>
      <c r="BK153">
        <f t="shared" si="37"/>
        <v>100743400</v>
      </c>
      <c r="BL153" s="145">
        <v>148</v>
      </c>
    </row>
    <row r="154" spans="1:64" ht="17.25" thickBot="1" x14ac:dyDescent="0.25">
      <c r="A154" s="131">
        <v>150</v>
      </c>
      <c r="B154" s="132">
        <v>15683400</v>
      </c>
      <c r="D154" s="131">
        <v>150</v>
      </c>
      <c r="E154" s="132">
        <v>10.13205</v>
      </c>
      <c r="M154">
        <v>150</v>
      </c>
      <c r="N154">
        <f t="shared" si="35"/>
        <v>158400220</v>
      </c>
      <c r="O154">
        <f t="shared" si="39"/>
        <v>316800440</v>
      </c>
      <c r="P154">
        <f t="shared" si="39"/>
        <v>475200660</v>
      </c>
      <c r="Q154">
        <f t="shared" si="39"/>
        <v>633600880</v>
      </c>
      <c r="R154">
        <f t="shared" si="39"/>
        <v>950401320</v>
      </c>
      <c r="S154">
        <f t="shared" si="39"/>
        <v>1108801540</v>
      </c>
      <c r="T154">
        <f t="shared" si="39"/>
        <v>1584002200</v>
      </c>
      <c r="U154">
        <f t="shared" si="39"/>
        <v>2376003300</v>
      </c>
      <c r="V154">
        <f t="shared" si="39"/>
        <v>3801605280</v>
      </c>
      <c r="W154">
        <f t="shared" si="39"/>
        <v>5702407920</v>
      </c>
      <c r="X154">
        <f t="shared" si="39"/>
        <v>7920011000</v>
      </c>
      <c r="Y154">
        <f t="shared" si="39"/>
        <v>9504013200</v>
      </c>
      <c r="Z154">
        <f t="shared" si="39"/>
        <v>15206421120</v>
      </c>
      <c r="AA154">
        <f t="shared" si="39"/>
        <v>15840022000</v>
      </c>
      <c r="AB154">
        <f t="shared" si="39"/>
        <v>23760033000</v>
      </c>
      <c r="AC154">
        <f t="shared" si="39"/>
        <v>38016052800</v>
      </c>
      <c r="AD154">
        <f t="shared" si="39"/>
        <v>57024079200</v>
      </c>
      <c r="AE154">
        <f t="shared" si="40"/>
        <v>66528092400</v>
      </c>
      <c r="AF154">
        <f t="shared" si="40"/>
        <v>87120121000</v>
      </c>
      <c r="AG154">
        <f t="shared" si="40"/>
        <v>110880154000</v>
      </c>
      <c r="AK154">
        <v>148</v>
      </c>
      <c r="AL154" s="24">
        <f t="shared" si="36"/>
        <v>10.0937</v>
      </c>
      <c r="AM154">
        <f t="shared" si="38"/>
        <v>70.655900000000003</v>
      </c>
      <c r="AN154">
        <f t="shared" si="38"/>
        <v>100.937</v>
      </c>
      <c r="AO154">
        <f t="shared" si="38"/>
        <v>151.40549999999999</v>
      </c>
      <c r="AP154">
        <f t="shared" si="38"/>
        <v>201.874</v>
      </c>
      <c r="AQ154">
        <f t="shared" si="38"/>
        <v>353.27949999999998</v>
      </c>
      <c r="AR154">
        <f t="shared" si="38"/>
        <v>504.685</v>
      </c>
      <c r="AS154">
        <f t="shared" si="38"/>
        <v>807.49599999999998</v>
      </c>
      <c r="AT154">
        <f t="shared" si="38"/>
        <v>1211.2439999999999</v>
      </c>
      <c r="AU154">
        <f t="shared" si="38"/>
        <v>1715.9290000000001</v>
      </c>
      <c r="AV154">
        <f t="shared" si="38"/>
        <v>2422.4879999999998</v>
      </c>
      <c r="AW154">
        <f t="shared" si="38"/>
        <v>3330.9209999999998</v>
      </c>
      <c r="AX154">
        <f t="shared" si="38"/>
        <v>4643.1019999999999</v>
      </c>
      <c r="AY154">
        <f t="shared" si="38"/>
        <v>8074.96</v>
      </c>
      <c r="AZ154">
        <f t="shared" si="38"/>
        <v>15140.55</v>
      </c>
      <c r="BA154">
        <f t="shared" si="38"/>
        <v>25234.25</v>
      </c>
      <c r="BB154">
        <f t="shared" si="38"/>
        <v>40374.800000000003</v>
      </c>
      <c r="BC154">
        <f t="shared" si="37"/>
        <v>100937</v>
      </c>
      <c r="BD154">
        <f t="shared" si="37"/>
        <v>151405.5</v>
      </c>
      <c r="BE154">
        <f t="shared" si="37"/>
        <v>242248.8</v>
      </c>
      <c r="BF154">
        <f t="shared" si="37"/>
        <v>302811</v>
      </c>
      <c r="BG154">
        <f t="shared" si="37"/>
        <v>1009370</v>
      </c>
      <c r="BH154">
        <f t="shared" si="37"/>
        <v>3028110</v>
      </c>
      <c r="BI154">
        <f t="shared" si="37"/>
        <v>8579645</v>
      </c>
      <c r="BJ154">
        <f t="shared" si="37"/>
        <v>30281100</v>
      </c>
      <c r="BK154">
        <f t="shared" si="37"/>
        <v>100937000</v>
      </c>
      <c r="BL154">
        <v>149</v>
      </c>
    </row>
    <row r="155" spans="1:64" ht="17.25" thickBot="1" x14ac:dyDescent="0.25">
      <c r="A155" s="131">
        <v>151</v>
      </c>
      <c r="B155" s="132">
        <v>15840022</v>
      </c>
      <c r="D155" s="131">
        <v>151</v>
      </c>
      <c r="E155" s="132">
        <v>10.15104</v>
      </c>
      <c r="M155">
        <v>151</v>
      </c>
      <c r="N155">
        <f t="shared" si="35"/>
        <v>159971610</v>
      </c>
      <c r="O155">
        <f t="shared" si="39"/>
        <v>319943220</v>
      </c>
      <c r="P155">
        <f t="shared" si="39"/>
        <v>479914830</v>
      </c>
      <c r="Q155">
        <f t="shared" si="39"/>
        <v>639886440</v>
      </c>
      <c r="R155">
        <f t="shared" si="39"/>
        <v>959829660</v>
      </c>
      <c r="S155">
        <f t="shared" si="39"/>
        <v>1119801270</v>
      </c>
      <c r="T155">
        <f t="shared" si="39"/>
        <v>1599716100</v>
      </c>
      <c r="U155">
        <f t="shared" si="39"/>
        <v>2399574150</v>
      </c>
      <c r="V155">
        <f t="shared" si="39"/>
        <v>3839318640</v>
      </c>
      <c r="W155">
        <f t="shared" si="39"/>
        <v>5758977960</v>
      </c>
      <c r="X155">
        <f t="shared" si="39"/>
        <v>7998580500</v>
      </c>
      <c r="Y155">
        <f t="shared" si="39"/>
        <v>9598296600</v>
      </c>
      <c r="Z155">
        <f t="shared" si="39"/>
        <v>15357274560</v>
      </c>
      <c r="AA155">
        <f t="shared" si="39"/>
        <v>15997161000</v>
      </c>
      <c r="AB155">
        <f t="shared" si="39"/>
        <v>23995741500</v>
      </c>
      <c r="AC155">
        <f t="shared" si="39"/>
        <v>38393186400</v>
      </c>
      <c r="AD155">
        <f t="shared" si="39"/>
        <v>57589779600</v>
      </c>
      <c r="AE155">
        <f t="shared" si="40"/>
        <v>67188076200</v>
      </c>
      <c r="AF155">
        <f t="shared" si="40"/>
        <v>87984385500</v>
      </c>
      <c r="AG155">
        <f t="shared" si="40"/>
        <v>111980127000</v>
      </c>
      <c r="AK155">
        <v>149</v>
      </c>
      <c r="AL155" s="24">
        <f t="shared" si="36"/>
        <v>10.11294</v>
      </c>
      <c r="AM155">
        <f t="shared" si="38"/>
        <v>70.790580000000006</v>
      </c>
      <c r="AN155">
        <f t="shared" si="38"/>
        <v>101.1294</v>
      </c>
      <c r="AO155">
        <f t="shared" si="38"/>
        <v>151.69409999999999</v>
      </c>
      <c r="AP155">
        <f t="shared" si="38"/>
        <v>202.25880000000001</v>
      </c>
      <c r="AQ155">
        <f t="shared" si="38"/>
        <v>353.9529</v>
      </c>
      <c r="AR155">
        <f t="shared" si="38"/>
        <v>505.64699999999999</v>
      </c>
      <c r="AS155">
        <f t="shared" si="38"/>
        <v>809.03520000000003</v>
      </c>
      <c r="AT155">
        <f t="shared" si="38"/>
        <v>1213.5527999999999</v>
      </c>
      <c r="AU155">
        <f t="shared" si="38"/>
        <v>1719.1998000000001</v>
      </c>
      <c r="AV155">
        <f t="shared" si="38"/>
        <v>2427.1055999999999</v>
      </c>
      <c r="AW155">
        <f t="shared" si="38"/>
        <v>3337.2701999999999</v>
      </c>
      <c r="AX155">
        <f t="shared" si="38"/>
        <v>4651.9524000000001</v>
      </c>
      <c r="AY155">
        <f t="shared" si="38"/>
        <v>8090.3519999999999</v>
      </c>
      <c r="AZ155">
        <f t="shared" si="38"/>
        <v>15169.41</v>
      </c>
      <c r="BA155">
        <f t="shared" si="38"/>
        <v>25282.35</v>
      </c>
      <c r="BB155">
        <f t="shared" si="38"/>
        <v>40451.760000000002</v>
      </c>
      <c r="BC155">
        <f t="shared" si="37"/>
        <v>101129.4</v>
      </c>
      <c r="BD155">
        <f t="shared" si="37"/>
        <v>151694.1</v>
      </c>
      <c r="BE155">
        <f t="shared" si="37"/>
        <v>242710.56</v>
      </c>
      <c r="BF155">
        <f t="shared" si="37"/>
        <v>303388.2</v>
      </c>
      <c r="BG155">
        <f t="shared" si="37"/>
        <v>1011294</v>
      </c>
      <c r="BH155">
        <f t="shared" si="37"/>
        <v>3033882</v>
      </c>
      <c r="BI155">
        <f t="shared" si="37"/>
        <v>8595999</v>
      </c>
      <c r="BJ155">
        <f t="shared" si="37"/>
        <v>30338820</v>
      </c>
      <c r="BK155">
        <f t="shared" si="37"/>
        <v>101129400</v>
      </c>
      <c r="BL155" s="145">
        <v>150</v>
      </c>
    </row>
    <row r="156" spans="1:64" ht="17.25" thickBot="1" x14ac:dyDescent="0.25">
      <c r="A156" s="131">
        <v>152</v>
      </c>
      <c r="B156" s="132">
        <v>15997161</v>
      </c>
      <c r="D156" s="131">
        <v>152</v>
      </c>
      <c r="E156" s="132">
        <v>10.16991</v>
      </c>
      <c r="M156">
        <v>152</v>
      </c>
      <c r="N156">
        <f t="shared" si="35"/>
        <v>161548160</v>
      </c>
      <c r="O156">
        <f t="shared" si="39"/>
        <v>323096320</v>
      </c>
      <c r="P156">
        <f t="shared" si="39"/>
        <v>484644480</v>
      </c>
      <c r="Q156">
        <f t="shared" si="39"/>
        <v>646192640</v>
      </c>
      <c r="R156">
        <f t="shared" si="39"/>
        <v>969288960</v>
      </c>
      <c r="S156">
        <f t="shared" si="39"/>
        <v>1130837120</v>
      </c>
      <c r="T156">
        <f t="shared" si="39"/>
        <v>1615481600</v>
      </c>
      <c r="U156">
        <f t="shared" si="39"/>
        <v>2423222400</v>
      </c>
      <c r="V156">
        <f t="shared" si="39"/>
        <v>3877155840</v>
      </c>
      <c r="W156">
        <f t="shared" si="39"/>
        <v>5815733760</v>
      </c>
      <c r="X156">
        <f t="shared" si="39"/>
        <v>8077408000</v>
      </c>
      <c r="Y156">
        <f t="shared" si="39"/>
        <v>9692889600</v>
      </c>
      <c r="Z156">
        <f t="shared" si="39"/>
        <v>15508623360</v>
      </c>
      <c r="AA156">
        <f t="shared" si="39"/>
        <v>16154816000</v>
      </c>
      <c r="AB156">
        <f t="shared" si="39"/>
        <v>24232224000</v>
      </c>
      <c r="AC156">
        <f t="shared" si="39"/>
        <v>38771558400</v>
      </c>
      <c r="AD156">
        <f t="shared" si="39"/>
        <v>58157337600</v>
      </c>
      <c r="AE156">
        <f t="shared" si="40"/>
        <v>67850227200</v>
      </c>
      <c r="AF156">
        <f t="shared" si="40"/>
        <v>88851488000</v>
      </c>
      <c r="AG156">
        <f t="shared" si="40"/>
        <v>113083712000</v>
      </c>
      <c r="AK156">
        <v>150</v>
      </c>
      <c r="AL156" s="24">
        <f t="shared" si="36"/>
        <v>10.13205</v>
      </c>
      <c r="AM156">
        <f t="shared" si="38"/>
        <v>70.924350000000004</v>
      </c>
      <c r="AN156">
        <f t="shared" si="38"/>
        <v>101.3205</v>
      </c>
      <c r="AO156">
        <f t="shared" si="38"/>
        <v>151.98075</v>
      </c>
      <c r="AP156">
        <f t="shared" si="38"/>
        <v>202.64099999999999</v>
      </c>
      <c r="AQ156">
        <f t="shared" si="38"/>
        <v>354.62174999999996</v>
      </c>
      <c r="AR156">
        <f t="shared" si="38"/>
        <v>506.60249999999996</v>
      </c>
      <c r="AS156">
        <f t="shared" si="38"/>
        <v>810.56399999999996</v>
      </c>
      <c r="AT156">
        <f t="shared" si="38"/>
        <v>1215.846</v>
      </c>
      <c r="AU156">
        <f t="shared" si="38"/>
        <v>1722.4485</v>
      </c>
      <c r="AV156">
        <f t="shared" si="38"/>
        <v>2431.692</v>
      </c>
      <c r="AW156">
        <f t="shared" si="38"/>
        <v>3343.5764999999997</v>
      </c>
      <c r="AX156">
        <f t="shared" si="38"/>
        <v>4660.7429999999995</v>
      </c>
      <c r="AY156">
        <f t="shared" si="38"/>
        <v>8105.6399999999994</v>
      </c>
      <c r="AZ156">
        <f t="shared" si="38"/>
        <v>15198.074999999999</v>
      </c>
      <c r="BA156">
        <f t="shared" si="38"/>
        <v>25330.125</v>
      </c>
      <c r="BB156">
        <f t="shared" si="38"/>
        <v>40528.199999999997</v>
      </c>
      <c r="BC156">
        <f t="shared" si="37"/>
        <v>101320.5</v>
      </c>
      <c r="BD156">
        <f t="shared" si="37"/>
        <v>151980.75</v>
      </c>
      <c r="BE156">
        <f t="shared" si="37"/>
        <v>243169.19999999998</v>
      </c>
      <c r="BF156">
        <f t="shared" si="37"/>
        <v>303961.5</v>
      </c>
      <c r="BG156">
        <f t="shared" si="37"/>
        <v>1013205</v>
      </c>
      <c r="BH156">
        <f t="shared" si="37"/>
        <v>3039615</v>
      </c>
      <c r="BI156">
        <f t="shared" si="37"/>
        <v>8612242.5</v>
      </c>
      <c r="BJ156">
        <f t="shared" si="37"/>
        <v>30396150</v>
      </c>
      <c r="BK156">
        <f t="shared" si="37"/>
        <v>101320500</v>
      </c>
      <c r="BL156">
        <v>151</v>
      </c>
    </row>
    <row r="157" spans="1:64" ht="17.25" thickBot="1" x14ac:dyDescent="0.25">
      <c r="A157" s="131">
        <v>153</v>
      </c>
      <c r="B157" s="132">
        <v>16154816</v>
      </c>
      <c r="D157" s="131">
        <v>153</v>
      </c>
      <c r="E157" s="132">
        <v>10.18866</v>
      </c>
      <c r="M157">
        <v>153</v>
      </c>
      <c r="N157">
        <f t="shared" si="35"/>
        <v>163129880</v>
      </c>
      <c r="O157">
        <f t="shared" si="39"/>
        <v>326259760</v>
      </c>
      <c r="P157">
        <f t="shared" si="39"/>
        <v>489389640</v>
      </c>
      <c r="Q157">
        <f t="shared" si="39"/>
        <v>652519520</v>
      </c>
      <c r="R157">
        <f t="shared" si="39"/>
        <v>978779280</v>
      </c>
      <c r="S157">
        <f t="shared" si="39"/>
        <v>1141909160</v>
      </c>
      <c r="T157">
        <f t="shared" si="39"/>
        <v>1631298800</v>
      </c>
      <c r="U157">
        <f t="shared" si="39"/>
        <v>2446948200</v>
      </c>
      <c r="V157">
        <f t="shared" si="39"/>
        <v>3915117120</v>
      </c>
      <c r="W157">
        <f t="shared" si="39"/>
        <v>5872675680</v>
      </c>
      <c r="X157">
        <f t="shared" si="39"/>
        <v>8156494000</v>
      </c>
      <c r="Y157">
        <f t="shared" si="39"/>
        <v>9787792800</v>
      </c>
      <c r="Z157">
        <f t="shared" si="39"/>
        <v>15660468480</v>
      </c>
      <c r="AA157">
        <f t="shared" si="39"/>
        <v>16312988000</v>
      </c>
      <c r="AB157">
        <f t="shared" si="39"/>
        <v>24469482000</v>
      </c>
      <c r="AC157">
        <f t="shared" si="39"/>
        <v>39151171200</v>
      </c>
      <c r="AD157">
        <f t="shared" si="39"/>
        <v>58726756800</v>
      </c>
      <c r="AE157">
        <f t="shared" si="40"/>
        <v>68514549600</v>
      </c>
      <c r="AF157">
        <f t="shared" si="40"/>
        <v>89721434000</v>
      </c>
      <c r="AG157">
        <f t="shared" si="40"/>
        <v>114190916000</v>
      </c>
      <c r="AK157">
        <v>151</v>
      </c>
      <c r="AL157" s="24">
        <f t="shared" si="36"/>
        <v>10.15104</v>
      </c>
      <c r="AM157">
        <f t="shared" si="38"/>
        <v>71.057280000000006</v>
      </c>
      <c r="AN157">
        <f t="shared" si="38"/>
        <v>101.5104</v>
      </c>
      <c r="AO157">
        <f t="shared" si="38"/>
        <v>152.26560000000001</v>
      </c>
      <c r="AP157">
        <f t="shared" si="38"/>
        <v>203.02080000000001</v>
      </c>
      <c r="AQ157">
        <f t="shared" si="38"/>
        <v>355.28640000000001</v>
      </c>
      <c r="AR157">
        <f t="shared" si="38"/>
        <v>507.55200000000002</v>
      </c>
      <c r="AS157">
        <f t="shared" si="38"/>
        <v>812.08320000000003</v>
      </c>
      <c r="AT157">
        <f t="shared" si="38"/>
        <v>1218.1248000000001</v>
      </c>
      <c r="AU157">
        <f t="shared" si="38"/>
        <v>1725.6768</v>
      </c>
      <c r="AV157">
        <f t="shared" si="38"/>
        <v>2436.2496000000001</v>
      </c>
      <c r="AW157">
        <f t="shared" si="38"/>
        <v>3349.8431999999998</v>
      </c>
      <c r="AX157">
        <f t="shared" si="38"/>
        <v>4669.4784</v>
      </c>
      <c r="AY157">
        <f t="shared" si="38"/>
        <v>8120.8320000000003</v>
      </c>
      <c r="AZ157">
        <f t="shared" si="38"/>
        <v>15226.56</v>
      </c>
      <c r="BA157">
        <f t="shared" si="38"/>
        <v>25377.599999999999</v>
      </c>
      <c r="BB157">
        <f t="shared" si="38"/>
        <v>40604.160000000003</v>
      </c>
      <c r="BC157">
        <f t="shared" si="37"/>
        <v>101510.39999999999</v>
      </c>
      <c r="BD157">
        <f t="shared" si="37"/>
        <v>152265.60000000001</v>
      </c>
      <c r="BE157">
        <f t="shared" si="37"/>
        <v>243624.95999999999</v>
      </c>
      <c r="BF157">
        <f t="shared" si="37"/>
        <v>304531.20000000001</v>
      </c>
      <c r="BG157">
        <f t="shared" si="37"/>
        <v>1015104</v>
      </c>
      <c r="BH157">
        <f t="shared" si="37"/>
        <v>3045312</v>
      </c>
      <c r="BI157">
        <f t="shared" si="37"/>
        <v>8628384</v>
      </c>
      <c r="BJ157">
        <f t="shared" si="37"/>
        <v>30453120</v>
      </c>
      <c r="BK157">
        <f t="shared" si="37"/>
        <v>101510400</v>
      </c>
      <c r="BL157" s="145">
        <v>152</v>
      </c>
    </row>
    <row r="158" spans="1:64" ht="17.25" thickBot="1" x14ac:dyDescent="0.25">
      <c r="A158" s="131">
        <v>154</v>
      </c>
      <c r="B158" s="132">
        <v>16312988</v>
      </c>
      <c r="D158" s="131">
        <v>154</v>
      </c>
      <c r="E158" s="132">
        <v>10.2073</v>
      </c>
      <c r="M158">
        <v>154</v>
      </c>
      <c r="N158">
        <f t="shared" si="35"/>
        <v>164716720</v>
      </c>
      <c r="O158">
        <f t="shared" si="39"/>
        <v>329433440</v>
      </c>
      <c r="P158">
        <f t="shared" si="39"/>
        <v>494150160</v>
      </c>
      <c r="Q158">
        <f t="shared" si="39"/>
        <v>658866880</v>
      </c>
      <c r="R158">
        <f t="shared" si="39"/>
        <v>988300320</v>
      </c>
      <c r="S158">
        <f t="shared" si="39"/>
        <v>1153017040</v>
      </c>
      <c r="T158">
        <f t="shared" si="39"/>
        <v>1647167200</v>
      </c>
      <c r="U158">
        <f t="shared" si="39"/>
        <v>2470750800</v>
      </c>
      <c r="V158">
        <f t="shared" si="39"/>
        <v>3953201280</v>
      </c>
      <c r="W158">
        <f t="shared" si="39"/>
        <v>5929801920</v>
      </c>
      <c r="X158">
        <f t="shared" si="39"/>
        <v>8235836000</v>
      </c>
      <c r="Y158">
        <f t="shared" si="39"/>
        <v>9883003200</v>
      </c>
      <c r="Z158">
        <f t="shared" si="39"/>
        <v>15812805120</v>
      </c>
      <c r="AA158">
        <f t="shared" si="39"/>
        <v>16471672000</v>
      </c>
      <c r="AB158">
        <f t="shared" si="39"/>
        <v>24707508000</v>
      </c>
      <c r="AC158">
        <f t="shared" si="39"/>
        <v>39532012800</v>
      </c>
      <c r="AD158">
        <f t="shared" si="39"/>
        <v>59298019200</v>
      </c>
      <c r="AE158">
        <f t="shared" si="40"/>
        <v>69181022400</v>
      </c>
      <c r="AF158">
        <f t="shared" si="40"/>
        <v>90594196000</v>
      </c>
      <c r="AG158">
        <f t="shared" si="40"/>
        <v>115301704000</v>
      </c>
      <c r="AK158">
        <v>152</v>
      </c>
      <c r="AL158" s="24">
        <f t="shared" si="36"/>
        <v>10.16991</v>
      </c>
      <c r="AM158">
        <f t="shared" si="38"/>
        <v>71.189369999999997</v>
      </c>
      <c r="AN158">
        <f t="shared" si="38"/>
        <v>101.6991</v>
      </c>
      <c r="AO158">
        <f t="shared" si="38"/>
        <v>152.54865000000001</v>
      </c>
      <c r="AP158">
        <f t="shared" si="38"/>
        <v>203.3982</v>
      </c>
      <c r="AQ158">
        <f t="shared" si="38"/>
        <v>355.94684999999998</v>
      </c>
      <c r="AR158">
        <f t="shared" si="38"/>
        <v>508.49549999999999</v>
      </c>
      <c r="AS158">
        <f t="shared" si="38"/>
        <v>813.59280000000001</v>
      </c>
      <c r="AT158">
        <f t="shared" si="38"/>
        <v>1220.3892000000001</v>
      </c>
      <c r="AU158">
        <f t="shared" si="38"/>
        <v>1728.8847000000001</v>
      </c>
      <c r="AV158">
        <f t="shared" si="38"/>
        <v>2440.7784000000001</v>
      </c>
      <c r="AW158">
        <f t="shared" si="38"/>
        <v>3356.0702999999999</v>
      </c>
      <c r="AX158">
        <f t="shared" si="38"/>
        <v>4678.1585999999998</v>
      </c>
      <c r="AY158">
        <f t="shared" si="38"/>
        <v>8135.9279999999999</v>
      </c>
      <c r="AZ158">
        <f t="shared" si="38"/>
        <v>15254.865</v>
      </c>
      <c r="BA158">
        <f t="shared" si="38"/>
        <v>25424.774999999998</v>
      </c>
      <c r="BB158">
        <f t="shared" si="38"/>
        <v>40679.64</v>
      </c>
      <c r="BC158">
        <f t="shared" si="37"/>
        <v>101699.09999999999</v>
      </c>
      <c r="BD158">
        <f t="shared" si="37"/>
        <v>152548.65</v>
      </c>
      <c r="BE158">
        <f t="shared" si="37"/>
        <v>244077.84</v>
      </c>
      <c r="BF158">
        <f t="shared" si="37"/>
        <v>305097.3</v>
      </c>
      <c r="BG158">
        <f t="shared" si="37"/>
        <v>1016991</v>
      </c>
      <c r="BH158">
        <f t="shared" si="37"/>
        <v>3050973</v>
      </c>
      <c r="BI158">
        <f t="shared" si="37"/>
        <v>8644423.5</v>
      </c>
      <c r="BJ158">
        <f t="shared" si="37"/>
        <v>30509730</v>
      </c>
      <c r="BK158">
        <f t="shared" si="37"/>
        <v>101699100</v>
      </c>
      <c r="BL158">
        <v>153</v>
      </c>
    </row>
    <row r="159" spans="1:64" ht="17.25" thickBot="1" x14ac:dyDescent="0.25">
      <c r="A159" s="131">
        <v>155</v>
      </c>
      <c r="B159" s="132">
        <v>16471672</v>
      </c>
      <c r="D159" s="131">
        <v>155</v>
      </c>
      <c r="E159" s="132">
        <v>10.225820000000001</v>
      </c>
      <c r="M159">
        <v>155</v>
      </c>
      <c r="N159">
        <f t="shared" si="35"/>
        <v>166308660</v>
      </c>
      <c r="O159">
        <f t="shared" si="39"/>
        <v>332617320</v>
      </c>
      <c r="P159">
        <f t="shared" si="39"/>
        <v>498925980</v>
      </c>
      <c r="Q159">
        <f t="shared" si="39"/>
        <v>665234640</v>
      </c>
      <c r="R159">
        <f t="shared" si="39"/>
        <v>997851960</v>
      </c>
      <c r="S159">
        <f t="shared" si="39"/>
        <v>1164160620</v>
      </c>
      <c r="T159">
        <f t="shared" si="39"/>
        <v>1663086600</v>
      </c>
      <c r="U159">
        <f t="shared" si="39"/>
        <v>2494629900</v>
      </c>
      <c r="V159">
        <f t="shared" si="39"/>
        <v>3991407840</v>
      </c>
      <c r="W159">
        <f t="shared" si="39"/>
        <v>5987111760</v>
      </c>
      <c r="X159">
        <f t="shared" si="39"/>
        <v>8315433000</v>
      </c>
      <c r="Y159">
        <f t="shared" si="39"/>
        <v>9978519600</v>
      </c>
      <c r="Z159">
        <f t="shared" si="39"/>
        <v>15965631360</v>
      </c>
      <c r="AA159">
        <f t="shared" si="39"/>
        <v>16630866000</v>
      </c>
      <c r="AB159">
        <f t="shared" si="39"/>
        <v>24946299000</v>
      </c>
      <c r="AC159">
        <f t="shared" si="39"/>
        <v>39914078400</v>
      </c>
      <c r="AD159">
        <f t="shared" si="39"/>
        <v>59871117600</v>
      </c>
      <c r="AE159">
        <f t="shared" si="40"/>
        <v>69849637200</v>
      </c>
      <c r="AF159">
        <f t="shared" si="40"/>
        <v>91469763000</v>
      </c>
      <c r="AG159">
        <f t="shared" si="40"/>
        <v>116416062000</v>
      </c>
      <c r="AK159">
        <v>153</v>
      </c>
      <c r="AL159" s="24">
        <f t="shared" si="36"/>
        <v>10.18866</v>
      </c>
      <c r="AM159">
        <f t="shared" si="38"/>
        <v>71.320620000000005</v>
      </c>
      <c r="AN159">
        <f t="shared" si="38"/>
        <v>101.8866</v>
      </c>
      <c r="AO159">
        <f t="shared" si="38"/>
        <v>152.82990000000001</v>
      </c>
      <c r="AP159">
        <f t="shared" si="38"/>
        <v>203.7732</v>
      </c>
      <c r="AQ159">
        <f t="shared" si="38"/>
        <v>356.60310000000004</v>
      </c>
      <c r="AR159">
        <f t="shared" si="38"/>
        <v>509.43300000000005</v>
      </c>
      <c r="AS159">
        <f t="shared" si="38"/>
        <v>815.09280000000001</v>
      </c>
      <c r="AT159">
        <f t="shared" si="38"/>
        <v>1222.6392000000001</v>
      </c>
      <c r="AU159">
        <f t="shared" si="38"/>
        <v>1732.0722000000001</v>
      </c>
      <c r="AV159">
        <f t="shared" si="38"/>
        <v>2445.2784000000001</v>
      </c>
      <c r="AW159">
        <f t="shared" si="38"/>
        <v>3362.2578000000003</v>
      </c>
      <c r="AX159">
        <f t="shared" si="38"/>
        <v>4686.7836000000007</v>
      </c>
      <c r="AY159">
        <f t="shared" si="38"/>
        <v>8150.9280000000008</v>
      </c>
      <c r="AZ159">
        <f t="shared" si="38"/>
        <v>15282.990000000002</v>
      </c>
      <c r="BA159">
        <f t="shared" si="38"/>
        <v>25471.65</v>
      </c>
      <c r="BB159">
        <f t="shared" si="38"/>
        <v>40754.639999999999</v>
      </c>
      <c r="BC159">
        <f t="shared" si="37"/>
        <v>101886.6</v>
      </c>
      <c r="BD159">
        <f t="shared" si="37"/>
        <v>152829.9</v>
      </c>
      <c r="BE159">
        <f t="shared" si="37"/>
        <v>244527.84000000003</v>
      </c>
      <c r="BF159">
        <f t="shared" si="37"/>
        <v>305659.8</v>
      </c>
      <c r="BG159">
        <f t="shared" si="37"/>
        <v>1018866</v>
      </c>
      <c r="BH159">
        <f t="shared" si="37"/>
        <v>3056598</v>
      </c>
      <c r="BI159">
        <f t="shared" si="37"/>
        <v>8660361</v>
      </c>
      <c r="BJ159">
        <f t="shared" si="37"/>
        <v>30565980</v>
      </c>
      <c r="BK159">
        <f t="shared" si="37"/>
        <v>101886600</v>
      </c>
      <c r="BL159" s="145">
        <v>154</v>
      </c>
    </row>
    <row r="160" spans="1:64" ht="17.25" thickBot="1" x14ac:dyDescent="0.25">
      <c r="A160" s="131">
        <v>156</v>
      </c>
      <c r="B160" s="132">
        <v>16630866</v>
      </c>
      <c r="D160" s="131">
        <v>156</v>
      </c>
      <c r="E160" s="132">
        <v>10.24423</v>
      </c>
      <c r="M160">
        <v>156</v>
      </c>
      <c r="N160">
        <f t="shared" si="35"/>
        <v>167905720</v>
      </c>
      <c r="O160">
        <f t="shared" si="39"/>
        <v>335811440</v>
      </c>
      <c r="P160">
        <f t="shared" si="39"/>
        <v>503717160</v>
      </c>
      <c r="Q160">
        <f t="shared" si="39"/>
        <v>671622880</v>
      </c>
      <c r="R160">
        <f t="shared" si="39"/>
        <v>1007434320</v>
      </c>
      <c r="S160">
        <f t="shared" si="39"/>
        <v>1175340040</v>
      </c>
      <c r="T160">
        <f t="shared" si="39"/>
        <v>1679057200</v>
      </c>
      <c r="U160">
        <f t="shared" si="39"/>
        <v>2518585800</v>
      </c>
      <c r="V160">
        <f t="shared" si="39"/>
        <v>4029737280</v>
      </c>
      <c r="W160">
        <f t="shared" si="39"/>
        <v>6044605920</v>
      </c>
      <c r="X160">
        <f t="shared" si="39"/>
        <v>8395286000</v>
      </c>
      <c r="Y160">
        <f t="shared" si="39"/>
        <v>10074343200</v>
      </c>
      <c r="Z160">
        <f t="shared" si="39"/>
        <v>16118949120</v>
      </c>
      <c r="AA160">
        <f t="shared" si="39"/>
        <v>16790572000</v>
      </c>
      <c r="AB160">
        <f t="shared" si="39"/>
        <v>25185858000</v>
      </c>
      <c r="AC160">
        <f t="shared" si="39"/>
        <v>40297372800</v>
      </c>
      <c r="AD160">
        <f t="shared" si="39"/>
        <v>60446059200</v>
      </c>
      <c r="AE160">
        <f t="shared" si="40"/>
        <v>70520402400</v>
      </c>
      <c r="AF160">
        <f t="shared" si="40"/>
        <v>92348146000</v>
      </c>
      <c r="AG160">
        <f t="shared" si="40"/>
        <v>117534004000</v>
      </c>
      <c r="AK160">
        <v>154</v>
      </c>
      <c r="AL160" s="24">
        <f t="shared" si="36"/>
        <v>10.2073</v>
      </c>
      <c r="AM160">
        <f t="shared" si="38"/>
        <v>71.451099999999997</v>
      </c>
      <c r="AN160">
        <f t="shared" si="38"/>
        <v>102.07300000000001</v>
      </c>
      <c r="AO160">
        <f t="shared" si="38"/>
        <v>153.1095</v>
      </c>
      <c r="AP160">
        <f t="shared" si="38"/>
        <v>204.14600000000002</v>
      </c>
      <c r="AQ160">
        <f t="shared" si="38"/>
        <v>357.25549999999998</v>
      </c>
      <c r="AR160">
        <f t="shared" si="38"/>
        <v>510.36500000000001</v>
      </c>
      <c r="AS160">
        <f t="shared" si="38"/>
        <v>816.58400000000006</v>
      </c>
      <c r="AT160">
        <f t="shared" si="38"/>
        <v>1224.876</v>
      </c>
      <c r="AU160">
        <f t="shared" si="38"/>
        <v>1735.241</v>
      </c>
      <c r="AV160">
        <f t="shared" si="38"/>
        <v>2449.752</v>
      </c>
      <c r="AW160">
        <f t="shared" si="38"/>
        <v>3368.4090000000001</v>
      </c>
      <c r="AX160">
        <f t="shared" si="38"/>
        <v>4695.3580000000002</v>
      </c>
      <c r="AY160">
        <f t="shared" si="38"/>
        <v>8165.84</v>
      </c>
      <c r="AZ160">
        <f t="shared" si="38"/>
        <v>15310.95</v>
      </c>
      <c r="BA160">
        <f t="shared" si="38"/>
        <v>25518.25</v>
      </c>
      <c r="BB160">
        <f t="shared" ref="BB160:BK175" si="41">BB$5*VLOOKUP($AK160,$D$2:$E$1404,2,FALSE)</f>
        <v>40829.199999999997</v>
      </c>
      <c r="BC160">
        <f t="shared" si="41"/>
        <v>102073</v>
      </c>
      <c r="BD160">
        <f t="shared" si="41"/>
        <v>153109.5</v>
      </c>
      <c r="BE160">
        <f t="shared" si="41"/>
        <v>244975.2</v>
      </c>
      <c r="BF160">
        <f t="shared" si="41"/>
        <v>306219</v>
      </c>
      <c r="BG160">
        <f t="shared" si="41"/>
        <v>1020730</v>
      </c>
      <c r="BH160">
        <f t="shared" si="41"/>
        <v>3062190</v>
      </c>
      <c r="BI160">
        <f t="shared" si="41"/>
        <v>8676205</v>
      </c>
      <c r="BJ160">
        <f t="shared" si="41"/>
        <v>30621900</v>
      </c>
      <c r="BK160">
        <f t="shared" si="41"/>
        <v>102073000</v>
      </c>
      <c r="BL160">
        <v>155</v>
      </c>
    </row>
    <row r="161" spans="1:64" ht="17.25" thickBot="1" x14ac:dyDescent="0.25">
      <c r="A161" s="131">
        <v>157</v>
      </c>
      <c r="B161" s="132">
        <v>16790572</v>
      </c>
      <c r="D161" s="131">
        <v>157</v>
      </c>
      <c r="E161" s="132">
        <v>10.26253</v>
      </c>
      <c r="M161">
        <v>157</v>
      </c>
      <c r="N161">
        <f t="shared" si="35"/>
        <v>169507830</v>
      </c>
      <c r="O161">
        <f t="shared" si="39"/>
        <v>339015660</v>
      </c>
      <c r="P161">
        <f t="shared" si="39"/>
        <v>508523490</v>
      </c>
      <c r="Q161">
        <f t="shared" si="39"/>
        <v>678031320</v>
      </c>
      <c r="R161">
        <f t="shared" si="39"/>
        <v>1017046980</v>
      </c>
      <c r="S161">
        <f t="shared" si="39"/>
        <v>1186554810</v>
      </c>
      <c r="T161">
        <f t="shared" si="39"/>
        <v>1695078300</v>
      </c>
      <c r="U161">
        <f t="shared" si="39"/>
        <v>2542617450</v>
      </c>
      <c r="V161">
        <f t="shared" si="39"/>
        <v>4068187920</v>
      </c>
      <c r="W161">
        <f t="shared" si="39"/>
        <v>6102281880</v>
      </c>
      <c r="X161">
        <f t="shared" si="39"/>
        <v>8475391500</v>
      </c>
      <c r="Y161">
        <f t="shared" si="39"/>
        <v>10170469800</v>
      </c>
      <c r="Z161">
        <f t="shared" si="39"/>
        <v>16272751680</v>
      </c>
      <c r="AA161">
        <f t="shared" si="39"/>
        <v>16950783000</v>
      </c>
      <c r="AB161">
        <f t="shared" si="39"/>
        <v>25426174500</v>
      </c>
      <c r="AC161">
        <f t="shared" si="39"/>
        <v>40681879200</v>
      </c>
      <c r="AD161">
        <f t="shared" si="39"/>
        <v>61022818800</v>
      </c>
      <c r="AE161">
        <f t="shared" si="40"/>
        <v>71193288600</v>
      </c>
      <c r="AF161">
        <f t="shared" si="40"/>
        <v>93229306500</v>
      </c>
      <c r="AG161">
        <f t="shared" si="40"/>
        <v>118655481000</v>
      </c>
      <c r="AK161">
        <v>155</v>
      </c>
      <c r="AL161" s="24">
        <f t="shared" si="36"/>
        <v>10.225820000000001</v>
      </c>
      <c r="AM161">
        <f t="shared" ref="AM161:BB176" si="42">AM$5*VLOOKUP($AK161,$D$2:$E$1404,2,FALSE)</f>
        <v>71.580740000000006</v>
      </c>
      <c r="AN161">
        <f t="shared" si="42"/>
        <v>102.2582</v>
      </c>
      <c r="AO161">
        <f t="shared" si="42"/>
        <v>153.38730000000001</v>
      </c>
      <c r="AP161">
        <f t="shared" si="42"/>
        <v>204.5164</v>
      </c>
      <c r="AQ161">
        <f t="shared" si="42"/>
        <v>357.90370000000001</v>
      </c>
      <c r="AR161">
        <f t="shared" si="42"/>
        <v>511.29100000000005</v>
      </c>
      <c r="AS161">
        <f t="shared" si="42"/>
        <v>818.06560000000002</v>
      </c>
      <c r="AT161">
        <f t="shared" si="42"/>
        <v>1227.0984000000001</v>
      </c>
      <c r="AU161">
        <f t="shared" si="42"/>
        <v>1738.3894</v>
      </c>
      <c r="AV161">
        <f t="shared" si="42"/>
        <v>2454.1968000000002</v>
      </c>
      <c r="AW161">
        <f t="shared" si="42"/>
        <v>3374.5206000000003</v>
      </c>
      <c r="AX161">
        <f t="shared" si="42"/>
        <v>4703.8771999999999</v>
      </c>
      <c r="AY161">
        <f t="shared" si="42"/>
        <v>8180.6560000000009</v>
      </c>
      <c r="AZ161">
        <f t="shared" si="42"/>
        <v>15338.730000000001</v>
      </c>
      <c r="BA161">
        <f t="shared" si="42"/>
        <v>25564.550000000003</v>
      </c>
      <c r="BB161">
        <f t="shared" si="42"/>
        <v>40903.279999999999</v>
      </c>
      <c r="BC161">
        <f t="shared" si="41"/>
        <v>102258.20000000001</v>
      </c>
      <c r="BD161">
        <f t="shared" si="41"/>
        <v>153387.30000000002</v>
      </c>
      <c r="BE161">
        <f t="shared" si="41"/>
        <v>245419.68000000002</v>
      </c>
      <c r="BF161">
        <f t="shared" si="41"/>
        <v>306774.60000000003</v>
      </c>
      <c r="BG161">
        <f t="shared" si="41"/>
        <v>1022582</v>
      </c>
      <c r="BH161">
        <f t="shared" si="41"/>
        <v>3067746</v>
      </c>
      <c r="BI161">
        <f t="shared" si="41"/>
        <v>8691947</v>
      </c>
      <c r="BJ161">
        <f t="shared" si="41"/>
        <v>30677460</v>
      </c>
      <c r="BK161">
        <f t="shared" si="41"/>
        <v>102258200</v>
      </c>
      <c r="BL161" s="145">
        <v>156</v>
      </c>
    </row>
    <row r="162" spans="1:64" ht="17.25" thickBot="1" x14ac:dyDescent="0.25">
      <c r="A162" s="131">
        <v>158</v>
      </c>
      <c r="B162" s="132">
        <v>16950783</v>
      </c>
      <c r="D162" s="131">
        <v>158</v>
      </c>
      <c r="E162" s="132">
        <v>10.280720000000001</v>
      </c>
      <c r="M162">
        <v>158</v>
      </c>
      <c r="N162">
        <f t="shared" si="35"/>
        <v>171115000</v>
      </c>
      <c r="O162">
        <f t="shared" si="39"/>
        <v>342230000</v>
      </c>
      <c r="P162">
        <f t="shared" si="39"/>
        <v>513345000</v>
      </c>
      <c r="Q162">
        <f t="shared" si="39"/>
        <v>684460000</v>
      </c>
      <c r="R162">
        <f t="shared" si="39"/>
        <v>1026690000</v>
      </c>
      <c r="S162">
        <f t="shared" si="39"/>
        <v>1197805000</v>
      </c>
      <c r="T162">
        <f t="shared" si="39"/>
        <v>1711150000</v>
      </c>
      <c r="U162">
        <f t="shared" si="39"/>
        <v>2566725000</v>
      </c>
      <c r="V162">
        <f t="shared" ref="O162:AD178" si="43">(VLOOKUP(V$3,$G$4:$H$23,2,0)*VLOOKUP($M162+1,$A$4:$B$1404,2,0)
)</f>
        <v>4106760000</v>
      </c>
      <c r="W162">
        <f t="shared" si="43"/>
        <v>6160140000</v>
      </c>
      <c r="X162">
        <f t="shared" si="43"/>
        <v>8555750000</v>
      </c>
      <c r="Y162">
        <f t="shared" si="43"/>
        <v>10266900000</v>
      </c>
      <c r="Z162">
        <f t="shared" si="43"/>
        <v>16427040000</v>
      </c>
      <c r="AA162">
        <f t="shared" si="43"/>
        <v>17111500000</v>
      </c>
      <c r="AB162">
        <f t="shared" si="43"/>
        <v>25667250000</v>
      </c>
      <c r="AC162">
        <f t="shared" si="43"/>
        <v>41067600000</v>
      </c>
      <c r="AD162">
        <f t="shared" si="43"/>
        <v>61601400000</v>
      </c>
      <c r="AE162">
        <f t="shared" si="40"/>
        <v>71868300000</v>
      </c>
      <c r="AF162">
        <f t="shared" si="40"/>
        <v>94113250000</v>
      </c>
      <c r="AG162">
        <f t="shared" si="40"/>
        <v>119780500000</v>
      </c>
      <c r="AK162">
        <v>156</v>
      </c>
      <c r="AL162" s="24">
        <f t="shared" si="36"/>
        <v>10.24423</v>
      </c>
      <c r="AM162">
        <f t="shared" si="42"/>
        <v>71.709609999999998</v>
      </c>
      <c r="AN162">
        <f t="shared" si="42"/>
        <v>102.4423</v>
      </c>
      <c r="AO162">
        <f t="shared" si="42"/>
        <v>153.66345000000001</v>
      </c>
      <c r="AP162">
        <f t="shared" si="42"/>
        <v>204.88460000000001</v>
      </c>
      <c r="AQ162">
        <f t="shared" si="42"/>
        <v>358.54804999999999</v>
      </c>
      <c r="AR162">
        <f t="shared" si="42"/>
        <v>512.2115</v>
      </c>
      <c r="AS162">
        <f t="shared" si="42"/>
        <v>819.53840000000002</v>
      </c>
      <c r="AT162">
        <f t="shared" si="42"/>
        <v>1229.3076000000001</v>
      </c>
      <c r="AU162">
        <f t="shared" si="42"/>
        <v>1741.5191</v>
      </c>
      <c r="AV162">
        <f t="shared" si="42"/>
        <v>2458.6152000000002</v>
      </c>
      <c r="AW162">
        <f t="shared" si="42"/>
        <v>3380.5958999999998</v>
      </c>
      <c r="AX162">
        <f t="shared" si="42"/>
        <v>4712.3458000000001</v>
      </c>
      <c r="AY162">
        <f t="shared" si="42"/>
        <v>8195.384</v>
      </c>
      <c r="AZ162">
        <f t="shared" si="42"/>
        <v>15366.344999999999</v>
      </c>
      <c r="BA162">
        <f t="shared" si="42"/>
        <v>25610.575000000001</v>
      </c>
      <c r="BB162">
        <f t="shared" si="42"/>
        <v>40976.92</v>
      </c>
      <c r="BC162">
        <f t="shared" si="41"/>
        <v>102442.3</v>
      </c>
      <c r="BD162">
        <f t="shared" si="41"/>
        <v>153663.45000000001</v>
      </c>
      <c r="BE162">
        <f t="shared" si="41"/>
        <v>245861.52</v>
      </c>
      <c r="BF162">
        <f t="shared" si="41"/>
        <v>307326.90000000002</v>
      </c>
      <c r="BG162">
        <f t="shared" si="41"/>
        <v>1024423</v>
      </c>
      <c r="BH162">
        <f t="shared" si="41"/>
        <v>3073269</v>
      </c>
      <c r="BI162">
        <f t="shared" si="41"/>
        <v>8707595.5</v>
      </c>
      <c r="BJ162">
        <f t="shared" si="41"/>
        <v>30732690</v>
      </c>
      <c r="BK162">
        <f t="shared" si="41"/>
        <v>102442300</v>
      </c>
      <c r="BL162">
        <v>157</v>
      </c>
    </row>
    <row r="163" spans="1:64" ht="17.25" thickBot="1" x14ac:dyDescent="0.25">
      <c r="A163" s="131">
        <v>159</v>
      </c>
      <c r="B163" s="132">
        <v>17111500</v>
      </c>
      <c r="D163" s="131">
        <v>159</v>
      </c>
      <c r="E163" s="132">
        <v>10.2988</v>
      </c>
      <c r="M163">
        <v>159</v>
      </c>
      <c r="N163">
        <f t="shared" si="35"/>
        <v>172727220</v>
      </c>
      <c r="O163">
        <f t="shared" si="43"/>
        <v>345454440</v>
      </c>
      <c r="P163">
        <f t="shared" si="43"/>
        <v>518181660</v>
      </c>
      <c r="Q163">
        <f t="shared" si="43"/>
        <v>690908880</v>
      </c>
      <c r="R163">
        <f t="shared" si="43"/>
        <v>1036363320</v>
      </c>
      <c r="S163">
        <f t="shared" si="43"/>
        <v>1209090540</v>
      </c>
      <c r="T163">
        <f t="shared" si="43"/>
        <v>1727272200</v>
      </c>
      <c r="U163">
        <f t="shared" si="43"/>
        <v>2590908300</v>
      </c>
      <c r="V163">
        <f t="shared" si="43"/>
        <v>4145453280</v>
      </c>
      <c r="W163">
        <f t="shared" si="43"/>
        <v>6218179920</v>
      </c>
      <c r="X163">
        <f t="shared" si="43"/>
        <v>8636361000</v>
      </c>
      <c r="Y163">
        <f t="shared" si="43"/>
        <v>10363633200</v>
      </c>
      <c r="Z163">
        <f t="shared" si="43"/>
        <v>16581813120</v>
      </c>
      <c r="AA163">
        <f t="shared" si="43"/>
        <v>17272722000</v>
      </c>
      <c r="AB163">
        <f t="shared" si="43"/>
        <v>25909083000</v>
      </c>
      <c r="AC163">
        <f t="shared" si="43"/>
        <v>41454532800</v>
      </c>
      <c r="AD163">
        <f t="shared" si="43"/>
        <v>62181799200</v>
      </c>
      <c r="AE163">
        <f t="shared" si="40"/>
        <v>72545432400</v>
      </c>
      <c r="AF163">
        <f t="shared" si="40"/>
        <v>94999971000</v>
      </c>
      <c r="AG163">
        <f t="shared" si="40"/>
        <v>120909054000</v>
      </c>
      <c r="AK163">
        <v>157</v>
      </c>
      <c r="AL163" s="24">
        <f t="shared" si="36"/>
        <v>10.26253</v>
      </c>
      <c r="AM163">
        <f t="shared" si="42"/>
        <v>71.837710000000001</v>
      </c>
      <c r="AN163">
        <f t="shared" si="42"/>
        <v>102.6253</v>
      </c>
      <c r="AO163">
        <f t="shared" si="42"/>
        <v>153.93795</v>
      </c>
      <c r="AP163">
        <f t="shared" si="42"/>
        <v>205.25059999999999</v>
      </c>
      <c r="AQ163">
        <f t="shared" si="42"/>
        <v>359.18855000000002</v>
      </c>
      <c r="AR163">
        <f t="shared" si="42"/>
        <v>513.12649999999996</v>
      </c>
      <c r="AS163">
        <f t="shared" si="42"/>
        <v>821.00239999999997</v>
      </c>
      <c r="AT163">
        <f t="shared" si="42"/>
        <v>1231.5036</v>
      </c>
      <c r="AU163">
        <f t="shared" si="42"/>
        <v>1744.6301000000001</v>
      </c>
      <c r="AV163">
        <f t="shared" si="42"/>
        <v>2463.0072</v>
      </c>
      <c r="AW163">
        <f t="shared" si="42"/>
        <v>3386.6349</v>
      </c>
      <c r="AX163">
        <f t="shared" si="42"/>
        <v>4720.7637999999997</v>
      </c>
      <c r="AY163">
        <f t="shared" si="42"/>
        <v>8210.0239999999994</v>
      </c>
      <c r="AZ163">
        <f t="shared" si="42"/>
        <v>15393.795</v>
      </c>
      <c r="BA163">
        <f t="shared" si="42"/>
        <v>25656.325000000001</v>
      </c>
      <c r="BB163">
        <f t="shared" si="42"/>
        <v>41050.120000000003</v>
      </c>
      <c r="BC163">
        <f t="shared" si="41"/>
        <v>102625.3</v>
      </c>
      <c r="BD163">
        <f t="shared" si="41"/>
        <v>153937.95000000001</v>
      </c>
      <c r="BE163">
        <f t="shared" si="41"/>
        <v>246300.72</v>
      </c>
      <c r="BF163">
        <f t="shared" si="41"/>
        <v>307875.90000000002</v>
      </c>
      <c r="BG163">
        <f t="shared" si="41"/>
        <v>1026253</v>
      </c>
      <c r="BH163">
        <f t="shared" si="41"/>
        <v>3078759</v>
      </c>
      <c r="BI163">
        <f t="shared" si="41"/>
        <v>8723150.5</v>
      </c>
      <c r="BJ163">
        <f t="shared" si="41"/>
        <v>30787590</v>
      </c>
      <c r="BK163">
        <f t="shared" si="41"/>
        <v>102625300</v>
      </c>
      <c r="BL163" s="145">
        <v>158</v>
      </c>
    </row>
    <row r="164" spans="1:64" ht="17.25" thickBot="1" x14ac:dyDescent="0.25">
      <c r="A164" s="131">
        <v>160</v>
      </c>
      <c r="B164" s="132">
        <v>17272722</v>
      </c>
      <c r="D164" s="131">
        <v>160</v>
      </c>
      <c r="E164" s="132">
        <v>10.31677</v>
      </c>
      <c r="M164">
        <v>160</v>
      </c>
      <c r="N164">
        <f t="shared" si="35"/>
        <v>174344500</v>
      </c>
      <c r="O164">
        <f t="shared" si="43"/>
        <v>348689000</v>
      </c>
      <c r="P164">
        <f t="shared" si="43"/>
        <v>523033500</v>
      </c>
      <c r="Q164">
        <f t="shared" si="43"/>
        <v>697378000</v>
      </c>
      <c r="R164">
        <f t="shared" si="43"/>
        <v>1046067000</v>
      </c>
      <c r="S164">
        <f t="shared" si="43"/>
        <v>1220411500</v>
      </c>
      <c r="T164">
        <f t="shared" si="43"/>
        <v>1743445000</v>
      </c>
      <c r="U164">
        <f t="shared" si="43"/>
        <v>2615167500</v>
      </c>
      <c r="V164">
        <f t="shared" si="43"/>
        <v>4184268000</v>
      </c>
      <c r="W164">
        <f t="shared" si="43"/>
        <v>6276402000</v>
      </c>
      <c r="X164">
        <f t="shared" si="43"/>
        <v>8717225000</v>
      </c>
      <c r="Y164">
        <f t="shared" si="43"/>
        <v>10460670000</v>
      </c>
      <c r="Z164">
        <f t="shared" si="43"/>
        <v>16737072000</v>
      </c>
      <c r="AA164">
        <f t="shared" si="43"/>
        <v>17434450000</v>
      </c>
      <c r="AB164">
        <f t="shared" si="43"/>
        <v>26151675000</v>
      </c>
      <c r="AC164">
        <f t="shared" si="43"/>
        <v>41842680000</v>
      </c>
      <c r="AD164">
        <f t="shared" si="43"/>
        <v>62764020000</v>
      </c>
      <c r="AE164">
        <f t="shared" si="40"/>
        <v>73224690000</v>
      </c>
      <c r="AF164">
        <f t="shared" si="40"/>
        <v>95889475000</v>
      </c>
      <c r="AG164">
        <f t="shared" si="40"/>
        <v>122041150000</v>
      </c>
      <c r="AK164">
        <v>158</v>
      </c>
      <c r="AL164" s="24">
        <f t="shared" si="36"/>
        <v>10.280720000000001</v>
      </c>
      <c r="AM164">
        <f t="shared" si="42"/>
        <v>71.965040000000002</v>
      </c>
      <c r="AN164">
        <f t="shared" si="42"/>
        <v>102.80720000000001</v>
      </c>
      <c r="AO164">
        <f t="shared" si="42"/>
        <v>154.21080000000001</v>
      </c>
      <c r="AP164">
        <f t="shared" si="42"/>
        <v>205.61440000000002</v>
      </c>
      <c r="AQ164">
        <f t="shared" si="42"/>
        <v>359.8252</v>
      </c>
      <c r="AR164">
        <f t="shared" si="42"/>
        <v>514.03600000000006</v>
      </c>
      <c r="AS164">
        <f t="shared" si="42"/>
        <v>822.45760000000007</v>
      </c>
      <c r="AT164">
        <f t="shared" si="42"/>
        <v>1233.6864</v>
      </c>
      <c r="AU164">
        <f t="shared" si="42"/>
        <v>1747.7224000000001</v>
      </c>
      <c r="AV164">
        <f t="shared" si="42"/>
        <v>2467.3728000000001</v>
      </c>
      <c r="AW164">
        <f t="shared" si="42"/>
        <v>3392.6376</v>
      </c>
      <c r="AX164">
        <f t="shared" si="42"/>
        <v>4729.1311999999998</v>
      </c>
      <c r="AY164">
        <f t="shared" si="42"/>
        <v>8224.5760000000009</v>
      </c>
      <c r="AZ164">
        <f t="shared" si="42"/>
        <v>15421.08</v>
      </c>
      <c r="BA164">
        <f t="shared" si="42"/>
        <v>25701.800000000003</v>
      </c>
      <c r="BB164">
        <f t="shared" si="42"/>
        <v>41122.880000000005</v>
      </c>
      <c r="BC164">
        <f t="shared" si="41"/>
        <v>102807.20000000001</v>
      </c>
      <c r="BD164">
        <f t="shared" si="41"/>
        <v>154210.80000000002</v>
      </c>
      <c r="BE164">
        <f t="shared" si="41"/>
        <v>246737.28</v>
      </c>
      <c r="BF164">
        <f t="shared" si="41"/>
        <v>308421.60000000003</v>
      </c>
      <c r="BG164">
        <f t="shared" si="41"/>
        <v>1028072</v>
      </c>
      <c r="BH164">
        <f t="shared" si="41"/>
        <v>3084216</v>
      </c>
      <c r="BI164">
        <f t="shared" si="41"/>
        <v>8738612</v>
      </c>
      <c r="BJ164">
        <f t="shared" si="41"/>
        <v>30842160</v>
      </c>
      <c r="BK164">
        <f t="shared" si="41"/>
        <v>102807200</v>
      </c>
      <c r="BL164">
        <v>159</v>
      </c>
    </row>
    <row r="165" spans="1:64" ht="17.25" thickBot="1" x14ac:dyDescent="0.25">
      <c r="A165" s="131">
        <v>161</v>
      </c>
      <c r="B165" s="132">
        <v>17434450</v>
      </c>
      <c r="D165" s="131">
        <v>161</v>
      </c>
      <c r="E165" s="132">
        <v>10.334630000000001</v>
      </c>
      <c r="M165">
        <v>161</v>
      </c>
      <c r="N165">
        <f t="shared" si="35"/>
        <v>175966770</v>
      </c>
      <c r="O165">
        <f t="shared" si="43"/>
        <v>351933540</v>
      </c>
      <c r="P165">
        <f t="shared" si="43"/>
        <v>527900310</v>
      </c>
      <c r="Q165">
        <f t="shared" si="43"/>
        <v>703867080</v>
      </c>
      <c r="R165">
        <f t="shared" si="43"/>
        <v>1055800620</v>
      </c>
      <c r="S165">
        <f t="shared" si="43"/>
        <v>1231767390</v>
      </c>
      <c r="T165">
        <f t="shared" si="43"/>
        <v>1759667700</v>
      </c>
      <c r="U165">
        <f t="shared" si="43"/>
        <v>2639501550</v>
      </c>
      <c r="V165">
        <f t="shared" si="43"/>
        <v>4223202480</v>
      </c>
      <c r="W165">
        <f t="shared" si="43"/>
        <v>6334803720</v>
      </c>
      <c r="X165">
        <f t="shared" si="43"/>
        <v>8798338500</v>
      </c>
      <c r="Y165">
        <f t="shared" si="43"/>
        <v>10558006200</v>
      </c>
      <c r="Z165">
        <f t="shared" si="43"/>
        <v>16892809920</v>
      </c>
      <c r="AA165">
        <f t="shared" si="43"/>
        <v>17596677000</v>
      </c>
      <c r="AB165">
        <f t="shared" si="43"/>
        <v>26395015500</v>
      </c>
      <c r="AC165">
        <f t="shared" si="43"/>
        <v>42232024800</v>
      </c>
      <c r="AD165">
        <f t="shared" si="43"/>
        <v>63348037200</v>
      </c>
      <c r="AE165">
        <f t="shared" si="40"/>
        <v>73906043400</v>
      </c>
      <c r="AF165">
        <f t="shared" si="40"/>
        <v>96781723500</v>
      </c>
      <c r="AG165">
        <f t="shared" si="40"/>
        <v>123176739000</v>
      </c>
      <c r="AK165">
        <v>159</v>
      </c>
      <c r="AL165" s="24">
        <f t="shared" si="36"/>
        <v>10.2988</v>
      </c>
      <c r="AM165">
        <f t="shared" si="42"/>
        <v>72.0916</v>
      </c>
      <c r="AN165">
        <f t="shared" si="42"/>
        <v>102.988</v>
      </c>
      <c r="AO165">
        <f t="shared" si="42"/>
        <v>154.482</v>
      </c>
      <c r="AP165">
        <f t="shared" si="42"/>
        <v>205.976</v>
      </c>
      <c r="AQ165">
        <f t="shared" si="42"/>
        <v>360.45799999999997</v>
      </c>
      <c r="AR165">
        <f t="shared" si="42"/>
        <v>514.94000000000005</v>
      </c>
      <c r="AS165">
        <f t="shared" si="42"/>
        <v>823.904</v>
      </c>
      <c r="AT165">
        <f t="shared" si="42"/>
        <v>1235.856</v>
      </c>
      <c r="AU165">
        <f t="shared" si="42"/>
        <v>1750.796</v>
      </c>
      <c r="AV165">
        <f t="shared" si="42"/>
        <v>2471.712</v>
      </c>
      <c r="AW165">
        <f t="shared" si="42"/>
        <v>3398.6039999999998</v>
      </c>
      <c r="AX165">
        <f t="shared" si="42"/>
        <v>4737.4480000000003</v>
      </c>
      <c r="AY165">
        <f t="shared" si="42"/>
        <v>8239.0400000000009</v>
      </c>
      <c r="AZ165">
        <f t="shared" si="42"/>
        <v>15448.2</v>
      </c>
      <c r="BA165">
        <f t="shared" si="42"/>
        <v>25747</v>
      </c>
      <c r="BB165">
        <f t="shared" si="42"/>
        <v>41195.199999999997</v>
      </c>
      <c r="BC165">
        <f t="shared" si="41"/>
        <v>102988</v>
      </c>
      <c r="BD165">
        <f t="shared" si="41"/>
        <v>154482</v>
      </c>
      <c r="BE165">
        <f t="shared" si="41"/>
        <v>247171.20000000001</v>
      </c>
      <c r="BF165">
        <f t="shared" si="41"/>
        <v>308964</v>
      </c>
      <c r="BG165">
        <f t="shared" si="41"/>
        <v>1029880</v>
      </c>
      <c r="BH165">
        <f t="shared" si="41"/>
        <v>3089640</v>
      </c>
      <c r="BI165">
        <f t="shared" si="41"/>
        <v>8753980</v>
      </c>
      <c r="BJ165">
        <f t="shared" si="41"/>
        <v>30896400</v>
      </c>
      <c r="BK165">
        <f t="shared" si="41"/>
        <v>102988000</v>
      </c>
      <c r="BL165" s="145">
        <v>160</v>
      </c>
    </row>
    <row r="166" spans="1:64" ht="17.25" thickBot="1" x14ac:dyDescent="0.25">
      <c r="A166" s="131">
        <v>162</v>
      </c>
      <c r="B166" s="132">
        <v>17596677</v>
      </c>
      <c r="D166" s="131">
        <v>162</v>
      </c>
      <c r="E166" s="132">
        <v>10.35239</v>
      </c>
      <c r="M166">
        <v>162</v>
      </c>
      <c r="N166">
        <f t="shared" si="35"/>
        <v>177594050</v>
      </c>
      <c r="O166">
        <f t="shared" si="43"/>
        <v>355188100</v>
      </c>
      <c r="P166">
        <f t="shared" si="43"/>
        <v>532782150</v>
      </c>
      <c r="Q166">
        <f t="shared" si="43"/>
        <v>710376200</v>
      </c>
      <c r="R166">
        <f t="shared" si="43"/>
        <v>1065564300</v>
      </c>
      <c r="S166">
        <f t="shared" si="43"/>
        <v>1243158350</v>
      </c>
      <c r="T166">
        <f t="shared" si="43"/>
        <v>1775940500</v>
      </c>
      <c r="U166">
        <f t="shared" si="43"/>
        <v>2663910750</v>
      </c>
      <c r="V166">
        <f t="shared" si="43"/>
        <v>4262257200</v>
      </c>
      <c r="W166">
        <f t="shared" si="43"/>
        <v>6393385800</v>
      </c>
      <c r="X166">
        <f t="shared" si="43"/>
        <v>8879702500</v>
      </c>
      <c r="Y166">
        <f t="shared" si="43"/>
        <v>10655643000</v>
      </c>
      <c r="Z166">
        <f t="shared" si="43"/>
        <v>17049028800</v>
      </c>
      <c r="AA166">
        <f t="shared" si="43"/>
        <v>17759405000</v>
      </c>
      <c r="AB166">
        <f t="shared" si="43"/>
        <v>26639107500</v>
      </c>
      <c r="AC166">
        <f t="shared" si="43"/>
        <v>42622572000</v>
      </c>
      <c r="AD166">
        <f t="shared" si="43"/>
        <v>63933858000</v>
      </c>
      <c r="AE166">
        <f t="shared" si="40"/>
        <v>74589501000</v>
      </c>
      <c r="AF166">
        <f t="shared" si="40"/>
        <v>97676727500</v>
      </c>
      <c r="AG166">
        <f t="shared" si="40"/>
        <v>124315835000</v>
      </c>
      <c r="AK166">
        <v>160</v>
      </c>
      <c r="AL166" s="24">
        <f t="shared" si="36"/>
        <v>10.31677</v>
      </c>
      <c r="AM166">
        <f t="shared" si="42"/>
        <v>72.217389999999995</v>
      </c>
      <c r="AN166">
        <f t="shared" si="42"/>
        <v>103.1677</v>
      </c>
      <c r="AO166">
        <f t="shared" si="42"/>
        <v>154.75155000000001</v>
      </c>
      <c r="AP166">
        <f t="shared" si="42"/>
        <v>206.33539999999999</v>
      </c>
      <c r="AQ166">
        <f t="shared" si="42"/>
        <v>361.08695</v>
      </c>
      <c r="AR166">
        <f t="shared" si="42"/>
        <v>515.83849999999995</v>
      </c>
      <c r="AS166">
        <f t="shared" si="42"/>
        <v>825.34159999999997</v>
      </c>
      <c r="AT166">
        <f t="shared" si="42"/>
        <v>1238.0124000000001</v>
      </c>
      <c r="AU166">
        <f t="shared" si="42"/>
        <v>1753.8508999999999</v>
      </c>
      <c r="AV166">
        <f t="shared" si="42"/>
        <v>2476.0248000000001</v>
      </c>
      <c r="AW166">
        <f t="shared" si="42"/>
        <v>3404.5340999999999</v>
      </c>
      <c r="AX166">
        <f t="shared" si="42"/>
        <v>4745.7142000000003</v>
      </c>
      <c r="AY166">
        <f t="shared" si="42"/>
        <v>8253.4159999999993</v>
      </c>
      <c r="AZ166">
        <f t="shared" si="42"/>
        <v>15475.155000000001</v>
      </c>
      <c r="BA166">
        <f t="shared" si="42"/>
        <v>25791.924999999999</v>
      </c>
      <c r="BB166">
        <f t="shared" si="42"/>
        <v>41267.08</v>
      </c>
      <c r="BC166">
        <f t="shared" si="41"/>
        <v>103167.7</v>
      </c>
      <c r="BD166">
        <f t="shared" si="41"/>
        <v>154751.54999999999</v>
      </c>
      <c r="BE166">
        <f t="shared" si="41"/>
        <v>247602.48</v>
      </c>
      <c r="BF166">
        <f t="shared" si="41"/>
        <v>309503.09999999998</v>
      </c>
      <c r="BG166">
        <f t="shared" si="41"/>
        <v>1031677</v>
      </c>
      <c r="BH166">
        <f t="shared" si="41"/>
        <v>3095031</v>
      </c>
      <c r="BI166">
        <f t="shared" si="41"/>
        <v>8769254.5</v>
      </c>
      <c r="BJ166">
        <f t="shared" si="41"/>
        <v>30950310</v>
      </c>
      <c r="BK166">
        <f t="shared" si="41"/>
        <v>103167700</v>
      </c>
      <c r="BL166">
        <v>161</v>
      </c>
    </row>
    <row r="167" spans="1:64" ht="17.25" thickBot="1" x14ac:dyDescent="0.25">
      <c r="A167" s="131">
        <v>163</v>
      </c>
      <c r="B167" s="132">
        <v>17759405</v>
      </c>
      <c r="D167" s="131">
        <v>163</v>
      </c>
      <c r="E167" s="132">
        <v>10.370039999999999</v>
      </c>
      <c r="M167">
        <v>163</v>
      </c>
      <c r="N167">
        <f t="shared" si="35"/>
        <v>179226330</v>
      </c>
      <c r="O167">
        <f t="shared" si="43"/>
        <v>358452660</v>
      </c>
      <c r="P167">
        <f t="shared" si="43"/>
        <v>537678990</v>
      </c>
      <c r="Q167">
        <f t="shared" si="43"/>
        <v>716905320</v>
      </c>
      <c r="R167">
        <f t="shared" si="43"/>
        <v>1075357980</v>
      </c>
      <c r="S167">
        <f t="shared" si="43"/>
        <v>1254584310</v>
      </c>
      <c r="T167">
        <f t="shared" si="43"/>
        <v>1792263300</v>
      </c>
      <c r="U167">
        <f t="shared" si="43"/>
        <v>2688394950</v>
      </c>
      <c r="V167">
        <f t="shared" si="43"/>
        <v>4301431920</v>
      </c>
      <c r="W167">
        <f t="shared" si="43"/>
        <v>6452147880</v>
      </c>
      <c r="X167">
        <f t="shared" si="43"/>
        <v>8961316500</v>
      </c>
      <c r="Y167">
        <f t="shared" si="43"/>
        <v>10753579800</v>
      </c>
      <c r="Z167">
        <f t="shared" si="43"/>
        <v>17205727680</v>
      </c>
      <c r="AA167">
        <f t="shared" si="43"/>
        <v>17922633000</v>
      </c>
      <c r="AB167">
        <f t="shared" si="43"/>
        <v>26883949500</v>
      </c>
      <c r="AC167">
        <f t="shared" si="43"/>
        <v>43014319200</v>
      </c>
      <c r="AD167">
        <f t="shared" si="43"/>
        <v>64521478800</v>
      </c>
      <c r="AE167">
        <f t="shared" si="40"/>
        <v>75275058600</v>
      </c>
      <c r="AF167">
        <f t="shared" si="40"/>
        <v>98574481500</v>
      </c>
      <c r="AG167">
        <f t="shared" si="40"/>
        <v>125458431000</v>
      </c>
      <c r="AK167">
        <v>161</v>
      </c>
      <c r="AL167" s="24">
        <f t="shared" si="36"/>
        <v>10.334630000000001</v>
      </c>
      <c r="AM167">
        <f t="shared" si="42"/>
        <v>72.342410000000001</v>
      </c>
      <c r="AN167">
        <f t="shared" si="42"/>
        <v>103.34630000000001</v>
      </c>
      <c r="AO167">
        <f t="shared" si="42"/>
        <v>155.01945000000001</v>
      </c>
      <c r="AP167">
        <f t="shared" si="42"/>
        <v>206.69260000000003</v>
      </c>
      <c r="AQ167">
        <f t="shared" si="42"/>
        <v>361.71205000000003</v>
      </c>
      <c r="AR167">
        <f t="shared" si="42"/>
        <v>516.73149999999998</v>
      </c>
      <c r="AS167">
        <f t="shared" si="42"/>
        <v>826.77040000000011</v>
      </c>
      <c r="AT167">
        <f t="shared" si="42"/>
        <v>1240.1556</v>
      </c>
      <c r="AU167">
        <f t="shared" si="42"/>
        <v>1756.8871000000001</v>
      </c>
      <c r="AV167">
        <f t="shared" si="42"/>
        <v>2480.3112000000001</v>
      </c>
      <c r="AW167">
        <f t="shared" si="42"/>
        <v>3410.4279000000001</v>
      </c>
      <c r="AX167">
        <f t="shared" si="42"/>
        <v>4753.9297999999999</v>
      </c>
      <c r="AY167">
        <f t="shared" si="42"/>
        <v>8267.7039999999997</v>
      </c>
      <c r="AZ167">
        <f t="shared" si="42"/>
        <v>15501.945000000002</v>
      </c>
      <c r="BA167">
        <f t="shared" si="42"/>
        <v>25836.575000000001</v>
      </c>
      <c r="BB167">
        <f t="shared" si="42"/>
        <v>41338.520000000004</v>
      </c>
      <c r="BC167">
        <f t="shared" si="41"/>
        <v>103346.3</v>
      </c>
      <c r="BD167">
        <f t="shared" si="41"/>
        <v>155019.45000000001</v>
      </c>
      <c r="BE167">
        <f t="shared" si="41"/>
        <v>248031.12000000002</v>
      </c>
      <c r="BF167">
        <f t="shared" si="41"/>
        <v>310038.90000000002</v>
      </c>
      <c r="BG167">
        <f t="shared" si="41"/>
        <v>1033463.0000000001</v>
      </c>
      <c r="BH167">
        <f t="shared" si="41"/>
        <v>3100389</v>
      </c>
      <c r="BI167">
        <f t="shared" si="41"/>
        <v>8784435.5</v>
      </c>
      <c r="BJ167">
        <f t="shared" si="41"/>
        <v>31003890.000000004</v>
      </c>
      <c r="BK167">
        <f t="shared" si="41"/>
        <v>103346300</v>
      </c>
      <c r="BL167" s="145">
        <v>162</v>
      </c>
    </row>
    <row r="168" spans="1:64" ht="17.25" thickBot="1" x14ac:dyDescent="0.25">
      <c r="A168" s="131">
        <v>164</v>
      </c>
      <c r="B168" s="132">
        <v>17922633</v>
      </c>
      <c r="D168" s="131">
        <v>164</v>
      </c>
      <c r="E168" s="132">
        <v>10.387589999999999</v>
      </c>
      <c r="M168">
        <v>164</v>
      </c>
      <c r="N168">
        <f t="shared" si="35"/>
        <v>180863550</v>
      </c>
      <c r="O168">
        <f t="shared" si="43"/>
        <v>361727100</v>
      </c>
      <c r="P168">
        <f t="shared" si="43"/>
        <v>542590650</v>
      </c>
      <c r="Q168">
        <f t="shared" si="43"/>
        <v>723454200</v>
      </c>
      <c r="R168">
        <f t="shared" si="43"/>
        <v>1085181300</v>
      </c>
      <c r="S168">
        <f t="shared" si="43"/>
        <v>1266044850</v>
      </c>
      <c r="T168">
        <f t="shared" si="43"/>
        <v>1808635500</v>
      </c>
      <c r="U168">
        <f t="shared" si="43"/>
        <v>2712953250</v>
      </c>
      <c r="V168">
        <f t="shared" si="43"/>
        <v>4340725200</v>
      </c>
      <c r="W168">
        <f t="shared" si="43"/>
        <v>6511087800</v>
      </c>
      <c r="X168">
        <f t="shared" si="43"/>
        <v>9043177500</v>
      </c>
      <c r="Y168">
        <f t="shared" si="43"/>
        <v>10851813000</v>
      </c>
      <c r="Z168">
        <f t="shared" si="43"/>
        <v>17362900800</v>
      </c>
      <c r="AA168">
        <f t="shared" si="43"/>
        <v>18086355000</v>
      </c>
      <c r="AB168">
        <f t="shared" si="43"/>
        <v>27129532500</v>
      </c>
      <c r="AC168">
        <f t="shared" si="43"/>
        <v>43407252000</v>
      </c>
      <c r="AD168">
        <f t="shared" si="43"/>
        <v>65110878000</v>
      </c>
      <c r="AE168">
        <f t="shared" ref="AE168:AG187" si="44">(VLOOKUP(AE$3,$G$4:$H$23,2,0)*VLOOKUP($M168+1,$A$4:$B$1404,2,0)
)</f>
        <v>75962691000</v>
      </c>
      <c r="AF168">
        <f t="shared" si="44"/>
        <v>99474952500</v>
      </c>
      <c r="AG168">
        <f t="shared" si="44"/>
        <v>126604485000</v>
      </c>
      <c r="AK168">
        <v>162</v>
      </c>
      <c r="AL168" s="24">
        <f t="shared" si="36"/>
        <v>10.35239</v>
      </c>
      <c r="AM168">
        <f t="shared" si="42"/>
        <v>72.466729999999998</v>
      </c>
      <c r="AN168">
        <f t="shared" si="42"/>
        <v>103.5239</v>
      </c>
      <c r="AO168">
        <f t="shared" si="42"/>
        <v>155.28584999999998</v>
      </c>
      <c r="AP168">
        <f t="shared" si="42"/>
        <v>207.0478</v>
      </c>
      <c r="AQ168">
        <f t="shared" si="42"/>
        <v>362.33364999999998</v>
      </c>
      <c r="AR168">
        <f t="shared" si="42"/>
        <v>517.61950000000002</v>
      </c>
      <c r="AS168">
        <f t="shared" si="42"/>
        <v>828.19119999999998</v>
      </c>
      <c r="AT168">
        <f t="shared" si="42"/>
        <v>1242.2867999999999</v>
      </c>
      <c r="AU168">
        <f t="shared" si="42"/>
        <v>1759.9062999999999</v>
      </c>
      <c r="AV168">
        <f t="shared" si="42"/>
        <v>2484.5735999999997</v>
      </c>
      <c r="AW168">
        <f t="shared" si="42"/>
        <v>3416.2887000000001</v>
      </c>
      <c r="AX168">
        <f t="shared" si="42"/>
        <v>4762.0994000000001</v>
      </c>
      <c r="AY168">
        <f t="shared" si="42"/>
        <v>8281.9120000000003</v>
      </c>
      <c r="AZ168">
        <f t="shared" si="42"/>
        <v>15528.584999999999</v>
      </c>
      <c r="BA168">
        <f t="shared" si="42"/>
        <v>25880.974999999999</v>
      </c>
      <c r="BB168">
        <f t="shared" si="42"/>
        <v>41409.56</v>
      </c>
      <c r="BC168">
        <f t="shared" si="41"/>
        <v>103523.9</v>
      </c>
      <c r="BD168">
        <f t="shared" si="41"/>
        <v>155285.85</v>
      </c>
      <c r="BE168">
        <f t="shared" si="41"/>
        <v>248457.36</v>
      </c>
      <c r="BF168">
        <f t="shared" si="41"/>
        <v>310571.7</v>
      </c>
      <c r="BG168">
        <f t="shared" si="41"/>
        <v>1035239</v>
      </c>
      <c r="BH168">
        <f t="shared" si="41"/>
        <v>3105717</v>
      </c>
      <c r="BI168">
        <f t="shared" si="41"/>
        <v>8799531.5</v>
      </c>
      <c r="BJ168">
        <f t="shared" si="41"/>
        <v>31057170</v>
      </c>
      <c r="BK168">
        <f t="shared" si="41"/>
        <v>103523900</v>
      </c>
      <c r="BL168">
        <v>163</v>
      </c>
    </row>
    <row r="169" spans="1:64" ht="17.25" thickBot="1" x14ac:dyDescent="0.25">
      <c r="A169" s="131">
        <v>165</v>
      </c>
      <c r="B169" s="132">
        <v>18086355</v>
      </c>
      <c r="D169" s="131">
        <v>165</v>
      </c>
      <c r="E169" s="132">
        <v>10.40504</v>
      </c>
      <c r="M169">
        <v>165</v>
      </c>
      <c r="N169">
        <f t="shared" si="35"/>
        <v>182505720</v>
      </c>
      <c r="O169">
        <f t="shared" si="43"/>
        <v>365011440</v>
      </c>
      <c r="P169">
        <f t="shared" si="43"/>
        <v>547517160</v>
      </c>
      <c r="Q169">
        <f t="shared" si="43"/>
        <v>730022880</v>
      </c>
      <c r="R169">
        <f t="shared" si="43"/>
        <v>1095034320</v>
      </c>
      <c r="S169">
        <f t="shared" si="43"/>
        <v>1277540040</v>
      </c>
      <c r="T169">
        <f t="shared" si="43"/>
        <v>1825057200</v>
      </c>
      <c r="U169">
        <f t="shared" si="43"/>
        <v>2737585800</v>
      </c>
      <c r="V169">
        <f t="shared" si="43"/>
        <v>4380137280</v>
      </c>
      <c r="W169">
        <f t="shared" si="43"/>
        <v>6570205920</v>
      </c>
      <c r="X169">
        <f t="shared" si="43"/>
        <v>9125286000</v>
      </c>
      <c r="Y169">
        <f t="shared" si="43"/>
        <v>10950343200</v>
      </c>
      <c r="Z169">
        <f t="shared" si="43"/>
        <v>17520549120</v>
      </c>
      <c r="AA169">
        <f t="shared" si="43"/>
        <v>18250572000</v>
      </c>
      <c r="AB169">
        <f t="shared" si="43"/>
        <v>27375858000</v>
      </c>
      <c r="AC169">
        <f t="shared" si="43"/>
        <v>43801372800</v>
      </c>
      <c r="AD169">
        <f t="shared" si="43"/>
        <v>65702059200</v>
      </c>
      <c r="AE169">
        <f t="shared" si="44"/>
        <v>76652402400</v>
      </c>
      <c r="AF169">
        <f t="shared" si="44"/>
        <v>100378146000</v>
      </c>
      <c r="AG169">
        <f t="shared" si="44"/>
        <v>127754004000</v>
      </c>
      <c r="AK169">
        <v>163</v>
      </c>
      <c r="AL169" s="24">
        <f t="shared" si="36"/>
        <v>10.370039999999999</v>
      </c>
      <c r="AM169">
        <f t="shared" si="42"/>
        <v>72.590279999999993</v>
      </c>
      <c r="AN169">
        <f t="shared" si="42"/>
        <v>103.7004</v>
      </c>
      <c r="AO169">
        <f t="shared" si="42"/>
        <v>155.5506</v>
      </c>
      <c r="AP169">
        <f t="shared" si="42"/>
        <v>207.4008</v>
      </c>
      <c r="AQ169">
        <f t="shared" si="42"/>
        <v>362.95139999999998</v>
      </c>
      <c r="AR169">
        <f t="shared" si="42"/>
        <v>518.50199999999995</v>
      </c>
      <c r="AS169">
        <f t="shared" si="42"/>
        <v>829.60320000000002</v>
      </c>
      <c r="AT169">
        <f t="shared" si="42"/>
        <v>1244.4048</v>
      </c>
      <c r="AU169">
        <f t="shared" si="42"/>
        <v>1762.9068</v>
      </c>
      <c r="AV169">
        <f t="shared" si="42"/>
        <v>2488.8096</v>
      </c>
      <c r="AW169">
        <f t="shared" si="42"/>
        <v>3422.1131999999998</v>
      </c>
      <c r="AX169">
        <f t="shared" si="42"/>
        <v>4770.2183999999997</v>
      </c>
      <c r="AY169">
        <f t="shared" si="42"/>
        <v>8296.0319999999992</v>
      </c>
      <c r="AZ169">
        <f t="shared" si="42"/>
        <v>15555.06</v>
      </c>
      <c r="BA169">
        <f t="shared" si="42"/>
        <v>25925.1</v>
      </c>
      <c r="BB169">
        <f t="shared" si="42"/>
        <v>41480.159999999996</v>
      </c>
      <c r="BC169">
        <f t="shared" si="41"/>
        <v>103700.4</v>
      </c>
      <c r="BD169">
        <f t="shared" si="41"/>
        <v>155550.6</v>
      </c>
      <c r="BE169">
        <f t="shared" si="41"/>
        <v>248880.96</v>
      </c>
      <c r="BF169">
        <f t="shared" si="41"/>
        <v>311101.2</v>
      </c>
      <c r="BG169">
        <f t="shared" si="41"/>
        <v>1037004</v>
      </c>
      <c r="BH169">
        <f t="shared" si="41"/>
        <v>3111012</v>
      </c>
      <c r="BI169">
        <f t="shared" si="41"/>
        <v>8814534</v>
      </c>
      <c r="BJ169">
        <f t="shared" si="41"/>
        <v>31110120</v>
      </c>
      <c r="BK169">
        <f t="shared" si="41"/>
        <v>103700400</v>
      </c>
      <c r="BL169" s="145">
        <v>164</v>
      </c>
    </row>
    <row r="170" spans="1:64" ht="17.25" thickBot="1" x14ac:dyDescent="0.25">
      <c r="A170" s="131">
        <v>166</v>
      </c>
      <c r="B170" s="132">
        <v>18250572</v>
      </c>
      <c r="D170" s="131">
        <v>166</v>
      </c>
      <c r="E170" s="132">
        <v>10.42239</v>
      </c>
      <c r="M170">
        <v>166</v>
      </c>
      <c r="N170">
        <f t="shared" si="35"/>
        <v>184152830</v>
      </c>
      <c r="O170">
        <f t="shared" si="43"/>
        <v>368305660</v>
      </c>
      <c r="P170">
        <f t="shared" si="43"/>
        <v>552458490</v>
      </c>
      <c r="Q170">
        <f t="shared" si="43"/>
        <v>736611320</v>
      </c>
      <c r="R170">
        <f t="shared" si="43"/>
        <v>1104916980</v>
      </c>
      <c r="S170">
        <f t="shared" si="43"/>
        <v>1289069810</v>
      </c>
      <c r="T170">
        <f t="shared" si="43"/>
        <v>1841528300</v>
      </c>
      <c r="U170">
        <f t="shared" si="43"/>
        <v>2762292450</v>
      </c>
      <c r="V170">
        <f t="shared" si="43"/>
        <v>4419667920</v>
      </c>
      <c r="W170">
        <f t="shared" si="43"/>
        <v>6629501880</v>
      </c>
      <c r="X170">
        <f t="shared" si="43"/>
        <v>9207641500</v>
      </c>
      <c r="Y170">
        <f t="shared" si="43"/>
        <v>11049169800</v>
      </c>
      <c r="Z170">
        <f t="shared" si="43"/>
        <v>17678671680</v>
      </c>
      <c r="AA170">
        <f t="shared" si="43"/>
        <v>18415283000</v>
      </c>
      <c r="AB170">
        <f t="shared" si="43"/>
        <v>27622924500</v>
      </c>
      <c r="AC170">
        <f t="shared" si="43"/>
        <v>44196679200</v>
      </c>
      <c r="AD170">
        <f t="shared" si="43"/>
        <v>66295018800</v>
      </c>
      <c r="AE170">
        <f t="shared" si="44"/>
        <v>77344188600</v>
      </c>
      <c r="AF170">
        <f t="shared" si="44"/>
        <v>101284056500</v>
      </c>
      <c r="AG170">
        <f t="shared" si="44"/>
        <v>128906981000</v>
      </c>
      <c r="AK170">
        <v>164</v>
      </c>
      <c r="AL170" s="24">
        <f t="shared" si="36"/>
        <v>10.387589999999999</v>
      </c>
      <c r="AM170">
        <f t="shared" si="42"/>
        <v>72.713129999999992</v>
      </c>
      <c r="AN170">
        <f t="shared" si="42"/>
        <v>103.8759</v>
      </c>
      <c r="AO170">
        <f t="shared" si="42"/>
        <v>155.81385</v>
      </c>
      <c r="AP170">
        <f t="shared" si="42"/>
        <v>207.7518</v>
      </c>
      <c r="AQ170">
        <f t="shared" si="42"/>
        <v>363.56565000000001</v>
      </c>
      <c r="AR170">
        <f t="shared" si="42"/>
        <v>519.37950000000001</v>
      </c>
      <c r="AS170">
        <f t="shared" si="42"/>
        <v>831.00720000000001</v>
      </c>
      <c r="AT170">
        <f t="shared" si="42"/>
        <v>1246.5108</v>
      </c>
      <c r="AU170">
        <f t="shared" si="42"/>
        <v>1765.8902999999998</v>
      </c>
      <c r="AV170">
        <f t="shared" si="42"/>
        <v>2493.0216</v>
      </c>
      <c r="AW170">
        <f t="shared" si="42"/>
        <v>3427.9046999999996</v>
      </c>
      <c r="AX170">
        <f t="shared" si="42"/>
        <v>4778.2914000000001</v>
      </c>
      <c r="AY170">
        <f t="shared" si="42"/>
        <v>8310.0720000000001</v>
      </c>
      <c r="AZ170">
        <f t="shared" si="42"/>
        <v>15581.384999999998</v>
      </c>
      <c r="BA170">
        <f t="shared" si="42"/>
        <v>25968.974999999999</v>
      </c>
      <c r="BB170">
        <f t="shared" si="42"/>
        <v>41550.36</v>
      </c>
      <c r="BC170">
        <f t="shared" si="41"/>
        <v>103875.9</v>
      </c>
      <c r="BD170">
        <f t="shared" si="41"/>
        <v>155813.85</v>
      </c>
      <c r="BE170">
        <f t="shared" si="41"/>
        <v>249302.15999999997</v>
      </c>
      <c r="BF170">
        <f t="shared" si="41"/>
        <v>311627.7</v>
      </c>
      <c r="BG170">
        <f t="shared" si="41"/>
        <v>1038759</v>
      </c>
      <c r="BH170">
        <f t="shared" si="41"/>
        <v>3116277</v>
      </c>
      <c r="BI170">
        <f t="shared" si="41"/>
        <v>8829451.5</v>
      </c>
      <c r="BJ170">
        <f t="shared" si="41"/>
        <v>31162770</v>
      </c>
      <c r="BK170">
        <f t="shared" si="41"/>
        <v>103875900</v>
      </c>
      <c r="BL170">
        <v>165</v>
      </c>
    </row>
    <row r="171" spans="1:64" ht="17.25" thickBot="1" x14ac:dyDescent="0.25">
      <c r="A171" s="131">
        <v>167</v>
      </c>
      <c r="B171" s="132">
        <v>18415283</v>
      </c>
      <c r="D171" s="131">
        <v>167</v>
      </c>
      <c r="E171" s="132">
        <v>10.439640000000001</v>
      </c>
      <c r="M171">
        <v>167</v>
      </c>
      <c r="N171">
        <f t="shared" si="35"/>
        <v>185804880</v>
      </c>
      <c r="O171">
        <f t="shared" si="43"/>
        <v>371609760</v>
      </c>
      <c r="P171">
        <f t="shared" si="43"/>
        <v>557414640</v>
      </c>
      <c r="Q171">
        <f t="shared" si="43"/>
        <v>743219520</v>
      </c>
      <c r="R171">
        <f t="shared" si="43"/>
        <v>1114829280</v>
      </c>
      <c r="S171">
        <f t="shared" si="43"/>
        <v>1300634160</v>
      </c>
      <c r="T171">
        <f t="shared" si="43"/>
        <v>1858048800</v>
      </c>
      <c r="U171">
        <f t="shared" si="43"/>
        <v>2787073200</v>
      </c>
      <c r="V171">
        <f t="shared" si="43"/>
        <v>4459317120</v>
      </c>
      <c r="W171">
        <f t="shared" si="43"/>
        <v>6688975680</v>
      </c>
      <c r="X171">
        <f t="shared" si="43"/>
        <v>9290244000</v>
      </c>
      <c r="Y171">
        <f t="shared" si="43"/>
        <v>11148292800</v>
      </c>
      <c r="Z171">
        <f t="shared" si="43"/>
        <v>17837268480</v>
      </c>
      <c r="AA171">
        <f t="shared" si="43"/>
        <v>18580488000</v>
      </c>
      <c r="AB171">
        <f t="shared" si="43"/>
        <v>27870732000</v>
      </c>
      <c r="AC171">
        <f t="shared" si="43"/>
        <v>44593171200</v>
      </c>
      <c r="AD171">
        <f t="shared" si="43"/>
        <v>66889756800</v>
      </c>
      <c r="AE171">
        <f t="shared" si="44"/>
        <v>78038049600</v>
      </c>
      <c r="AF171">
        <f t="shared" si="44"/>
        <v>102192684000</v>
      </c>
      <c r="AG171">
        <f t="shared" si="44"/>
        <v>130063416000</v>
      </c>
      <c r="AK171">
        <v>165</v>
      </c>
      <c r="AL171" s="24">
        <f t="shared" si="36"/>
        <v>10.40504</v>
      </c>
      <c r="AM171">
        <f t="shared" si="42"/>
        <v>72.835279999999997</v>
      </c>
      <c r="AN171">
        <f t="shared" si="42"/>
        <v>104.0504</v>
      </c>
      <c r="AO171">
        <f t="shared" si="42"/>
        <v>156.07560000000001</v>
      </c>
      <c r="AP171">
        <f t="shared" si="42"/>
        <v>208.10079999999999</v>
      </c>
      <c r="AQ171">
        <f t="shared" si="42"/>
        <v>364.1764</v>
      </c>
      <c r="AR171">
        <f t="shared" si="42"/>
        <v>520.25199999999995</v>
      </c>
      <c r="AS171">
        <f t="shared" si="42"/>
        <v>832.40319999999997</v>
      </c>
      <c r="AT171">
        <f t="shared" si="42"/>
        <v>1248.6048000000001</v>
      </c>
      <c r="AU171">
        <f t="shared" si="42"/>
        <v>1768.8568</v>
      </c>
      <c r="AV171">
        <f t="shared" si="42"/>
        <v>2497.2096000000001</v>
      </c>
      <c r="AW171">
        <f t="shared" si="42"/>
        <v>3433.6632</v>
      </c>
      <c r="AX171">
        <f t="shared" si="42"/>
        <v>4786.3184000000001</v>
      </c>
      <c r="AY171">
        <f t="shared" si="42"/>
        <v>8324.0319999999992</v>
      </c>
      <c r="AZ171">
        <f t="shared" si="42"/>
        <v>15607.56</v>
      </c>
      <c r="BA171">
        <f t="shared" si="42"/>
        <v>26012.6</v>
      </c>
      <c r="BB171">
        <f t="shared" si="42"/>
        <v>41620.159999999996</v>
      </c>
      <c r="BC171">
        <f t="shared" si="41"/>
        <v>104050.4</v>
      </c>
      <c r="BD171">
        <f t="shared" si="41"/>
        <v>156075.6</v>
      </c>
      <c r="BE171">
        <f t="shared" si="41"/>
        <v>249720.95999999999</v>
      </c>
      <c r="BF171">
        <f t="shared" si="41"/>
        <v>312151.2</v>
      </c>
      <c r="BG171">
        <f t="shared" si="41"/>
        <v>1040504</v>
      </c>
      <c r="BH171">
        <f t="shared" si="41"/>
        <v>3121512</v>
      </c>
      <c r="BI171">
        <f t="shared" si="41"/>
        <v>8844284</v>
      </c>
      <c r="BJ171">
        <f t="shared" si="41"/>
        <v>31215120</v>
      </c>
      <c r="BK171">
        <f t="shared" si="41"/>
        <v>104050400</v>
      </c>
      <c r="BL171" s="145">
        <v>166</v>
      </c>
    </row>
    <row r="172" spans="1:64" ht="17.25" thickBot="1" x14ac:dyDescent="0.25">
      <c r="A172" s="131">
        <v>168</v>
      </c>
      <c r="B172" s="132">
        <v>18580488</v>
      </c>
      <c r="D172" s="131">
        <v>168</v>
      </c>
      <c r="E172" s="132">
        <v>10.45679</v>
      </c>
      <c r="M172">
        <v>168</v>
      </c>
      <c r="N172">
        <f t="shared" si="35"/>
        <v>187461830</v>
      </c>
      <c r="O172">
        <f t="shared" si="43"/>
        <v>374923660</v>
      </c>
      <c r="P172">
        <f t="shared" si="43"/>
        <v>562385490</v>
      </c>
      <c r="Q172">
        <f t="shared" si="43"/>
        <v>749847320</v>
      </c>
      <c r="R172">
        <f t="shared" si="43"/>
        <v>1124770980</v>
      </c>
      <c r="S172">
        <f t="shared" si="43"/>
        <v>1312232810</v>
      </c>
      <c r="T172">
        <f t="shared" si="43"/>
        <v>1874618300</v>
      </c>
      <c r="U172">
        <f t="shared" si="43"/>
        <v>2811927450</v>
      </c>
      <c r="V172">
        <f t="shared" si="43"/>
        <v>4499083920</v>
      </c>
      <c r="W172">
        <f t="shared" si="43"/>
        <v>6748625880</v>
      </c>
      <c r="X172">
        <f t="shared" si="43"/>
        <v>9373091500</v>
      </c>
      <c r="Y172">
        <f t="shared" si="43"/>
        <v>11247709800</v>
      </c>
      <c r="Z172">
        <f t="shared" si="43"/>
        <v>17996335680</v>
      </c>
      <c r="AA172">
        <f t="shared" si="43"/>
        <v>18746183000</v>
      </c>
      <c r="AB172">
        <f t="shared" si="43"/>
        <v>28119274500</v>
      </c>
      <c r="AC172">
        <f t="shared" si="43"/>
        <v>44990839200</v>
      </c>
      <c r="AD172">
        <f t="shared" si="43"/>
        <v>67486258800</v>
      </c>
      <c r="AE172">
        <f t="shared" si="44"/>
        <v>78733968600</v>
      </c>
      <c r="AF172">
        <f t="shared" si="44"/>
        <v>103104006500</v>
      </c>
      <c r="AG172">
        <f t="shared" si="44"/>
        <v>131223281000</v>
      </c>
      <c r="AK172">
        <v>166</v>
      </c>
      <c r="AL172" s="24">
        <f t="shared" si="36"/>
        <v>10.42239</v>
      </c>
      <c r="AM172">
        <f t="shared" si="42"/>
        <v>72.956729999999993</v>
      </c>
      <c r="AN172">
        <f t="shared" si="42"/>
        <v>104.2239</v>
      </c>
      <c r="AO172">
        <f t="shared" si="42"/>
        <v>156.33584999999999</v>
      </c>
      <c r="AP172">
        <f t="shared" si="42"/>
        <v>208.4478</v>
      </c>
      <c r="AQ172">
        <f t="shared" si="42"/>
        <v>364.78365000000002</v>
      </c>
      <c r="AR172">
        <f t="shared" si="42"/>
        <v>521.11950000000002</v>
      </c>
      <c r="AS172">
        <f t="shared" si="42"/>
        <v>833.7912</v>
      </c>
      <c r="AT172">
        <f t="shared" si="42"/>
        <v>1250.6867999999999</v>
      </c>
      <c r="AU172">
        <f t="shared" si="42"/>
        <v>1771.8063</v>
      </c>
      <c r="AV172">
        <f t="shared" si="42"/>
        <v>2501.3735999999999</v>
      </c>
      <c r="AW172">
        <f t="shared" si="42"/>
        <v>3439.3887</v>
      </c>
      <c r="AX172">
        <f t="shared" si="42"/>
        <v>4794.2993999999999</v>
      </c>
      <c r="AY172">
        <f t="shared" si="42"/>
        <v>8337.9120000000003</v>
      </c>
      <c r="AZ172">
        <f t="shared" si="42"/>
        <v>15633.585000000001</v>
      </c>
      <c r="BA172">
        <f t="shared" si="42"/>
        <v>26055.974999999999</v>
      </c>
      <c r="BB172">
        <f t="shared" si="42"/>
        <v>41689.56</v>
      </c>
      <c r="BC172">
        <f t="shared" si="41"/>
        <v>104223.9</v>
      </c>
      <c r="BD172">
        <f t="shared" si="41"/>
        <v>156335.85</v>
      </c>
      <c r="BE172">
        <f t="shared" si="41"/>
        <v>250137.36000000002</v>
      </c>
      <c r="BF172">
        <f t="shared" si="41"/>
        <v>312671.7</v>
      </c>
      <c r="BG172">
        <f t="shared" si="41"/>
        <v>1042239</v>
      </c>
      <c r="BH172">
        <f t="shared" si="41"/>
        <v>3126717</v>
      </c>
      <c r="BI172">
        <f t="shared" si="41"/>
        <v>8859031.5</v>
      </c>
      <c r="BJ172">
        <f t="shared" si="41"/>
        <v>31267170</v>
      </c>
      <c r="BK172">
        <f t="shared" si="41"/>
        <v>104223900</v>
      </c>
      <c r="BL172">
        <v>167</v>
      </c>
    </row>
    <row r="173" spans="1:64" ht="17.25" thickBot="1" x14ac:dyDescent="0.25">
      <c r="A173" s="131">
        <v>169</v>
      </c>
      <c r="B173" s="132">
        <v>18746183</v>
      </c>
      <c r="D173" s="131">
        <v>169</v>
      </c>
      <c r="E173" s="132">
        <v>10.473839999999999</v>
      </c>
      <c r="M173">
        <v>169</v>
      </c>
      <c r="N173">
        <f t="shared" si="35"/>
        <v>189123660</v>
      </c>
      <c r="O173">
        <f t="shared" si="43"/>
        <v>378247320</v>
      </c>
      <c r="P173">
        <f t="shared" si="43"/>
        <v>567370980</v>
      </c>
      <c r="Q173">
        <f t="shared" si="43"/>
        <v>756494640</v>
      </c>
      <c r="R173">
        <f t="shared" si="43"/>
        <v>1134741960</v>
      </c>
      <c r="S173">
        <f t="shared" si="43"/>
        <v>1323865620</v>
      </c>
      <c r="T173">
        <f t="shared" si="43"/>
        <v>1891236600</v>
      </c>
      <c r="U173">
        <f t="shared" si="43"/>
        <v>2836854900</v>
      </c>
      <c r="V173">
        <f t="shared" si="43"/>
        <v>4538967840</v>
      </c>
      <c r="W173">
        <f t="shared" si="43"/>
        <v>6808451760</v>
      </c>
      <c r="X173">
        <f t="shared" si="43"/>
        <v>9456183000</v>
      </c>
      <c r="Y173">
        <f t="shared" si="43"/>
        <v>11347419600</v>
      </c>
      <c r="Z173">
        <f t="shared" si="43"/>
        <v>18155871360</v>
      </c>
      <c r="AA173">
        <f t="shared" si="43"/>
        <v>18912366000</v>
      </c>
      <c r="AB173">
        <f t="shared" si="43"/>
        <v>28368549000</v>
      </c>
      <c r="AC173">
        <f t="shared" si="43"/>
        <v>45389678400</v>
      </c>
      <c r="AD173">
        <f t="shared" si="43"/>
        <v>68084517600</v>
      </c>
      <c r="AE173">
        <f t="shared" si="44"/>
        <v>79431937200</v>
      </c>
      <c r="AF173">
        <f t="shared" si="44"/>
        <v>104018013000</v>
      </c>
      <c r="AG173">
        <f t="shared" si="44"/>
        <v>132386562000</v>
      </c>
      <c r="AK173">
        <v>167</v>
      </c>
      <c r="AL173" s="24">
        <f t="shared" si="36"/>
        <v>10.439640000000001</v>
      </c>
      <c r="AM173">
        <f t="shared" si="42"/>
        <v>73.077480000000008</v>
      </c>
      <c r="AN173">
        <f t="shared" si="42"/>
        <v>104.3964</v>
      </c>
      <c r="AO173">
        <f t="shared" si="42"/>
        <v>156.59460000000001</v>
      </c>
      <c r="AP173">
        <f t="shared" si="42"/>
        <v>208.7928</v>
      </c>
      <c r="AQ173">
        <f t="shared" si="42"/>
        <v>365.38740000000001</v>
      </c>
      <c r="AR173">
        <f t="shared" si="42"/>
        <v>521.98200000000008</v>
      </c>
      <c r="AS173">
        <f t="shared" si="42"/>
        <v>835.1712</v>
      </c>
      <c r="AT173">
        <f t="shared" si="42"/>
        <v>1252.7568000000001</v>
      </c>
      <c r="AU173">
        <f t="shared" si="42"/>
        <v>1774.7388000000001</v>
      </c>
      <c r="AV173">
        <f t="shared" si="42"/>
        <v>2505.5136000000002</v>
      </c>
      <c r="AW173">
        <f t="shared" si="42"/>
        <v>3445.0812000000001</v>
      </c>
      <c r="AX173">
        <f t="shared" si="42"/>
        <v>4802.2344000000003</v>
      </c>
      <c r="AY173">
        <f t="shared" si="42"/>
        <v>8351.7120000000014</v>
      </c>
      <c r="AZ173">
        <f t="shared" si="42"/>
        <v>15659.460000000001</v>
      </c>
      <c r="BA173">
        <f t="shared" si="42"/>
        <v>26099.100000000002</v>
      </c>
      <c r="BB173">
        <f t="shared" si="42"/>
        <v>41758.560000000005</v>
      </c>
      <c r="BC173">
        <f t="shared" si="41"/>
        <v>104396.40000000001</v>
      </c>
      <c r="BD173">
        <f t="shared" si="41"/>
        <v>156594.6</v>
      </c>
      <c r="BE173">
        <f t="shared" si="41"/>
        <v>250551.36000000002</v>
      </c>
      <c r="BF173">
        <f t="shared" si="41"/>
        <v>313189.2</v>
      </c>
      <c r="BG173">
        <f t="shared" si="41"/>
        <v>1043964.0000000001</v>
      </c>
      <c r="BH173">
        <f t="shared" si="41"/>
        <v>3131892</v>
      </c>
      <c r="BI173">
        <f t="shared" si="41"/>
        <v>8873694</v>
      </c>
      <c r="BJ173">
        <f t="shared" si="41"/>
        <v>31318920.000000004</v>
      </c>
      <c r="BK173">
        <f t="shared" si="41"/>
        <v>104396400</v>
      </c>
      <c r="BL173" s="145">
        <v>168</v>
      </c>
    </row>
    <row r="174" spans="1:64" ht="17.25" thickBot="1" x14ac:dyDescent="0.25">
      <c r="A174" s="131">
        <v>170</v>
      </c>
      <c r="B174" s="132">
        <v>18912366</v>
      </c>
      <c r="D174" s="131">
        <v>170</v>
      </c>
      <c r="E174" s="132">
        <v>10.490790000000001</v>
      </c>
      <c r="M174">
        <v>170</v>
      </c>
      <c r="N174">
        <f t="shared" si="35"/>
        <v>190790380</v>
      </c>
      <c r="O174">
        <f t="shared" si="43"/>
        <v>381580760</v>
      </c>
      <c r="P174">
        <f t="shared" si="43"/>
        <v>572371140</v>
      </c>
      <c r="Q174">
        <f t="shared" si="43"/>
        <v>763161520</v>
      </c>
      <c r="R174">
        <f t="shared" si="43"/>
        <v>1144742280</v>
      </c>
      <c r="S174">
        <f t="shared" si="43"/>
        <v>1335532660</v>
      </c>
      <c r="T174">
        <f t="shared" si="43"/>
        <v>1907903800</v>
      </c>
      <c r="U174">
        <f t="shared" si="43"/>
        <v>2861855700</v>
      </c>
      <c r="V174">
        <f t="shared" si="43"/>
        <v>4578969120</v>
      </c>
      <c r="W174">
        <f t="shared" si="43"/>
        <v>6868453680</v>
      </c>
      <c r="X174">
        <f t="shared" si="43"/>
        <v>9539519000</v>
      </c>
      <c r="Y174">
        <f t="shared" si="43"/>
        <v>11447422800</v>
      </c>
      <c r="Z174">
        <f t="shared" si="43"/>
        <v>18315876480</v>
      </c>
      <c r="AA174">
        <f t="shared" si="43"/>
        <v>19079038000</v>
      </c>
      <c r="AB174">
        <f t="shared" si="43"/>
        <v>28618557000</v>
      </c>
      <c r="AC174">
        <f t="shared" si="43"/>
        <v>45789691200</v>
      </c>
      <c r="AD174">
        <f t="shared" si="43"/>
        <v>68684536800</v>
      </c>
      <c r="AE174">
        <f t="shared" si="44"/>
        <v>80131959600</v>
      </c>
      <c r="AF174">
        <f t="shared" si="44"/>
        <v>104934709000</v>
      </c>
      <c r="AG174">
        <f t="shared" si="44"/>
        <v>133553266000</v>
      </c>
      <c r="AK174">
        <v>168</v>
      </c>
      <c r="AL174" s="24">
        <f t="shared" si="36"/>
        <v>10.45679</v>
      </c>
      <c r="AM174">
        <f t="shared" si="42"/>
        <v>73.19753</v>
      </c>
      <c r="AN174">
        <f t="shared" si="42"/>
        <v>104.56789999999999</v>
      </c>
      <c r="AO174">
        <f t="shared" si="42"/>
        <v>156.85184999999998</v>
      </c>
      <c r="AP174">
        <f t="shared" si="42"/>
        <v>209.13579999999999</v>
      </c>
      <c r="AQ174">
        <f t="shared" si="42"/>
        <v>365.98764999999997</v>
      </c>
      <c r="AR174">
        <f t="shared" si="42"/>
        <v>522.83950000000004</v>
      </c>
      <c r="AS174">
        <f t="shared" si="42"/>
        <v>836.54319999999996</v>
      </c>
      <c r="AT174">
        <f t="shared" si="42"/>
        <v>1254.8147999999999</v>
      </c>
      <c r="AU174">
        <f t="shared" si="42"/>
        <v>1777.6542999999999</v>
      </c>
      <c r="AV174">
        <f t="shared" si="42"/>
        <v>2509.6295999999998</v>
      </c>
      <c r="AW174">
        <f t="shared" si="42"/>
        <v>3450.7406999999998</v>
      </c>
      <c r="AX174">
        <f t="shared" si="42"/>
        <v>4810.1233999999995</v>
      </c>
      <c r="AY174">
        <f t="shared" si="42"/>
        <v>8365.4320000000007</v>
      </c>
      <c r="AZ174">
        <f t="shared" si="42"/>
        <v>15685.184999999999</v>
      </c>
      <c r="BA174">
        <f t="shared" si="42"/>
        <v>26141.974999999999</v>
      </c>
      <c r="BB174">
        <f t="shared" si="42"/>
        <v>41827.159999999996</v>
      </c>
      <c r="BC174">
        <f t="shared" si="41"/>
        <v>104567.9</v>
      </c>
      <c r="BD174">
        <f t="shared" si="41"/>
        <v>156851.85</v>
      </c>
      <c r="BE174">
        <f t="shared" si="41"/>
        <v>250962.96</v>
      </c>
      <c r="BF174">
        <f t="shared" si="41"/>
        <v>313703.7</v>
      </c>
      <c r="BG174">
        <f t="shared" si="41"/>
        <v>1045679</v>
      </c>
      <c r="BH174">
        <f t="shared" si="41"/>
        <v>3137037</v>
      </c>
      <c r="BI174">
        <f t="shared" si="41"/>
        <v>8888271.5</v>
      </c>
      <c r="BJ174">
        <f t="shared" si="41"/>
        <v>31370370</v>
      </c>
      <c r="BK174">
        <f t="shared" si="41"/>
        <v>104567900</v>
      </c>
      <c r="BL174">
        <v>169</v>
      </c>
    </row>
    <row r="175" spans="1:64" ht="17.25" thickBot="1" x14ac:dyDescent="0.25">
      <c r="A175" s="131">
        <v>171</v>
      </c>
      <c r="B175" s="132">
        <v>19079038</v>
      </c>
      <c r="D175" s="131">
        <v>171</v>
      </c>
      <c r="E175" s="132">
        <v>10.50765</v>
      </c>
      <c r="M175">
        <v>171</v>
      </c>
      <c r="N175">
        <f t="shared" si="35"/>
        <v>192462000</v>
      </c>
      <c r="O175">
        <f t="shared" si="43"/>
        <v>384924000</v>
      </c>
      <c r="P175">
        <f t="shared" si="43"/>
        <v>577386000</v>
      </c>
      <c r="Q175">
        <f t="shared" si="43"/>
        <v>769848000</v>
      </c>
      <c r="R175">
        <f t="shared" si="43"/>
        <v>1154772000</v>
      </c>
      <c r="S175">
        <f t="shared" si="43"/>
        <v>1347234000</v>
      </c>
      <c r="T175">
        <f t="shared" si="43"/>
        <v>1924620000</v>
      </c>
      <c r="U175">
        <f t="shared" si="43"/>
        <v>2886930000</v>
      </c>
      <c r="V175">
        <f t="shared" si="43"/>
        <v>4619088000</v>
      </c>
      <c r="W175">
        <f t="shared" si="43"/>
        <v>6928632000</v>
      </c>
      <c r="X175">
        <f t="shared" si="43"/>
        <v>9623100000</v>
      </c>
      <c r="Y175">
        <f t="shared" si="43"/>
        <v>11547720000</v>
      </c>
      <c r="Z175">
        <f t="shared" si="43"/>
        <v>18476352000</v>
      </c>
      <c r="AA175">
        <f t="shared" si="43"/>
        <v>19246200000</v>
      </c>
      <c r="AB175">
        <f t="shared" si="43"/>
        <v>28869300000</v>
      </c>
      <c r="AC175">
        <f t="shared" si="43"/>
        <v>46190880000</v>
      </c>
      <c r="AD175">
        <f t="shared" si="43"/>
        <v>69286320000</v>
      </c>
      <c r="AE175">
        <f t="shared" si="44"/>
        <v>80834040000</v>
      </c>
      <c r="AF175">
        <f t="shared" si="44"/>
        <v>105854100000</v>
      </c>
      <c r="AG175">
        <f t="shared" si="44"/>
        <v>134723400000</v>
      </c>
      <c r="AK175">
        <v>169</v>
      </c>
      <c r="AL175" s="24">
        <f t="shared" si="36"/>
        <v>10.473839999999999</v>
      </c>
      <c r="AM175">
        <f t="shared" si="42"/>
        <v>73.316879999999998</v>
      </c>
      <c r="AN175">
        <f t="shared" si="42"/>
        <v>104.73839999999998</v>
      </c>
      <c r="AO175">
        <f t="shared" si="42"/>
        <v>157.10759999999999</v>
      </c>
      <c r="AP175">
        <f t="shared" si="42"/>
        <v>209.47679999999997</v>
      </c>
      <c r="AQ175">
        <f t="shared" si="42"/>
        <v>366.58439999999996</v>
      </c>
      <c r="AR175">
        <f t="shared" si="42"/>
        <v>523.69200000000001</v>
      </c>
      <c r="AS175">
        <f t="shared" si="42"/>
        <v>837.90719999999988</v>
      </c>
      <c r="AT175">
        <f t="shared" si="42"/>
        <v>1256.8607999999999</v>
      </c>
      <c r="AU175">
        <f t="shared" si="42"/>
        <v>1780.5527999999999</v>
      </c>
      <c r="AV175">
        <f t="shared" si="42"/>
        <v>2513.7215999999999</v>
      </c>
      <c r="AW175">
        <f t="shared" si="42"/>
        <v>3456.3671999999997</v>
      </c>
      <c r="AX175">
        <f t="shared" si="42"/>
        <v>4817.9663999999993</v>
      </c>
      <c r="AY175">
        <f t="shared" si="42"/>
        <v>8379.0720000000001</v>
      </c>
      <c r="AZ175">
        <f t="shared" si="42"/>
        <v>15710.759999999998</v>
      </c>
      <c r="BA175">
        <f t="shared" si="42"/>
        <v>26184.6</v>
      </c>
      <c r="BB175">
        <f t="shared" si="42"/>
        <v>41895.359999999993</v>
      </c>
      <c r="BC175">
        <f t="shared" si="41"/>
        <v>104738.4</v>
      </c>
      <c r="BD175">
        <f t="shared" si="41"/>
        <v>157107.59999999998</v>
      </c>
      <c r="BE175">
        <f t="shared" si="41"/>
        <v>251372.15999999997</v>
      </c>
      <c r="BF175">
        <f t="shared" si="41"/>
        <v>314215.19999999995</v>
      </c>
      <c r="BG175">
        <f t="shared" si="41"/>
        <v>1047383.9999999999</v>
      </c>
      <c r="BH175">
        <f t="shared" si="41"/>
        <v>3142151.9999999995</v>
      </c>
      <c r="BI175">
        <f t="shared" si="41"/>
        <v>8902764</v>
      </c>
      <c r="BJ175">
        <f t="shared" si="41"/>
        <v>31421519.999999996</v>
      </c>
      <c r="BK175">
        <f t="shared" si="41"/>
        <v>104738399.99999999</v>
      </c>
      <c r="BL175" s="145">
        <v>170</v>
      </c>
    </row>
    <row r="176" spans="1:64" ht="17.25" thickBot="1" x14ac:dyDescent="0.25">
      <c r="A176" s="131">
        <v>172</v>
      </c>
      <c r="B176" s="132">
        <v>19246200</v>
      </c>
      <c r="D176" s="131">
        <v>172</v>
      </c>
      <c r="E176" s="132">
        <v>10.52441</v>
      </c>
      <c r="M176">
        <v>172</v>
      </c>
      <c r="N176">
        <f t="shared" si="35"/>
        <v>194138440</v>
      </c>
      <c r="O176">
        <f t="shared" si="43"/>
        <v>388276880</v>
      </c>
      <c r="P176">
        <f t="shared" si="43"/>
        <v>582415320</v>
      </c>
      <c r="Q176">
        <f t="shared" si="43"/>
        <v>776553760</v>
      </c>
      <c r="R176">
        <f t="shared" si="43"/>
        <v>1164830640</v>
      </c>
      <c r="S176">
        <f t="shared" si="43"/>
        <v>1358969080</v>
      </c>
      <c r="T176">
        <f t="shared" si="43"/>
        <v>1941384400</v>
      </c>
      <c r="U176">
        <f t="shared" si="43"/>
        <v>2912076600</v>
      </c>
      <c r="V176">
        <f t="shared" si="43"/>
        <v>4659322560</v>
      </c>
      <c r="W176">
        <f t="shared" si="43"/>
        <v>6988983840</v>
      </c>
      <c r="X176">
        <f t="shared" si="43"/>
        <v>9706922000</v>
      </c>
      <c r="Y176">
        <f t="shared" si="43"/>
        <v>11648306400</v>
      </c>
      <c r="Z176">
        <f t="shared" si="43"/>
        <v>18637290240</v>
      </c>
      <c r="AA176">
        <f t="shared" si="43"/>
        <v>19413844000</v>
      </c>
      <c r="AB176">
        <f t="shared" si="43"/>
        <v>29120766000</v>
      </c>
      <c r="AC176">
        <f t="shared" si="43"/>
        <v>46593225600</v>
      </c>
      <c r="AD176">
        <f t="shared" si="43"/>
        <v>69889838400</v>
      </c>
      <c r="AE176">
        <f t="shared" si="44"/>
        <v>81538144800</v>
      </c>
      <c r="AF176">
        <f t="shared" si="44"/>
        <v>106776142000</v>
      </c>
      <c r="AG176">
        <f t="shared" si="44"/>
        <v>135896908000</v>
      </c>
      <c r="AK176">
        <v>170</v>
      </c>
      <c r="AL176" s="24">
        <f t="shared" si="36"/>
        <v>10.490790000000001</v>
      </c>
      <c r="AM176">
        <f t="shared" si="42"/>
        <v>73.43553</v>
      </c>
      <c r="AN176">
        <f t="shared" si="42"/>
        <v>104.90790000000001</v>
      </c>
      <c r="AO176">
        <f t="shared" si="42"/>
        <v>157.36185</v>
      </c>
      <c r="AP176">
        <f t="shared" si="42"/>
        <v>209.81580000000002</v>
      </c>
      <c r="AQ176">
        <f t="shared" si="42"/>
        <v>367.17765000000003</v>
      </c>
      <c r="AR176">
        <f t="shared" si="42"/>
        <v>524.53949999999998</v>
      </c>
      <c r="AS176">
        <f t="shared" si="42"/>
        <v>839.2632000000001</v>
      </c>
      <c r="AT176">
        <f t="shared" si="42"/>
        <v>1258.8948</v>
      </c>
      <c r="AU176">
        <f t="shared" si="42"/>
        <v>1783.4343000000001</v>
      </c>
      <c r="AV176">
        <f t="shared" si="42"/>
        <v>2517.7896000000001</v>
      </c>
      <c r="AW176">
        <f t="shared" si="42"/>
        <v>3461.9607000000001</v>
      </c>
      <c r="AX176">
        <f t="shared" si="42"/>
        <v>4825.7633999999998</v>
      </c>
      <c r="AY176">
        <f t="shared" si="42"/>
        <v>8392.6319999999996</v>
      </c>
      <c r="AZ176">
        <f t="shared" si="42"/>
        <v>15736.185000000001</v>
      </c>
      <c r="BA176">
        <f t="shared" si="42"/>
        <v>26226.975000000002</v>
      </c>
      <c r="BB176">
        <f t="shared" ref="BB176:BK191" si="45">BB$5*VLOOKUP($AK176,$D$2:$E$1404,2,FALSE)</f>
        <v>41963.16</v>
      </c>
      <c r="BC176">
        <f t="shared" si="45"/>
        <v>104907.90000000001</v>
      </c>
      <c r="BD176">
        <f t="shared" si="45"/>
        <v>157361.85</v>
      </c>
      <c r="BE176">
        <f t="shared" si="45"/>
        <v>251778.96000000002</v>
      </c>
      <c r="BF176">
        <f t="shared" si="45"/>
        <v>314723.7</v>
      </c>
      <c r="BG176">
        <f t="shared" si="45"/>
        <v>1049079</v>
      </c>
      <c r="BH176">
        <f t="shared" si="45"/>
        <v>3147237</v>
      </c>
      <c r="BI176">
        <f t="shared" si="45"/>
        <v>8917171.5</v>
      </c>
      <c r="BJ176">
        <f t="shared" si="45"/>
        <v>31472370</v>
      </c>
      <c r="BK176">
        <f t="shared" si="45"/>
        <v>104907900</v>
      </c>
      <c r="BL176">
        <v>171</v>
      </c>
    </row>
    <row r="177" spans="1:64" ht="17.25" thickBot="1" x14ac:dyDescent="0.25">
      <c r="A177" s="131">
        <v>173</v>
      </c>
      <c r="B177" s="132">
        <v>19413844</v>
      </c>
      <c r="D177" s="131">
        <v>173</v>
      </c>
      <c r="E177" s="132">
        <v>10.541079999999999</v>
      </c>
      <c r="M177">
        <v>173</v>
      </c>
      <c r="N177">
        <f t="shared" si="35"/>
        <v>195819720</v>
      </c>
      <c r="O177">
        <f t="shared" si="43"/>
        <v>391639440</v>
      </c>
      <c r="P177">
        <f t="shared" si="43"/>
        <v>587459160</v>
      </c>
      <c r="Q177">
        <f t="shared" si="43"/>
        <v>783278880</v>
      </c>
      <c r="R177">
        <f t="shared" si="43"/>
        <v>1174918320</v>
      </c>
      <c r="S177">
        <f t="shared" si="43"/>
        <v>1370738040</v>
      </c>
      <c r="T177">
        <f t="shared" si="43"/>
        <v>1958197200</v>
      </c>
      <c r="U177">
        <f t="shared" si="43"/>
        <v>2937295800</v>
      </c>
      <c r="V177">
        <f t="shared" si="43"/>
        <v>4699673280</v>
      </c>
      <c r="W177">
        <f t="shared" si="43"/>
        <v>7049509920</v>
      </c>
      <c r="X177">
        <f t="shared" si="43"/>
        <v>9790986000</v>
      </c>
      <c r="Y177">
        <f t="shared" si="43"/>
        <v>11749183200</v>
      </c>
      <c r="Z177">
        <f t="shared" si="43"/>
        <v>18798693120</v>
      </c>
      <c r="AA177">
        <f t="shared" si="43"/>
        <v>19581972000</v>
      </c>
      <c r="AB177">
        <f t="shared" si="43"/>
        <v>29372958000</v>
      </c>
      <c r="AC177">
        <f t="shared" si="43"/>
        <v>46996732800</v>
      </c>
      <c r="AD177">
        <f t="shared" si="43"/>
        <v>70495099200</v>
      </c>
      <c r="AE177">
        <f t="shared" si="44"/>
        <v>82244282400</v>
      </c>
      <c r="AF177">
        <f t="shared" si="44"/>
        <v>107700846000</v>
      </c>
      <c r="AG177">
        <f t="shared" si="44"/>
        <v>137073804000</v>
      </c>
      <c r="AK177">
        <v>171</v>
      </c>
      <c r="AL177" s="24">
        <f t="shared" si="36"/>
        <v>10.50765</v>
      </c>
      <c r="AM177">
        <f t="shared" ref="AM177:BB192" si="46">AM$5*VLOOKUP($AK177,$D$2:$E$1404,2,FALSE)</f>
        <v>73.553550000000001</v>
      </c>
      <c r="AN177">
        <f t="shared" si="46"/>
        <v>105.0765</v>
      </c>
      <c r="AO177">
        <f t="shared" si="46"/>
        <v>157.61474999999999</v>
      </c>
      <c r="AP177">
        <f t="shared" si="46"/>
        <v>210.15299999999999</v>
      </c>
      <c r="AQ177">
        <f t="shared" si="46"/>
        <v>367.76774999999998</v>
      </c>
      <c r="AR177">
        <f t="shared" si="46"/>
        <v>525.38250000000005</v>
      </c>
      <c r="AS177">
        <f t="shared" si="46"/>
        <v>840.61199999999997</v>
      </c>
      <c r="AT177">
        <f t="shared" si="46"/>
        <v>1260.9179999999999</v>
      </c>
      <c r="AU177">
        <f t="shared" si="46"/>
        <v>1786.3005000000001</v>
      </c>
      <c r="AV177">
        <f t="shared" si="46"/>
        <v>2521.8359999999998</v>
      </c>
      <c r="AW177">
        <f t="shared" si="46"/>
        <v>3467.5245</v>
      </c>
      <c r="AX177">
        <f t="shared" si="46"/>
        <v>4833.5190000000002</v>
      </c>
      <c r="AY177">
        <f t="shared" si="46"/>
        <v>8406.1200000000008</v>
      </c>
      <c r="AZ177">
        <f t="shared" si="46"/>
        <v>15761.475</v>
      </c>
      <c r="BA177">
        <f t="shared" si="46"/>
        <v>26269.125</v>
      </c>
      <c r="BB177">
        <f t="shared" si="46"/>
        <v>42030.6</v>
      </c>
      <c r="BC177">
        <f t="shared" si="45"/>
        <v>105076.5</v>
      </c>
      <c r="BD177">
        <f t="shared" si="45"/>
        <v>157614.75</v>
      </c>
      <c r="BE177">
        <f t="shared" si="45"/>
        <v>252183.6</v>
      </c>
      <c r="BF177">
        <f t="shared" si="45"/>
        <v>315229.5</v>
      </c>
      <c r="BG177">
        <f t="shared" si="45"/>
        <v>1050765</v>
      </c>
      <c r="BH177">
        <f t="shared" si="45"/>
        <v>3152295</v>
      </c>
      <c r="BI177">
        <f t="shared" si="45"/>
        <v>8931502.5</v>
      </c>
      <c r="BJ177">
        <f t="shared" si="45"/>
        <v>31522950</v>
      </c>
      <c r="BK177">
        <f t="shared" si="45"/>
        <v>105076500</v>
      </c>
      <c r="BL177" s="145">
        <v>172</v>
      </c>
    </row>
    <row r="178" spans="1:64" ht="17.25" thickBot="1" x14ac:dyDescent="0.25">
      <c r="A178" s="131">
        <v>174</v>
      </c>
      <c r="B178" s="132">
        <v>19581972</v>
      </c>
      <c r="D178" s="131">
        <v>174</v>
      </c>
      <c r="E178" s="132">
        <v>10.55766</v>
      </c>
      <c r="M178">
        <v>174</v>
      </c>
      <c r="N178">
        <f t="shared" si="35"/>
        <v>197505830</v>
      </c>
      <c r="O178">
        <f t="shared" si="43"/>
        <v>395011660</v>
      </c>
      <c r="P178">
        <f t="shared" si="43"/>
        <v>592517490</v>
      </c>
      <c r="Q178">
        <f t="shared" si="43"/>
        <v>790023320</v>
      </c>
      <c r="R178">
        <f t="shared" si="43"/>
        <v>1185034980</v>
      </c>
      <c r="S178">
        <f t="shared" si="43"/>
        <v>1382540810</v>
      </c>
      <c r="T178">
        <f t="shared" si="43"/>
        <v>1975058300</v>
      </c>
      <c r="U178">
        <f t="shared" ref="O178:AD194" si="47">(VLOOKUP(U$3,$G$4:$H$23,2,0)*VLOOKUP($M178+1,$A$4:$B$1404,2,0)
)</f>
        <v>2962587450</v>
      </c>
      <c r="V178">
        <f t="shared" si="47"/>
        <v>4740139920</v>
      </c>
      <c r="W178">
        <f t="shared" si="47"/>
        <v>7110209880</v>
      </c>
      <c r="X178">
        <f t="shared" si="47"/>
        <v>9875291500</v>
      </c>
      <c r="Y178">
        <f t="shared" si="47"/>
        <v>11850349800</v>
      </c>
      <c r="Z178">
        <f t="shared" si="47"/>
        <v>18960559680</v>
      </c>
      <c r="AA178">
        <f t="shared" si="47"/>
        <v>19750583000</v>
      </c>
      <c r="AB178">
        <f t="shared" si="47"/>
        <v>29625874500</v>
      </c>
      <c r="AC178">
        <f t="shared" si="47"/>
        <v>47401399200</v>
      </c>
      <c r="AD178">
        <f t="shared" si="47"/>
        <v>71102098800</v>
      </c>
      <c r="AE178">
        <f t="shared" si="44"/>
        <v>82952448600</v>
      </c>
      <c r="AF178">
        <f t="shared" si="44"/>
        <v>108628206500</v>
      </c>
      <c r="AG178">
        <f t="shared" si="44"/>
        <v>138254081000</v>
      </c>
      <c r="AK178">
        <v>172</v>
      </c>
      <c r="AL178" s="24">
        <f t="shared" si="36"/>
        <v>10.52441</v>
      </c>
      <c r="AM178">
        <f t="shared" si="46"/>
        <v>73.670869999999994</v>
      </c>
      <c r="AN178">
        <f t="shared" si="46"/>
        <v>105.2441</v>
      </c>
      <c r="AO178">
        <f t="shared" si="46"/>
        <v>157.86615</v>
      </c>
      <c r="AP178">
        <f t="shared" si="46"/>
        <v>210.48820000000001</v>
      </c>
      <c r="AQ178">
        <f t="shared" si="46"/>
        <v>368.35435000000001</v>
      </c>
      <c r="AR178">
        <f t="shared" si="46"/>
        <v>526.22050000000002</v>
      </c>
      <c r="AS178">
        <f t="shared" si="46"/>
        <v>841.95280000000002</v>
      </c>
      <c r="AT178">
        <f t="shared" si="46"/>
        <v>1262.9292</v>
      </c>
      <c r="AU178">
        <f t="shared" si="46"/>
        <v>1789.1496999999999</v>
      </c>
      <c r="AV178">
        <f t="shared" si="46"/>
        <v>2525.8584000000001</v>
      </c>
      <c r="AW178">
        <f t="shared" si="46"/>
        <v>3473.0553</v>
      </c>
      <c r="AX178">
        <f t="shared" si="46"/>
        <v>4841.2285999999995</v>
      </c>
      <c r="AY178">
        <f t="shared" si="46"/>
        <v>8419.5280000000002</v>
      </c>
      <c r="AZ178">
        <f t="shared" si="46"/>
        <v>15786.615</v>
      </c>
      <c r="BA178">
        <f t="shared" si="46"/>
        <v>26311.024999999998</v>
      </c>
      <c r="BB178">
        <f t="shared" si="46"/>
        <v>42097.64</v>
      </c>
      <c r="BC178">
        <f t="shared" si="45"/>
        <v>105244.09999999999</v>
      </c>
      <c r="BD178">
        <f t="shared" si="45"/>
        <v>157866.15</v>
      </c>
      <c r="BE178">
        <f t="shared" si="45"/>
        <v>252585.84</v>
      </c>
      <c r="BF178">
        <f t="shared" si="45"/>
        <v>315732.3</v>
      </c>
      <c r="BG178">
        <f t="shared" si="45"/>
        <v>1052441</v>
      </c>
      <c r="BH178">
        <f t="shared" si="45"/>
        <v>3157323</v>
      </c>
      <c r="BI178">
        <f t="shared" si="45"/>
        <v>8945748.5</v>
      </c>
      <c r="BJ178">
        <f t="shared" si="45"/>
        <v>31573230</v>
      </c>
      <c r="BK178">
        <f t="shared" si="45"/>
        <v>105244100</v>
      </c>
      <c r="BL178">
        <v>173</v>
      </c>
    </row>
    <row r="179" spans="1:64" ht="17.25" thickBot="1" x14ac:dyDescent="0.25">
      <c r="A179" s="131">
        <v>175</v>
      </c>
      <c r="B179" s="132">
        <v>19750583</v>
      </c>
      <c r="D179" s="131">
        <v>175</v>
      </c>
      <c r="E179" s="132">
        <v>10.574149999999999</v>
      </c>
      <c r="M179">
        <v>175</v>
      </c>
      <c r="N179">
        <f t="shared" si="35"/>
        <v>199196770</v>
      </c>
      <c r="O179">
        <f t="shared" si="47"/>
        <v>398393540</v>
      </c>
      <c r="P179">
        <f t="shared" si="47"/>
        <v>597590310</v>
      </c>
      <c r="Q179">
        <f t="shared" si="47"/>
        <v>796787080</v>
      </c>
      <c r="R179">
        <f t="shared" si="47"/>
        <v>1195180620</v>
      </c>
      <c r="S179">
        <f t="shared" si="47"/>
        <v>1394377390</v>
      </c>
      <c r="T179">
        <f t="shared" si="47"/>
        <v>1991967700</v>
      </c>
      <c r="U179">
        <f t="shared" si="47"/>
        <v>2987951550</v>
      </c>
      <c r="V179">
        <f t="shared" si="47"/>
        <v>4780722480</v>
      </c>
      <c r="W179">
        <f t="shared" si="47"/>
        <v>7171083720</v>
      </c>
      <c r="X179">
        <f t="shared" si="47"/>
        <v>9959838500</v>
      </c>
      <c r="Y179">
        <f t="shared" si="47"/>
        <v>11951806200</v>
      </c>
      <c r="Z179">
        <f t="shared" si="47"/>
        <v>19122889920</v>
      </c>
      <c r="AA179">
        <f t="shared" si="47"/>
        <v>19919677000</v>
      </c>
      <c r="AB179">
        <f t="shared" si="47"/>
        <v>29879515500</v>
      </c>
      <c r="AC179">
        <f t="shared" si="47"/>
        <v>47807224800</v>
      </c>
      <c r="AD179">
        <f t="shared" si="47"/>
        <v>71710837200</v>
      </c>
      <c r="AE179">
        <f t="shared" si="44"/>
        <v>83662643400</v>
      </c>
      <c r="AF179">
        <f t="shared" si="44"/>
        <v>109558223500</v>
      </c>
      <c r="AG179">
        <f t="shared" si="44"/>
        <v>139437739000</v>
      </c>
      <c r="AK179">
        <v>173</v>
      </c>
      <c r="AL179" s="24">
        <f t="shared" si="36"/>
        <v>10.541079999999999</v>
      </c>
      <c r="AM179">
        <f t="shared" si="46"/>
        <v>73.787559999999999</v>
      </c>
      <c r="AN179">
        <f t="shared" si="46"/>
        <v>105.41079999999999</v>
      </c>
      <c r="AO179">
        <f t="shared" si="46"/>
        <v>158.11619999999999</v>
      </c>
      <c r="AP179">
        <f t="shared" si="46"/>
        <v>210.82159999999999</v>
      </c>
      <c r="AQ179">
        <f t="shared" si="46"/>
        <v>368.93779999999998</v>
      </c>
      <c r="AR179">
        <f t="shared" si="46"/>
        <v>527.05399999999997</v>
      </c>
      <c r="AS179">
        <f t="shared" si="46"/>
        <v>843.28639999999996</v>
      </c>
      <c r="AT179">
        <f t="shared" si="46"/>
        <v>1264.9295999999999</v>
      </c>
      <c r="AU179">
        <f t="shared" si="46"/>
        <v>1791.9835999999998</v>
      </c>
      <c r="AV179">
        <f t="shared" si="46"/>
        <v>2529.8591999999999</v>
      </c>
      <c r="AW179">
        <f t="shared" si="46"/>
        <v>3478.5563999999995</v>
      </c>
      <c r="AX179">
        <f t="shared" si="46"/>
        <v>4848.8967999999995</v>
      </c>
      <c r="AY179">
        <f t="shared" si="46"/>
        <v>8432.8639999999996</v>
      </c>
      <c r="AZ179">
        <f t="shared" si="46"/>
        <v>15811.619999999999</v>
      </c>
      <c r="BA179">
        <f t="shared" si="46"/>
        <v>26352.699999999997</v>
      </c>
      <c r="BB179">
        <f t="shared" si="46"/>
        <v>42164.32</v>
      </c>
      <c r="BC179">
        <f t="shared" si="45"/>
        <v>105410.79999999999</v>
      </c>
      <c r="BD179">
        <f t="shared" si="45"/>
        <v>158116.19999999998</v>
      </c>
      <c r="BE179">
        <f t="shared" si="45"/>
        <v>252985.91999999998</v>
      </c>
      <c r="BF179">
        <f t="shared" si="45"/>
        <v>316232.39999999997</v>
      </c>
      <c r="BG179">
        <f t="shared" si="45"/>
        <v>1054108</v>
      </c>
      <c r="BH179">
        <f t="shared" si="45"/>
        <v>3162323.9999999995</v>
      </c>
      <c r="BI179">
        <f t="shared" si="45"/>
        <v>8959918</v>
      </c>
      <c r="BJ179">
        <f t="shared" si="45"/>
        <v>31623239.999999996</v>
      </c>
      <c r="BK179">
        <f t="shared" si="45"/>
        <v>105410799.99999999</v>
      </c>
      <c r="BL179" s="145">
        <v>174</v>
      </c>
    </row>
    <row r="180" spans="1:64" ht="17.25" thickBot="1" x14ac:dyDescent="0.25">
      <c r="A180" s="131">
        <v>176</v>
      </c>
      <c r="B180" s="132">
        <v>19919677</v>
      </c>
      <c r="D180" s="131">
        <v>176</v>
      </c>
      <c r="E180" s="132">
        <v>10.59055</v>
      </c>
      <c r="M180">
        <v>176</v>
      </c>
      <c r="N180">
        <f t="shared" si="35"/>
        <v>200892500</v>
      </c>
      <c r="O180">
        <f t="shared" si="47"/>
        <v>401785000</v>
      </c>
      <c r="P180">
        <f t="shared" si="47"/>
        <v>602677500</v>
      </c>
      <c r="Q180">
        <f t="shared" si="47"/>
        <v>803570000</v>
      </c>
      <c r="R180">
        <f t="shared" si="47"/>
        <v>1205355000</v>
      </c>
      <c r="S180">
        <f t="shared" si="47"/>
        <v>1406247500</v>
      </c>
      <c r="T180">
        <f t="shared" si="47"/>
        <v>2008925000</v>
      </c>
      <c r="U180">
        <f t="shared" si="47"/>
        <v>3013387500</v>
      </c>
      <c r="V180">
        <f t="shared" si="47"/>
        <v>4821420000</v>
      </c>
      <c r="W180">
        <f t="shared" si="47"/>
        <v>7232130000</v>
      </c>
      <c r="X180">
        <f t="shared" si="47"/>
        <v>10044625000</v>
      </c>
      <c r="Y180">
        <f t="shared" si="47"/>
        <v>12053550000</v>
      </c>
      <c r="Z180">
        <f t="shared" si="47"/>
        <v>19285680000</v>
      </c>
      <c r="AA180">
        <f t="shared" si="47"/>
        <v>20089250000</v>
      </c>
      <c r="AB180">
        <f t="shared" si="47"/>
        <v>30133875000</v>
      </c>
      <c r="AC180">
        <f t="shared" si="47"/>
        <v>48214200000</v>
      </c>
      <c r="AD180">
        <f t="shared" si="47"/>
        <v>72321300000</v>
      </c>
      <c r="AE180">
        <f t="shared" si="44"/>
        <v>84374850000</v>
      </c>
      <c r="AF180">
        <f t="shared" si="44"/>
        <v>110490875000</v>
      </c>
      <c r="AG180">
        <f t="shared" si="44"/>
        <v>140624750000</v>
      </c>
      <c r="AK180">
        <v>174</v>
      </c>
      <c r="AL180" s="24">
        <f t="shared" si="36"/>
        <v>10.55766</v>
      </c>
      <c r="AM180">
        <f t="shared" si="46"/>
        <v>73.903620000000004</v>
      </c>
      <c r="AN180">
        <f t="shared" si="46"/>
        <v>105.5766</v>
      </c>
      <c r="AO180">
        <f t="shared" si="46"/>
        <v>158.36490000000001</v>
      </c>
      <c r="AP180">
        <f t="shared" si="46"/>
        <v>211.1532</v>
      </c>
      <c r="AQ180">
        <f t="shared" si="46"/>
        <v>369.5181</v>
      </c>
      <c r="AR180">
        <f t="shared" si="46"/>
        <v>527.88300000000004</v>
      </c>
      <c r="AS180">
        <f t="shared" si="46"/>
        <v>844.61279999999999</v>
      </c>
      <c r="AT180">
        <f t="shared" si="46"/>
        <v>1266.9192</v>
      </c>
      <c r="AU180">
        <f t="shared" si="46"/>
        <v>1794.8022000000001</v>
      </c>
      <c r="AV180">
        <f t="shared" si="46"/>
        <v>2533.8384000000001</v>
      </c>
      <c r="AW180">
        <f t="shared" si="46"/>
        <v>3484.0278000000003</v>
      </c>
      <c r="AX180">
        <f t="shared" si="46"/>
        <v>4856.5236000000004</v>
      </c>
      <c r="AY180">
        <f t="shared" si="46"/>
        <v>8446.1280000000006</v>
      </c>
      <c r="AZ180">
        <f t="shared" si="46"/>
        <v>15836.49</v>
      </c>
      <c r="BA180">
        <f t="shared" si="46"/>
        <v>26394.15</v>
      </c>
      <c r="BB180">
        <f t="shared" si="46"/>
        <v>42230.64</v>
      </c>
      <c r="BC180">
        <f t="shared" si="45"/>
        <v>105576.6</v>
      </c>
      <c r="BD180">
        <f t="shared" si="45"/>
        <v>158364.9</v>
      </c>
      <c r="BE180">
        <f t="shared" si="45"/>
        <v>253383.84</v>
      </c>
      <c r="BF180">
        <f t="shared" si="45"/>
        <v>316729.8</v>
      </c>
      <c r="BG180">
        <f t="shared" si="45"/>
        <v>1055766</v>
      </c>
      <c r="BH180">
        <f t="shared" si="45"/>
        <v>3167298</v>
      </c>
      <c r="BI180">
        <f t="shared" si="45"/>
        <v>8974011</v>
      </c>
      <c r="BJ180">
        <f t="shared" si="45"/>
        <v>31672980</v>
      </c>
      <c r="BK180">
        <f t="shared" si="45"/>
        <v>105576600</v>
      </c>
      <c r="BL180">
        <v>175</v>
      </c>
    </row>
    <row r="181" spans="1:64" ht="17.25" thickBot="1" x14ac:dyDescent="0.25">
      <c r="A181" s="131">
        <v>177</v>
      </c>
      <c r="B181" s="132">
        <v>20089250</v>
      </c>
      <c r="D181" s="131">
        <v>177</v>
      </c>
      <c r="E181" s="132">
        <v>10.606859999999999</v>
      </c>
      <c r="M181">
        <v>177</v>
      </c>
      <c r="N181">
        <f t="shared" si="35"/>
        <v>202593000</v>
      </c>
      <c r="O181">
        <f t="shared" si="47"/>
        <v>405186000</v>
      </c>
      <c r="P181">
        <f t="shared" si="47"/>
        <v>607779000</v>
      </c>
      <c r="Q181">
        <f t="shared" si="47"/>
        <v>810372000</v>
      </c>
      <c r="R181">
        <f t="shared" si="47"/>
        <v>1215558000</v>
      </c>
      <c r="S181">
        <f t="shared" si="47"/>
        <v>1418151000</v>
      </c>
      <c r="T181">
        <f t="shared" si="47"/>
        <v>2025930000</v>
      </c>
      <c r="U181">
        <f t="shared" si="47"/>
        <v>3038895000</v>
      </c>
      <c r="V181">
        <f t="shared" si="47"/>
        <v>4862232000</v>
      </c>
      <c r="W181">
        <f t="shared" si="47"/>
        <v>7293348000</v>
      </c>
      <c r="X181">
        <f t="shared" si="47"/>
        <v>10129650000</v>
      </c>
      <c r="Y181">
        <f t="shared" si="47"/>
        <v>12155580000</v>
      </c>
      <c r="Z181">
        <f t="shared" si="47"/>
        <v>19448928000</v>
      </c>
      <c r="AA181">
        <f t="shared" si="47"/>
        <v>20259300000</v>
      </c>
      <c r="AB181">
        <f t="shared" si="47"/>
        <v>30388950000</v>
      </c>
      <c r="AC181">
        <f t="shared" si="47"/>
        <v>48622320000</v>
      </c>
      <c r="AD181">
        <f t="shared" si="47"/>
        <v>72933480000</v>
      </c>
      <c r="AE181">
        <f t="shared" si="44"/>
        <v>85089060000</v>
      </c>
      <c r="AF181">
        <f t="shared" si="44"/>
        <v>111426150000</v>
      </c>
      <c r="AG181">
        <f t="shared" si="44"/>
        <v>141815100000</v>
      </c>
      <c r="AK181">
        <v>175</v>
      </c>
      <c r="AL181" s="24">
        <f t="shared" si="36"/>
        <v>10.574149999999999</v>
      </c>
      <c r="AM181">
        <f t="shared" si="46"/>
        <v>74.019049999999993</v>
      </c>
      <c r="AN181">
        <f t="shared" si="46"/>
        <v>105.7415</v>
      </c>
      <c r="AO181">
        <f t="shared" si="46"/>
        <v>158.61224999999999</v>
      </c>
      <c r="AP181">
        <f t="shared" si="46"/>
        <v>211.483</v>
      </c>
      <c r="AQ181">
        <f t="shared" si="46"/>
        <v>370.09524999999996</v>
      </c>
      <c r="AR181">
        <f t="shared" si="46"/>
        <v>528.70749999999998</v>
      </c>
      <c r="AS181">
        <f t="shared" si="46"/>
        <v>845.93200000000002</v>
      </c>
      <c r="AT181">
        <f t="shared" si="46"/>
        <v>1268.8979999999999</v>
      </c>
      <c r="AU181">
        <f t="shared" si="46"/>
        <v>1797.6054999999999</v>
      </c>
      <c r="AV181">
        <f t="shared" si="46"/>
        <v>2537.7959999999998</v>
      </c>
      <c r="AW181">
        <f t="shared" si="46"/>
        <v>3489.4694999999997</v>
      </c>
      <c r="AX181">
        <f t="shared" si="46"/>
        <v>4864.1089999999995</v>
      </c>
      <c r="AY181">
        <f t="shared" si="46"/>
        <v>8459.32</v>
      </c>
      <c r="AZ181">
        <f t="shared" si="46"/>
        <v>15861.224999999999</v>
      </c>
      <c r="BA181">
        <f t="shared" si="46"/>
        <v>26435.375</v>
      </c>
      <c r="BB181">
        <f t="shared" si="46"/>
        <v>42296.6</v>
      </c>
      <c r="BC181">
        <f t="shared" si="45"/>
        <v>105741.5</v>
      </c>
      <c r="BD181">
        <f t="shared" si="45"/>
        <v>158612.25</v>
      </c>
      <c r="BE181">
        <f t="shared" si="45"/>
        <v>253779.59999999998</v>
      </c>
      <c r="BF181">
        <f t="shared" si="45"/>
        <v>317224.5</v>
      </c>
      <c r="BG181">
        <f t="shared" si="45"/>
        <v>1057415</v>
      </c>
      <c r="BH181">
        <f t="shared" si="45"/>
        <v>3172245</v>
      </c>
      <c r="BI181">
        <f t="shared" si="45"/>
        <v>8988027.5</v>
      </c>
      <c r="BJ181">
        <f t="shared" si="45"/>
        <v>31722450</v>
      </c>
      <c r="BK181">
        <f t="shared" si="45"/>
        <v>105741500</v>
      </c>
      <c r="BL181" s="145">
        <v>176</v>
      </c>
    </row>
    <row r="182" spans="1:64" ht="17.25" thickBot="1" x14ac:dyDescent="0.25">
      <c r="A182" s="131">
        <v>178</v>
      </c>
      <c r="B182" s="132">
        <v>20259300</v>
      </c>
      <c r="D182" s="131">
        <v>178</v>
      </c>
      <c r="E182" s="132">
        <v>10.62308</v>
      </c>
      <c r="M182">
        <v>178</v>
      </c>
      <c r="N182">
        <f t="shared" si="35"/>
        <v>204298270</v>
      </c>
      <c r="O182">
        <f t="shared" si="47"/>
        <v>408596540</v>
      </c>
      <c r="P182">
        <f t="shared" si="47"/>
        <v>612894810</v>
      </c>
      <c r="Q182">
        <f t="shared" si="47"/>
        <v>817193080</v>
      </c>
      <c r="R182">
        <f t="shared" si="47"/>
        <v>1225789620</v>
      </c>
      <c r="S182">
        <f t="shared" si="47"/>
        <v>1430087890</v>
      </c>
      <c r="T182">
        <f t="shared" si="47"/>
        <v>2042982700</v>
      </c>
      <c r="U182">
        <f t="shared" si="47"/>
        <v>3064474050</v>
      </c>
      <c r="V182">
        <f t="shared" si="47"/>
        <v>4903158480</v>
      </c>
      <c r="W182">
        <f t="shared" si="47"/>
        <v>7354737720</v>
      </c>
      <c r="X182">
        <f t="shared" si="47"/>
        <v>10214913500</v>
      </c>
      <c r="Y182">
        <f t="shared" si="47"/>
        <v>12257896200</v>
      </c>
      <c r="Z182">
        <f t="shared" si="47"/>
        <v>19612633920</v>
      </c>
      <c r="AA182">
        <f t="shared" si="47"/>
        <v>20429827000</v>
      </c>
      <c r="AB182">
        <f t="shared" si="47"/>
        <v>30644740500</v>
      </c>
      <c r="AC182">
        <f t="shared" si="47"/>
        <v>49031584800</v>
      </c>
      <c r="AD182">
        <f t="shared" si="47"/>
        <v>73547377200</v>
      </c>
      <c r="AE182">
        <f t="shared" si="44"/>
        <v>85805273400</v>
      </c>
      <c r="AF182">
        <f t="shared" si="44"/>
        <v>112364048500</v>
      </c>
      <c r="AG182">
        <f t="shared" si="44"/>
        <v>143008789000</v>
      </c>
      <c r="AK182">
        <v>176</v>
      </c>
      <c r="AL182" s="24">
        <f t="shared" si="36"/>
        <v>10.59055</v>
      </c>
      <c r="AM182">
        <f t="shared" si="46"/>
        <v>74.133849999999995</v>
      </c>
      <c r="AN182">
        <f t="shared" si="46"/>
        <v>105.9055</v>
      </c>
      <c r="AO182">
        <f t="shared" si="46"/>
        <v>158.85825</v>
      </c>
      <c r="AP182">
        <f t="shared" si="46"/>
        <v>211.81100000000001</v>
      </c>
      <c r="AQ182">
        <f t="shared" si="46"/>
        <v>370.66925000000003</v>
      </c>
      <c r="AR182">
        <f t="shared" si="46"/>
        <v>529.52750000000003</v>
      </c>
      <c r="AS182">
        <f t="shared" si="46"/>
        <v>847.24400000000003</v>
      </c>
      <c r="AT182">
        <f t="shared" si="46"/>
        <v>1270.866</v>
      </c>
      <c r="AU182">
        <f t="shared" si="46"/>
        <v>1800.3935000000001</v>
      </c>
      <c r="AV182">
        <f t="shared" si="46"/>
        <v>2541.732</v>
      </c>
      <c r="AW182">
        <f t="shared" si="46"/>
        <v>3494.8815</v>
      </c>
      <c r="AX182">
        <f t="shared" si="46"/>
        <v>4871.6530000000002</v>
      </c>
      <c r="AY182">
        <f t="shared" si="46"/>
        <v>8472.44</v>
      </c>
      <c r="AZ182">
        <f t="shared" si="46"/>
        <v>15885.825000000001</v>
      </c>
      <c r="BA182">
        <f t="shared" si="46"/>
        <v>26476.375</v>
      </c>
      <c r="BB182">
        <f t="shared" si="46"/>
        <v>42362.200000000004</v>
      </c>
      <c r="BC182">
        <f t="shared" si="45"/>
        <v>105905.5</v>
      </c>
      <c r="BD182">
        <f t="shared" si="45"/>
        <v>158858.25</v>
      </c>
      <c r="BE182">
        <f t="shared" si="45"/>
        <v>254173.2</v>
      </c>
      <c r="BF182">
        <f t="shared" si="45"/>
        <v>317716.5</v>
      </c>
      <c r="BG182">
        <f t="shared" si="45"/>
        <v>1059055</v>
      </c>
      <c r="BH182">
        <f t="shared" si="45"/>
        <v>3177165</v>
      </c>
      <c r="BI182">
        <f t="shared" si="45"/>
        <v>9001967.5</v>
      </c>
      <c r="BJ182">
        <f t="shared" si="45"/>
        <v>31771650</v>
      </c>
      <c r="BK182">
        <f t="shared" si="45"/>
        <v>105905500</v>
      </c>
      <c r="BL182">
        <v>177</v>
      </c>
    </row>
    <row r="183" spans="1:64" ht="17.25" thickBot="1" x14ac:dyDescent="0.25">
      <c r="A183" s="131">
        <v>179</v>
      </c>
      <c r="B183" s="132">
        <v>20429827</v>
      </c>
      <c r="D183" s="131">
        <v>179</v>
      </c>
      <c r="E183" s="132">
        <v>10.63921</v>
      </c>
      <c r="M183">
        <v>179</v>
      </c>
      <c r="N183">
        <f t="shared" si="35"/>
        <v>206008270</v>
      </c>
      <c r="O183">
        <f t="shared" si="47"/>
        <v>412016540</v>
      </c>
      <c r="P183">
        <f t="shared" si="47"/>
        <v>618024810</v>
      </c>
      <c r="Q183">
        <f t="shared" si="47"/>
        <v>824033080</v>
      </c>
      <c r="R183">
        <f t="shared" si="47"/>
        <v>1236049620</v>
      </c>
      <c r="S183">
        <f t="shared" si="47"/>
        <v>1442057890</v>
      </c>
      <c r="T183">
        <f t="shared" si="47"/>
        <v>2060082700</v>
      </c>
      <c r="U183">
        <f t="shared" si="47"/>
        <v>3090124050</v>
      </c>
      <c r="V183">
        <f t="shared" si="47"/>
        <v>4944198480</v>
      </c>
      <c r="W183">
        <f t="shared" si="47"/>
        <v>7416297720</v>
      </c>
      <c r="X183">
        <f t="shared" si="47"/>
        <v>10300413500</v>
      </c>
      <c r="Y183">
        <f t="shared" si="47"/>
        <v>12360496200</v>
      </c>
      <c r="Z183">
        <f t="shared" si="47"/>
        <v>19776793920</v>
      </c>
      <c r="AA183">
        <f t="shared" si="47"/>
        <v>20600827000</v>
      </c>
      <c r="AB183">
        <f t="shared" si="47"/>
        <v>30901240500</v>
      </c>
      <c r="AC183">
        <f t="shared" si="47"/>
        <v>49441984800</v>
      </c>
      <c r="AD183">
        <f t="shared" si="47"/>
        <v>74162977200</v>
      </c>
      <c r="AE183">
        <f t="shared" si="44"/>
        <v>86523473400</v>
      </c>
      <c r="AF183">
        <f t="shared" si="44"/>
        <v>113304548500</v>
      </c>
      <c r="AG183">
        <f t="shared" si="44"/>
        <v>144205789000</v>
      </c>
      <c r="AK183">
        <v>177</v>
      </c>
      <c r="AL183" s="24">
        <f t="shared" si="36"/>
        <v>10.606859999999999</v>
      </c>
      <c r="AM183">
        <f t="shared" si="46"/>
        <v>74.248019999999997</v>
      </c>
      <c r="AN183">
        <f t="shared" si="46"/>
        <v>106.06859999999999</v>
      </c>
      <c r="AO183">
        <f t="shared" si="46"/>
        <v>159.10289999999998</v>
      </c>
      <c r="AP183">
        <f t="shared" si="46"/>
        <v>212.13719999999998</v>
      </c>
      <c r="AQ183">
        <f t="shared" si="46"/>
        <v>371.24009999999998</v>
      </c>
      <c r="AR183">
        <f t="shared" si="46"/>
        <v>530.34299999999996</v>
      </c>
      <c r="AS183">
        <f t="shared" si="46"/>
        <v>848.54879999999991</v>
      </c>
      <c r="AT183">
        <f t="shared" si="46"/>
        <v>1272.8231999999998</v>
      </c>
      <c r="AU183">
        <f t="shared" si="46"/>
        <v>1803.1661999999999</v>
      </c>
      <c r="AV183">
        <f t="shared" si="46"/>
        <v>2545.6463999999996</v>
      </c>
      <c r="AW183">
        <f t="shared" si="46"/>
        <v>3500.2637999999997</v>
      </c>
      <c r="AX183">
        <f t="shared" si="46"/>
        <v>4879.1556</v>
      </c>
      <c r="AY183">
        <f t="shared" si="46"/>
        <v>8485.4879999999994</v>
      </c>
      <c r="AZ183">
        <f t="shared" si="46"/>
        <v>15910.289999999999</v>
      </c>
      <c r="BA183">
        <f t="shared" si="46"/>
        <v>26517.149999999998</v>
      </c>
      <c r="BB183">
        <f t="shared" si="46"/>
        <v>42427.439999999995</v>
      </c>
      <c r="BC183">
        <f t="shared" si="45"/>
        <v>106068.59999999999</v>
      </c>
      <c r="BD183">
        <f t="shared" si="45"/>
        <v>159102.9</v>
      </c>
      <c r="BE183">
        <f t="shared" si="45"/>
        <v>254564.63999999998</v>
      </c>
      <c r="BF183">
        <f t="shared" si="45"/>
        <v>318205.8</v>
      </c>
      <c r="BG183">
        <f t="shared" si="45"/>
        <v>1060686</v>
      </c>
      <c r="BH183">
        <f t="shared" si="45"/>
        <v>3182058</v>
      </c>
      <c r="BI183">
        <f t="shared" si="45"/>
        <v>9015831</v>
      </c>
      <c r="BJ183">
        <f t="shared" si="45"/>
        <v>31820579.999999996</v>
      </c>
      <c r="BK183">
        <f t="shared" si="45"/>
        <v>106068600</v>
      </c>
      <c r="BL183" s="145">
        <v>178</v>
      </c>
    </row>
    <row r="184" spans="1:64" ht="17.25" thickBot="1" x14ac:dyDescent="0.25">
      <c r="A184" s="131">
        <v>180</v>
      </c>
      <c r="B184" s="132">
        <v>20600827</v>
      </c>
      <c r="D184" s="131">
        <v>180</v>
      </c>
      <c r="E184" s="132">
        <v>10.65526</v>
      </c>
      <c r="M184">
        <v>180</v>
      </c>
      <c r="N184">
        <f t="shared" si="35"/>
        <v>207723050</v>
      </c>
      <c r="O184">
        <f t="shared" si="47"/>
        <v>415446100</v>
      </c>
      <c r="P184">
        <f t="shared" si="47"/>
        <v>623169150</v>
      </c>
      <c r="Q184">
        <f t="shared" si="47"/>
        <v>830892200</v>
      </c>
      <c r="R184">
        <f t="shared" si="47"/>
        <v>1246338300</v>
      </c>
      <c r="S184">
        <f t="shared" si="47"/>
        <v>1454061350</v>
      </c>
      <c r="T184">
        <f t="shared" si="47"/>
        <v>2077230500</v>
      </c>
      <c r="U184">
        <f t="shared" si="47"/>
        <v>3115845750</v>
      </c>
      <c r="V184">
        <f t="shared" si="47"/>
        <v>4985353200</v>
      </c>
      <c r="W184">
        <f t="shared" si="47"/>
        <v>7478029800</v>
      </c>
      <c r="X184">
        <f t="shared" si="47"/>
        <v>10386152500</v>
      </c>
      <c r="Y184">
        <f t="shared" si="47"/>
        <v>12463383000</v>
      </c>
      <c r="Z184">
        <f t="shared" si="47"/>
        <v>19941412800</v>
      </c>
      <c r="AA184">
        <f t="shared" si="47"/>
        <v>20772305000</v>
      </c>
      <c r="AB184">
        <f t="shared" si="47"/>
        <v>31158457500</v>
      </c>
      <c r="AC184">
        <f t="shared" si="47"/>
        <v>49853532000</v>
      </c>
      <c r="AD184">
        <f t="shared" si="47"/>
        <v>74780298000</v>
      </c>
      <c r="AE184">
        <f t="shared" si="44"/>
        <v>87243681000</v>
      </c>
      <c r="AF184">
        <f t="shared" si="44"/>
        <v>114247677500</v>
      </c>
      <c r="AG184">
        <f t="shared" si="44"/>
        <v>145406135000</v>
      </c>
      <c r="AK184">
        <v>178</v>
      </c>
      <c r="AL184" s="24">
        <f t="shared" si="36"/>
        <v>10.62308</v>
      </c>
      <c r="AM184">
        <f t="shared" si="46"/>
        <v>74.361559999999997</v>
      </c>
      <c r="AN184">
        <f t="shared" si="46"/>
        <v>106.2308</v>
      </c>
      <c r="AO184">
        <f t="shared" si="46"/>
        <v>159.34620000000001</v>
      </c>
      <c r="AP184">
        <f t="shared" si="46"/>
        <v>212.4616</v>
      </c>
      <c r="AQ184">
        <f t="shared" si="46"/>
        <v>371.80779999999999</v>
      </c>
      <c r="AR184">
        <f t="shared" si="46"/>
        <v>531.154</v>
      </c>
      <c r="AS184">
        <f t="shared" si="46"/>
        <v>849.84640000000002</v>
      </c>
      <c r="AT184">
        <f t="shared" si="46"/>
        <v>1274.7696000000001</v>
      </c>
      <c r="AU184">
        <f t="shared" si="46"/>
        <v>1805.9236000000001</v>
      </c>
      <c r="AV184">
        <f t="shared" si="46"/>
        <v>2549.5392000000002</v>
      </c>
      <c r="AW184">
        <f t="shared" si="46"/>
        <v>3505.6163999999999</v>
      </c>
      <c r="AX184">
        <f t="shared" si="46"/>
        <v>4886.6167999999998</v>
      </c>
      <c r="AY184">
        <f t="shared" si="46"/>
        <v>8498.4639999999999</v>
      </c>
      <c r="AZ184">
        <f t="shared" si="46"/>
        <v>15934.619999999999</v>
      </c>
      <c r="BA184">
        <f t="shared" si="46"/>
        <v>26557.7</v>
      </c>
      <c r="BB184">
        <f t="shared" si="46"/>
        <v>42492.32</v>
      </c>
      <c r="BC184">
        <f t="shared" si="45"/>
        <v>106230.8</v>
      </c>
      <c r="BD184">
        <f t="shared" si="45"/>
        <v>159346.20000000001</v>
      </c>
      <c r="BE184">
        <f t="shared" si="45"/>
        <v>254953.91999999998</v>
      </c>
      <c r="BF184">
        <f t="shared" si="45"/>
        <v>318692.40000000002</v>
      </c>
      <c r="BG184">
        <f t="shared" si="45"/>
        <v>1062308</v>
      </c>
      <c r="BH184">
        <f t="shared" si="45"/>
        <v>3186924</v>
      </c>
      <c r="BI184">
        <f t="shared" si="45"/>
        <v>9029618</v>
      </c>
      <c r="BJ184">
        <f t="shared" si="45"/>
        <v>31869240</v>
      </c>
      <c r="BK184">
        <f t="shared" si="45"/>
        <v>106230800</v>
      </c>
      <c r="BL184">
        <v>179</v>
      </c>
    </row>
    <row r="185" spans="1:64" ht="17.25" thickBot="1" x14ac:dyDescent="0.25">
      <c r="A185" s="131">
        <v>181</v>
      </c>
      <c r="B185" s="132">
        <v>20772305</v>
      </c>
      <c r="D185" s="131">
        <v>181</v>
      </c>
      <c r="E185" s="132">
        <v>10.67122</v>
      </c>
      <c r="M185">
        <v>181</v>
      </c>
      <c r="N185">
        <f t="shared" si="35"/>
        <v>209442550</v>
      </c>
      <c r="O185">
        <f t="shared" si="47"/>
        <v>418885100</v>
      </c>
      <c r="P185">
        <f t="shared" si="47"/>
        <v>628327650</v>
      </c>
      <c r="Q185">
        <f t="shared" si="47"/>
        <v>837770200</v>
      </c>
      <c r="R185">
        <f t="shared" si="47"/>
        <v>1256655300</v>
      </c>
      <c r="S185">
        <f t="shared" si="47"/>
        <v>1466097850</v>
      </c>
      <c r="T185">
        <f t="shared" si="47"/>
        <v>2094425500</v>
      </c>
      <c r="U185">
        <f t="shared" si="47"/>
        <v>3141638250</v>
      </c>
      <c r="V185">
        <f t="shared" si="47"/>
        <v>5026621200</v>
      </c>
      <c r="W185">
        <f t="shared" si="47"/>
        <v>7539931800</v>
      </c>
      <c r="X185">
        <f t="shared" si="47"/>
        <v>10472127500</v>
      </c>
      <c r="Y185">
        <f t="shared" si="47"/>
        <v>12566553000</v>
      </c>
      <c r="Z185">
        <f t="shared" si="47"/>
        <v>20106484800</v>
      </c>
      <c r="AA185">
        <f t="shared" si="47"/>
        <v>20944255000</v>
      </c>
      <c r="AB185">
        <f t="shared" si="47"/>
        <v>31416382500</v>
      </c>
      <c r="AC185">
        <f t="shared" si="47"/>
        <v>50266212000</v>
      </c>
      <c r="AD185">
        <f t="shared" si="47"/>
        <v>75399318000</v>
      </c>
      <c r="AE185">
        <f t="shared" si="44"/>
        <v>87965871000</v>
      </c>
      <c r="AF185">
        <f t="shared" si="44"/>
        <v>115193402500</v>
      </c>
      <c r="AG185">
        <f t="shared" si="44"/>
        <v>146609785000</v>
      </c>
      <c r="AK185">
        <v>179</v>
      </c>
      <c r="AL185" s="24">
        <f t="shared" si="36"/>
        <v>10.63921</v>
      </c>
      <c r="AM185">
        <f t="shared" si="46"/>
        <v>74.474469999999997</v>
      </c>
      <c r="AN185">
        <f t="shared" si="46"/>
        <v>106.3921</v>
      </c>
      <c r="AO185">
        <f t="shared" si="46"/>
        <v>159.58815000000001</v>
      </c>
      <c r="AP185">
        <f t="shared" si="46"/>
        <v>212.7842</v>
      </c>
      <c r="AQ185">
        <f t="shared" si="46"/>
        <v>372.37234999999998</v>
      </c>
      <c r="AR185">
        <f t="shared" si="46"/>
        <v>531.96050000000002</v>
      </c>
      <c r="AS185">
        <f t="shared" si="46"/>
        <v>851.13679999999999</v>
      </c>
      <c r="AT185">
        <f t="shared" si="46"/>
        <v>1276.7052000000001</v>
      </c>
      <c r="AU185">
        <f t="shared" si="46"/>
        <v>1808.6657</v>
      </c>
      <c r="AV185">
        <f t="shared" si="46"/>
        <v>2553.4104000000002</v>
      </c>
      <c r="AW185">
        <f t="shared" si="46"/>
        <v>3510.9393</v>
      </c>
      <c r="AX185">
        <f t="shared" si="46"/>
        <v>4894.0366000000004</v>
      </c>
      <c r="AY185">
        <f t="shared" si="46"/>
        <v>8511.3680000000004</v>
      </c>
      <c r="AZ185">
        <f t="shared" si="46"/>
        <v>15958.815000000001</v>
      </c>
      <c r="BA185">
        <f t="shared" si="46"/>
        <v>26598.025000000001</v>
      </c>
      <c r="BB185">
        <f t="shared" si="46"/>
        <v>42556.840000000004</v>
      </c>
      <c r="BC185">
        <f t="shared" si="45"/>
        <v>106392.1</v>
      </c>
      <c r="BD185">
        <f t="shared" si="45"/>
        <v>159588.15</v>
      </c>
      <c r="BE185">
        <f t="shared" si="45"/>
        <v>255341.04</v>
      </c>
      <c r="BF185">
        <f t="shared" si="45"/>
        <v>319176.3</v>
      </c>
      <c r="BG185">
        <f t="shared" si="45"/>
        <v>1063921</v>
      </c>
      <c r="BH185">
        <f t="shared" si="45"/>
        <v>3191763</v>
      </c>
      <c r="BI185">
        <f t="shared" si="45"/>
        <v>9043328.5</v>
      </c>
      <c r="BJ185">
        <f t="shared" si="45"/>
        <v>31917630</v>
      </c>
      <c r="BK185">
        <f t="shared" si="45"/>
        <v>106392100</v>
      </c>
      <c r="BL185" s="145">
        <v>180</v>
      </c>
    </row>
    <row r="186" spans="1:64" ht="17.25" thickBot="1" x14ac:dyDescent="0.25">
      <c r="A186" s="131">
        <v>182</v>
      </c>
      <c r="B186" s="132">
        <v>20944255</v>
      </c>
      <c r="D186" s="131">
        <v>182</v>
      </c>
      <c r="E186" s="132">
        <v>10.687099999999999</v>
      </c>
      <c r="M186">
        <v>182</v>
      </c>
      <c r="N186">
        <f t="shared" si="35"/>
        <v>211166770</v>
      </c>
      <c r="O186">
        <f t="shared" si="47"/>
        <v>422333540</v>
      </c>
      <c r="P186">
        <f t="shared" si="47"/>
        <v>633500310</v>
      </c>
      <c r="Q186">
        <f t="shared" si="47"/>
        <v>844667080</v>
      </c>
      <c r="R186">
        <f t="shared" si="47"/>
        <v>1267000620</v>
      </c>
      <c r="S186">
        <f t="shared" si="47"/>
        <v>1478167390</v>
      </c>
      <c r="T186">
        <f t="shared" si="47"/>
        <v>2111667700</v>
      </c>
      <c r="U186">
        <f t="shared" si="47"/>
        <v>3167501550</v>
      </c>
      <c r="V186">
        <f t="shared" si="47"/>
        <v>5068002480</v>
      </c>
      <c r="W186">
        <f t="shared" si="47"/>
        <v>7602003720</v>
      </c>
      <c r="X186">
        <f t="shared" si="47"/>
        <v>10558338500</v>
      </c>
      <c r="Y186">
        <f t="shared" si="47"/>
        <v>12670006200</v>
      </c>
      <c r="Z186">
        <f t="shared" si="47"/>
        <v>20272009920</v>
      </c>
      <c r="AA186">
        <f t="shared" si="47"/>
        <v>21116677000</v>
      </c>
      <c r="AB186">
        <f t="shared" si="47"/>
        <v>31675015500</v>
      </c>
      <c r="AC186">
        <f t="shared" si="47"/>
        <v>50680024800</v>
      </c>
      <c r="AD186">
        <f t="shared" si="47"/>
        <v>76020037200</v>
      </c>
      <c r="AE186">
        <f t="shared" si="44"/>
        <v>88690043400</v>
      </c>
      <c r="AF186">
        <f t="shared" si="44"/>
        <v>116141723500</v>
      </c>
      <c r="AG186">
        <f t="shared" si="44"/>
        <v>147816739000</v>
      </c>
      <c r="AK186">
        <v>180</v>
      </c>
      <c r="AL186" s="24">
        <f t="shared" si="36"/>
        <v>10.65526</v>
      </c>
      <c r="AM186">
        <f t="shared" si="46"/>
        <v>74.586820000000003</v>
      </c>
      <c r="AN186">
        <f t="shared" si="46"/>
        <v>106.5526</v>
      </c>
      <c r="AO186">
        <f t="shared" si="46"/>
        <v>159.8289</v>
      </c>
      <c r="AP186">
        <f t="shared" si="46"/>
        <v>213.1052</v>
      </c>
      <c r="AQ186">
        <f t="shared" si="46"/>
        <v>372.9341</v>
      </c>
      <c r="AR186">
        <f t="shared" si="46"/>
        <v>532.76300000000003</v>
      </c>
      <c r="AS186">
        <f t="shared" si="46"/>
        <v>852.42079999999999</v>
      </c>
      <c r="AT186">
        <f t="shared" si="46"/>
        <v>1278.6312</v>
      </c>
      <c r="AU186">
        <f t="shared" si="46"/>
        <v>1811.3942</v>
      </c>
      <c r="AV186">
        <f t="shared" si="46"/>
        <v>2557.2624000000001</v>
      </c>
      <c r="AW186">
        <f t="shared" si="46"/>
        <v>3516.2357999999999</v>
      </c>
      <c r="AX186">
        <f t="shared" si="46"/>
        <v>4901.4196000000002</v>
      </c>
      <c r="AY186">
        <f t="shared" si="46"/>
        <v>8524.2080000000005</v>
      </c>
      <c r="AZ186">
        <f t="shared" si="46"/>
        <v>15982.89</v>
      </c>
      <c r="BA186">
        <f t="shared" si="46"/>
        <v>26638.15</v>
      </c>
      <c r="BB186">
        <f t="shared" si="46"/>
        <v>42621.04</v>
      </c>
      <c r="BC186">
        <f t="shared" si="45"/>
        <v>106552.6</v>
      </c>
      <c r="BD186">
        <f t="shared" si="45"/>
        <v>159828.9</v>
      </c>
      <c r="BE186">
        <f t="shared" si="45"/>
        <v>255726.24</v>
      </c>
      <c r="BF186">
        <f t="shared" si="45"/>
        <v>319657.8</v>
      </c>
      <c r="BG186">
        <f t="shared" si="45"/>
        <v>1065526</v>
      </c>
      <c r="BH186">
        <f t="shared" si="45"/>
        <v>3196578</v>
      </c>
      <c r="BI186">
        <f t="shared" si="45"/>
        <v>9056971</v>
      </c>
      <c r="BJ186">
        <f t="shared" si="45"/>
        <v>31965780</v>
      </c>
      <c r="BK186">
        <f t="shared" si="45"/>
        <v>106552600</v>
      </c>
      <c r="BL186">
        <v>181</v>
      </c>
    </row>
    <row r="187" spans="1:64" ht="17.25" thickBot="1" x14ac:dyDescent="0.25">
      <c r="A187" s="131">
        <v>183</v>
      </c>
      <c r="B187" s="132">
        <v>21116677</v>
      </c>
      <c r="D187" s="131">
        <v>183</v>
      </c>
      <c r="E187" s="132">
        <v>10.70289</v>
      </c>
      <c r="M187">
        <v>183</v>
      </c>
      <c r="N187">
        <f t="shared" si="35"/>
        <v>212895720</v>
      </c>
      <c r="O187">
        <f t="shared" si="47"/>
        <v>425791440</v>
      </c>
      <c r="P187">
        <f t="shared" si="47"/>
        <v>638687160</v>
      </c>
      <c r="Q187">
        <f t="shared" si="47"/>
        <v>851582880</v>
      </c>
      <c r="R187">
        <f t="shared" si="47"/>
        <v>1277374320</v>
      </c>
      <c r="S187">
        <f t="shared" si="47"/>
        <v>1490270040</v>
      </c>
      <c r="T187">
        <f t="shared" si="47"/>
        <v>2128957200</v>
      </c>
      <c r="U187">
        <f t="shared" si="47"/>
        <v>3193435800</v>
      </c>
      <c r="V187">
        <f t="shared" si="47"/>
        <v>5109497280</v>
      </c>
      <c r="W187">
        <f t="shared" si="47"/>
        <v>7664245920</v>
      </c>
      <c r="X187">
        <f t="shared" si="47"/>
        <v>10644786000</v>
      </c>
      <c r="Y187">
        <f t="shared" si="47"/>
        <v>12773743200</v>
      </c>
      <c r="Z187">
        <f t="shared" si="47"/>
        <v>20437989120</v>
      </c>
      <c r="AA187">
        <f t="shared" si="47"/>
        <v>21289572000</v>
      </c>
      <c r="AB187">
        <f t="shared" si="47"/>
        <v>31934358000</v>
      </c>
      <c r="AC187">
        <f t="shared" si="47"/>
        <v>51094972800</v>
      </c>
      <c r="AD187">
        <f t="shared" si="47"/>
        <v>76642459200</v>
      </c>
      <c r="AE187">
        <f t="shared" si="44"/>
        <v>89416202400</v>
      </c>
      <c r="AF187">
        <f t="shared" si="44"/>
        <v>117092646000</v>
      </c>
      <c r="AG187">
        <f t="shared" si="44"/>
        <v>149027004000</v>
      </c>
      <c r="AK187">
        <v>181</v>
      </c>
      <c r="AL187" s="24">
        <f t="shared" si="36"/>
        <v>10.67122</v>
      </c>
      <c r="AM187">
        <f t="shared" si="46"/>
        <v>74.698539999999994</v>
      </c>
      <c r="AN187">
        <f t="shared" si="46"/>
        <v>106.7122</v>
      </c>
      <c r="AO187">
        <f t="shared" si="46"/>
        <v>160.06829999999999</v>
      </c>
      <c r="AP187">
        <f t="shared" si="46"/>
        <v>213.42439999999999</v>
      </c>
      <c r="AQ187">
        <f t="shared" si="46"/>
        <v>373.49270000000001</v>
      </c>
      <c r="AR187">
        <f t="shared" si="46"/>
        <v>533.56100000000004</v>
      </c>
      <c r="AS187">
        <f t="shared" si="46"/>
        <v>853.69759999999997</v>
      </c>
      <c r="AT187">
        <f t="shared" si="46"/>
        <v>1280.5463999999999</v>
      </c>
      <c r="AU187">
        <f t="shared" si="46"/>
        <v>1814.1074000000001</v>
      </c>
      <c r="AV187">
        <f t="shared" si="46"/>
        <v>2561.0927999999999</v>
      </c>
      <c r="AW187">
        <f t="shared" si="46"/>
        <v>3521.5025999999998</v>
      </c>
      <c r="AX187">
        <f t="shared" si="46"/>
        <v>4908.7611999999999</v>
      </c>
      <c r="AY187">
        <f t="shared" si="46"/>
        <v>8536.9760000000006</v>
      </c>
      <c r="AZ187">
        <f t="shared" si="46"/>
        <v>16006.83</v>
      </c>
      <c r="BA187">
        <f t="shared" si="46"/>
        <v>26678.05</v>
      </c>
      <c r="BB187">
        <f t="shared" si="46"/>
        <v>42684.88</v>
      </c>
      <c r="BC187">
        <f t="shared" si="45"/>
        <v>106712.2</v>
      </c>
      <c r="BD187">
        <f t="shared" si="45"/>
        <v>160068.29999999999</v>
      </c>
      <c r="BE187">
        <f t="shared" si="45"/>
        <v>256109.28</v>
      </c>
      <c r="BF187">
        <f t="shared" si="45"/>
        <v>320136.59999999998</v>
      </c>
      <c r="BG187">
        <f t="shared" si="45"/>
        <v>1067122</v>
      </c>
      <c r="BH187">
        <f t="shared" si="45"/>
        <v>3201366</v>
      </c>
      <c r="BI187">
        <f t="shared" si="45"/>
        <v>9070537</v>
      </c>
      <c r="BJ187">
        <f t="shared" si="45"/>
        <v>32013660</v>
      </c>
      <c r="BK187">
        <f t="shared" si="45"/>
        <v>106712200</v>
      </c>
      <c r="BL187" s="145">
        <v>182</v>
      </c>
    </row>
    <row r="188" spans="1:64" ht="17.25" thickBot="1" x14ac:dyDescent="0.25">
      <c r="A188" s="131">
        <v>184</v>
      </c>
      <c r="B188" s="132">
        <v>21289572</v>
      </c>
      <c r="D188" s="131">
        <v>184</v>
      </c>
      <c r="E188" s="132">
        <v>10.7186</v>
      </c>
      <c r="M188">
        <v>184</v>
      </c>
      <c r="N188">
        <f t="shared" si="35"/>
        <v>214629330</v>
      </c>
      <c r="O188">
        <f t="shared" si="47"/>
        <v>429258660</v>
      </c>
      <c r="P188">
        <f t="shared" si="47"/>
        <v>643887990</v>
      </c>
      <c r="Q188">
        <f t="shared" si="47"/>
        <v>858517320</v>
      </c>
      <c r="R188">
        <f t="shared" si="47"/>
        <v>1287775980</v>
      </c>
      <c r="S188">
        <f t="shared" si="47"/>
        <v>1502405310</v>
      </c>
      <c r="T188">
        <f t="shared" si="47"/>
        <v>2146293300</v>
      </c>
      <c r="U188">
        <f t="shared" si="47"/>
        <v>3219439950</v>
      </c>
      <c r="V188">
        <f t="shared" si="47"/>
        <v>5151103920</v>
      </c>
      <c r="W188">
        <f t="shared" si="47"/>
        <v>7726655880</v>
      </c>
      <c r="X188">
        <f t="shared" si="47"/>
        <v>10731466500</v>
      </c>
      <c r="Y188">
        <f t="shared" si="47"/>
        <v>12877759800</v>
      </c>
      <c r="Z188">
        <f t="shared" si="47"/>
        <v>20604415680</v>
      </c>
      <c r="AA188">
        <f t="shared" si="47"/>
        <v>21462933000</v>
      </c>
      <c r="AB188">
        <f t="shared" si="47"/>
        <v>32194399500</v>
      </c>
      <c r="AC188">
        <f t="shared" si="47"/>
        <v>51511039200</v>
      </c>
      <c r="AD188">
        <f t="shared" si="47"/>
        <v>77266558800</v>
      </c>
      <c r="AE188">
        <f t="shared" ref="AE188:AG204" si="48">(VLOOKUP(AE$3,$G$4:$H$23,2,0)*VLOOKUP($M188+1,$A$4:$B$1404,2,0)
)</f>
        <v>90144318600</v>
      </c>
      <c r="AF188">
        <f t="shared" si="48"/>
        <v>118046131500</v>
      </c>
      <c r="AG188">
        <f t="shared" si="48"/>
        <v>150240531000</v>
      </c>
      <c r="AK188">
        <v>182</v>
      </c>
      <c r="AL188" s="24">
        <f t="shared" si="36"/>
        <v>10.687099999999999</v>
      </c>
      <c r="AM188">
        <f t="shared" si="46"/>
        <v>74.809699999999992</v>
      </c>
      <c r="AN188">
        <f t="shared" si="46"/>
        <v>106.871</v>
      </c>
      <c r="AO188">
        <f t="shared" si="46"/>
        <v>160.3065</v>
      </c>
      <c r="AP188">
        <f t="shared" si="46"/>
        <v>213.74199999999999</v>
      </c>
      <c r="AQ188">
        <f t="shared" si="46"/>
        <v>374.04849999999999</v>
      </c>
      <c r="AR188">
        <f t="shared" si="46"/>
        <v>534.3549999999999</v>
      </c>
      <c r="AS188">
        <f t="shared" si="46"/>
        <v>854.96799999999996</v>
      </c>
      <c r="AT188">
        <f t="shared" si="46"/>
        <v>1282.452</v>
      </c>
      <c r="AU188">
        <f t="shared" si="46"/>
        <v>1816.8069999999998</v>
      </c>
      <c r="AV188">
        <f t="shared" si="46"/>
        <v>2564.904</v>
      </c>
      <c r="AW188">
        <f t="shared" si="46"/>
        <v>3526.7429999999999</v>
      </c>
      <c r="AX188">
        <f t="shared" si="46"/>
        <v>4916.0659999999998</v>
      </c>
      <c r="AY188">
        <f t="shared" si="46"/>
        <v>8549.6799999999985</v>
      </c>
      <c r="AZ188">
        <f t="shared" si="46"/>
        <v>16030.65</v>
      </c>
      <c r="BA188">
        <f t="shared" si="46"/>
        <v>26717.749999999996</v>
      </c>
      <c r="BB188">
        <f t="shared" si="46"/>
        <v>42748.399999999994</v>
      </c>
      <c r="BC188">
        <f t="shared" si="45"/>
        <v>106870.99999999999</v>
      </c>
      <c r="BD188">
        <f t="shared" si="45"/>
        <v>160306.5</v>
      </c>
      <c r="BE188">
        <f t="shared" si="45"/>
        <v>256490.4</v>
      </c>
      <c r="BF188">
        <f t="shared" si="45"/>
        <v>320613</v>
      </c>
      <c r="BG188">
        <f t="shared" si="45"/>
        <v>1068710</v>
      </c>
      <c r="BH188">
        <f t="shared" si="45"/>
        <v>3206129.9999999995</v>
      </c>
      <c r="BI188">
        <f t="shared" si="45"/>
        <v>9084035</v>
      </c>
      <c r="BJ188">
        <f t="shared" si="45"/>
        <v>32061299.999999996</v>
      </c>
      <c r="BK188">
        <f t="shared" si="45"/>
        <v>106870999.99999999</v>
      </c>
      <c r="BL188">
        <v>183</v>
      </c>
    </row>
    <row r="189" spans="1:64" ht="17.25" thickBot="1" x14ac:dyDescent="0.25">
      <c r="A189" s="131">
        <v>185</v>
      </c>
      <c r="B189" s="132">
        <v>21462933</v>
      </c>
      <c r="D189" s="131">
        <v>185</v>
      </c>
      <c r="E189" s="132">
        <v>10.73423</v>
      </c>
      <c r="M189">
        <v>185</v>
      </c>
      <c r="N189">
        <f t="shared" si="35"/>
        <v>216367610</v>
      </c>
      <c r="O189">
        <f t="shared" si="47"/>
        <v>432735220</v>
      </c>
      <c r="P189">
        <f t="shared" si="47"/>
        <v>649102830</v>
      </c>
      <c r="Q189">
        <f t="shared" si="47"/>
        <v>865470440</v>
      </c>
      <c r="R189">
        <f t="shared" si="47"/>
        <v>1298205660</v>
      </c>
      <c r="S189">
        <f t="shared" si="47"/>
        <v>1514573270</v>
      </c>
      <c r="T189">
        <f t="shared" si="47"/>
        <v>2163676100</v>
      </c>
      <c r="U189">
        <f t="shared" si="47"/>
        <v>3245514150</v>
      </c>
      <c r="V189">
        <f t="shared" si="47"/>
        <v>5192822640</v>
      </c>
      <c r="W189">
        <f t="shared" si="47"/>
        <v>7789233960</v>
      </c>
      <c r="X189">
        <f t="shared" si="47"/>
        <v>10818380500</v>
      </c>
      <c r="Y189">
        <f t="shared" si="47"/>
        <v>12982056600</v>
      </c>
      <c r="Z189">
        <f t="shared" si="47"/>
        <v>20771290560</v>
      </c>
      <c r="AA189">
        <f t="shared" si="47"/>
        <v>21636761000</v>
      </c>
      <c r="AB189">
        <f t="shared" si="47"/>
        <v>32455141500</v>
      </c>
      <c r="AC189">
        <f t="shared" si="47"/>
        <v>51928226400</v>
      </c>
      <c r="AD189">
        <f t="shared" si="47"/>
        <v>77892339600</v>
      </c>
      <c r="AE189">
        <f t="shared" si="48"/>
        <v>90874396200</v>
      </c>
      <c r="AF189">
        <f t="shared" si="48"/>
        <v>119002185500</v>
      </c>
      <c r="AG189">
        <f t="shared" si="48"/>
        <v>151457327000</v>
      </c>
      <c r="AK189">
        <v>183</v>
      </c>
      <c r="AL189" s="24">
        <f t="shared" si="36"/>
        <v>10.70289</v>
      </c>
      <c r="AM189">
        <f t="shared" si="46"/>
        <v>74.920230000000004</v>
      </c>
      <c r="AN189">
        <f t="shared" si="46"/>
        <v>107.02889999999999</v>
      </c>
      <c r="AO189">
        <f t="shared" si="46"/>
        <v>160.54335</v>
      </c>
      <c r="AP189">
        <f t="shared" si="46"/>
        <v>214.05779999999999</v>
      </c>
      <c r="AQ189">
        <f t="shared" si="46"/>
        <v>374.60115000000002</v>
      </c>
      <c r="AR189">
        <f t="shared" si="46"/>
        <v>535.14449999999999</v>
      </c>
      <c r="AS189">
        <f t="shared" si="46"/>
        <v>856.23119999999994</v>
      </c>
      <c r="AT189">
        <f t="shared" si="46"/>
        <v>1284.3468</v>
      </c>
      <c r="AU189">
        <f t="shared" si="46"/>
        <v>1819.4912999999999</v>
      </c>
      <c r="AV189">
        <f t="shared" si="46"/>
        <v>2568.6936000000001</v>
      </c>
      <c r="AW189">
        <f t="shared" si="46"/>
        <v>3531.9537</v>
      </c>
      <c r="AX189">
        <f t="shared" si="46"/>
        <v>4923.3293999999996</v>
      </c>
      <c r="AY189">
        <f t="shared" si="46"/>
        <v>8562.3119999999999</v>
      </c>
      <c r="AZ189">
        <f t="shared" si="46"/>
        <v>16054.334999999999</v>
      </c>
      <c r="BA189">
        <f t="shared" si="46"/>
        <v>26757.224999999999</v>
      </c>
      <c r="BB189">
        <f t="shared" si="46"/>
        <v>42811.56</v>
      </c>
      <c r="BC189">
        <f t="shared" si="45"/>
        <v>107028.9</v>
      </c>
      <c r="BD189">
        <f t="shared" si="45"/>
        <v>160543.35</v>
      </c>
      <c r="BE189">
        <f t="shared" si="45"/>
        <v>256869.36</v>
      </c>
      <c r="BF189">
        <f t="shared" si="45"/>
        <v>321086.7</v>
      </c>
      <c r="BG189">
        <f t="shared" si="45"/>
        <v>1070289</v>
      </c>
      <c r="BH189">
        <f t="shared" si="45"/>
        <v>3210867</v>
      </c>
      <c r="BI189">
        <f t="shared" si="45"/>
        <v>9097456.5</v>
      </c>
      <c r="BJ189">
        <f t="shared" si="45"/>
        <v>32108670</v>
      </c>
      <c r="BK189">
        <f t="shared" si="45"/>
        <v>107028900</v>
      </c>
      <c r="BL189" s="145">
        <v>184</v>
      </c>
    </row>
    <row r="190" spans="1:64" ht="17.25" thickBot="1" x14ac:dyDescent="0.25">
      <c r="A190" s="131">
        <v>186</v>
      </c>
      <c r="B190" s="132">
        <v>21636761</v>
      </c>
      <c r="D190" s="131">
        <v>186</v>
      </c>
      <c r="E190" s="132">
        <v>10.749779999999999</v>
      </c>
      <c r="M190">
        <v>186</v>
      </c>
      <c r="N190">
        <f t="shared" si="35"/>
        <v>218110550</v>
      </c>
      <c r="O190">
        <f t="shared" si="47"/>
        <v>436221100</v>
      </c>
      <c r="P190">
        <f t="shared" si="47"/>
        <v>654331650</v>
      </c>
      <c r="Q190">
        <f t="shared" si="47"/>
        <v>872442200</v>
      </c>
      <c r="R190">
        <f t="shared" si="47"/>
        <v>1308663300</v>
      </c>
      <c r="S190">
        <f t="shared" si="47"/>
        <v>1526773850</v>
      </c>
      <c r="T190">
        <f t="shared" si="47"/>
        <v>2181105500</v>
      </c>
      <c r="U190">
        <f t="shared" si="47"/>
        <v>3271658250</v>
      </c>
      <c r="V190">
        <f t="shared" si="47"/>
        <v>5234653200</v>
      </c>
      <c r="W190">
        <f t="shared" si="47"/>
        <v>7851979800</v>
      </c>
      <c r="X190">
        <f t="shared" si="47"/>
        <v>10905527500</v>
      </c>
      <c r="Y190">
        <f t="shared" si="47"/>
        <v>13086633000</v>
      </c>
      <c r="Z190">
        <f t="shared" si="47"/>
        <v>20938612800</v>
      </c>
      <c r="AA190">
        <f t="shared" si="47"/>
        <v>21811055000</v>
      </c>
      <c r="AB190">
        <f t="shared" si="47"/>
        <v>32716582500</v>
      </c>
      <c r="AC190">
        <f t="shared" si="47"/>
        <v>52346532000</v>
      </c>
      <c r="AD190">
        <f t="shared" si="47"/>
        <v>78519798000</v>
      </c>
      <c r="AE190">
        <f t="shared" si="48"/>
        <v>91606431000</v>
      </c>
      <c r="AF190">
        <f t="shared" si="48"/>
        <v>119960802500</v>
      </c>
      <c r="AG190">
        <f t="shared" si="48"/>
        <v>152677385000</v>
      </c>
      <c r="AK190">
        <v>184</v>
      </c>
      <c r="AL190" s="24">
        <f t="shared" si="36"/>
        <v>10.7186</v>
      </c>
      <c r="AM190">
        <f t="shared" si="46"/>
        <v>75.030200000000008</v>
      </c>
      <c r="AN190">
        <f t="shared" si="46"/>
        <v>107.18600000000001</v>
      </c>
      <c r="AO190">
        <f t="shared" si="46"/>
        <v>160.779</v>
      </c>
      <c r="AP190">
        <f t="shared" si="46"/>
        <v>214.37200000000001</v>
      </c>
      <c r="AQ190">
        <f t="shared" si="46"/>
        <v>375.15100000000001</v>
      </c>
      <c r="AR190">
        <f t="shared" si="46"/>
        <v>535.93000000000006</v>
      </c>
      <c r="AS190">
        <f t="shared" si="46"/>
        <v>857.48800000000006</v>
      </c>
      <c r="AT190">
        <f t="shared" si="46"/>
        <v>1286.232</v>
      </c>
      <c r="AU190">
        <f t="shared" si="46"/>
        <v>1822.162</v>
      </c>
      <c r="AV190">
        <f t="shared" si="46"/>
        <v>2572.4639999999999</v>
      </c>
      <c r="AW190">
        <f t="shared" si="46"/>
        <v>3537.1379999999999</v>
      </c>
      <c r="AX190">
        <f t="shared" si="46"/>
        <v>4930.5560000000005</v>
      </c>
      <c r="AY190">
        <f t="shared" si="46"/>
        <v>8574.880000000001</v>
      </c>
      <c r="AZ190">
        <f t="shared" si="46"/>
        <v>16077.9</v>
      </c>
      <c r="BA190">
        <f t="shared" si="46"/>
        <v>26796.5</v>
      </c>
      <c r="BB190">
        <f t="shared" si="46"/>
        <v>42874.400000000001</v>
      </c>
      <c r="BC190">
        <f t="shared" si="45"/>
        <v>107186</v>
      </c>
      <c r="BD190">
        <f t="shared" si="45"/>
        <v>160779</v>
      </c>
      <c r="BE190">
        <f t="shared" si="45"/>
        <v>257246.4</v>
      </c>
      <c r="BF190">
        <f t="shared" si="45"/>
        <v>321558</v>
      </c>
      <c r="BG190">
        <f t="shared" si="45"/>
        <v>1071860</v>
      </c>
      <c r="BH190">
        <f t="shared" si="45"/>
        <v>3215580</v>
      </c>
      <c r="BI190">
        <f t="shared" si="45"/>
        <v>9110810</v>
      </c>
      <c r="BJ190">
        <f t="shared" si="45"/>
        <v>32155800</v>
      </c>
      <c r="BK190">
        <f t="shared" si="45"/>
        <v>107186000</v>
      </c>
      <c r="BL190">
        <v>185</v>
      </c>
    </row>
    <row r="191" spans="1:64" ht="17.25" thickBot="1" x14ac:dyDescent="0.25">
      <c r="A191" s="131">
        <v>187</v>
      </c>
      <c r="B191" s="132">
        <v>21811055</v>
      </c>
      <c r="D191" s="131">
        <v>187</v>
      </c>
      <c r="E191" s="132">
        <v>10.76525</v>
      </c>
      <c r="M191">
        <v>187</v>
      </c>
      <c r="N191">
        <f t="shared" si="35"/>
        <v>219858160</v>
      </c>
      <c r="O191">
        <f t="shared" si="47"/>
        <v>439716320</v>
      </c>
      <c r="P191">
        <f t="shared" si="47"/>
        <v>659574480</v>
      </c>
      <c r="Q191">
        <f t="shared" si="47"/>
        <v>879432640</v>
      </c>
      <c r="R191">
        <f t="shared" si="47"/>
        <v>1319148960</v>
      </c>
      <c r="S191">
        <f t="shared" si="47"/>
        <v>1539007120</v>
      </c>
      <c r="T191">
        <f t="shared" si="47"/>
        <v>2198581600</v>
      </c>
      <c r="U191">
        <f t="shared" si="47"/>
        <v>3297872400</v>
      </c>
      <c r="V191">
        <f t="shared" si="47"/>
        <v>5276595840</v>
      </c>
      <c r="W191">
        <f t="shared" si="47"/>
        <v>7914893760</v>
      </c>
      <c r="X191">
        <f t="shared" si="47"/>
        <v>10992908000</v>
      </c>
      <c r="Y191">
        <f t="shared" si="47"/>
        <v>13191489600</v>
      </c>
      <c r="Z191">
        <f t="shared" si="47"/>
        <v>21106383360</v>
      </c>
      <c r="AA191">
        <f t="shared" si="47"/>
        <v>21985816000</v>
      </c>
      <c r="AB191">
        <f t="shared" si="47"/>
        <v>32978724000</v>
      </c>
      <c r="AC191">
        <f t="shared" si="47"/>
        <v>52765958400</v>
      </c>
      <c r="AD191">
        <f t="shared" si="47"/>
        <v>79148937600</v>
      </c>
      <c r="AE191">
        <f t="shared" si="48"/>
        <v>92340427200</v>
      </c>
      <c r="AF191">
        <f t="shared" si="48"/>
        <v>120921988000</v>
      </c>
      <c r="AG191">
        <f t="shared" si="48"/>
        <v>153900712000</v>
      </c>
      <c r="AK191">
        <v>185</v>
      </c>
      <c r="AL191" s="24">
        <f t="shared" si="36"/>
        <v>10.73423</v>
      </c>
      <c r="AM191">
        <f t="shared" si="46"/>
        <v>75.139610000000005</v>
      </c>
      <c r="AN191">
        <f t="shared" si="46"/>
        <v>107.34229999999999</v>
      </c>
      <c r="AO191">
        <f t="shared" si="46"/>
        <v>161.01345000000001</v>
      </c>
      <c r="AP191">
        <f t="shared" si="46"/>
        <v>214.68459999999999</v>
      </c>
      <c r="AQ191">
        <f t="shared" si="46"/>
        <v>375.69805000000002</v>
      </c>
      <c r="AR191">
        <f t="shared" si="46"/>
        <v>536.7115</v>
      </c>
      <c r="AS191">
        <f t="shared" si="46"/>
        <v>858.73839999999996</v>
      </c>
      <c r="AT191">
        <f t="shared" si="46"/>
        <v>1288.1076</v>
      </c>
      <c r="AU191">
        <f t="shared" si="46"/>
        <v>1824.8190999999999</v>
      </c>
      <c r="AV191">
        <f t="shared" si="46"/>
        <v>2576.2152000000001</v>
      </c>
      <c r="AW191">
        <f t="shared" si="46"/>
        <v>3542.2959000000001</v>
      </c>
      <c r="AX191">
        <f t="shared" si="46"/>
        <v>4937.7457999999997</v>
      </c>
      <c r="AY191">
        <f t="shared" si="46"/>
        <v>8587.384</v>
      </c>
      <c r="AZ191">
        <f t="shared" si="46"/>
        <v>16101.344999999999</v>
      </c>
      <c r="BA191">
        <f t="shared" si="46"/>
        <v>26835.575000000001</v>
      </c>
      <c r="BB191">
        <f t="shared" si="46"/>
        <v>42936.92</v>
      </c>
      <c r="BC191">
        <f t="shared" si="45"/>
        <v>107342.3</v>
      </c>
      <c r="BD191">
        <f t="shared" si="45"/>
        <v>161013.45000000001</v>
      </c>
      <c r="BE191">
        <f t="shared" si="45"/>
        <v>257621.52</v>
      </c>
      <c r="BF191">
        <f t="shared" si="45"/>
        <v>322026.90000000002</v>
      </c>
      <c r="BG191">
        <f t="shared" si="45"/>
        <v>1073423</v>
      </c>
      <c r="BH191">
        <f t="shared" si="45"/>
        <v>3220269</v>
      </c>
      <c r="BI191">
        <f t="shared" si="45"/>
        <v>9124095.5</v>
      </c>
      <c r="BJ191">
        <f t="shared" si="45"/>
        <v>32202690</v>
      </c>
      <c r="BK191">
        <f t="shared" si="45"/>
        <v>107342300</v>
      </c>
      <c r="BL191" s="145">
        <v>186</v>
      </c>
    </row>
    <row r="192" spans="1:64" ht="17.25" thickBot="1" x14ac:dyDescent="0.25">
      <c r="A192" s="131">
        <v>188</v>
      </c>
      <c r="B192" s="132">
        <v>21985816</v>
      </c>
      <c r="D192" s="131">
        <v>188</v>
      </c>
      <c r="E192" s="132">
        <v>10.78064</v>
      </c>
      <c r="M192">
        <v>188</v>
      </c>
      <c r="N192">
        <f t="shared" si="35"/>
        <v>221610440</v>
      </c>
      <c r="O192">
        <f t="shared" si="47"/>
        <v>443220880</v>
      </c>
      <c r="P192">
        <f t="shared" si="47"/>
        <v>664831320</v>
      </c>
      <c r="Q192">
        <f t="shared" si="47"/>
        <v>886441760</v>
      </c>
      <c r="R192">
        <f t="shared" si="47"/>
        <v>1329662640</v>
      </c>
      <c r="S192">
        <f t="shared" si="47"/>
        <v>1551273080</v>
      </c>
      <c r="T192">
        <f t="shared" si="47"/>
        <v>2216104400</v>
      </c>
      <c r="U192">
        <f t="shared" si="47"/>
        <v>3324156600</v>
      </c>
      <c r="V192">
        <f t="shared" si="47"/>
        <v>5318650560</v>
      </c>
      <c r="W192">
        <f t="shared" si="47"/>
        <v>7977975840</v>
      </c>
      <c r="X192">
        <f t="shared" si="47"/>
        <v>11080522000</v>
      </c>
      <c r="Y192">
        <f t="shared" si="47"/>
        <v>13296626400</v>
      </c>
      <c r="Z192">
        <f t="shared" si="47"/>
        <v>21274602240</v>
      </c>
      <c r="AA192">
        <f t="shared" si="47"/>
        <v>22161044000</v>
      </c>
      <c r="AB192">
        <f t="shared" si="47"/>
        <v>33241566000</v>
      </c>
      <c r="AC192">
        <f t="shared" si="47"/>
        <v>53186505600</v>
      </c>
      <c r="AD192">
        <f t="shared" si="47"/>
        <v>79779758400</v>
      </c>
      <c r="AE192">
        <f t="shared" si="48"/>
        <v>93076384800</v>
      </c>
      <c r="AF192">
        <f t="shared" si="48"/>
        <v>121885742000</v>
      </c>
      <c r="AG192">
        <f t="shared" si="48"/>
        <v>155127308000</v>
      </c>
      <c r="AK192">
        <v>186</v>
      </c>
      <c r="AL192" s="24">
        <f t="shared" si="36"/>
        <v>10.749779999999999</v>
      </c>
      <c r="AM192">
        <f t="shared" si="46"/>
        <v>75.248459999999994</v>
      </c>
      <c r="AN192">
        <f t="shared" si="46"/>
        <v>107.4978</v>
      </c>
      <c r="AO192">
        <f t="shared" si="46"/>
        <v>161.2467</v>
      </c>
      <c r="AP192">
        <f t="shared" si="46"/>
        <v>214.9956</v>
      </c>
      <c r="AQ192">
        <f t="shared" si="46"/>
        <v>376.2423</v>
      </c>
      <c r="AR192">
        <f t="shared" si="46"/>
        <v>537.48899999999992</v>
      </c>
      <c r="AS192">
        <f t="shared" si="46"/>
        <v>859.98239999999998</v>
      </c>
      <c r="AT192">
        <f t="shared" si="46"/>
        <v>1289.9736</v>
      </c>
      <c r="AU192">
        <f t="shared" si="46"/>
        <v>1827.4625999999998</v>
      </c>
      <c r="AV192">
        <f t="shared" si="46"/>
        <v>2579.9472000000001</v>
      </c>
      <c r="AW192">
        <f t="shared" si="46"/>
        <v>3547.4274</v>
      </c>
      <c r="AX192">
        <f t="shared" si="46"/>
        <v>4944.8987999999999</v>
      </c>
      <c r="AY192">
        <f t="shared" si="46"/>
        <v>8599.8239999999987</v>
      </c>
      <c r="AZ192">
        <f t="shared" si="46"/>
        <v>16124.67</v>
      </c>
      <c r="BA192">
        <f t="shared" si="46"/>
        <v>26874.449999999997</v>
      </c>
      <c r="BB192">
        <f t="shared" ref="BB192:BK207" si="49">BB$5*VLOOKUP($AK192,$D$2:$E$1404,2,FALSE)</f>
        <v>42999.119999999995</v>
      </c>
      <c r="BC192">
        <f t="shared" si="49"/>
        <v>107497.79999999999</v>
      </c>
      <c r="BD192">
        <f t="shared" si="49"/>
        <v>161246.69999999998</v>
      </c>
      <c r="BE192">
        <f t="shared" si="49"/>
        <v>257994.72</v>
      </c>
      <c r="BF192">
        <f t="shared" si="49"/>
        <v>322493.39999999997</v>
      </c>
      <c r="BG192">
        <f t="shared" si="49"/>
        <v>1074978</v>
      </c>
      <c r="BH192">
        <f t="shared" si="49"/>
        <v>3224934</v>
      </c>
      <c r="BI192">
        <f t="shared" si="49"/>
        <v>9137313</v>
      </c>
      <c r="BJ192">
        <f t="shared" si="49"/>
        <v>32249340</v>
      </c>
      <c r="BK192">
        <f t="shared" si="49"/>
        <v>107497800</v>
      </c>
      <c r="BL192">
        <v>187</v>
      </c>
    </row>
    <row r="193" spans="1:64" ht="17.25" thickBot="1" x14ac:dyDescent="0.25">
      <c r="A193" s="131">
        <v>189</v>
      </c>
      <c r="B193" s="132">
        <v>22161044</v>
      </c>
      <c r="D193" s="131">
        <v>189</v>
      </c>
      <c r="E193" s="132">
        <v>10.795949999999999</v>
      </c>
      <c r="M193">
        <v>189</v>
      </c>
      <c r="N193">
        <f t="shared" si="35"/>
        <v>223367330</v>
      </c>
      <c r="O193">
        <f t="shared" si="47"/>
        <v>446734660</v>
      </c>
      <c r="P193">
        <f t="shared" si="47"/>
        <v>670101990</v>
      </c>
      <c r="Q193">
        <f t="shared" si="47"/>
        <v>893469320</v>
      </c>
      <c r="R193">
        <f t="shared" si="47"/>
        <v>1340203980</v>
      </c>
      <c r="S193">
        <f t="shared" si="47"/>
        <v>1563571310</v>
      </c>
      <c r="T193">
        <f t="shared" si="47"/>
        <v>2233673300</v>
      </c>
      <c r="U193">
        <f t="shared" si="47"/>
        <v>3350509950</v>
      </c>
      <c r="V193">
        <f t="shared" si="47"/>
        <v>5360815920</v>
      </c>
      <c r="W193">
        <f t="shared" si="47"/>
        <v>8041223880</v>
      </c>
      <c r="X193">
        <f t="shared" si="47"/>
        <v>11168366500</v>
      </c>
      <c r="Y193">
        <f t="shared" si="47"/>
        <v>13402039800</v>
      </c>
      <c r="Z193">
        <f t="shared" si="47"/>
        <v>21443263680</v>
      </c>
      <c r="AA193">
        <f t="shared" si="47"/>
        <v>22336733000</v>
      </c>
      <c r="AB193">
        <f t="shared" si="47"/>
        <v>33505099500</v>
      </c>
      <c r="AC193">
        <f t="shared" si="47"/>
        <v>53608159200</v>
      </c>
      <c r="AD193">
        <f t="shared" si="47"/>
        <v>80412238800</v>
      </c>
      <c r="AE193">
        <f t="shared" si="48"/>
        <v>93814278600</v>
      </c>
      <c r="AF193">
        <f t="shared" si="48"/>
        <v>122852031500</v>
      </c>
      <c r="AG193">
        <f t="shared" si="48"/>
        <v>156357131000</v>
      </c>
      <c r="AK193">
        <v>187</v>
      </c>
      <c r="AL193" s="24">
        <f t="shared" si="36"/>
        <v>10.76525</v>
      </c>
      <c r="AM193">
        <f t="shared" ref="AM193:BB208" si="50">AM$5*VLOOKUP($AK193,$D$2:$E$1404,2,FALSE)</f>
        <v>75.356750000000005</v>
      </c>
      <c r="AN193">
        <f t="shared" si="50"/>
        <v>107.6525</v>
      </c>
      <c r="AO193">
        <f t="shared" si="50"/>
        <v>161.47874999999999</v>
      </c>
      <c r="AP193">
        <f t="shared" si="50"/>
        <v>215.30500000000001</v>
      </c>
      <c r="AQ193">
        <f t="shared" si="50"/>
        <v>376.78375</v>
      </c>
      <c r="AR193">
        <f t="shared" si="50"/>
        <v>538.26250000000005</v>
      </c>
      <c r="AS193">
        <f t="shared" si="50"/>
        <v>861.22</v>
      </c>
      <c r="AT193">
        <f t="shared" si="50"/>
        <v>1291.83</v>
      </c>
      <c r="AU193">
        <f t="shared" si="50"/>
        <v>1830.0925</v>
      </c>
      <c r="AV193">
        <f t="shared" si="50"/>
        <v>2583.66</v>
      </c>
      <c r="AW193">
        <f t="shared" si="50"/>
        <v>3552.5324999999998</v>
      </c>
      <c r="AX193">
        <f t="shared" si="50"/>
        <v>4952.0150000000003</v>
      </c>
      <c r="AY193">
        <f t="shared" si="50"/>
        <v>8612.2000000000007</v>
      </c>
      <c r="AZ193">
        <f t="shared" si="50"/>
        <v>16147.875</v>
      </c>
      <c r="BA193">
        <f t="shared" si="50"/>
        <v>26913.125</v>
      </c>
      <c r="BB193">
        <f t="shared" si="50"/>
        <v>43061</v>
      </c>
      <c r="BC193">
        <f t="shared" si="49"/>
        <v>107652.5</v>
      </c>
      <c r="BD193">
        <f t="shared" si="49"/>
        <v>161478.75</v>
      </c>
      <c r="BE193">
        <f t="shared" si="49"/>
        <v>258366</v>
      </c>
      <c r="BF193">
        <f t="shared" si="49"/>
        <v>322957.5</v>
      </c>
      <c r="BG193">
        <f t="shared" si="49"/>
        <v>1076525</v>
      </c>
      <c r="BH193">
        <f t="shared" si="49"/>
        <v>3229575</v>
      </c>
      <c r="BI193">
        <f t="shared" si="49"/>
        <v>9150462.5</v>
      </c>
      <c r="BJ193">
        <f t="shared" si="49"/>
        <v>32295750</v>
      </c>
      <c r="BK193">
        <f t="shared" si="49"/>
        <v>107652500</v>
      </c>
      <c r="BL193" s="145">
        <v>188</v>
      </c>
    </row>
    <row r="194" spans="1:64" ht="17.25" thickBot="1" x14ac:dyDescent="0.25">
      <c r="A194" s="131">
        <v>190</v>
      </c>
      <c r="B194" s="132">
        <v>22336733</v>
      </c>
      <c r="D194" s="131">
        <v>190</v>
      </c>
      <c r="E194" s="132">
        <v>10.81118</v>
      </c>
      <c r="M194">
        <v>190</v>
      </c>
      <c r="N194">
        <f t="shared" si="35"/>
        <v>225128830</v>
      </c>
      <c r="O194">
        <f t="shared" si="47"/>
        <v>450257660</v>
      </c>
      <c r="P194">
        <f t="shared" si="47"/>
        <v>675386490</v>
      </c>
      <c r="Q194">
        <f t="shared" si="47"/>
        <v>900515320</v>
      </c>
      <c r="R194">
        <f t="shared" si="47"/>
        <v>1350772980</v>
      </c>
      <c r="S194">
        <f t="shared" si="47"/>
        <v>1575901810</v>
      </c>
      <c r="T194">
        <f t="shared" ref="T194:AD204" si="51">(VLOOKUP(T$3,$G$4:$H$23,2,0)*VLOOKUP($M194+1,$A$4:$B$1404,2,0)
)</f>
        <v>2251288300</v>
      </c>
      <c r="U194">
        <f t="shared" si="51"/>
        <v>3376932450</v>
      </c>
      <c r="V194">
        <f t="shared" si="51"/>
        <v>5403091920</v>
      </c>
      <c r="W194">
        <f t="shared" si="51"/>
        <v>8104637880</v>
      </c>
      <c r="X194">
        <f t="shared" si="51"/>
        <v>11256441500</v>
      </c>
      <c r="Y194">
        <f t="shared" si="51"/>
        <v>13507729800</v>
      </c>
      <c r="Z194">
        <f t="shared" si="51"/>
        <v>21612367680</v>
      </c>
      <c r="AA194">
        <f t="shared" si="51"/>
        <v>22512883000</v>
      </c>
      <c r="AB194">
        <f t="shared" si="51"/>
        <v>33769324500</v>
      </c>
      <c r="AC194">
        <f t="shared" si="51"/>
        <v>54030919200</v>
      </c>
      <c r="AD194">
        <f t="shared" si="51"/>
        <v>81046378800</v>
      </c>
      <c r="AE194">
        <f t="shared" si="48"/>
        <v>94554108600</v>
      </c>
      <c r="AF194">
        <f t="shared" si="48"/>
        <v>123820856500</v>
      </c>
      <c r="AG194">
        <f t="shared" si="48"/>
        <v>157590181000</v>
      </c>
      <c r="AK194">
        <v>188</v>
      </c>
      <c r="AL194" s="24">
        <f t="shared" si="36"/>
        <v>10.78064</v>
      </c>
      <c r="AM194">
        <f t="shared" si="50"/>
        <v>75.464479999999995</v>
      </c>
      <c r="AN194">
        <f t="shared" si="50"/>
        <v>107.8064</v>
      </c>
      <c r="AO194">
        <f t="shared" si="50"/>
        <v>161.70959999999999</v>
      </c>
      <c r="AP194">
        <f t="shared" si="50"/>
        <v>215.61279999999999</v>
      </c>
      <c r="AQ194">
        <f t="shared" si="50"/>
        <v>377.32240000000002</v>
      </c>
      <c r="AR194">
        <f t="shared" si="50"/>
        <v>539.03200000000004</v>
      </c>
      <c r="AS194">
        <f t="shared" si="50"/>
        <v>862.45119999999997</v>
      </c>
      <c r="AT194">
        <f t="shared" si="50"/>
        <v>1293.6768</v>
      </c>
      <c r="AU194">
        <f t="shared" si="50"/>
        <v>1832.7088000000001</v>
      </c>
      <c r="AV194">
        <f t="shared" si="50"/>
        <v>2587.3535999999999</v>
      </c>
      <c r="AW194">
        <f t="shared" si="50"/>
        <v>3557.6111999999998</v>
      </c>
      <c r="AX194">
        <f t="shared" si="50"/>
        <v>4959.0944</v>
      </c>
      <c r="AY194">
        <f t="shared" si="50"/>
        <v>8624.5120000000006</v>
      </c>
      <c r="AZ194">
        <f t="shared" si="50"/>
        <v>16170.96</v>
      </c>
      <c r="BA194">
        <f t="shared" si="50"/>
        <v>26951.599999999999</v>
      </c>
      <c r="BB194">
        <f t="shared" si="50"/>
        <v>43122.559999999998</v>
      </c>
      <c r="BC194">
        <f t="shared" si="49"/>
        <v>107806.39999999999</v>
      </c>
      <c r="BD194">
        <f t="shared" si="49"/>
        <v>161709.6</v>
      </c>
      <c r="BE194">
        <f t="shared" si="49"/>
        <v>258735.35999999999</v>
      </c>
      <c r="BF194">
        <f t="shared" si="49"/>
        <v>323419.2</v>
      </c>
      <c r="BG194">
        <f t="shared" si="49"/>
        <v>1078064</v>
      </c>
      <c r="BH194">
        <f t="shared" si="49"/>
        <v>3234192</v>
      </c>
      <c r="BI194">
        <f t="shared" si="49"/>
        <v>9163544</v>
      </c>
      <c r="BJ194">
        <f t="shared" si="49"/>
        <v>32341920</v>
      </c>
      <c r="BK194">
        <f t="shared" si="49"/>
        <v>107806400</v>
      </c>
      <c r="BL194">
        <v>189</v>
      </c>
    </row>
    <row r="195" spans="1:64" ht="17.25" thickBot="1" x14ac:dyDescent="0.25">
      <c r="A195" s="131">
        <v>191</v>
      </c>
      <c r="B195" s="132">
        <v>22512883</v>
      </c>
      <c r="D195" s="131">
        <v>191</v>
      </c>
      <c r="E195" s="132">
        <v>10.82634</v>
      </c>
      <c r="M195">
        <v>191</v>
      </c>
      <c r="N195">
        <f t="shared" si="35"/>
        <v>226894940</v>
      </c>
      <c r="O195">
        <f t="shared" ref="O195:S204" si="52">(VLOOKUP(O$3,$G$4:$H$23,2,0)*VLOOKUP($M195+1,$A$4:$B$1404,2,0)
)</f>
        <v>453789880</v>
      </c>
      <c r="P195">
        <f t="shared" si="52"/>
        <v>680684820</v>
      </c>
      <c r="Q195">
        <f t="shared" si="52"/>
        <v>907579760</v>
      </c>
      <c r="R195">
        <f t="shared" si="52"/>
        <v>1361369640</v>
      </c>
      <c r="S195">
        <f t="shared" si="52"/>
        <v>1588264580</v>
      </c>
      <c r="T195">
        <f t="shared" si="51"/>
        <v>2268949400</v>
      </c>
      <c r="U195">
        <f t="shared" si="51"/>
        <v>3403424100</v>
      </c>
      <c r="V195">
        <f t="shared" si="51"/>
        <v>5445478560</v>
      </c>
      <c r="W195">
        <f t="shared" si="51"/>
        <v>8168217840</v>
      </c>
      <c r="X195">
        <f t="shared" si="51"/>
        <v>11344747000</v>
      </c>
      <c r="Y195">
        <f t="shared" si="51"/>
        <v>13613696400</v>
      </c>
      <c r="Z195">
        <f t="shared" si="51"/>
        <v>21781914240</v>
      </c>
      <c r="AA195">
        <f t="shared" si="51"/>
        <v>22689494000</v>
      </c>
      <c r="AB195">
        <f t="shared" si="51"/>
        <v>34034241000</v>
      </c>
      <c r="AC195">
        <f t="shared" si="51"/>
        <v>54454785600</v>
      </c>
      <c r="AD195">
        <f t="shared" si="51"/>
        <v>81682178400</v>
      </c>
      <c r="AE195">
        <f t="shared" si="48"/>
        <v>95295874800</v>
      </c>
      <c r="AF195">
        <f t="shared" si="48"/>
        <v>124792217000</v>
      </c>
      <c r="AG195">
        <f t="shared" si="48"/>
        <v>158826458000</v>
      </c>
      <c r="AK195">
        <v>189</v>
      </c>
      <c r="AL195" s="24">
        <f t="shared" si="36"/>
        <v>10.795949999999999</v>
      </c>
      <c r="AM195">
        <f t="shared" si="50"/>
        <v>75.571649999999991</v>
      </c>
      <c r="AN195">
        <f t="shared" si="50"/>
        <v>107.95949999999999</v>
      </c>
      <c r="AO195">
        <f t="shared" si="50"/>
        <v>161.93924999999999</v>
      </c>
      <c r="AP195">
        <f t="shared" si="50"/>
        <v>215.91899999999998</v>
      </c>
      <c r="AQ195">
        <f t="shared" si="50"/>
        <v>377.85825</v>
      </c>
      <c r="AR195">
        <f t="shared" si="50"/>
        <v>539.79750000000001</v>
      </c>
      <c r="AS195">
        <f t="shared" si="50"/>
        <v>863.67599999999993</v>
      </c>
      <c r="AT195">
        <f t="shared" si="50"/>
        <v>1295.5139999999999</v>
      </c>
      <c r="AU195">
        <f t="shared" si="50"/>
        <v>1835.3115</v>
      </c>
      <c r="AV195">
        <f t="shared" si="50"/>
        <v>2591.0279999999998</v>
      </c>
      <c r="AW195">
        <f t="shared" si="50"/>
        <v>3562.6634999999997</v>
      </c>
      <c r="AX195">
        <f t="shared" si="50"/>
        <v>4966.1369999999997</v>
      </c>
      <c r="AY195">
        <f t="shared" si="50"/>
        <v>8636.76</v>
      </c>
      <c r="AZ195">
        <f t="shared" si="50"/>
        <v>16193.924999999999</v>
      </c>
      <c r="BA195">
        <f t="shared" si="50"/>
        <v>26989.875</v>
      </c>
      <c r="BB195">
        <f t="shared" si="50"/>
        <v>43183.799999999996</v>
      </c>
      <c r="BC195">
        <f t="shared" si="49"/>
        <v>107959.5</v>
      </c>
      <c r="BD195">
        <f t="shared" si="49"/>
        <v>161939.25</v>
      </c>
      <c r="BE195">
        <f t="shared" si="49"/>
        <v>259102.8</v>
      </c>
      <c r="BF195">
        <f t="shared" si="49"/>
        <v>323878.5</v>
      </c>
      <c r="BG195">
        <f t="shared" si="49"/>
        <v>1079595</v>
      </c>
      <c r="BH195">
        <f t="shared" si="49"/>
        <v>3238785</v>
      </c>
      <c r="BI195">
        <f t="shared" si="49"/>
        <v>9176557.5</v>
      </c>
      <c r="BJ195">
        <f t="shared" si="49"/>
        <v>32387850</v>
      </c>
      <c r="BK195">
        <f t="shared" si="49"/>
        <v>107959500</v>
      </c>
      <c r="BL195" s="145">
        <v>190</v>
      </c>
    </row>
    <row r="196" spans="1:64" ht="17.25" thickBot="1" x14ac:dyDescent="0.25">
      <c r="A196" s="131">
        <v>192</v>
      </c>
      <c r="B196" s="132">
        <v>22689494</v>
      </c>
      <c r="D196" s="131">
        <v>192</v>
      </c>
      <c r="E196" s="132">
        <v>10.841419999999999</v>
      </c>
      <c r="M196">
        <v>192</v>
      </c>
      <c r="N196">
        <f t="shared" si="35"/>
        <v>228665660</v>
      </c>
      <c r="O196">
        <f t="shared" si="52"/>
        <v>457331320</v>
      </c>
      <c r="P196">
        <f t="shared" si="52"/>
        <v>685996980</v>
      </c>
      <c r="Q196">
        <f t="shared" si="52"/>
        <v>914662640</v>
      </c>
      <c r="R196">
        <f t="shared" si="52"/>
        <v>1371993960</v>
      </c>
      <c r="S196">
        <f t="shared" si="52"/>
        <v>1600659620</v>
      </c>
      <c r="T196">
        <f t="shared" si="51"/>
        <v>2286656600</v>
      </c>
      <c r="U196">
        <f t="shared" si="51"/>
        <v>3429984900</v>
      </c>
      <c r="V196">
        <f t="shared" si="51"/>
        <v>5487975840</v>
      </c>
      <c r="W196">
        <f t="shared" si="51"/>
        <v>8231963760</v>
      </c>
      <c r="X196">
        <f t="shared" si="51"/>
        <v>11433283000</v>
      </c>
      <c r="Y196">
        <f t="shared" si="51"/>
        <v>13719939600</v>
      </c>
      <c r="Z196">
        <f t="shared" si="51"/>
        <v>21951903360</v>
      </c>
      <c r="AA196">
        <f t="shared" si="51"/>
        <v>22866566000</v>
      </c>
      <c r="AB196">
        <f t="shared" si="51"/>
        <v>34299849000</v>
      </c>
      <c r="AC196">
        <f t="shared" si="51"/>
        <v>54879758400</v>
      </c>
      <c r="AD196">
        <f t="shared" si="51"/>
        <v>82319637600</v>
      </c>
      <c r="AE196">
        <f t="shared" si="48"/>
        <v>96039577200</v>
      </c>
      <c r="AF196">
        <f t="shared" si="48"/>
        <v>125766113000</v>
      </c>
      <c r="AG196">
        <f t="shared" si="48"/>
        <v>160065962000</v>
      </c>
      <c r="AK196">
        <v>190</v>
      </c>
      <c r="AL196" s="24">
        <f t="shared" si="36"/>
        <v>10.81118</v>
      </c>
      <c r="AM196">
        <f t="shared" si="50"/>
        <v>75.678259999999995</v>
      </c>
      <c r="AN196">
        <f t="shared" si="50"/>
        <v>108.1118</v>
      </c>
      <c r="AO196">
        <f t="shared" si="50"/>
        <v>162.1677</v>
      </c>
      <c r="AP196">
        <f t="shared" si="50"/>
        <v>216.2236</v>
      </c>
      <c r="AQ196">
        <f t="shared" si="50"/>
        <v>378.3913</v>
      </c>
      <c r="AR196">
        <f t="shared" si="50"/>
        <v>540.55899999999997</v>
      </c>
      <c r="AS196">
        <f t="shared" si="50"/>
        <v>864.89440000000002</v>
      </c>
      <c r="AT196">
        <f t="shared" si="50"/>
        <v>1297.3416</v>
      </c>
      <c r="AU196">
        <f t="shared" si="50"/>
        <v>1837.9005999999999</v>
      </c>
      <c r="AV196">
        <f t="shared" si="50"/>
        <v>2594.6831999999999</v>
      </c>
      <c r="AW196">
        <f t="shared" si="50"/>
        <v>3567.6894000000002</v>
      </c>
      <c r="AX196">
        <f t="shared" si="50"/>
        <v>4973.1428000000005</v>
      </c>
      <c r="AY196">
        <f t="shared" si="50"/>
        <v>8648.9439999999995</v>
      </c>
      <c r="AZ196">
        <f t="shared" si="50"/>
        <v>16216.77</v>
      </c>
      <c r="BA196">
        <f t="shared" si="50"/>
        <v>27027.95</v>
      </c>
      <c r="BB196">
        <f t="shared" si="50"/>
        <v>43244.72</v>
      </c>
      <c r="BC196">
        <f t="shared" si="49"/>
        <v>108111.8</v>
      </c>
      <c r="BD196">
        <f t="shared" si="49"/>
        <v>162167.70000000001</v>
      </c>
      <c r="BE196">
        <f t="shared" si="49"/>
        <v>259468.32</v>
      </c>
      <c r="BF196">
        <f t="shared" si="49"/>
        <v>324335.40000000002</v>
      </c>
      <c r="BG196">
        <f t="shared" si="49"/>
        <v>1081118</v>
      </c>
      <c r="BH196">
        <f t="shared" si="49"/>
        <v>3243354</v>
      </c>
      <c r="BI196">
        <f t="shared" si="49"/>
        <v>9189503</v>
      </c>
      <c r="BJ196">
        <f t="shared" si="49"/>
        <v>32433540</v>
      </c>
      <c r="BK196">
        <f t="shared" si="49"/>
        <v>108111800</v>
      </c>
      <c r="BL196">
        <v>191</v>
      </c>
    </row>
    <row r="197" spans="1:64" ht="17.25" thickBot="1" x14ac:dyDescent="0.25">
      <c r="A197" s="131">
        <v>193</v>
      </c>
      <c r="B197" s="132">
        <v>22866566</v>
      </c>
      <c r="D197" s="131">
        <v>193</v>
      </c>
      <c r="E197" s="132">
        <v>10.85642</v>
      </c>
      <c r="M197">
        <v>193</v>
      </c>
      <c r="N197">
        <f t="shared" ref="N197:N204" si="53">(VLOOKUP(N$3,$G$4:$H$23,2,0)*VLOOKUP($M197+1,$A$4:$B$1404,2,0)
)</f>
        <v>230440940</v>
      </c>
      <c r="O197">
        <f t="shared" si="52"/>
        <v>460881880</v>
      </c>
      <c r="P197">
        <f t="shared" si="52"/>
        <v>691322820</v>
      </c>
      <c r="Q197">
        <f t="shared" si="52"/>
        <v>921763760</v>
      </c>
      <c r="R197">
        <f t="shared" si="52"/>
        <v>1382645640</v>
      </c>
      <c r="S197">
        <f t="shared" si="52"/>
        <v>1613086580</v>
      </c>
      <c r="T197">
        <f t="shared" si="51"/>
        <v>2304409400</v>
      </c>
      <c r="U197">
        <f t="shared" si="51"/>
        <v>3456614100</v>
      </c>
      <c r="V197">
        <f t="shared" si="51"/>
        <v>5530582560</v>
      </c>
      <c r="W197">
        <f t="shared" si="51"/>
        <v>8295873840</v>
      </c>
      <c r="X197">
        <f t="shared" si="51"/>
        <v>11522047000</v>
      </c>
      <c r="Y197">
        <f t="shared" si="51"/>
        <v>13826456400</v>
      </c>
      <c r="Z197">
        <f t="shared" si="51"/>
        <v>22122330240</v>
      </c>
      <c r="AA197">
        <f t="shared" si="51"/>
        <v>23044094000</v>
      </c>
      <c r="AB197">
        <f t="shared" si="51"/>
        <v>34566141000</v>
      </c>
      <c r="AC197">
        <f t="shared" si="51"/>
        <v>55305825600</v>
      </c>
      <c r="AD197">
        <f t="shared" si="51"/>
        <v>82958738400</v>
      </c>
      <c r="AE197">
        <f t="shared" si="48"/>
        <v>96785194800</v>
      </c>
      <c r="AF197">
        <f t="shared" si="48"/>
        <v>126742517000</v>
      </c>
      <c r="AG197">
        <f t="shared" si="48"/>
        <v>161308658000</v>
      </c>
      <c r="AK197">
        <v>191</v>
      </c>
      <c r="AL197" s="24">
        <f t="shared" si="36"/>
        <v>10.82634</v>
      </c>
      <c r="AM197">
        <f t="shared" si="50"/>
        <v>75.784379999999999</v>
      </c>
      <c r="AN197">
        <f t="shared" si="50"/>
        <v>108.2634</v>
      </c>
      <c r="AO197">
        <f t="shared" si="50"/>
        <v>162.39510000000001</v>
      </c>
      <c r="AP197">
        <f t="shared" si="50"/>
        <v>216.52680000000001</v>
      </c>
      <c r="AQ197">
        <f t="shared" si="50"/>
        <v>378.92189999999999</v>
      </c>
      <c r="AR197">
        <f t="shared" si="50"/>
        <v>541.31700000000001</v>
      </c>
      <c r="AS197">
        <f t="shared" si="50"/>
        <v>866.10720000000003</v>
      </c>
      <c r="AT197">
        <f t="shared" si="50"/>
        <v>1299.1608000000001</v>
      </c>
      <c r="AU197">
        <f t="shared" si="50"/>
        <v>1840.4778000000001</v>
      </c>
      <c r="AV197">
        <f t="shared" si="50"/>
        <v>2598.3216000000002</v>
      </c>
      <c r="AW197">
        <f t="shared" si="50"/>
        <v>3572.6922</v>
      </c>
      <c r="AX197">
        <f t="shared" si="50"/>
        <v>4980.1163999999999</v>
      </c>
      <c r="AY197">
        <f t="shared" si="50"/>
        <v>8661.0720000000001</v>
      </c>
      <c r="AZ197">
        <f t="shared" si="50"/>
        <v>16239.51</v>
      </c>
      <c r="BA197">
        <f t="shared" si="50"/>
        <v>27065.85</v>
      </c>
      <c r="BB197">
        <f t="shared" si="50"/>
        <v>43305.36</v>
      </c>
      <c r="BC197">
        <f t="shared" si="49"/>
        <v>108263.4</v>
      </c>
      <c r="BD197">
        <f t="shared" si="49"/>
        <v>162395.1</v>
      </c>
      <c r="BE197">
        <f t="shared" si="49"/>
        <v>259832.16</v>
      </c>
      <c r="BF197">
        <f t="shared" si="49"/>
        <v>324790.2</v>
      </c>
      <c r="BG197">
        <f t="shared" si="49"/>
        <v>1082634</v>
      </c>
      <c r="BH197">
        <f t="shared" si="49"/>
        <v>3247902</v>
      </c>
      <c r="BI197">
        <f t="shared" si="49"/>
        <v>9202389</v>
      </c>
      <c r="BJ197">
        <f t="shared" si="49"/>
        <v>32479020</v>
      </c>
      <c r="BK197">
        <f t="shared" si="49"/>
        <v>108263400</v>
      </c>
      <c r="BL197" s="145">
        <v>192</v>
      </c>
    </row>
    <row r="198" spans="1:64" ht="17.25" thickBot="1" x14ac:dyDescent="0.25">
      <c r="A198" s="131">
        <v>194</v>
      </c>
      <c r="B198" s="132">
        <v>23044094</v>
      </c>
      <c r="D198" s="131">
        <v>194</v>
      </c>
      <c r="E198" s="132">
        <v>10.87135</v>
      </c>
      <c r="M198">
        <v>194</v>
      </c>
      <c r="N198">
        <f t="shared" si="53"/>
        <v>232220770</v>
      </c>
      <c r="O198">
        <f t="shared" si="52"/>
        <v>464441540</v>
      </c>
      <c r="P198">
        <f t="shared" si="52"/>
        <v>696662310</v>
      </c>
      <c r="Q198">
        <f t="shared" si="52"/>
        <v>928883080</v>
      </c>
      <c r="R198">
        <f t="shared" si="52"/>
        <v>1393324620</v>
      </c>
      <c r="S198">
        <f t="shared" si="52"/>
        <v>1625545390</v>
      </c>
      <c r="T198">
        <f t="shared" si="51"/>
        <v>2322207700</v>
      </c>
      <c r="U198">
        <f t="shared" si="51"/>
        <v>3483311550</v>
      </c>
      <c r="V198">
        <f t="shared" si="51"/>
        <v>5573298480</v>
      </c>
      <c r="W198">
        <f t="shared" si="51"/>
        <v>8359947720</v>
      </c>
      <c r="X198">
        <f t="shared" si="51"/>
        <v>11611038500</v>
      </c>
      <c r="Y198">
        <f t="shared" si="51"/>
        <v>13933246200</v>
      </c>
      <c r="Z198">
        <f t="shared" si="51"/>
        <v>22293193920</v>
      </c>
      <c r="AA198">
        <f t="shared" si="51"/>
        <v>23222077000</v>
      </c>
      <c r="AB198">
        <f t="shared" si="51"/>
        <v>34833115500</v>
      </c>
      <c r="AC198">
        <f t="shared" si="51"/>
        <v>55732984800</v>
      </c>
      <c r="AD198">
        <f t="shared" si="51"/>
        <v>83599477200</v>
      </c>
      <c r="AE198">
        <f t="shared" si="48"/>
        <v>97532723400</v>
      </c>
      <c r="AF198">
        <f t="shared" si="48"/>
        <v>127721423500</v>
      </c>
      <c r="AG198">
        <f t="shared" si="48"/>
        <v>162554539000</v>
      </c>
      <c r="AK198">
        <v>192</v>
      </c>
      <c r="AL198" s="24">
        <f t="shared" si="36"/>
        <v>10.841419999999999</v>
      </c>
      <c r="AM198">
        <f t="shared" si="50"/>
        <v>75.889939999999996</v>
      </c>
      <c r="AN198">
        <f t="shared" si="50"/>
        <v>108.41419999999999</v>
      </c>
      <c r="AO198">
        <f t="shared" si="50"/>
        <v>162.62129999999999</v>
      </c>
      <c r="AP198">
        <f t="shared" si="50"/>
        <v>216.82839999999999</v>
      </c>
      <c r="AQ198">
        <f t="shared" si="50"/>
        <v>379.44970000000001</v>
      </c>
      <c r="AR198">
        <f t="shared" si="50"/>
        <v>542.07099999999991</v>
      </c>
      <c r="AS198">
        <f t="shared" si="50"/>
        <v>867.31359999999995</v>
      </c>
      <c r="AT198">
        <f t="shared" si="50"/>
        <v>1300.9703999999999</v>
      </c>
      <c r="AU198">
        <f t="shared" si="50"/>
        <v>1843.0413999999998</v>
      </c>
      <c r="AV198">
        <f t="shared" si="50"/>
        <v>2601.9407999999999</v>
      </c>
      <c r="AW198">
        <f t="shared" si="50"/>
        <v>3577.6686</v>
      </c>
      <c r="AX198">
        <f t="shared" si="50"/>
        <v>4987.0531999999994</v>
      </c>
      <c r="AY198">
        <f t="shared" si="50"/>
        <v>8673.1359999999986</v>
      </c>
      <c r="AZ198">
        <f t="shared" si="50"/>
        <v>16262.13</v>
      </c>
      <c r="BA198">
        <f t="shared" si="50"/>
        <v>27103.55</v>
      </c>
      <c r="BB198">
        <f t="shared" si="50"/>
        <v>43365.68</v>
      </c>
      <c r="BC198">
        <f t="shared" si="49"/>
        <v>108414.2</v>
      </c>
      <c r="BD198">
        <f t="shared" si="49"/>
        <v>162621.29999999999</v>
      </c>
      <c r="BE198">
        <f t="shared" si="49"/>
        <v>260194.08</v>
      </c>
      <c r="BF198">
        <f t="shared" si="49"/>
        <v>325242.59999999998</v>
      </c>
      <c r="BG198">
        <f t="shared" si="49"/>
        <v>1084142</v>
      </c>
      <c r="BH198">
        <f t="shared" si="49"/>
        <v>3252426</v>
      </c>
      <c r="BI198">
        <f t="shared" si="49"/>
        <v>9215207</v>
      </c>
      <c r="BJ198">
        <f t="shared" si="49"/>
        <v>32524260</v>
      </c>
      <c r="BK198">
        <f t="shared" si="49"/>
        <v>108414200</v>
      </c>
      <c r="BL198">
        <v>193</v>
      </c>
    </row>
    <row r="199" spans="1:64" ht="17.25" thickBot="1" x14ac:dyDescent="0.25">
      <c r="A199" s="131">
        <v>195</v>
      </c>
      <c r="B199" s="132">
        <v>23222077</v>
      </c>
      <c r="D199" s="131">
        <v>195</v>
      </c>
      <c r="E199" s="132">
        <v>10.88621</v>
      </c>
      <c r="M199">
        <v>195</v>
      </c>
      <c r="N199">
        <f t="shared" si="53"/>
        <v>234005160</v>
      </c>
      <c r="O199">
        <f t="shared" si="52"/>
        <v>468010320</v>
      </c>
      <c r="P199">
        <f t="shared" si="52"/>
        <v>702015480</v>
      </c>
      <c r="Q199">
        <f t="shared" si="52"/>
        <v>936020640</v>
      </c>
      <c r="R199">
        <f t="shared" si="52"/>
        <v>1404030960</v>
      </c>
      <c r="S199">
        <f t="shared" si="52"/>
        <v>1638036120</v>
      </c>
      <c r="T199">
        <f t="shared" si="51"/>
        <v>2340051600</v>
      </c>
      <c r="U199">
        <f t="shared" si="51"/>
        <v>3510077400</v>
      </c>
      <c r="V199">
        <f t="shared" si="51"/>
        <v>5616123840</v>
      </c>
      <c r="W199">
        <f t="shared" si="51"/>
        <v>8424185760</v>
      </c>
      <c r="X199">
        <f t="shared" si="51"/>
        <v>11700258000</v>
      </c>
      <c r="Y199">
        <f t="shared" si="51"/>
        <v>14040309600</v>
      </c>
      <c r="Z199">
        <f t="shared" si="51"/>
        <v>22464495360</v>
      </c>
      <c r="AA199">
        <f t="shared" si="51"/>
        <v>23400516000</v>
      </c>
      <c r="AB199">
        <f t="shared" si="51"/>
        <v>35100774000</v>
      </c>
      <c r="AC199">
        <f t="shared" si="51"/>
        <v>56161238400</v>
      </c>
      <c r="AD199">
        <f t="shared" si="51"/>
        <v>84241857600</v>
      </c>
      <c r="AE199">
        <f t="shared" si="48"/>
        <v>98282167200</v>
      </c>
      <c r="AF199">
        <f t="shared" si="48"/>
        <v>128702838000</v>
      </c>
      <c r="AG199">
        <f t="shared" si="48"/>
        <v>163803612000</v>
      </c>
      <c r="AK199">
        <v>193</v>
      </c>
      <c r="AL199" s="24">
        <f t="shared" ref="AL199:AL206" si="54">VLOOKUP(AK199,D$2:E$1404,2,FALSE)</f>
        <v>10.85642</v>
      </c>
      <c r="AM199">
        <f t="shared" si="50"/>
        <v>75.99494</v>
      </c>
      <c r="AN199">
        <f t="shared" si="50"/>
        <v>108.5642</v>
      </c>
      <c r="AO199">
        <f t="shared" si="50"/>
        <v>162.84629999999999</v>
      </c>
      <c r="AP199">
        <f t="shared" si="50"/>
        <v>217.1284</v>
      </c>
      <c r="AQ199">
        <f t="shared" si="50"/>
        <v>379.97469999999998</v>
      </c>
      <c r="AR199">
        <f t="shared" si="50"/>
        <v>542.82100000000003</v>
      </c>
      <c r="AS199">
        <f t="shared" si="50"/>
        <v>868.5136</v>
      </c>
      <c r="AT199">
        <f t="shared" si="50"/>
        <v>1302.7703999999999</v>
      </c>
      <c r="AU199">
        <f t="shared" si="50"/>
        <v>1845.5914</v>
      </c>
      <c r="AV199">
        <f t="shared" si="50"/>
        <v>2605.5407999999998</v>
      </c>
      <c r="AW199">
        <f t="shared" si="50"/>
        <v>3582.6185999999998</v>
      </c>
      <c r="AX199">
        <f t="shared" si="50"/>
        <v>4993.9531999999999</v>
      </c>
      <c r="AY199">
        <f t="shared" si="50"/>
        <v>8685.1360000000004</v>
      </c>
      <c r="AZ199">
        <f t="shared" si="50"/>
        <v>16284.63</v>
      </c>
      <c r="BA199">
        <f t="shared" si="50"/>
        <v>27141.05</v>
      </c>
      <c r="BB199">
        <f t="shared" si="50"/>
        <v>43425.68</v>
      </c>
      <c r="BC199">
        <f t="shared" si="49"/>
        <v>108564.2</v>
      </c>
      <c r="BD199">
        <f t="shared" si="49"/>
        <v>162846.29999999999</v>
      </c>
      <c r="BE199">
        <f t="shared" si="49"/>
        <v>260554.08</v>
      </c>
      <c r="BF199">
        <f t="shared" si="49"/>
        <v>325692.59999999998</v>
      </c>
      <c r="BG199">
        <f t="shared" si="49"/>
        <v>1085642</v>
      </c>
      <c r="BH199">
        <f t="shared" si="49"/>
        <v>3256926</v>
      </c>
      <c r="BI199">
        <f t="shared" si="49"/>
        <v>9227957</v>
      </c>
      <c r="BJ199">
        <f t="shared" si="49"/>
        <v>32569260</v>
      </c>
      <c r="BK199">
        <f t="shared" si="49"/>
        <v>108564200</v>
      </c>
      <c r="BL199" s="145">
        <v>194</v>
      </c>
    </row>
    <row r="200" spans="1:64" ht="17.25" thickBot="1" x14ac:dyDescent="0.25">
      <c r="A200" s="131">
        <v>196</v>
      </c>
      <c r="B200" s="132">
        <v>23400516</v>
      </c>
      <c r="D200" s="131">
        <v>196</v>
      </c>
      <c r="E200" s="132">
        <v>10.90099</v>
      </c>
      <c r="M200">
        <v>196</v>
      </c>
      <c r="N200">
        <f t="shared" si="53"/>
        <v>235794110</v>
      </c>
      <c r="O200">
        <f t="shared" si="52"/>
        <v>471588220</v>
      </c>
      <c r="P200">
        <f t="shared" si="52"/>
        <v>707382330</v>
      </c>
      <c r="Q200">
        <f t="shared" si="52"/>
        <v>943176440</v>
      </c>
      <c r="R200">
        <f t="shared" si="52"/>
        <v>1414764660</v>
      </c>
      <c r="S200">
        <f t="shared" si="52"/>
        <v>1650558770</v>
      </c>
      <c r="T200">
        <f t="shared" si="51"/>
        <v>2357941100</v>
      </c>
      <c r="U200">
        <f t="shared" si="51"/>
        <v>3536911650</v>
      </c>
      <c r="V200">
        <f t="shared" si="51"/>
        <v>5659058640</v>
      </c>
      <c r="W200">
        <f t="shared" si="51"/>
        <v>8488587960</v>
      </c>
      <c r="X200">
        <f t="shared" si="51"/>
        <v>11789705500</v>
      </c>
      <c r="Y200">
        <f t="shared" si="51"/>
        <v>14147646600</v>
      </c>
      <c r="Z200">
        <f t="shared" si="51"/>
        <v>22636234560</v>
      </c>
      <c r="AA200">
        <f t="shared" si="51"/>
        <v>23579411000</v>
      </c>
      <c r="AB200">
        <f t="shared" si="51"/>
        <v>35369116500</v>
      </c>
      <c r="AC200">
        <f t="shared" si="51"/>
        <v>56590586400</v>
      </c>
      <c r="AD200">
        <f t="shared" si="51"/>
        <v>84885879600</v>
      </c>
      <c r="AE200">
        <f t="shared" si="48"/>
        <v>99033526200</v>
      </c>
      <c r="AF200">
        <f t="shared" si="48"/>
        <v>129686760500</v>
      </c>
      <c r="AG200">
        <f t="shared" si="48"/>
        <v>165055877000</v>
      </c>
      <c r="AK200">
        <v>194</v>
      </c>
      <c r="AL200" s="24">
        <f t="shared" si="54"/>
        <v>10.87135</v>
      </c>
      <c r="AM200">
        <f t="shared" si="50"/>
        <v>76.09944999999999</v>
      </c>
      <c r="AN200">
        <f t="shared" si="50"/>
        <v>108.7135</v>
      </c>
      <c r="AO200">
        <f t="shared" si="50"/>
        <v>163.07024999999999</v>
      </c>
      <c r="AP200">
        <f t="shared" si="50"/>
        <v>217.42699999999999</v>
      </c>
      <c r="AQ200">
        <f t="shared" si="50"/>
        <v>380.49725000000001</v>
      </c>
      <c r="AR200">
        <f t="shared" si="50"/>
        <v>543.5675</v>
      </c>
      <c r="AS200">
        <f t="shared" si="50"/>
        <v>869.70799999999997</v>
      </c>
      <c r="AT200">
        <f t="shared" si="50"/>
        <v>1304.5619999999999</v>
      </c>
      <c r="AU200">
        <f t="shared" si="50"/>
        <v>1848.1295</v>
      </c>
      <c r="AV200">
        <f t="shared" si="50"/>
        <v>2609.1239999999998</v>
      </c>
      <c r="AW200">
        <f t="shared" si="50"/>
        <v>3587.5454999999997</v>
      </c>
      <c r="AX200">
        <f t="shared" si="50"/>
        <v>5000.8209999999999</v>
      </c>
      <c r="AY200">
        <f t="shared" si="50"/>
        <v>8697.08</v>
      </c>
      <c r="AZ200">
        <f t="shared" si="50"/>
        <v>16307.025</v>
      </c>
      <c r="BA200">
        <f t="shared" si="50"/>
        <v>27178.375</v>
      </c>
      <c r="BB200">
        <f t="shared" si="50"/>
        <v>43485.4</v>
      </c>
      <c r="BC200">
        <f t="shared" si="49"/>
        <v>108713.5</v>
      </c>
      <c r="BD200">
        <f t="shared" si="49"/>
        <v>163070.25</v>
      </c>
      <c r="BE200">
        <f t="shared" si="49"/>
        <v>260912.4</v>
      </c>
      <c r="BF200">
        <f t="shared" si="49"/>
        <v>326140.5</v>
      </c>
      <c r="BG200">
        <f t="shared" si="49"/>
        <v>1087135</v>
      </c>
      <c r="BH200">
        <f t="shared" si="49"/>
        <v>3261405</v>
      </c>
      <c r="BI200">
        <f t="shared" si="49"/>
        <v>9240647.5</v>
      </c>
      <c r="BJ200">
        <f t="shared" si="49"/>
        <v>32614050</v>
      </c>
      <c r="BK200">
        <f t="shared" si="49"/>
        <v>108713500</v>
      </c>
      <c r="BL200">
        <v>195</v>
      </c>
    </row>
    <row r="201" spans="1:64" ht="17.25" thickBot="1" x14ac:dyDescent="0.25">
      <c r="A201" s="131">
        <v>197</v>
      </c>
      <c r="B201" s="132">
        <v>23579411</v>
      </c>
      <c r="D201" s="131">
        <v>197</v>
      </c>
      <c r="E201" s="132">
        <v>10.915699999999999</v>
      </c>
      <c r="M201">
        <v>197</v>
      </c>
      <c r="N201">
        <f t="shared" si="53"/>
        <v>237587610</v>
      </c>
      <c r="O201">
        <f t="shared" si="52"/>
        <v>475175220</v>
      </c>
      <c r="P201">
        <f t="shared" si="52"/>
        <v>712762830</v>
      </c>
      <c r="Q201">
        <f t="shared" si="52"/>
        <v>950350440</v>
      </c>
      <c r="R201">
        <f t="shared" si="52"/>
        <v>1425525660</v>
      </c>
      <c r="S201">
        <f t="shared" si="52"/>
        <v>1663113270</v>
      </c>
      <c r="T201">
        <f t="shared" si="51"/>
        <v>2375876100</v>
      </c>
      <c r="U201">
        <f t="shared" si="51"/>
        <v>3563814150</v>
      </c>
      <c r="V201">
        <f t="shared" si="51"/>
        <v>5702102640</v>
      </c>
      <c r="W201">
        <f t="shared" si="51"/>
        <v>8553153960</v>
      </c>
      <c r="X201">
        <f t="shared" si="51"/>
        <v>11879380500</v>
      </c>
      <c r="Y201">
        <f t="shared" si="51"/>
        <v>14255256600</v>
      </c>
      <c r="Z201">
        <f t="shared" si="51"/>
        <v>22808410560</v>
      </c>
      <c r="AA201">
        <f t="shared" si="51"/>
        <v>23758761000</v>
      </c>
      <c r="AB201">
        <f t="shared" si="51"/>
        <v>35638141500</v>
      </c>
      <c r="AC201">
        <f t="shared" si="51"/>
        <v>57021026400</v>
      </c>
      <c r="AD201">
        <f t="shared" si="51"/>
        <v>85531539600</v>
      </c>
      <c r="AE201">
        <f t="shared" si="48"/>
        <v>99786796200</v>
      </c>
      <c r="AF201">
        <f t="shared" si="48"/>
        <v>130673185500</v>
      </c>
      <c r="AG201">
        <f t="shared" si="48"/>
        <v>166311327000</v>
      </c>
      <c r="AK201">
        <v>195</v>
      </c>
      <c r="AL201" s="24">
        <f t="shared" si="54"/>
        <v>10.88621</v>
      </c>
      <c r="AM201">
        <f t="shared" si="50"/>
        <v>76.203469999999996</v>
      </c>
      <c r="AN201">
        <f t="shared" si="50"/>
        <v>108.8621</v>
      </c>
      <c r="AO201">
        <f t="shared" si="50"/>
        <v>163.29315</v>
      </c>
      <c r="AP201">
        <f t="shared" si="50"/>
        <v>217.7242</v>
      </c>
      <c r="AQ201">
        <f t="shared" si="50"/>
        <v>381.01735000000002</v>
      </c>
      <c r="AR201">
        <f t="shared" si="50"/>
        <v>544.31050000000005</v>
      </c>
      <c r="AS201">
        <f t="shared" si="50"/>
        <v>870.89679999999998</v>
      </c>
      <c r="AT201">
        <f t="shared" si="50"/>
        <v>1306.3452</v>
      </c>
      <c r="AU201">
        <f t="shared" si="50"/>
        <v>1850.6557</v>
      </c>
      <c r="AV201">
        <f t="shared" si="50"/>
        <v>2612.6904</v>
      </c>
      <c r="AW201">
        <f t="shared" si="50"/>
        <v>3592.4493000000002</v>
      </c>
      <c r="AX201">
        <f t="shared" si="50"/>
        <v>5007.6566000000003</v>
      </c>
      <c r="AY201">
        <f t="shared" si="50"/>
        <v>8708.9680000000008</v>
      </c>
      <c r="AZ201">
        <f t="shared" si="50"/>
        <v>16329.315000000001</v>
      </c>
      <c r="BA201">
        <f t="shared" si="50"/>
        <v>27215.525000000001</v>
      </c>
      <c r="BB201">
        <f t="shared" si="50"/>
        <v>43544.840000000004</v>
      </c>
      <c r="BC201">
        <f t="shared" si="49"/>
        <v>108862.1</v>
      </c>
      <c r="BD201">
        <f t="shared" si="49"/>
        <v>163293.15</v>
      </c>
      <c r="BE201">
        <f t="shared" si="49"/>
        <v>261269.04</v>
      </c>
      <c r="BF201">
        <f t="shared" si="49"/>
        <v>326586.3</v>
      </c>
      <c r="BG201">
        <f t="shared" si="49"/>
        <v>1088621</v>
      </c>
      <c r="BH201">
        <f t="shared" si="49"/>
        <v>3265863</v>
      </c>
      <c r="BI201">
        <f t="shared" si="49"/>
        <v>9253278.5</v>
      </c>
      <c r="BJ201">
        <f t="shared" si="49"/>
        <v>32658630</v>
      </c>
      <c r="BK201">
        <f t="shared" si="49"/>
        <v>108862100</v>
      </c>
      <c r="BL201" s="145">
        <v>196</v>
      </c>
    </row>
    <row r="202" spans="1:64" ht="17.25" thickBot="1" x14ac:dyDescent="0.25">
      <c r="A202" s="131">
        <v>198</v>
      </c>
      <c r="B202" s="132">
        <v>23758761</v>
      </c>
      <c r="D202" s="131">
        <v>198</v>
      </c>
      <c r="E202" s="132">
        <v>10.930339999999999</v>
      </c>
      <c r="M202">
        <v>198</v>
      </c>
      <c r="N202">
        <f t="shared" si="53"/>
        <v>239385610</v>
      </c>
      <c r="O202">
        <f t="shared" si="52"/>
        <v>478771220</v>
      </c>
      <c r="P202">
        <f t="shared" si="52"/>
        <v>718156830</v>
      </c>
      <c r="Q202">
        <f t="shared" si="52"/>
        <v>957542440</v>
      </c>
      <c r="R202">
        <f t="shared" si="52"/>
        <v>1436313660</v>
      </c>
      <c r="S202">
        <f t="shared" si="52"/>
        <v>1675699270</v>
      </c>
      <c r="T202">
        <f t="shared" si="51"/>
        <v>2393856100</v>
      </c>
      <c r="U202">
        <f t="shared" si="51"/>
        <v>3590784150</v>
      </c>
      <c r="V202">
        <f t="shared" si="51"/>
        <v>5745254640</v>
      </c>
      <c r="W202">
        <f t="shared" si="51"/>
        <v>8617881960</v>
      </c>
      <c r="X202">
        <f t="shared" si="51"/>
        <v>11969280500</v>
      </c>
      <c r="Y202">
        <f t="shared" si="51"/>
        <v>14363136600</v>
      </c>
      <c r="Z202">
        <f t="shared" si="51"/>
        <v>22981018560</v>
      </c>
      <c r="AA202">
        <f t="shared" si="51"/>
        <v>23938561000</v>
      </c>
      <c r="AB202">
        <f t="shared" si="51"/>
        <v>35907841500</v>
      </c>
      <c r="AC202">
        <f t="shared" si="51"/>
        <v>57452546400</v>
      </c>
      <c r="AD202">
        <f t="shared" si="51"/>
        <v>86178819600</v>
      </c>
      <c r="AE202">
        <f t="shared" si="48"/>
        <v>100541956200</v>
      </c>
      <c r="AF202">
        <f t="shared" si="48"/>
        <v>131662085500</v>
      </c>
      <c r="AG202">
        <f t="shared" si="48"/>
        <v>167569927000</v>
      </c>
      <c r="AK202">
        <v>196</v>
      </c>
      <c r="AL202" s="24">
        <f t="shared" si="54"/>
        <v>10.90099</v>
      </c>
      <c r="AM202">
        <f t="shared" si="50"/>
        <v>76.306929999999994</v>
      </c>
      <c r="AN202">
        <f t="shared" si="50"/>
        <v>109.0099</v>
      </c>
      <c r="AO202">
        <f t="shared" si="50"/>
        <v>163.51485</v>
      </c>
      <c r="AP202">
        <f t="shared" si="50"/>
        <v>218.0198</v>
      </c>
      <c r="AQ202">
        <f t="shared" si="50"/>
        <v>381.53465</v>
      </c>
      <c r="AR202">
        <f t="shared" si="50"/>
        <v>545.04949999999997</v>
      </c>
      <c r="AS202">
        <f t="shared" si="50"/>
        <v>872.07920000000001</v>
      </c>
      <c r="AT202">
        <f t="shared" si="50"/>
        <v>1308.1188</v>
      </c>
      <c r="AU202">
        <f t="shared" si="50"/>
        <v>1853.1683</v>
      </c>
      <c r="AV202">
        <f t="shared" si="50"/>
        <v>2616.2375999999999</v>
      </c>
      <c r="AW202">
        <f t="shared" si="50"/>
        <v>3597.3267000000001</v>
      </c>
      <c r="AX202">
        <f t="shared" si="50"/>
        <v>5014.4553999999998</v>
      </c>
      <c r="AY202">
        <f t="shared" si="50"/>
        <v>8720.7919999999995</v>
      </c>
      <c r="AZ202">
        <f t="shared" si="50"/>
        <v>16351.485000000001</v>
      </c>
      <c r="BA202">
        <f t="shared" si="50"/>
        <v>27252.475000000002</v>
      </c>
      <c r="BB202">
        <f t="shared" si="50"/>
        <v>43603.96</v>
      </c>
      <c r="BC202">
        <f t="shared" si="49"/>
        <v>109009.90000000001</v>
      </c>
      <c r="BD202">
        <f t="shared" si="49"/>
        <v>163514.85</v>
      </c>
      <c r="BE202">
        <f t="shared" si="49"/>
        <v>261623.76</v>
      </c>
      <c r="BF202">
        <f t="shared" si="49"/>
        <v>327029.7</v>
      </c>
      <c r="BG202">
        <f t="shared" si="49"/>
        <v>1090099</v>
      </c>
      <c r="BH202">
        <f t="shared" si="49"/>
        <v>3270297</v>
      </c>
      <c r="BI202">
        <f t="shared" si="49"/>
        <v>9265841.5</v>
      </c>
      <c r="BJ202">
        <f t="shared" si="49"/>
        <v>32702970</v>
      </c>
      <c r="BK202">
        <f t="shared" si="49"/>
        <v>109009900</v>
      </c>
      <c r="BL202">
        <v>197</v>
      </c>
    </row>
    <row r="203" spans="1:64" ht="17.25" thickBot="1" x14ac:dyDescent="0.25">
      <c r="A203" s="131">
        <v>199</v>
      </c>
      <c r="B203" s="132">
        <v>23938561</v>
      </c>
      <c r="D203" s="131">
        <v>199</v>
      </c>
      <c r="E203" s="132">
        <v>10.94491</v>
      </c>
      <c r="M203">
        <v>199</v>
      </c>
      <c r="N203">
        <f t="shared" si="53"/>
        <v>241188110</v>
      </c>
      <c r="O203">
        <f t="shared" si="52"/>
        <v>482376220</v>
      </c>
      <c r="P203">
        <f t="shared" si="52"/>
        <v>723564330</v>
      </c>
      <c r="Q203">
        <f t="shared" si="52"/>
        <v>964752440</v>
      </c>
      <c r="R203">
        <f t="shared" si="52"/>
        <v>1447128660</v>
      </c>
      <c r="S203">
        <f t="shared" si="52"/>
        <v>1688316770</v>
      </c>
      <c r="T203">
        <f t="shared" si="51"/>
        <v>2411881100</v>
      </c>
      <c r="U203">
        <f t="shared" si="51"/>
        <v>3617821650</v>
      </c>
      <c r="V203">
        <f t="shared" si="51"/>
        <v>5788514640</v>
      </c>
      <c r="W203">
        <f t="shared" si="51"/>
        <v>8682771960</v>
      </c>
      <c r="X203">
        <f t="shared" si="51"/>
        <v>12059405500</v>
      </c>
      <c r="Y203">
        <f t="shared" si="51"/>
        <v>14471286600</v>
      </c>
      <c r="Z203">
        <f t="shared" si="51"/>
        <v>23154058560</v>
      </c>
      <c r="AA203">
        <f t="shared" si="51"/>
        <v>24118811000</v>
      </c>
      <c r="AB203">
        <f t="shared" si="51"/>
        <v>36178216500</v>
      </c>
      <c r="AC203">
        <f t="shared" si="51"/>
        <v>57885146400</v>
      </c>
      <c r="AD203">
        <f t="shared" si="51"/>
        <v>86827719600</v>
      </c>
      <c r="AE203">
        <f t="shared" si="48"/>
        <v>101299006200</v>
      </c>
      <c r="AF203">
        <f t="shared" si="48"/>
        <v>132653460500</v>
      </c>
      <c r="AG203">
        <f t="shared" si="48"/>
        <v>168831677000</v>
      </c>
      <c r="AK203">
        <v>197</v>
      </c>
      <c r="AL203" s="24">
        <f t="shared" si="54"/>
        <v>10.915699999999999</v>
      </c>
      <c r="AM203">
        <f t="shared" si="50"/>
        <v>76.409899999999993</v>
      </c>
      <c r="AN203">
        <f t="shared" si="50"/>
        <v>109.157</v>
      </c>
      <c r="AO203">
        <f t="shared" si="50"/>
        <v>163.7355</v>
      </c>
      <c r="AP203">
        <f t="shared" si="50"/>
        <v>218.31399999999999</v>
      </c>
      <c r="AQ203">
        <f t="shared" si="50"/>
        <v>382.04949999999997</v>
      </c>
      <c r="AR203">
        <f t="shared" si="50"/>
        <v>545.78499999999997</v>
      </c>
      <c r="AS203">
        <f t="shared" si="50"/>
        <v>873.25599999999997</v>
      </c>
      <c r="AT203">
        <f t="shared" si="50"/>
        <v>1309.884</v>
      </c>
      <c r="AU203">
        <f t="shared" si="50"/>
        <v>1855.6689999999999</v>
      </c>
      <c r="AV203">
        <f t="shared" si="50"/>
        <v>2619.768</v>
      </c>
      <c r="AW203">
        <f t="shared" si="50"/>
        <v>3602.1809999999996</v>
      </c>
      <c r="AX203">
        <f t="shared" si="50"/>
        <v>5021.2219999999998</v>
      </c>
      <c r="AY203">
        <f t="shared" si="50"/>
        <v>8732.56</v>
      </c>
      <c r="AZ203">
        <f t="shared" si="50"/>
        <v>16373.55</v>
      </c>
      <c r="BA203">
        <f t="shared" si="50"/>
        <v>27289.25</v>
      </c>
      <c r="BB203">
        <f t="shared" si="50"/>
        <v>43662.799999999996</v>
      </c>
      <c r="BC203">
        <f t="shared" si="49"/>
        <v>109157</v>
      </c>
      <c r="BD203">
        <f t="shared" si="49"/>
        <v>163735.5</v>
      </c>
      <c r="BE203">
        <f t="shared" si="49"/>
        <v>261976.8</v>
      </c>
      <c r="BF203">
        <f t="shared" si="49"/>
        <v>327471</v>
      </c>
      <c r="BG203">
        <f t="shared" si="49"/>
        <v>1091570</v>
      </c>
      <c r="BH203">
        <f t="shared" si="49"/>
        <v>3274710</v>
      </c>
      <c r="BI203">
        <f t="shared" si="49"/>
        <v>9278345</v>
      </c>
      <c r="BJ203">
        <f t="shared" si="49"/>
        <v>32747099.999999996</v>
      </c>
      <c r="BK203">
        <f t="shared" si="49"/>
        <v>109157000</v>
      </c>
      <c r="BL203" s="145">
        <v>198</v>
      </c>
    </row>
    <row r="204" spans="1:64" ht="17.25" thickBot="1" x14ac:dyDescent="0.25">
      <c r="A204" s="131">
        <v>200</v>
      </c>
      <c r="B204" s="132">
        <v>24118811</v>
      </c>
      <c r="D204" s="131">
        <v>200</v>
      </c>
      <c r="E204" s="132">
        <v>10.993220000000001</v>
      </c>
      <c r="M204">
        <v>200</v>
      </c>
      <c r="N204">
        <f t="shared" si="53"/>
        <v>242980050</v>
      </c>
      <c r="O204">
        <f t="shared" si="52"/>
        <v>485960100</v>
      </c>
      <c r="P204">
        <f t="shared" si="52"/>
        <v>728940150</v>
      </c>
      <c r="Q204">
        <f t="shared" si="52"/>
        <v>971920200</v>
      </c>
      <c r="R204">
        <f t="shared" si="52"/>
        <v>1457880300</v>
      </c>
      <c r="S204">
        <f t="shared" si="52"/>
        <v>1700860350</v>
      </c>
      <c r="T204">
        <f t="shared" si="51"/>
        <v>2429800500</v>
      </c>
      <c r="U204">
        <f t="shared" si="51"/>
        <v>3644700750</v>
      </c>
      <c r="V204">
        <f t="shared" si="51"/>
        <v>5831521200</v>
      </c>
      <c r="W204">
        <f t="shared" si="51"/>
        <v>8747281800</v>
      </c>
      <c r="X204">
        <f t="shared" si="51"/>
        <v>12149002500</v>
      </c>
      <c r="Y204">
        <f t="shared" si="51"/>
        <v>14578803000</v>
      </c>
      <c r="Z204">
        <f t="shared" si="51"/>
        <v>23326084800</v>
      </c>
      <c r="AA204">
        <f t="shared" si="51"/>
        <v>24298005000</v>
      </c>
      <c r="AB204">
        <f t="shared" si="51"/>
        <v>36447007500</v>
      </c>
      <c r="AC204">
        <f t="shared" si="51"/>
        <v>58315212000</v>
      </c>
      <c r="AD204">
        <f t="shared" si="51"/>
        <v>87472818000</v>
      </c>
      <c r="AE204">
        <f t="shared" si="48"/>
        <v>102051621000</v>
      </c>
      <c r="AF204">
        <f t="shared" si="48"/>
        <v>133639027500</v>
      </c>
      <c r="AG204">
        <f t="shared" si="48"/>
        <v>170086035000</v>
      </c>
      <c r="AK204">
        <v>198</v>
      </c>
      <c r="AL204" s="24">
        <f t="shared" si="54"/>
        <v>10.930339999999999</v>
      </c>
      <c r="AM204">
        <f t="shared" si="50"/>
        <v>76.512379999999993</v>
      </c>
      <c r="AN204">
        <f t="shared" si="50"/>
        <v>109.3034</v>
      </c>
      <c r="AO204">
        <f t="shared" si="50"/>
        <v>163.95509999999999</v>
      </c>
      <c r="AP204">
        <f t="shared" si="50"/>
        <v>218.60679999999999</v>
      </c>
      <c r="AQ204">
        <f t="shared" si="50"/>
        <v>382.56189999999998</v>
      </c>
      <c r="AR204">
        <f t="shared" si="50"/>
        <v>546.51699999999994</v>
      </c>
      <c r="AS204">
        <f t="shared" si="50"/>
        <v>874.42719999999997</v>
      </c>
      <c r="AT204">
        <f t="shared" si="50"/>
        <v>1311.6407999999999</v>
      </c>
      <c r="AU204">
        <f t="shared" si="50"/>
        <v>1858.1578</v>
      </c>
      <c r="AV204">
        <f t="shared" si="50"/>
        <v>2623.2815999999998</v>
      </c>
      <c r="AW204">
        <f t="shared" si="50"/>
        <v>3607.0121999999997</v>
      </c>
      <c r="AX204">
        <f t="shared" si="50"/>
        <v>5027.9564</v>
      </c>
      <c r="AY204">
        <f t="shared" si="50"/>
        <v>8744.271999999999</v>
      </c>
      <c r="AZ204">
        <f t="shared" si="50"/>
        <v>16395.509999999998</v>
      </c>
      <c r="BA204">
        <f t="shared" si="50"/>
        <v>27325.85</v>
      </c>
      <c r="BB204">
        <f t="shared" si="50"/>
        <v>43721.36</v>
      </c>
      <c r="BC204">
        <f t="shared" si="49"/>
        <v>109303.4</v>
      </c>
      <c r="BD204">
        <f t="shared" si="49"/>
        <v>163955.09999999998</v>
      </c>
      <c r="BE204">
        <f t="shared" si="49"/>
        <v>262328.15999999997</v>
      </c>
      <c r="BF204">
        <f t="shared" si="49"/>
        <v>327910.19999999995</v>
      </c>
      <c r="BG204">
        <f t="shared" si="49"/>
        <v>1093034</v>
      </c>
      <c r="BH204">
        <f t="shared" si="49"/>
        <v>3279102</v>
      </c>
      <c r="BI204">
        <f t="shared" si="49"/>
        <v>9290789</v>
      </c>
      <c r="BJ204">
        <f t="shared" si="49"/>
        <v>32791019.999999996</v>
      </c>
      <c r="BK204">
        <f t="shared" si="49"/>
        <v>109303400</v>
      </c>
      <c r="BL204">
        <v>199</v>
      </c>
    </row>
    <row r="205" spans="1:64" ht="17.25" thickBot="1" x14ac:dyDescent="0.25">
      <c r="A205" s="131">
        <v>201</v>
      </c>
      <c r="B205" s="132">
        <v>24298005</v>
      </c>
      <c r="D205" s="131">
        <v>201</v>
      </c>
      <c r="E205" s="132">
        <v>11.0413</v>
      </c>
      <c r="N205">
        <f>SUM(N4:N204)</f>
        <v>19700845280</v>
      </c>
      <c r="O205">
        <f t="shared" ref="O205:AG205" si="55">SUM(O4:O204)</f>
        <v>39401690560</v>
      </c>
      <c r="P205">
        <f t="shared" si="55"/>
        <v>59102535840</v>
      </c>
      <c r="Q205">
        <f t="shared" si="55"/>
        <v>78803381120</v>
      </c>
      <c r="R205">
        <f t="shared" si="55"/>
        <v>118205071680</v>
      </c>
      <c r="S205">
        <f t="shared" si="55"/>
        <v>137905916960</v>
      </c>
      <c r="T205">
        <f t="shared" si="55"/>
        <v>197008452800</v>
      </c>
      <c r="U205">
        <f t="shared" si="55"/>
        <v>295512679200</v>
      </c>
      <c r="V205">
        <f t="shared" si="55"/>
        <v>472820286720</v>
      </c>
      <c r="W205">
        <f t="shared" si="55"/>
        <v>709230430080</v>
      </c>
      <c r="X205">
        <f t="shared" si="55"/>
        <v>985042264000</v>
      </c>
      <c r="Y205">
        <f t="shared" si="55"/>
        <v>1182050716800</v>
      </c>
      <c r="Z205">
        <f t="shared" si="55"/>
        <v>1891281146880</v>
      </c>
      <c r="AA205">
        <f t="shared" si="55"/>
        <v>1970084528000</v>
      </c>
      <c r="AB205">
        <f t="shared" si="55"/>
        <v>2955126792000</v>
      </c>
      <c r="AC205">
        <f t="shared" si="55"/>
        <v>4728202867200</v>
      </c>
      <c r="AD205">
        <f t="shared" si="55"/>
        <v>7092304300800</v>
      </c>
      <c r="AE205">
        <f t="shared" si="55"/>
        <v>8274355017600</v>
      </c>
      <c r="AF205">
        <f t="shared" si="55"/>
        <v>10835464904000</v>
      </c>
      <c r="AG205">
        <f t="shared" si="55"/>
        <v>13790591696000</v>
      </c>
      <c r="AH205">
        <f>SUM(N205:AG205)</f>
        <v>55832195523520</v>
      </c>
      <c r="AK205">
        <v>199</v>
      </c>
      <c r="AL205" s="24">
        <f t="shared" si="54"/>
        <v>10.94491</v>
      </c>
      <c r="AM205">
        <f t="shared" si="50"/>
        <v>76.614370000000008</v>
      </c>
      <c r="AN205">
        <f t="shared" si="50"/>
        <v>109.4491</v>
      </c>
      <c r="AO205">
        <f t="shared" si="50"/>
        <v>164.17365000000001</v>
      </c>
      <c r="AP205">
        <f t="shared" si="50"/>
        <v>218.8982</v>
      </c>
      <c r="AQ205">
        <f t="shared" si="50"/>
        <v>383.07184999999998</v>
      </c>
      <c r="AR205">
        <f t="shared" si="50"/>
        <v>547.24549999999999</v>
      </c>
      <c r="AS205">
        <f t="shared" si="50"/>
        <v>875.59280000000001</v>
      </c>
      <c r="AT205">
        <f t="shared" si="50"/>
        <v>1313.3892000000001</v>
      </c>
      <c r="AU205">
        <f t="shared" si="50"/>
        <v>1860.6347000000001</v>
      </c>
      <c r="AV205">
        <f t="shared" si="50"/>
        <v>2626.7784000000001</v>
      </c>
      <c r="AW205">
        <f t="shared" si="50"/>
        <v>3611.8202999999999</v>
      </c>
      <c r="AX205">
        <f t="shared" si="50"/>
        <v>5034.6585999999998</v>
      </c>
      <c r="AY205">
        <f t="shared" si="50"/>
        <v>8755.9279999999999</v>
      </c>
      <c r="AZ205">
        <f t="shared" si="50"/>
        <v>16417.365000000002</v>
      </c>
      <c r="BA205">
        <f t="shared" si="50"/>
        <v>27362.275000000001</v>
      </c>
      <c r="BB205">
        <f t="shared" si="50"/>
        <v>43779.64</v>
      </c>
      <c r="BC205">
        <f t="shared" si="49"/>
        <v>109449.1</v>
      </c>
      <c r="BD205">
        <f t="shared" si="49"/>
        <v>164173.65</v>
      </c>
      <c r="BE205">
        <f t="shared" si="49"/>
        <v>262677.84000000003</v>
      </c>
      <c r="BF205">
        <f t="shared" si="49"/>
        <v>328347.3</v>
      </c>
      <c r="BG205">
        <f t="shared" si="49"/>
        <v>1094491</v>
      </c>
      <c r="BH205">
        <f t="shared" si="49"/>
        <v>3283473</v>
      </c>
      <c r="BI205">
        <f t="shared" si="49"/>
        <v>9303173.5</v>
      </c>
      <c r="BJ205">
        <f t="shared" si="49"/>
        <v>32834730</v>
      </c>
      <c r="BK205">
        <f t="shared" si="49"/>
        <v>109449100</v>
      </c>
      <c r="BL205" s="145">
        <v>200</v>
      </c>
    </row>
    <row r="206" spans="1:64" ht="17.25" thickBot="1" x14ac:dyDescent="0.25">
      <c r="A206" s="131">
        <v>202</v>
      </c>
      <c r="B206" s="132">
        <v>24479144</v>
      </c>
      <c r="D206" s="131">
        <v>202</v>
      </c>
      <c r="E206" s="132">
        <v>11.08915</v>
      </c>
      <c r="N206" s="25">
        <f t="shared" ref="N206:AF206" si="56">N205/$AH$205</f>
        <v>3.5285815102328866E-4</v>
      </c>
      <c r="O206" s="25">
        <f t="shared" si="56"/>
        <v>7.0571630204657732E-4</v>
      </c>
      <c r="P206" s="25">
        <f t="shared" si="56"/>
        <v>1.058574453069866E-3</v>
      </c>
      <c r="Q206" s="25">
        <f t="shared" si="56"/>
        <v>1.4114326040931546E-3</v>
      </c>
      <c r="R206" s="25">
        <f t="shared" si="56"/>
        <v>2.1171489061397319E-3</v>
      </c>
      <c r="S206" s="25">
        <f t="shared" si="56"/>
        <v>2.4700070571630206E-3</v>
      </c>
      <c r="T206" s="25">
        <f t="shared" si="56"/>
        <v>3.5285815102328866E-3</v>
      </c>
      <c r="U206" s="25">
        <f t="shared" si="56"/>
        <v>5.2928722653493299E-3</v>
      </c>
      <c r="V206" s="25">
        <f t="shared" si="56"/>
        <v>8.4685956245589278E-3</v>
      </c>
      <c r="W206" s="25">
        <f t="shared" si="56"/>
        <v>1.2702893436838392E-2</v>
      </c>
      <c r="X206" s="25">
        <f t="shared" si="56"/>
        <v>1.7642907551164433E-2</v>
      </c>
      <c r="Y206" s="25">
        <f t="shared" si="56"/>
        <v>2.1171489061397319E-2</v>
      </c>
      <c r="Z206" s="25">
        <f t="shared" si="56"/>
        <v>3.3874382498235711E-2</v>
      </c>
      <c r="AA206" s="25">
        <f t="shared" si="56"/>
        <v>3.5285815102328866E-2</v>
      </c>
      <c r="AB206" s="25">
        <f t="shared" si="56"/>
        <v>5.2928722653493299E-2</v>
      </c>
      <c r="AC206" s="25">
        <f t="shared" si="56"/>
        <v>8.4685956245589278E-2</v>
      </c>
      <c r="AD206" s="25">
        <f t="shared" si="56"/>
        <v>0.12702893436838392</v>
      </c>
      <c r="AE206" s="25">
        <f t="shared" si="56"/>
        <v>0.14820042342978124</v>
      </c>
      <c r="AF206" s="25">
        <f t="shared" si="56"/>
        <v>0.19407198306280876</v>
      </c>
      <c r="AG206" s="25">
        <f>AG205/$AH$205</f>
        <v>0.24700070571630206</v>
      </c>
      <c r="AK206">
        <v>200</v>
      </c>
      <c r="AL206" s="24">
        <f t="shared" si="54"/>
        <v>10.993220000000001</v>
      </c>
      <c r="AM206">
        <f t="shared" si="50"/>
        <v>76.952539999999999</v>
      </c>
      <c r="AN206">
        <f t="shared" si="50"/>
        <v>109.93220000000001</v>
      </c>
      <c r="AO206">
        <f t="shared" si="50"/>
        <v>164.89830000000001</v>
      </c>
      <c r="AP206">
        <f t="shared" si="50"/>
        <v>219.86440000000002</v>
      </c>
      <c r="AQ206">
        <f t="shared" si="50"/>
        <v>384.76270000000005</v>
      </c>
      <c r="AR206">
        <f t="shared" si="50"/>
        <v>549.66100000000006</v>
      </c>
      <c r="AS206">
        <f t="shared" si="50"/>
        <v>879.45760000000007</v>
      </c>
      <c r="AT206">
        <f t="shared" si="50"/>
        <v>1319.1864</v>
      </c>
      <c r="AU206">
        <f t="shared" si="50"/>
        <v>1868.8474000000001</v>
      </c>
      <c r="AV206">
        <f t="shared" si="50"/>
        <v>2638.3728000000001</v>
      </c>
      <c r="AW206">
        <f t="shared" si="50"/>
        <v>3627.7626000000005</v>
      </c>
      <c r="AX206">
        <f t="shared" si="50"/>
        <v>5056.8812000000007</v>
      </c>
      <c r="AY206">
        <f t="shared" si="50"/>
        <v>8794.5760000000009</v>
      </c>
      <c r="AZ206">
        <f t="shared" si="50"/>
        <v>16489.830000000002</v>
      </c>
      <c r="BA206">
        <f t="shared" si="50"/>
        <v>27483.050000000003</v>
      </c>
      <c r="BB206">
        <f t="shared" si="50"/>
        <v>43972.880000000005</v>
      </c>
      <c r="BC206">
        <f t="shared" si="49"/>
        <v>109932.20000000001</v>
      </c>
      <c r="BD206">
        <f t="shared" si="49"/>
        <v>164898.30000000002</v>
      </c>
      <c r="BE206">
        <f t="shared" si="49"/>
        <v>263837.28000000003</v>
      </c>
      <c r="BF206">
        <f t="shared" si="49"/>
        <v>329796.60000000003</v>
      </c>
      <c r="BG206">
        <f t="shared" si="49"/>
        <v>1099322</v>
      </c>
      <c r="BH206">
        <f t="shared" si="49"/>
        <v>3297966.0000000005</v>
      </c>
      <c r="BI206">
        <f t="shared" si="49"/>
        <v>9344237</v>
      </c>
      <c r="BJ206">
        <f t="shared" si="49"/>
        <v>32979660.000000004</v>
      </c>
      <c r="BK206">
        <f t="shared" si="49"/>
        <v>109932200.00000001</v>
      </c>
      <c r="BL206" s="145">
        <v>201</v>
      </c>
    </row>
    <row r="207" spans="1:64" ht="17.25" thickBot="1" x14ac:dyDescent="0.25">
      <c r="A207" s="131">
        <v>203</v>
      </c>
      <c r="B207" s="132">
        <v>24660733</v>
      </c>
      <c r="D207" s="131">
        <v>203</v>
      </c>
      <c r="E207" s="132">
        <v>11.13677</v>
      </c>
      <c r="AK207">
        <v>201</v>
      </c>
      <c r="AL207" s="24">
        <f t="shared" ref="AL207:AL270" si="57">VLOOKUP(AK207,D$2:E$1404,2,FALSE)</f>
        <v>11.0413</v>
      </c>
      <c r="AM207">
        <f t="shared" si="50"/>
        <v>77.289099999999991</v>
      </c>
      <c r="AN207">
        <f t="shared" si="50"/>
        <v>110.413</v>
      </c>
      <c r="AO207">
        <f t="shared" si="50"/>
        <v>165.61949999999999</v>
      </c>
      <c r="AP207">
        <f t="shared" si="50"/>
        <v>220.82599999999999</v>
      </c>
      <c r="AQ207">
        <f t="shared" si="50"/>
        <v>386.44549999999998</v>
      </c>
      <c r="AR207">
        <f t="shared" si="50"/>
        <v>552.06499999999994</v>
      </c>
      <c r="AS207">
        <f t="shared" si="50"/>
        <v>883.30399999999997</v>
      </c>
      <c r="AT207">
        <f t="shared" si="50"/>
        <v>1324.9559999999999</v>
      </c>
      <c r="AU207">
        <f t="shared" si="50"/>
        <v>1877.021</v>
      </c>
      <c r="AV207">
        <f t="shared" si="50"/>
        <v>2649.9119999999998</v>
      </c>
      <c r="AW207">
        <f t="shared" si="50"/>
        <v>3643.6289999999999</v>
      </c>
      <c r="AX207">
        <f t="shared" si="50"/>
        <v>5078.9979999999996</v>
      </c>
      <c r="AY207">
        <f t="shared" si="50"/>
        <v>8833.0399999999991</v>
      </c>
      <c r="AZ207">
        <f t="shared" si="50"/>
        <v>16561.95</v>
      </c>
      <c r="BA207">
        <f t="shared" si="50"/>
        <v>27603.25</v>
      </c>
      <c r="BB207">
        <f t="shared" si="50"/>
        <v>44165.2</v>
      </c>
      <c r="BC207">
        <f t="shared" si="49"/>
        <v>110413</v>
      </c>
      <c r="BD207">
        <f t="shared" si="49"/>
        <v>165619.5</v>
      </c>
      <c r="BE207">
        <f t="shared" si="49"/>
        <v>264991.2</v>
      </c>
      <c r="BF207">
        <f t="shared" si="49"/>
        <v>331239</v>
      </c>
      <c r="BG207">
        <f t="shared" si="49"/>
        <v>1104130</v>
      </c>
      <c r="BH207">
        <f t="shared" si="49"/>
        <v>3312390</v>
      </c>
      <c r="BI207">
        <f t="shared" si="49"/>
        <v>9385105</v>
      </c>
      <c r="BJ207">
        <f t="shared" si="49"/>
        <v>33123900</v>
      </c>
      <c r="BK207">
        <f t="shared" si="49"/>
        <v>110413000</v>
      </c>
      <c r="BL207">
        <v>202</v>
      </c>
    </row>
    <row r="208" spans="1:64" ht="17.25" thickBot="1" x14ac:dyDescent="0.25">
      <c r="A208" s="131">
        <v>204</v>
      </c>
      <c r="B208" s="132">
        <v>24842766</v>
      </c>
      <c r="D208" s="131">
        <v>204</v>
      </c>
      <c r="E208" s="132">
        <v>11.18417</v>
      </c>
      <c r="AK208">
        <v>202</v>
      </c>
      <c r="AL208" s="24">
        <f t="shared" si="57"/>
        <v>11.08915</v>
      </c>
      <c r="AM208">
        <f t="shared" si="50"/>
        <v>77.624049999999997</v>
      </c>
      <c r="AN208">
        <f t="shared" si="50"/>
        <v>110.89150000000001</v>
      </c>
      <c r="AO208">
        <f t="shared" si="50"/>
        <v>166.33725000000001</v>
      </c>
      <c r="AP208">
        <f t="shared" si="50"/>
        <v>221.78300000000002</v>
      </c>
      <c r="AQ208">
        <f t="shared" si="50"/>
        <v>388.12025</v>
      </c>
      <c r="AR208">
        <f t="shared" si="50"/>
        <v>554.45749999999998</v>
      </c>
      <c r="AS208">
        <f t="shared" si="50"/>
        <v>887.13200000000006</v>
      </c>
      <c r="AT208">
        <f t="shared" si="50"/>
        <v>1330.6980000000001</v>
      </c>
      <c r="AU208">
        <f t="shared" si="50"/>
        <v>1885.1555000000001</v>
      </c>
      <c r="AV208">
        <f t="shared" si="50"/>
        <v>2661.3960000000002</v>
      </c>
      <c r="AW208">
        <f t="shared" si="50"/>
        <v>3659.4195</v>
      </c>
      <c r="AX208">
        <f t="shared" si="50"/>
        <v>5101.009</v>
      </c>
      <c r="AY208">
        <f t="shared" si="50"/>
        <v>8871.32</v>
      </c>
      <c r="AZ208">
        <f t="shared" si="50"/>
        <v>16633.724999999999</v>
      </c>
      <c r="BA208">
        <f t="shared" si="50"/>
        <v>27722.875</v>
      </c>
      <c r="BB208">
        <f t="shared" ref="BB208:BK236" si="58">BB$5*VLOOKUP($AK208,$D$2:$E$1404,2,FALSE)</f>
        <v>44356.6</v>
      </c>
      <c r="BC208">
        <f t="shared" si="58"/>
        <v>110891.5</v>
      </c>
      <c r="BD208">
        <f t="shared" si="58"/>
        <v>166337.25</v>
      </c>
      <c r="BE208">
        <f t="shared" si="58"/>
        <v>266139.59999999998</v>
      </c>
      <c r="BF208">
        <f t="shared" si="58"/>
        <v>332674.5</v>
      </c>
      <c r="BG208">
        <f t="shared" si="58"/>
        <v>1108915</v>
      </c>
      <c r="BH208">
        <f t="shared" si="58"/>
        <v>3326745</v>
      </c>
      <c r="BI208">
        <f t="shared" si="58"/>
        <v>9425777.5</v>
      </c>
      <c r="BJ208">
        <f t="shared" si="58"/>
        <v>33267450</v>
      </c>
      <c r="BK208">
        <f t="shared" si="58"/>
        <v>110891500</v>
      </c>
      <c r="BL208" s="145">
        <v>203</v>
      </c>
    </row>
    <row r="209" spans="1:64" ht="17.25" thickBot="1" x14ac:dyDescent="0.25">
      <c r="A209" s="131">
        <v>205</v>
      </c>
      <c r="B209" s="132">
        <v>25025244</v>
      </c>
      <c r="D209" s="131">
        <v>205</v>
      </c>
      <c r="E209" s="132">
        <v>11.231339999999999</v>
      </c>
      <c r="AK209">
        <v>203</v>
      </c>
      <c r="AL209" s="24">
        <f t="shared" si="57"/>
        <v>11.13677</v>
      </c>
      <c r="AM209">
        <f t="shared" ref="AM209:BB224" si="59">AM$5*VLOOKUP($AK209,$D$2:$E$1404,2,FALSE)</f>
        <v>77.957390000000004</v>
      </c>
      <c r="AN209">
        <f t="shared" si="59"/>
        <v>111.3677</v>
      </c>
      <c r="AO209">
        <f t="shared" si="59"/>
        <v>167.05154999999999</v>
      </c>
      <c r="AP209">
        <f t="shared" si="59"/>
        <v>222.7354</v>
      </c>
      <c r="AQ209">
        <f t="shared" si="59"/>
        <v>389.78694999999999</v>
      </c>
      <c r="AR209">
        <f t="shared" si="59"/>
        <v>556.83850000000007</v>
      </c>
      <c r="AS209">
        <f t="shared" si="59"/>
        <v>890.94159999999999</v>
      </c>
      <c r="AT209">
        <f t="shared" si="59"/>
        <v>1336.4123999999999</v>
      </c>
      <c r="AU209">
        <f t="shared" si="59"/>
        <v>1893.2509</v>
      </c>
      <c r="AV209">
        <f t="shared" si="59"/>
        <v>2672.8247999999999</v>
      </c>
      <c r="AW209">
        <f t="shared" si="59"/>
        <v>3675.1341000000002</v>
      </c>
      <c r="AX209">
        <f t="shared" si="59"/>
        <v>5122.9142000000002</v>
      </c>
      <c r="AY209">
        <f t="shared" si="59"/>
        <v>8909.4160000000011</v>
      </c>
      <c r="AZ209">
        <f t="shared" si="59"/>
        <v>16705.154999999999</v>
      </c>
      <c r="BA209">
        <f t="shared" si="59"/>
        <v>27841.924999999999</v>
      </c>
      <c r="BB209">
        <f t="shared" si="59"/>
        <v>44547.08</v>
      </c>
      <c r="BC209">
        <f t="shared" si="58"/>
        <v>111367.7</v>
      </c>
      <c r="BD209">
        <f t="shared" si="58"/>
        <v>167051.55000000002</v>
      </c>
      <c r="BE209">
        <f t="shared" si="58"/>
        <v>267282.48</v>
      </c>
      <c r="BF209">
        <f t="shared" si="58"/>
        <v>334103.10000000003</v>
      </c>
      <c r="BG209">
        <f t="shared" si="58"/>
        <v>1113677</v>
      </c>
      <c r="BH209">
        <f t="shared" si="58"/>
        <v>3341031</v>
      </c>
      <c r="BI209">
        <f t="shared" si="58"/>
        <v>9466254.5</v>
      </c>
      <c r="BJ209">
        <f t="shared" si="58"/>
        <v>33410310</v>
      </c>
      <c r="BK209">
        <f t="shared" si="58"/>
        <v>111367700</v>
      </c>
      <c r="BL209">
        <v>204</v>
      </c>
    </row>
    <row r="210" spans="1:64" ht="17.25" thickBot="1" x14ac:dyDescent="0.25">
      <c r="A210" s="131">
        <v>206</v>
      </c>
      <c r="B210" s="132">
        <v>25208166</v>
      </c>
      <c r="D210" s="131">
        <v>206</v>
      </c>
      <c r="E210" s="132">
        <v>11.27829</v>
      </c>
      <c r="AK210">
        <v>204</v>
      </c>
      <c r="AL210" s="24">
        <f t="shared" si="57"/>
        <v>11.18417</v>
      </c>
      <c r="AM210">
        <f t="shared" si="59"/>
        <v>78.289190000000005</v>
      </c>
      <c r="AN210">
        <f t="shared" si="59"/>
        <v>111.8417</v>
      </c>
      <c r="AO210">
        <f t="shared" si="59"/>
        <v>167.76255</v>
      </c>
      <c r="AP210">
        <f t="shared" si="59"/>
        <v>223.68340000000001</v>
      </c>
      <c r="AQ210">
        <f t="shared" si="59"/>
        <v>391.44594999999998</v>
      </c>
      <c r="AR210">
        <f t="shared" si="59"/>
        <v>559.20849999999996</v>
      </c>
      <c r="AS210">
        <f t="shared" si="59"/>
        <v>894.73360000000002</v>
      </c>
      <c r="AT210">
        <f t="shared" si="59"/>
        <v>1342.1004</v>
      </c>
      <c r="AU210">
        <f t="shared" si="59"/>
        <v>1901.3089</v>
      </c>
      <c r="AV210">
        <f t="shared" si="59"/>
        <v>2684.2008000000001</v>
      </c>
      <c r="AW210">
        <f t="shared" si="59"/>
        <v>3690.7761</v>
      </c>
      <c r="AX210">
        <f t="shared" si="59"/>
        <v>5144.7182000000003</v>
      </c>
      <c r="AY210">
        <f t="shared" si="59"/>
        <v>8947.3359999999993</v>
      </c>
      <c r="AZ210">
        <f t="shared" si="59"/>
        <v>16776.255000000001</v>
      </c>
      <c r="BA210">
        <f t="shared" si="59"/>
        <v>27960.424999999999</v>
      </c>
      <c r="BB210">
        <f t="shared" si="59"/>
        <v>44736.68</v>
      </c>
      <c r="BC210">
        <f t="shared" si="58"/>
        <v>111841.7</v>
      </c>
      <c r="BD210">
        <f t="shared" si="58"/>
        <v>167762.54999999999</v>
      </c>
      <c r="BE210">
        <f t="shared" si="58"/>
        <v>268420.08</v>
      </c>
      <c r="BF210">
        <f t="shared" si="58"/>
        <v>335525.09999999998</v>
      </c>
      <c r="BG210">
        <f t="shared" si="58"/>
        <v>1118417</v>
      </c>
      <c r="BH210">
        <f t="shared" si="58"/>
        <v>3355251</v>
      </c>
      <c r="BI210">
        <f t="shared" si="58"/>
        <v>9506544.5</v>
      </c>
      <c r="BJ210">
        <f t="shared" si="58"/>
        <v>33552510</v>
      </c>
      <c r="BK210">
        <f t="shared" si="58"/>
        <v>111841700</v>
      </c>
      <c r="BL210" s="145">
        <v>205</v>
      </c>
    </row>
    <row r="211" spans="1:64" ht="17.25" thickBot="1" x14ac:dyDescent="0.25">
      <c r="A211" s="131">
        <v>207</v>
      </c>
      <c r="B211" s="132">
        <v>25391533</v>
      </c>
      <c r="D211" s="131">
        <v>207</v>
      </c>
      <c r="E211" s="132">
        <v>11.32502</v>
      </c>
      <c r="AK211">
        <v>205</v>
      </c>
      <c r="AL211" s="24">
        <f t="shared" si="57"/>
        <v>11.231339999999999</v>
      </c>
      <c r="AM211">
        <f t="shared" si="59"/>
        <v>78.619379999999992</v>
      </c>
      <c r="AN211">
        <f t="shared" si="59"/>
        <v>112.3134</v>
      </c>
      <c r="AO211">
        <f t="shared" si="59"/>
        <v>168.4701</v>
      </c>
      <c r="AP211">
        <f t="shared" si="59"/>
        <v>224.6268</v>
      </c>
      <c r="AQ211">
        <f t="shared" si="59"/>
        <v>393.09690000000001</v>
      </c>
      <c r="AR211">
        <f t="shared" si="59"/>
        <v>561.56700000000001</v>
      </c>
      <c r="AS211">
        <f t="shared" si="59"/>
        <v>898.50720000000001</v>
      </c>
      <c r="AT211">
        <f t="shared" si="59"/>
        <v>1347.7608</v>
      </c>
      <c r="AU211">
        <f t="shared" si="59"/>
        <v>1909.3277999999998</v>
      </c>
      <c r="AV211">
        <f t="shared" si="59"/>
        <v>2695.5216</v>
      </c>
      <c r="AW211">
        <f t="shared" si="59"/>
        <v>3706.3421999999996</v>
      </c>
      <c r="AX211">
        <f t="shared" si="59"/>
        <v>5166.4164000000001</v>
      </c>
      <c r="AY211">
        <f t="shared" si="59"/>
        <v>8985.0720000000001</v>
      </c>
      <c r="AZ211">
        <f t="shared" si="59"/>
        <v>16847.009999999998</v>
      </c>
      <c r="BA211">
        <f t="shared" si="59"/>
        <v>28078.35</v>
      </c>
      <c r="BB211">
        <f t="shared" si="59"/>
        <v>44925.36</v>
      </c>
      <c r="BC211">
        <f t="shared" si="58"/>
        <v>112313.4</v>
      </c>
      <c r="BD211">
        <f t="shared" si="58"/>
        <v>168470.1</v>
      </c>
      <c r="BE211">
        <f t="shared" si="58"/>
        <v>269552.15999999997</v>
      </c>
      <c r="BF211">
        <f t="shared" si="58"/>
        <v>336940.2</v>
      </c>
      <c r="BG211">
        <f t="shared" si="58"/>
        <v>1123134</v>
      </c>
      <c r="BH211">
        <f t="shared" si="58"/>
        <v>3369402</v>
      </c>
      <c r="BI211">
        <f t="shared" si="58"/>
        <v>9546639</v>
      </c>
      <c r="BJ211">
        <f t="shared" si="58"/>
        <v>33694020</v>
      </c>
      <c r="BK211">
        <f t="shared" si="58"/>
        <v>112313400</v>
      </c>
      <c r="BL211">
        <v>206</v>
      </c>
    </row>
    <row r="212" spans="1:64" ht="17.25" thickBot="1" x14ac:dyDescent="0.25">
      <c r="A212" s="131">
        <v>208</v>
      </c>
      <c r="B212" s="132">
        <v>25575344</v>
      </c>
      <c r="D212" s="131">
        <v>208</v>
      </c>
      <c r="E212" s="132">
        <v>11.37154</v>
      </c>
      <c r="AK212">
        <v>206</v>
      </c>
      <c r="AL212" s="24">
        <f t="shared" si="57"/>
        <v>11.27829</v>
      </c>
      <c r="AM212">
        <f t="shared" si="59"/>
        <v>78.948030000000003</v>
      </c>
      <c r="AN212">
        <f t="shared" si="59"/>
        <v>112.7829</v>
      </c>
      <c r="AO212">
        <f t="shared" si="59"/>
        <v>169.17435</v>
      </c>
      <c r="AP212">
        <f t="shared" si="59"/>
        <v>225.5658</v>
      </c>
      <c r="AQ212">
        <f t="shared" si="59"/>
        <v>394.74015000000003</v>
      </c>
      <c r="AR212">
        <f t="shared" si="59"/>
        <v>563.91449999999998</v>
      </c>
      <c r="AS212">
        <f t="shared" si="59"/>
        <v>902.26319999999998</v>
      </c>
      <c r="AT212">
        <f t="shared" si="59"/>
        <v>1353.3948</v>
      </c>
      <c r="AU212">
        <f t="shared" si="59"/>
        <v>1917.3093000000001</v>
      </c>
      <c r="AV212">
        <f t="shared" si="59"/>
        <v>2706.7896000000001</v>
      </c>
      <c r="AW212">
        <f t="shared" si="59"/>
        <v>3721.8357000000001</v>
      </c>
      <c r="AX212">
        <f t="shared" si="59"/>
        <v>5188.0133999999998</v>
      </c>
      <c r="AY212">
        <f t="shared" si="59"/>
        <v>9022.6319999999996</v>
      </c>
      <c r="AZ212">
        <f t="shared" si="59"/>
        <v>16917.435000000001</v>
      </c>
      <c r="BA212">
        <f t="shared" si="59"/>
        <v>28195.725000000002</v>
      </c>
      <c r="BB212">
        <f t="shared" si="59"/>
        <v>45113.16</v>
      </c>
      <c r="BC212">
        <f t="shared" si="58"/>
        <v>112782.90000000001</v>
      </c>
      <c r="BD212">
        <f t="shared" si="58"/>
        <v>169174.35</v>
      </c>
      <c r="BE212">
        <f t="shared" si="58"/>
        <v>270678.96000000002</v>
      </c>
      <c r="BF212">
        <f t="shared" si="58"/>
        <v>338348.7</v>
      </c>
      <c r="BG212">
        <f t="shared" si="58"/>
        <v>1127829</v>
      </c>
      <c r="BH212">
        <f t="shared" si="58"/>
        <v>3383487</v>
      </c>
      <c r="BI212">
        <f t="shared" si="58"/>
        <v>9586546.5</v>
      </c>
      <c r="BJ212">
        <f t="shared" si="58"/>
        <v>33834870</v>
      </c>
      <c r="BK212">
        <f t="shared" si="58"/>
        <v>112782900</v>
      </c>
      <c r="BL212" s="145">
        <v>207</v>
      </c>
    </row>
    <row r="213" spans="1:64" ht="17.25" thickBot="1" x14ac:dyDescent="0.25">
      <c r="A213" s="131">
        <v>209</v>
      </c>
      <c r="B213" s="132">
        <v>25759594</v>
      </c>
      <c r="D213" s="131">
        <v>209</v>
      </c>
      <c r="E213" s="132">
        <v>11.41784</v>
      </c>
      <c r="AK213">
        <v>207</v>
      </c>
      <c r="AL213" s="24">
        <f t="shared" si="57"/>
        <v>11.32502</v>
      </c>
      <c r="AM213">
        <f t="shared" si="59"/>
        <v>79.275140000000007</v>
      </c>
      <c r="AN213">
        <f t="shared" si="59"/>
        <v>113.25020000000001</v>
      </c>
      <c r="AO213">
        <f t="shared" si="59"/>
        <v>169.87530000000001</v>
      </c>
      <c r="AP213">
        <f t="shared" si="59"/>
        <v>226.50040000000001</v>
      </c>
      <c r="AQ213">
        <f t="shared" si="59"/>
        <v>396.37569999999999</v>
      </c>
      <c r="AR213">
        <f t="shared" si="59"/>
        <v>566.25099999999998</v>
      </c>
      <c r="AS213">
        <f t="shared" si="59"/>
        <v>906.00160000000005</v>
      </c>
      <c r="AT213">
        <f t="shared" si="59"/>
        <v>1359.0024000000001</v>
      </c>
      <c r="AU213">
        <f t="shared" si="59"/>
        <v>1925.2534000000001</v>
      </c>
      <c r="AV213">
        <f t="shared" si="59"/>
        <v>2718.0048000000002</v>
      </c>
      <c r="AW213">
        <f t="shared" si="59"/>
        <v>3737.2566000000002</v>
      </c>
      <c r="AX213">
        <f t="shared" si="59"/>
        <v>5209.5092000000004</v>
      </c>
      <c r="AY213">
        <f t="shared" si="59"/>
        <v>9060.0159999999996</v>
      </c>
      <c r="AZ213">
        <f t="shared" si="59"/>
        <v>16987.53</v>
      </c>
      <c r="BA213">
        <f t="shared" si="59"/>
        <v>28312.55</v>
      </c>
      <c r="BB213">
        <f t="shared" si="59"/>
        <v>45300.08</v>
      </c>
      <c r="BC213">
        <f t="shared" si="58"/>
        <v>113250.2</v>
      </c>
      <c r="BD213">
        <f t="shared" si="58"/>
        <v>169875.30000000002</v>
      </c>
      <c r="BE213">
        <f t="shared" si="58"/>
        <v>271800.48</v>
      </c>
      <c r="BF213">
        <f t="shared" si="58"/>
        <v>339750.60000000003</v>
      </c>
      <c r="BG213">
        <f t="shared" si="58"/>
        <v>1132502</v>
      </c>
      <c r="BH213">
        <f t="shared" si="58"/>
        <v>3397506</v>
      </c>
      <c r="BI213">
        <f t="shared" si="58"/>
        <v>9626267</v>
      </c>
      <c r="BJ213">
        <f t="shared" si="58"/>
        <v>33975060</v>
      </c>
      <c r="BK213">
        <f t="shared" si="58"/>
        <v>113250200</v>
      </c>
      <c r="BL213">
        <v>208</v>
      </c>
    </row>
    <row r="214" spans="1:64" ht="17.25" thickBot="1" x14ac:dyDescent="0.25">
      <c r="A214" s="131">
        <v>210</v>
      </c>
      <c r="B214" s="132">
        <v>25944288</v>
      </c>
      <c r="D214" s="131">
        <v>210</v>
      </c>
      <c r="E214" s="132">
        <v>11.46393</v>
      </c>
      <c r="AK214">
        <v>208</v>
      </c>
      <c r="AL214" s="24">
        <f t="shared" si="57"/>
        <v>11.37154</v>
      </c>
      <c r="AM214">
        <f t="shared" si="59"/>
        <v>79.60078</v>
      </c>
      <c r="AN214">
        <f t="shared" si="59"/>
        <v>113.71539999999999</v>
      </c>
      <c r="AO214">
        <f t="shared" si="59"/>
        <v>170.57309999999998</v>
      </c>
      <c r="AP214">
        <f t="shared" si="59"/>
        <v>227.43079999999998</v>
      </c>
      <c r="AQ214">
        <f t="shared" si="59"/>
        <v>398.00389999999999</v>
      </c>
      <c r="AR214">
        <f t="shared" si="59"/>
        <v>568.577</v>
      </c>
      <c r="AS214">
        <f t="shared" si="59"/>
        <v>909.72319999999991</v>
      </c>
      <c r="AT214">
        <f t="shared" si="59"/>
        <v>1364.5847999999999</v>
      </c>
      <c r="AU214">
        <f t="shared" si="59"/>
        <v>1933.1617999999999</v>
      </c>
      <c r="AV214">
        <f t="shared" si="59"/>
        <v>2729.1695999999997</v>
      </c>
      <c r="AW214">
        <f t="shared" si="59"/>
        <v>3752.6081999999997</v>
      </c>
      <c r="AX214">
        <f t="shared" si="59"/>
        <v>5230.9083999999993</v>
      </c>
      <c r="AY214">
        <f t="shared" si="59"/>
        <v>9097.232</v>
      </c>
      <c r="AZ214">
        <f t="shared" si="59"/>
        <v>17057.309999999998</v>
      </c>
      <c r="BA214">
        <f t="shared" si="59"/>
        <v>28428.85</v>
      </c>
      <c r="BB214">
        <f t="shared" si="59"/>
        <v>45486.159999999996</v>
      </c>
      <c r="BC214">
        <f t="shared" si="58"/>
        <v>113715.4</v>
      </c>
      <c r="BD214">
        <f t="shared" si="58"/>
        <v>170573.1</v>
      </c>
      <c r="BE214">
        <f t="shared" si="58"/>
        <v>272916.95999999996</v>
      </c>
      <c r="BF214">
        <f t="shared" si="58"/>
        <v>341146.2</v>
      </c>
      <c r="BG214">
        <f t="shared" si="58"/>
        <v>1137154</v>
      </c>
      <c r="BH214">
        <f t="shared" si="58"/>
        <v>3411462</v>
      </c>
      <c r="BI214">
        <f t="shared" si="58"/>
        <v>9665809</v>
      </c>
      <c r="BJ214">
        <f t="shared" si="58"/>
        <v>34114620</v>
      </c>
      <c r="BK214">
        <f t="shared" si="58"/>
        <v>113715400</v>
      </c>
      <c r="BL214" s="145">
        <v>209</v>
      </c>
    </row>
    <row r="215" spans="1:64" ht="17.25" thickBot="1" x14ac:dyDescent="0.25">
      <c r="A215" s="131">
        <v>211</v>
      </c>
      <c r="B215" s="132">
        <v>26129422</v>
      </c>
      <c r="D215" s="131">
        <v>211</v>
      </c>
      <c r="E215" s="132">
        <v>11.50981</v>
      </c>
      <c r="AK215">
        <v>209</v>
      </c>
      <c r="AL215" s="24">
        <f t="shared" si="57"/>
        <v>11.41784</v>
      </c>
      <c r="AM215">
        <f t="shared" si="59"/>
        <v>79.924880000000002</v>
      </c>
      <c r="AN215">
        <f t="shared" si="59"/>
        <v>114.1784</v>
      </c>
      <c r="AO215">
        <f t="shared" si="59"/>
        <v>171.26759999999999</v>
      </c>
      <c r="AP215">
        <f t="shared" si="59"/>
        <v>228.35679999999999</v>
      </c>
      <c r="AQ215">
        <f t="shared" si="59"/>
        <v>399.62439999999998</v>
      </c>
      <c r="AR215">
        <f t="shared" si="59"/>
        <v>570.89200000000005</v>
      </c>
      <c r="AS215">
        <f t="shared" si="59"/>
        <v>913.42719999999997</v>
      </c>
      <c r="AT215">
        <f t="shared" si="59"/>
        <v>1370.1407999999999</v>
      </c>
      <c r="AU215">
        <f t="shared" si="59"/>
        <v>1941.0328</v>
      </c>
      <c r="AV215">
        <f t="shared" si="59"/>
        <v>2740.2815999999998</v>
      </c>
      <c r="AW215">
        <f t="shared" si="59"/>
        <v>3767.8872000000001</v>
      </c>
      <c r="AX215">
        <f t="shared" si="59"/>
        <v>5252.2064</v>
      </c>
      <c r="AY215">
        <f t="shared" si="59"/>
        <v>9134.2720000000008</v>
      </c>
      <c r="AZ215">
        <f t="shared" si="59"/>
        <v>17126.759999999998</v>
      </c>
      <c r="BA215">
        <f t="shared" si="59"/>
        <v>28544.6</v>
      </c>
      <c r="BB215">
        <f t="shared" si="59"/>
        <v>45671.360000000001</v>
      </c>
      <c r="BC215">
        <f t="shared" si="58"/>
        <v>114178.4</v>
      </c>
      <c r="BD215">
        <f t="shared" si="58"/>
        <v>171267.6</v>
      </c>
      <c r="BE215">
        <f t="shared" si="58"/>
        <v>274028.15999999997</v>
      </c>
      <c r="BF215">
        <f t="shared" si="58"/>
        <v>342535.2</v>
      </c>
      <c r="BG215">
        <f t="shared" si="58"/>
        <v>1141784</v>
      </c>
      <c r="BH215">
        <f t="shared" si="58"/>
        <v>3425352</v>
      </c>
      <c r="BI215">
        <f t="shared" si="58"/>
        <v>9705164</v>
      </c>
      <c r="BJ215">
        <f t="shared" si="58"/>
        <v>34253520</v>
      </c>
      <c r="BK215">
        <f t="shared" si="58"/>
        <v>114178400</v>
      </c>
      <c r="BL215">
        <v>210</v>
      </c>
    </row>
    <row r="216" spans="1:64" ht="17.25" thickBot="1" x14ac:dyDescent="0.25">
      <c r="A216" s="131">
        <v>212</v>
      </c>
      <c r="B216" s="132">
        <v>26314994</v>
      </c>
      <c r="D216" s="131">
        <v>212</v>
      </c>
      <c r="E216" s="132">
        <v>11.555479999999999</v>
      </c>
      <c r="AK216">
        <v>210</v>
      </c>
      <c r="AL216" s="24">
        <f t="shared" si="57"/>
        <v>11.46393</v>
      </c>
      <c r="AM216">
        <f t="shared" si="59"/>
        <v>80.247509999999991</v>
      </c>
      <c r="AN216">
        <f t="shared" si="59"/>
        <v>114.63929999999999</v>
      </c>
      <c r="AO216">
        <f t="shared" si="59"/>
        <v>171.95894999999999</v>
      </c>
      <c r="AP216">
        <f t="shared" si="59"/>
        <v>229.27859999999998</v>
      </c>
      <c r="AQ216">
        <f t="shared" si="59"/>
        <v>401.23755</v>
      </c>
      <c r="AR216">
        <f t="shared" si="59"/>
        <v>573.19650000000001</v>
      </c>
      <c r="AS216">
        <f t="shared" si="59"/>
        <v>917.11439999999993</v>
      </c>
      <c r="AT216">
        <f t="shared" si="59"/>
        <v>1375.6715999999999</v>
      </c>
      <c r="AU216">
        <f t="shared" si="59"/>
        <v>1948.8680999999999</v>
      </c>
      <c r="AV216">
        <f t="shared" si="59"/>
        <v>2751.3431999999998</v>
      </c>
      <c r="AW216">
        <f t="shared" si="59"/>
        <v>3783.0969</v>
      </c>
      <c r="AX216">
        <f t="shared" si="59"/>
        <v>5273.4078</v>
      </c>
      <c r="AY216">
        <f t="shared" si="59"/>
        <v>9171.1440000000002</v>
      </c>
      <c r="AZ216">
        <f t="shared" si="59"/>
        <v>17195.895</v>
      </c>
      <c r="BA216">
        <f t="shared" si="59"/>
        <v>28659.824999999997</v>
      </c>
      <c r="BB216">
        <f t="shared" si="59"/>
        <v>45855.72</v>
      </c>
      <c r="BC216">
        <f t="shared" si="58"/>
        <v>114639.29999999999</v>
      </c>
      <c r="BD216">
        <f t="shared" si="58"/>
        <v>171958.94999999998</v>
      </c>
      <c r="BE216">
        <f t="shared" si="58"/>
        <v>275134.32</v>
      </c>
      <c r="BF216">
        <f t="shared" si="58"/>
        <v>343917.89999999997</v>
      </c>
      <c r="BG216">
        <f t="shared" si="58"/>
        <v>1146393</v>
      </c>
      <c r="BH216">
        <f t="shared" si="58"/>
        <v>3439179</v>
      </c>
      <c r="BI216">
        <f t="shared" si="58"/>
        <v>9744340.5</v>
      </c>
      <c r="BJ216">
        <f t="shared" si="58"/>
        <v>34391790</v>
      </c>
      <c r="BK216">
        <f t="shared" si="58"/>
        <v>114639300</v>
      </c>
      <c r="BL216" s="145">
        <v>211</v>
      </c>
    </row>
    <row r="217" spans="1:64" ht="17.25" thickBot="1" x14ac:dyDescent="0.25">
      <c r="A217" s="131">
        <v>213</v>
      </c>
      <c r="B217" s="132">
        <v>26501000</v>
      </c>
      <c r="D217" s="131">
        <v>213</v>
      </c>
      <c r="E217" s="132">
        <v>11.60094</v>
      </c>
      <c r="AK217">
        <v>211</v>
      </c>
      <c r="AL217" s="24">
        <f t="shared" si="57"/>
        <v>11.50981</v>
      </c>
      <c r="AM217">
        <f t="shared" si="59"/>
        <v>80.568669999999997</v>
      </c>
      <c r="AN217">
        <f t="shared" si="59"/>
        <v>115.0981</v>
      </c>
      <c r="AO217">
        <f t="shared" si="59"/>
        <v>172.64715000000001</v>
      </c>
      <c r="AP217">
        <f t="shared" si="59"/>
        <v>230.1962</v>
      </c>
      <c r="AQ217">
        <f t="shared" si="59"/>
        <v>402.84334999999999</v>
      </c>
      <c r="AR217">
        <f t="shared" si="59"/>
        <v>575.4905</v>
      </c>
      <c r="AS217">
        <f t="shared" si="59"/>
        <v>920.78480000000002</v>
      </c>
      <c r="AT217">
        <f t="shared" si="59"/>
        <v>1381.1772000000001</v>
      </c>
      <c r="AU217">
        <f t="shared" si="59"/>
        <v>1956.6677</v>
      </c>
      <c r="AV217">
        <f t="shared" si="59"/>
        <v>2762.3544000000002</v>
      </c>
      <c r="AW217">
        <f t="shared" si="59"/>
        <v>3798.2372999999998</v>
      </c>
      <c r="AX217">
        <f t="shared" si="59"/>
        <v>5294.5126</v>
      </c>
      <c r="AY217">
        <f t="shared" si="59"/>
        <v>9207.848</v>
      </c>
      <c r="AZ217">
        <f t="shared" si="59"/>
        <v>17264.715</v>
      </c>
      <c r="BA217">
        <f t="shared" si="59"/>
        <v>28774.525000000001</v>
      </c>
      <c r="BB217">
        <f t="shared" si="59"/>
        <v>46039.24</v>
      </c>
      <c r="BC217">
        <f t="shared" si="58"/>
        <v>115098.1</v>
      </c>
      <c r="BD217">
        <f t="shared" si="58"/>
        <v>172647.15</v>
      </c>
      <c r="BE217">
        <f t="shared" si="58"/>
        <v>276235.44</v>
      </c>
      <c r="BF217">
        <f t="shared" si="58"/>
        <v>345294.3</v>
      </c>
      <c r="BG217">
        <f t="shared" si="58"/>
        <v>1150981</v>
      </c>
      <c r="BH217">
        <f t="shared" si="58"/>
        <v>3452943</v>
      </c>
      <c r="BI217">
        <f t="shared" si="58"/>
        <v>9783338.5</v>
      </c>
      <c r="BJ217">
        <f t="shared" si="58"/>
        <v>34529430</v>
      </c>
      <c r="BK217">
        <f t="shared" si="58"/>
        <v>115098100</v>
      </c>
      <c r="BL217">
        <v>212</v>
      </c>
    </row>
    <row r="218" spans="1:64" ht="17.25" thickBot="1" x14ac:dyDescent="0.25">
      <c r="A218" s="131">
        <v>214</v>
      </c>
      <c r="B218" s="132">
        <v>26687444</v>
      </c>
      <c r="D218" s="131">
        <v>214</v>
      </c>
      <c r="E218" s="132">
        <v>11.646190000000001</v>
      </c>
      <c r="AK218">
        <v>212</v>
      </c>
      <c r="AL218" s="24">
        <f t="shared" si="57"/>
        <v>11.555479999999999</v>
      </c>
      <c r="AM218">
        <f t="shared" si="59"/>
        <v>80.888359999999992</v>
      </c>
      <c r="AN218">
        <f t="shared" si="59"/>
        <v>115.5548</v>
      </c>
      <c r="AO218">
        <f t="shared" si="59"/>
        <v>173.3322</v>
      </c>
      <c r="AP218">
        <f t="shared" si="59"/>
        <v>231.1096</v>
      </c>
      <c r="AQ218">
        <f t="shared" si="59"/>
        <v>404.4418</v>
      </c>
      <c r="AR218">
        <f t="shared" si="59"/>
        <v>577.774</v>
      </c>
      <c r="AS218">
        <f t="shared" si="59"/>
        <v>924.4384</v>
      </c>
      <c r="AT218">
        <f t="shared" si="59"/>
        <v>1386.6576</v>
      </c>
      <c r="AU218">
        <f t="shared" si="59"/>
        <v>1964.4315999999999</v>
      </c>
      <c r="AV218">
        <f t="shared" si="59"/>
        <v>2773.3152</v>
      </c>
      <c r="AW218">
        <f t="shared" si="59"/>
        <v>3813.3083999999999</v>
      </c>
      <c r="AX218">
        <f t="shared" si="59"/>
        <v>5315.5207999999993</v>
      </c>
      <c r="AY218">
        <f t="shared" si="59"/>
        <v>9244.384</v>
      </c>
      <c r="AZ218">
        <f t="shared" si="59"/>
        <v>17333.219999999998</v>
      </c>
      <c r="BA218">
        <f t="shared" si="59"/>
        <v>28888.699999999997</v>
      </c>
      <c r="BB218">
        <f t="shared" si="59"/>
        <v>46221.919999999998</v>
      </c>
      <c r="BC218">
        <f t="shared" si="58"/>
        <v>115554.79999999999</v>
      </c>
      <c r="BD218">
        <f t="shared" si="58"/>
        <v>173332.19999999998</v>
      </c>
      <c r="BE218">
        <f t="shared" si="58"/>
        <v>277331.51999999996</v>
      </c>
      <c r="BF218">
        <f t="shared" si="58"/>
        <v>346664.39999999997</v>
      </c>
      <c r="BG218">
        <f t="shared" si="58"/>
        <v>1155548</v>
      </c>
      <c r="BH218">
        <f t="shared" si="58"/>
        <v>3466644</v>
      </c>
      <c r="BI218">
        <f t="shared" si="58"/>
        <v>9822158</v>
      </c>
      <c r="BJ218">
        <f t="shared" si="58"/>
        <v>34666440</v>
      </c>
      <c r="BK218">
        <f t="shared" si="58"/>
        <v>115554800</v>
      </c>
      <c r="BL218" s="145">
        <v>213</v>
      </c>
    </row>
    <row r="219" spans="1:64" ht="17.25" thickBot="1" x14ac:dyDescent="0.25">
      <c r="A219" s="131">
        <v>215</v>
      </c>
      <c r="B219" s="132">
        <v>26874322</v>
      </c>
      <c r="D219" s="131">
        <v>215</v>
      </c>
      <c r="E219" s="132">
        <v>11.691240000000001</v>
      </c>
      <c r="AK219">
        <v>213</v>
      </c>
      <c r="AL219" s="24">
        <f t="shared" si="57"/>
        <v>11.60094</v>
      </c>
      <c r="AM219">
        <f t="shared" si="59"/>
        <v>81.206580000000002</v>
      </c>
      <c r="AN219">
        <f t="shared" si="59"/>
        <v>116.0094</v>
      </c>
      <c r="AO219">
        <f t="shared" si="59"/>
        <v>174.01409999999998</v>
      </c>
      <c r="AP219">
        <f t="shared" si="59"/>
        <v>232.0188</v>
      </c>
      <c r="AQ219">
        <f t="shared" si="59"/>
        <v>406.03289999999998</v>
      </c>
      <c r="AR219">
        <f t="shared" si="59"/>
        <v>580.04700000000003</v>
      </c>
      <c r="AS219">
        <f t="shared" si="59"/>
        <v>928.0752</v>
      </c>
      <c r="AT219">
        <f t="shared" si="59"/>
        <v>1392.1127999999999</v>
      </c>
      <c r="AU219">
        <f t="shared" si="59"/>
        <v>1972.1597999999999</v>
      </c>
      <c r="AV219">
        <f t="shared" si="59"/>
        <v>2784.2255999999998</v>
      </c>
      <c r="AW219">
        <f t="shared" si="59"/>
        <v>3828.3101999999999</v>
      </c>
      <c r="AX219">
        <f t="shared" si="59"/>
        <v>5336.4323999999997</v>
      </c>
      <c r="AY219">
        <f t="shared" si="59"/>
        <v>9280.7520000000004</v>
      </c>
      <c r="AZ219">
        <f t="shared" si="59"/>
        <v>17401.41</v>
      </c>
      <c r="BA219">
        <f t="shared" si="59"/>
        <v>29002.35</v>
      </c>
      <c r="BB219">
        <f t="shared" si="59"/>
        <v>46403.759999999995</v>
      </c>
      <c r="BC219">
        <f t="shared" si="58"/>
        <v>116009.4</v>
      </c>
      <c r="BD219">
        <f t="shared" si="58"/>
        <v>174014.1</v>
      </c>
      <c r="BE219">
        <f t="shared" si="58"/>
        <v>278422.56</v>
      </c>
      <c r="BF219">
        <f t="shared" si="58"/>
        <v>348028.2</v>
      </c>
      <c r="BG219">
        <f t="shared" si="58"/>
        <v>1160094</v>
      </c>
      <c r="BH219">
        <f t="shared" si="58"/>
        <v>3480282</v>
      </c>
      <c r="BI219">
        <f t="shared" si="58"/>
        <v>9860799</v>
      </c>
      <c r="BJ219">
        <f t="shared" si="58"/>
        <v>34802820</v>
      </c>
      <c r="BK219">
        <f t="shared" si="58"/>
        <v>116009400</v>
      </c>
      <c r="BL219">
        <v>214</v>
      </c>
    </row>
    <row r="220" spans="1:64" ht="17.25" thickBot="1" x14ac:dyDescent="0.25">
      <c r="A220" s="131">
        <v>216</v>
      </c>
      <c r="B220" s="132">
        <v>27061633</v>
      </c>
      <c r="D220" s="131">
        <v>216</v>
      </c>
      <c r="E220" s="132">
        <v>11.736090000000001</v>
      </c>
      <c r="AK220">
        <v>214</v>
      </c>
      <c r="AL220" s="24">
        <f t="shared" si="57"/>
        <v>11.646190000000001</v>
      </c>
      <c r="AM220">
        <f t="shared" si="59"/>
        <v>81.523330000000001</v>
      </c>
      <c r="AN220">
        <f t="shared" si="59"/>
        <v>116.46190000000001</v>
      </c>
      <c r="AO220">
        <f t="shared" si="59"/>
        <v>174.69285000000002</v>
      </c>
      <c r="AP220">
        <f t="shared" si="59"/>
        <v>232.92380000000003</v>
      </c>
      <c r="AQ220">
        <f t="shared" si="59"/>
        <v>407.61665000000005</v>
      </c>
      <c r="AR220">
        <f t="shared" si="59"/>
        <v>582.30950000000007</v>
      </c>
      <c r="AS220">
        <f t="shared" si="59"/>
        <v>931.69520000000011</v>
      </c>
      <c r="AT220">
        <f t="shared" si="59"/>
        <v>1397.5428000000002</v>
      </c>
      <c r="AU220">
        <f t="shared" si="59"/>
        <v>1979.8523</v>
      </c>
      <c r="AV220">
        <f t="shared" si="59"/>
        <v>2795.0856000000003</v>
      </c>
      <c r="AW220">
        <f t="shared" si="59"/>
        <v>3843.2427000000002</v>
      </c>
      <c r="AX220">
        <f t="shared" si="59"/>
        <v>5357.2474000000002</v>
      </c>
      <c r="AY220">
        <f t="shared" si="59"/>
        <v>9316.9520000000011</v>
      </c>
      <c r="AZ220">
        <f t="shared" si="59"/>
        <v>17469.285</v>
      </c>
      <c r="BA220">
        <f t="shared" si="59"/>
        <v>29115.475000000002</v>
      </c>
      <c r="BB220">
        <f t="shared" si="59"/>
        <v>46584.76</v>
      </c>
      <c r="BC220">
        <f t="shared" si="58"/>
        <v>116461.90000000001</v>
      </c>
      <c r="BD220">
        <f t="shared" si="58"/>
        <v>174692.85</v>
      </c>
      <c r="BE220">
        <f t="shared" si="58"/>
        <v>279508.56</v>
      </c>
      <c r="BF220">
        <f t="shared" si="58"/>
        <v>349385.7</v>
      </c>
      <c r="BG220">
        <f t="shared" si="58"/>
        <v>1164619</v>
      </c>
      <c r="BH220">
        <f t="shared" si="58"/>
        <v>3493857</v>
      </c>
      <c r="BI220">
        <f t="shared" si="58"/>
        <v>9899261.5</v>
      </c>
      <c r="BJ220">
        <f t="shared" si="58"/>
        <v>34938570</v>
      </c>
      <c r="BK220">
        <f t="shared" si="58"/>
        <v>116461900</v>
      </c>
      <c r="BL220" s="145">
        <v>215</v>
      </c>
    </row>
    <row r="221" spans="1:64" ht="17.25" thickBot="1" x14ac:dyDescent="0.25">
      <c r="A221" s="131">
        <v>217</v>
      </c>
      <c r="B221" s="132">
        <v>27249377</v>
      </c>
      <c r="D221" s="131">
        <v>217</v>
      </c>
      <c r="E221" s="132">
        <v>11.78074</v>
      </c>
      <c r="AK221">
        <v>215</v>
      </c>
      <c r="AL221" s="24">
        <f t="shared" si="57"/>
        <v>11.691240000000001</v>
      </c>
      <c r="AM221">
        <f t="shared" si="59"/>
        <v>81.838680000000011</v>
      </c>
      <c r="AN221">
        <f t="shared" si="59"/>
        <v>116.91240000000001</v>
      </c>
      <c r="AO221">
        <f t="shared" si="59"/>
        <v>175.36860000000001</v>
      </c>
      <c r="AP221">
        <f t="shared" si="59"/>
        <v>233.82480000000001</v>
      </c>
      <c r="AQ221">
        <f t="shared" si="59"/>
        <v>409.1934</v>
      </c>
      <c r="AR221">
        <f t="shared" si="59"/>
        <v>584.56200000000001</v>
      </c>
      <c r="AS221">
        <f t="shared" si="59"/>
        <v>935.29920000000004</v>
      </c>
      <c r="AT221">
        <f t="shared" si="59"/>
        <v>1402.9488000000001</v>
      </c>
      <c r="AU221">
        <f t="shared" si="59"/>
        <v>1987.5108</v>
      </c>
      <c r="AV221">
        <f t="shared" si="59"/>
        <v>2805.8976000000002</v>
      </c>
      <c r="AW221">
        <f t="shared" si="59"/>
        <v>3858.1092000000003</v>
      </c>
      <c r="AX221">
        <f t="shared" si="59"/>
        <v>5377.9704000000002</v>
      </c>
      <c r="AY221">
        <f t="shared" si="59"/>
        <v>9352.9920000000002</v>
      </c>
      <c r="AZ221">
        <f t="shared" si="59"/>
        <v>17536.86</v>
      </c>
      <c r="BA221">
        <f t="shared" si="59"/>
        <v>29228.100000000002</v>
      </c>
      <c r="BB221">
        <f t="shared" si="59"/>
        <v>46764.959999999999</v>
      </c>
      <c r="BC221">
        <f t="shared" si="58"/>
        <v>116912.40000000001</v>
      </c>
      <c r="BD221">
        <f t="shared" si="58"/>
        <v>175368.6</v>
      </c>
      <c r="BE221">
        <f t="shared" si="58"/>
        <v>280589.76</v>
      </c>
      <c r="BF221">
        <f t="shared" si="58"/>
        <v>350737.2</v>
      </c>
      <c r="BG221">
        <f t="shared" si="58"/>
        <v>1169124</v>
      </c>
      <c r="BH221">
        <f t="shared" si="58"/>
        <v>3507372</v>
      </c>
      <c r="BI221">
        <f t="shared" si="58"/>
        <v>9937554</v>
      </c>
      <c r="BJ221">
        <f t="shared" si="58"/>
        <v>35073720</v>
      </c>
      <c r="BK221">
        <f t="shared" si="58"/>
        <v>116912400</v>
      </c>
      <c r="BL221" s="145">
        <v>216</v>
      </c>
    </row>
    <row r="222" spans="1:64" ht="17.25" thickBot="1" x14ac:dyDescent="0.25">
      <c r="A222" s="131">
        <v>218</v>
      </c>
      <c r="B222" s="132">
        <v>27437555</v>
      </c>
      <c r="D222" s="131">
        <v>218</v>
      </c>
      <c r="E222" s="132">
        <v>11.825189999999999</v>
      </c>
      <c r="AK222">
        <v>216</v>
      </c>
      <c r="AL222" s="24">
        <f t="shared" si="57"/>
        <v>11.736090000000001</v>
      </c>
      <c r="AM222">
        <f t="shared" si="59"/>
        <v>82.152630000000002</v>
      </c>
      <c r="AN222">
        <f t="shared" si="59"/>
        <v>117.36090000000002</v>
      </c>
      <c r="AO222">
        <f t="shared" si="59"/>
        <v>176.04135000000002</v>
      </c>
      <c r="AP222">
        <f t="shared" si="59"/>
        <v>234.72180000000003</v>
      </c>
      <c r="AQ222">
        <f t="shared" si="59"/>
        <v>410.76315000000005</v>
      </c>
      <c r="AR222">
        <f t="shared" si="59"/>
        <v>586.80450000000008</v>
      </c>
      <c r="AS222">
        <f t="shared" si="59"/>
        <v>938.88720000000012</v>
      </c>
      <c r="AT222">
        <f t="shared" si="59"/>
        <v>1408.3308000000002</v>
      </c>
      <c r="AU222">
        <f t="shared" si="59"/>
        <v>1995.1353000000001</v>
      </c>
      <c r="AV222">
        <f t="shared" si="59"/>
        <v>2816.6616000000004</v>
      </c>
      <c r="AW222">
        <f t="shared" si="59"/>
        <v>3872.9097000000002</v>
      </c>
      <c r="AX222">
        <f t="shared" si="59"/>
        <v>5398.6014000000005</v>
      </c>
      <c r="AY222">
        <f t="shared" si="59"/>
        <v>9388.8720000000012</v>
      </c>
      <c r="AZ222">
        <f t="shared" si="59"/>
        <v>17604.135000000002</v>
      </c>
      <c r="BA222">
        <f t="shared" si="59"/>
        <v>29340.225000000002</v>
      </c>
      <c r="BB222">
        <f t="shared" si="59"/>
        <v>46944.36</v>
      </c>
      <c r="BC222">
        <f t="shared" si="58"/>
        <v>117360.90000000001</v>
      </c>
      <c r="BD222">
        <f t="shared" si="58"/>
        <v>176041.35</v>
      </c>
      <c r="BE222">
        <f t="shared" si="58"/>
        <v>281666.16000000003</v>
      </c>
      <c r="BF222">
        <f t="shared" si="58"/>
        <v>352082.7</v>
      </c>
      <c r="BG222">
        <f t="shared" si="58"/>
        <v>1173609</v>
      </c>
      <c r="BH222">
        <f t="shared" si="58"/>
        <v>3520827.0000000005</v>
      </c>
      <c r="BI222">
        <f t="shared" si="58"/>
        <v>9975676.5</v>
      </c>
      <c r="BJ222">
        <f t="shared" si="58"/>
        <v>35208270</v>
      </c>
      <c r="BK222">
        <f t="shared" si="58"/>
        <v>117360900.00000001</v>
      </c>
      <c r="BL222">
        <v>217</v>
      </c>
    </row>
    <row r="223" spans="1:64" ht="17.25" thickBot="1" x14ac:dyDescent="0.25">
      <c r="A223" s="131">
        <v>219</v>
      </c>
      <c r="B223" s="132">
        <v>27626161</v>
      </c>
      <c r="D223" s="131">
        <v>219</v>
      </c>
      <c r="E223" s="132">
        <v>11.869440000000001</v>
      </c>
      <c r="AK223">
        <v>217</v>
      </c>
      <c r="AL223" s="24">
        <f t="shared" si="57"/>
        <v>11.78074</v>
      </c>
      <c r="AM223">
        <f t="shared" si="59"/>
        <v>82.465180000000004</v>
      </c>
      <c r="AN223">
        <f t="shared" si="59"/>
        <v>117.8074</v>
      </c>
      <c r="AO223">
        <f t="shared" si="59"/>
        <v>176.71109999999999</v>
      </c>
      <c r="AP223">
        <f t="shared" si="59"/>
        <v>235.6148</v>
      </c>
      <c r="AQ223">
        <f t="shared" si="59"/>
        <v>412.32589999999999</v>
      </c>
      <c r="AR223">
        <f t="shared" si="59"/>
        <v>589.03700000000003</v>
      </c>
      <c r="AS223">
        <f t="shared" si="59"/>
        <v>942.45920000000001</v>
      </c>
      <c r="AT223">
        <f t="shared" si="59"/>
        <v>1413.6887999999999</v>
      </c>
      <c r="AU223">
        <f t="shared" si="59"/>
        <v>2002.7257999999999</v>
      </c>
      <c r="AV223">
        <f t="shared" si="59"/>
        <v>2827.3775999999998</v>
      </c>
      <c r="AW223">
        <f t="shared" si="59"/>
        <v>3887.6441999999997</v>
      </c>
      <c r="AX223">
        <f t="shared" si="59"/>
        <v>5419.1404000000002</v>
      </c>
      <c r="AY223">
        <f t="shared" si="59"/>
        <v>9424.5920000000006</v>
      </c>
      <c r="AZ223">
        <f t="shared" si="59"/>
        <v>17671.11</v>
      </c>
      <c r="BA223">
        <f t="shared" si="59"/>
        <v>29451.85</v>
      </c>
      <c r="BB223">
        <f t="shared" si="59"/>
        <v>47122.96</v>
      </c>
      <c r="BC223">
        <f t="shared" si="58"/>
        <v>117807.4</v>
      </c>
      <c r="BD223">
        <f t="shared" si="58"/>
        <v>176711.1</v>
      </c>
      <c r="BE223">
        <f t="shared" si="58"/>
        <v>282737.76</v>
      </c>
      <c r="BF223">
        <f t="shared" si="58"/>
        <v>353422.2</v>
      </c>
      <c r="BG223">
        <f t="shared" si="58"/>
        <v>1178074</v>
      </c>
      <c r="BH223">
        <f t="shared" si="58"/>
        <v>3534222</v>
      </c>
      <c r="BI223">
        <f t="shared" si="58"/>
        <v>10013629</v>
      </c>
      <c r="BJ223">
        <f t="shared" si="58"/>
        <v>35342220</v>
      </c>
      <c r="BK223">
        <f t="shared" si="58"/>
        <v>117807400</v>
      </c>
      <c r="BL223" s="145">
        <v>218</v>
      </c>
    </row>
    <row r="224" spans="1:64" ht="17.25" thickBot="1" x14ac:dyDescent="0.25">
      <c r="A224" s="131">
        <v>220</v>
      </c>
      <c r="B224" s="132">
        <v>27815200</v>
      </c>
      <c r="D224" s="131">
        <v>220</v>
      </c>
      <c r="E224" s="132">
        <v>11.913500000000001</v>
      </c>
      <c r="AK224">
        <v>218</v>
      </c>
      <c r="AL224" s="24">
        <f t="shared" si="57"/>
        <v>11.825189999999999</v>
      </c>
      <c r="AM224">
        <f t="shared" si="59"/>
        <v>82.776330000000002</v>
      </c>
      <c r="AN224">
        <f t="shared" si="59"/>
        <v>118.25189999999999</v>
      </c>
      <c r="AO224">
        <f t="shared" si="59"/>
        <v>177.37785</v>
      </c>
      <c r="AP224">
        <f t="shared" si="59"/>
        <v>236.50379999999998</v>
      </c>
      <c r="AQ224">
        <f t="shared" si="59"/>
        <v>413.88164999999998</v>
      </c>
      <c r="AR224">
        <f t="shared" si="59"/>
        <v>591.2595</v>
      </c>
      <c r="AS224">
        <f t="shared" si="59"/>
        <v>946.01519999999994</v>
      </c>
      <c r="AT224">
        <f t="shared" si="59"/>
        <v>1419.0228</v>
      </c>
      <c r="AU224">
        <f t="shared" si="59"/>
        <v>2010.2822999999999</v>
      </c>
      <c r="AV224">
        <f t="shared" si="59"/>
        <v>2838.0455999999999</v>
      </c>
      <c r="AW224">
        <f t="shared" si="59"/>
        <v>3902.3126999999999</v>
      </c>
      <c r="AX224">
        <f t="shared" si="59"/>
        <v>5439.5873999999994</v>
      </c>
      <c r="AY224">
        <f t="shared" si="59"/>
        <v>9460.152</v>
      </c>
      <c r="AZ224">
        <f t="shared" si="59"/>
        <v>17737.785</v>
      </c>
      <c r="BA224">
        <f t="shared" si="59"/>
        <v>29562.974999999999</v>
      </c>
      <c r="BB224">
        <f t="shared" ref="AM224:BB240" si="60">BB$5*VLOOKUP($AK224,$D$2:$E$1404,2,FALSE)</f>
        <v>47300.759999999995</v>
      </c>
      <c r="BC224">
        <f t="shared" si="58"/>
        <v>118251.9</v>
      </c>
      <c r="BD224">
        <f t="shared" si="58"/>
        <v>177377.84999999998</v>
      </c>
      <c r="BE224">
        <f t="shared" si="58"/>
        <v>283804.56</v>
      </c>
      <c r="BF224">
        <f t="shared" si="58"/>
        <v>354755.69999999995</v>
      </c>
      <c r="BG224">
        <f t="shared" si="58"/>
        <v>1182519</v>
      </c>
      <c r="BH224">
        <f t="shared" si="58"/>
        <v>3547556.9999999995</v>
      </c>
      <c r="BI224">
        <f t="shared" si="58"/>
        <v>10051411.5</v>
      </c>
      <c r="BJ224">
        <f t="shared" si="58"/>
        <v>35475570</v>
      </c>
      <c r="BK224">
        <f t="shared" si="58"/>
        <v>118251899.99999999</v>
      </c>
      <c r="BL224">
        <v>219</v>
      </c>
    </row>
    <row r="225" spans="1:64" ht="17.25" thickBot="1" x14ac:dyDescent="0.25">
      <c r="A225" s="131">
        <v>221</v>
      </c>
      <c r="B225" s="132">
        <v>28004666</v>
      </c>
      <c r="D225" s="131">
        <v>221</v>
      </c>
      <c r="E225" s="132">
        <v>11.95736</v>
      </c>
      <c r="AK225">
        <v>219</v>
      </c>
      <c r="AL225" s="24">
        <f t="shared" si="57"/>
        <v>11.869440000000001</v>
      </c>
      <c r="AM225">
        <f t="shared" si="60"/>
        <v>83.08608000000001</v>
      </c>
      <c r="AN225">
        <f t="shared" si="60"/>
        <v>118.6944</v>
      </c>
      <c r="AO225">
        <f t="shared" si="60"/>
        <v>178.04160000000002</v>
      </c>
      <c r="AP225">
        <f t="shared" si="60"/>
        <v>237.3888</v>
      </c>
      <c r="AQ225">
        <f t="shared" si="60"/>
        <v>415.43040000000002</v>
      </c>
      <c r="AR225">
        <f t="shared" si="60"/>
        <v>593.47200000000009</v>
      </c>
      <c r="AS225">
        <f t="shared" si="60"/>
        <v>949.55520000000001</v>
      </c>
      <c r="AT225">
        <f t="shared" si="60"/>
        <v>1424.3328000000001</v>
      </c>
      <c r="AU225">
        <f t="shared" si="60"/>
        <v>2017.8048000000001</v>
      </c>
      <c r="AV225">
        <f t="shared" si="60"/>
        <v>2848.6656000000003</v>
      </c>
      <c r="AW225">
        <f t="shared" si="60"/>
        <v>3916.9152000000004</v>
      </c>
      <c r="AX225">
        <f t="shared" si="60"/>
        <v>5459.9424000000008</v>
      </c>
      <c r="AY225">
        <f t="shared" si="60"/>
        <v>9495.5520000000015</v>
      </c>
      <c r="AZ225">
        <f t="shared" si="60"/>
        <v>17804.16</v>
      </c>
      <c r="BA225">
        <f t="shared" si="60"/>
        <v>29673.600000000002</v>
      </c>
      <c r="BB225">
        <f t="shared" si="60"/>
        <v>47477.760000000002</v>
      </c>
      <c r="BC225">
        <f t="shared" si="58"/>
        <v>118694.40000000001</v>
      </c>
      <c r="BD225">
        <f t="shared" si="58"/>
        <v>178041.60000000001</v>
      </c>
      <c r="BE225">
        <f t="shared" si="58"/>
        <v>284866.56</v>
      </c>
      <c r="BF225">
        <f t="shared" si="58"/>
        <v>356083.20000000001</v>
      </c>
      <c r="BG225">
        <f t="shared" si="58"/>
        <v>1186944</v>
      </c>
      <c r="BH225">
        <f t="shared" si="58"/>
        <v>3560832.0000000005</v>
      </c>
      <c r="BI225">
        <f t="shared" si="58"/>
        <v>10089024</v>
      </c>
      <c r="BJ225">
        <f t="shared" si="58"/>
        <v>35608320</v>
      </c>
      <c r="BK225">
        <f t="shared" si="58"/>
        <v>118694400.00000001</v>
      </c>
      <c r="BL225" s="145">
        <v>220</v>
      </c>
    </row>
    <row r="226" spans="1:64" ht="17.25" thickBot="1" x14ac:dyDescent="0.25">
      <c r="A226" s="131">
        <v>222</v>
      </c>
      <c r="B226" s="132">
        <v>28194561</v>
      </c>
      <c r="D226" s="131">
        <v>222</v>
      </c>
      <c r="E226" s="132">
        <v>12.00103</v>
      </c>
      <c r="AK226">
        <v>220</v>
      </c>
      <c r="AL226" s="24">
        <f t="shared" si="57"/>
        <v>11.913500000000001</v>
      </c>
      <c r="AM226">
        <f t="shared" si="60"/>
        <v>83.394500000000008</v>
      </c>
      <c r="AN226">
        <f t="shared" si="60"/>
        <v>119.13500000000001</v>
      </c>
      <c r="AO226">
        <f t="shared" si="60"/>
        <v>178.70250000000001</v>
      </c>
      <c r="AP226">
        <f t="shared" si="60"/>
        <v>238.27</v>
      </c>
      <c r="AQ226">
        <f t="shared" si="60"/>
        <v>416.97250000000003</v>
      </c>
      <c r="AR226">
        <f t="shared" si="60"/>
        <v>595.67500000000007</v>
      </c>
      <c r="AS226">
        <f t="shared" si="60"/>
        <v>953.08</v>
      </c>
      <c r="AT226">
        <f t="shared" si="60"/>
        <v>1429.6200000000001</v>
      </c>
      <c r="AU226">
        <f t="shared" si="60"/>
        <v>2025.2950000000001</v>
      </c>
      <c r="AV226">
        <f t="shared" si="60"/>
        <v>2859.2400000000002</v>
      </c>
      <c r="AW226">
        <f t="shared" si="60"/>
        <v>3931.4550000000004</v>
      </c>
      <c r="AX226">
        <f t="shared" si="60"/>
        <v>5480.21</v>
      </c>
      <c r="AY226">
        <f t="shared" si="60"/>
        <v>9530.8000000000011</v>
      </c>
      <c r="AZ226">
        <f t="shared" si="60"/>
        <v>17870.25</v>
      </c>
      <c r="BA226">
        <f t="shared" si="60"/>
        <v>29783.750000000004</v>
      </c>
      <c r="BB226">
        <f t="shared" si="60"/>
        <v>47654</v>
      </c>
      <c r="BC226">
        <f t="shared" si="58"/>
        <v>119135.00000000001</v>
      </c>
      <c r="BD226">
        <f t="shared" si="58"/>
        <v>178702.5</v>
      </c>
      <c r="BE226">
        <f t="shared" si="58"/>
        <v>285924</v>
      </c>
      <c r="BF226">
        <f t="shared" si="58"/>
        <v>357405</v>
      </c>
      <c r="BG226">
        <f t="shared" si="58"/>
        <v>1191350</v>
      </c>
      <c r="BH226">
        <f t="shared" si="58"/>
        <v>3574050.0000000005</v>
      </c>
      <c r="BI226">
        <f t="shared" si="58"/>
        <v>10126475</v>
      </c>
      <c r="BJ226">
        <f t="shared" si="58"/>
        <v>35740500</v>
      </c>
      <c r="BK226">
        <f t="shared" si="58"/>
        <v>119135000.00000001</v>
      </c>
      <c r="BL226">
        <v>221</v>
      </c>
    </row>
    <row r="227" spans="1:64" ht="17.25" thickBot="1" x14ac:dyDescent="0.25">
      <c r="A227" s="131">
        <v>223</v>
      </c>
      <c r="B227" s="132">
        <v>28384883</v>
      </c>
      <c r="D227" s="131">
        <v>223</v>
      </c>
      <c r="E227" s="132">
        <v>12.044510000000001</v>
      </c>
      <c r="AK227">
        <v>221</v>
      </c>
      <c r="AL227" s="24">
        <f t="shared" si="57"/>
        <v>11.95736</v>
      </c>
      <c r="AM227">
        <f t="shared" si="60"/>
        <v>83.701520000000002</v>
      </c>
      <c r="AN227">
        <f t="shared" si="60"/>
        <v>119.5736</v>
      </c>
      <c r="AO227">
        <f t="shared" si="60"/>
        <v>179.3604</v>
      </c>
      <c r="AP227">
        <f t="shared" si="60"/>
        <v>239.1472</v>
      </c>
      <c r="AQ227">
        <f t="shared" si="60"/>
        <v>418.50759999999997</v>
      </c>
      <c r="AR227">
        <f t="shared" si="60"/>
        <v>597.86799999999994</v>
      </c>
      <c r="AS227">
        <f t="shared" si="60"/>
        <v>956.58879999999999</v>
      </c>
      <c r="AT227">
        <f t="shared" si="60"/>
        <v>1434.8832</v>
      </c>
      <c r="AU227">
        <f t="shared" si="60"/>
        <v>2032.7511999999999</v>
      </c>
      <c r="AV227">
        <f t="shared" si="60"/>
        <v>2869.7664</v>
      </c>
      <c r="AW227">
        <f t="shared" si="60"/>
        <v>3945.9287999999997</v>
      </c>
      <c r="AX227">
        <f t="shared" si="60"/>
        <v>5500.3855999999996</v>
      </c>
      <c r="AY227">
        <f t="shared" si="60"/>
        <v>9565.887999999999</v>
      </c>
      <c r="AZ227">
        <f t="shared" si="60"/>
        <v>17936.04</v>
      </c>
      <c r="BA227">
        <f t="shared" si="60"/>
        <v>29893.399999999998</v>
      </c>
      <c r="BB227">
        <f t="shared" si="60"/>
        <v>47829.439999999995</v>
      </c>
      <c r="BC227">
        <f t="shared" si="58"/>
        <v>119573.59999999999</v>
      </c>
      <c r="BD227">
        <f t="shared" si="58"/>
        <v>179360.4</v>
      </c>
      <c r="BE227">
        <f t="shared" si="58"/>
        <v>286976.64000000001</v>
      </c>
      <c r="BF227">
        <f t="shared" si="58"/>
        <v>358720.8</v>
      </c>
      <c r="BG227">
        <f t="shared" si="58"/>
        <v>1195736</v>
      </c>
      <c r="BH227">
        <f t="shared" si="58"/>
        <v>3587208</v>
      </c>
      <c r="BI227">
        <f t="shared" si="58"/>
        <v>10163756</v>
      </c>
      <c r="BJ227">
        <f t="shared" si="58"/>
        <v>35872080</v>
      </c>
      <c r="BK227">
        <f t="shared" si="58"/>
        <v>119573600</v>
      </c>
      <c r="BL227" s="145">
        <v>222</v>
      </c>
    </row>
    <row r="228" spans="1:64" ht="17.25" thickBot="1" x14ac:dyDescent="0.25">
      <c r="A228" s="131">
        <v>224</v>
      </c>
      <c r="B228" s="132">
        <v>28575633</v>
      </c>
      <c r="D228" s="131">
        <v>224</v>
      </c>
      <c r="E228" s="132">
        <v>12.087809999999999</v>
      </c>
      <c r="AK228">
        <v>222</v>
      </c>
      <c r="AL228" s="24">
        <f t="shared" si="57"/>
        <v>12.00103</v>
      </c>
      <c r="AM228">
        <f t="shared" si="60"/>
        <v>84.007210000000001</v>
      </c>
      <c r="AN228">
        <f t="shared" si="60"/>
        <v>120.0103</v>
      </c>
      <c r="AO228">
        <f t="shared" si="60"/>
        <v>180.01544999999999</v>
      </c>
      <c r="AP228">
        <f t="shared" si="60"/>
        <v>240.0206</v>
      </c>
      <c r="AQ228">
        <f t="shared" si="60"/>
        <v>420.03604999999999</v>
      </c>
      <c r="AR228">
        <f t="shared" si="60"/>
        <v>600.05150000000003</v>
      </c>
      <c r="AS228">
        <f t="shared" si="60"/>
        <v>960.08240000000001</v>
      </c>
      <c r="AT228">
        <f t="shared" si="60"/>
        <v>1440.1235999999999</v>
      </c>
      <c r="AU228">
        <f t="shared" si="60"/>
        <v>2040.1750999999999</v>
      </c>
      <c r="AV228">
        <f t="shared" si="60"/>
        <v>2880.2471999999998</v>
      </c>
      <c r="AW228">
        <f t="shared" si="60"/>
        <v>3960.3398999999999</v>
      </c>
      <c r="AX228">
        <f t="shared" si="60"/>
        <v>5520.4737999999998</v>
      </c>
      <c r="AY228">
        <f t="shared" si="60"/>
        <v>9600.8240000000005</v>
      </c>
      <c r="AZ228">
        <f t="shared" si="60"/>
        <v>18001.545000000002</v>
      </c>
      <c r="BA228">
        <f t="shared" si="60"/>
        <v>30002.575000000001</v>
      </c>
      <c r="BB228">
        <f t="shared" si="60"/>
        <v>48004.12</v>
      </c>
      <c r="BC228">
        <f t="shared" si="58"/>
        <v>120010.3</v>
      </c>
      <c r="BD228">
        <f t="shared" si="58"/>
        <v>180015.45</v>
      </c>
      <c r="BE228">
        <f t="shared" si="58"/>
        <v>288024.72000000003</v>
      </c>
      <c r="BF228">
        <f t="shared" si="58"/>
        <v>360030.9</v>
      </c>
      <c r="BG228">
        <f t="shared" si="58"/>
        <v>1200103</v>
      </c>
      <c r="BH228">
        <f t="shared" si="58"/>
        <v>3600309</v>
      </c>
      <c r="BI228">
        <f t="shared" si="58"/>
        <v>10200875.5</v>
      </c>
      <c r="BJ228">
        <f t="shared" si="58"/>
        <v>36003090</v>
      </c>
      <c r="BK228">
        <f t="shared" si="58"/>
        <v>120010300</v>
      </c>
      <c r="BL228">
        <v>223</v>
      </c>
    </row>
    <row r="229" spans="1:64" ht="17.25" thickBot="1" x14ac:dyDescent="0.25">
      <c r="A229" s="131">
        <v>225</v>
      </c>
      <c r="B229" s="132">
        <v>28766805</v>
      </c>
      <c r="D229" s="131">
        <v>225</v>
      </c>
      <c r="E229" s="132">
        <v>12.13092</v>
      </c>
      <c r="AK229">
        <v>223</v>
      </c>
      <c r="AL229" s="24">
        <f t="shared" si="57"/>
        <v>12.044510000000001</v>
      </c>
      <c r="AM229">
        <f t="shared" si="60"/>
        <v>84.311570000000003</v>
      </c>
      <c r="AN229">
        <f t="shared" si="60"/>
        <v>120.44510000000001</v>
      </c>
      <c r="AO229">
        <f t="shared" si="60"/>
        <v>180.66765000000001</v>
      </c>
      <c r="AP229">
        <f t="shared" si="60"/>
        <v>240.89020000000002</v>
      </c>
      <c r="AQ229">
        <f t="shared" si="60"/>
        <v>421.55785000000003</v>
      </c>
      <c r="AR229">
        <f t="shared" si="60"/>
        <v>602.22550000000001</v>
      </c>
      <c r="AS229">
        <f t="shared" si="60"/>
        <v>963.56080000000009</v>
      </c>
      <c r="AT229">
        <f t="shared" si="60"/>
        <v>1445.3412000000001</v>
      </c>
      <c r="AU229">
        <f t="shared" si="60"/>
        <v>2047.5667000000001</v>
      </c>
      <c r="AV229">
        <f t="shared" si="60"/>
        <v>2890.6824000000001</v>
      </c>
      <c r="AW229">
        <f t="shared" si="60"/>
        <v>3974.6883000000003</v>
      </c>
      <c r="AX229">
        <f t="shared" si="60"/>
        <v>5540.4746000000005</v>
      </c>
      <c r="AY229">
        <f t="shared" si="60"/>
        <v>9635.6080000000002</v>
      </c>
      <c r="AZ229">
        <f t="shared" si="60"/>
        <v>18066.764999999999</v>
      </c>
      <c r="BA229">
        <f t="shared" si="60"/>
        <v>30111.275000000001</v>
      </c>
      <c r="BB229">
        <f t="shared" si="60"/>
        <v>48178.04</v>
      </c>
      <c r="BC229">
        <f t="shared" si="58"/>
        <v>120445.1</v>
      </c>
      <c r="BD229">
        <f t="shared" si="58"/>
        <v>180667.65000000002</v>
      </c>
      <c r="BE229">
        <f t="shared" si="58"/>
        <v>289068.24</v>
      </c>
      <c r="BF229">
        <f t="shared" si="58"/>
        <v>361335.30000000005</v>
      </c>
      <c r="BG229">
        <f t="shared" si="58"/>
        <v>1204451</v>
      </c>
      <c r="BH229">
        <f t="shared" si="58"/>
        <v>3613353</v>
      </c>
      <c r="BI229">
        <f t="shared" si="58"/>
        <v>10237833.5</v>
      </c>
      <c r="BJ229">
        <f t="shared" si="58"/>
        <v>36133530</v>
      </c>
      <c r="BK229">
        <f t="shared" si="58"/>
        <v>120445100</v>
      </c>
      <c r="BL229" s="145">
        <v>224</v>
      </c>
    </row>
    <row r="230" spans="1:64" ht="17.25" thickBot="1" x14ac:dyDescent="0.25">
      <c r="A230" s="131">
        <v>226</v>
      </c>
      <c r="B230" s="132">
        <v>28958405</v>
      </c>
      <c r="D230" s="131">
        <v>226</v>
      </c>
      <c r="E230" s="132">
        <v>12.17384</v>
      </c>
      <c r="AK230">
        <v>224</v>
      </c>
      <c r="AL230" s="24">
        <f t="shared" si="57"/>
        <v>12.087809999999999</v>
      </c>
      <c r="AM230">
        <f t="shared" si="60"/>
        <v>84.61466999999999</v>
      </c>
      <c r="AN230">
        <f t="shared" si="60"/>
        <v>120.87809999999999</v>
      </c>
      <c r="AO230">
        <f t="shared" si="60"/>
        <v>181.31715</v>
      </c>
      <c r="AP230">
        <f t="shared" si="60"/>
        <v>241.75619999999998</v>
      </c>
      <c r="AQ230">
        <f t="shared" si="60"/>
        <v>423.07334999999995</v>
      </c>
      <c r="AR230">
        <f t="shared" si="60"/>
        <v>604.39049999999997</v>
      </c>
      <c r="AS230">
        <f t="shared" si="60"/>
        <v>967.02479999999991</v>
      </c>
      <c r="AT230">
        <f t="shared" si="60"/>
        <v>1450.5372</v>
      </c>
      <c r="AU230">
        <f t="shared" si="60"/>
        <v>2054.9276999999997</v>
      </c>
      <c r="AV230">
        <f t="shared" si="60"/>
        <v>2901.0744</v>
      </c>
      <c r="AW230">
        <f t="shared" si="60"/>
        <v>3988.9772999999996</v>
      </c>
      <c r="AX230">
        <f t="shared" si="60"/>
        <v>5560.3925999999992</v>
      </c>
      <c r="AY230">
        <f t="shared" si="60"/>
        <v>9670.2479999999996</v>
      </c>
      <c r="AZ230">
        <f t="shared" si="60"/>
        <v>18131.715</v>
      </c>
      <c r="BA230">
        <f t="shared" si="60"/>
        <v>30219.524999999998</v>
      </c>
      <c r="BB230">
        <f t="shared" si="60"/>
        <v>48351.24</v>
      </c>
      <c r="BC230">
        <f t="shared" si="58"/>
        <v>120878.09999999999</v>
      </c>
      <c r="BD230">
        <f t="shared" si="58"/>
        <v>181317.15</v>
      </c>
      <c r="BE230">
        <f t="shared" si="58"/>
        <v>290107.44</v>
      </c>
      <c r="BF230">
        <f t="shared" si="58"/>
        <v>362634.3</v>
      </c>
      <c r="BG230">
        <f t="shared" si="58"/>
        <v>1208781</v>
      </c>
      <c r="BH230">
        <f t="shared" si="58"/>
        <v>3626343</v>
      </c>
      <c r="BI230">
        <f t="shared" si="58"/>
        <v>10274638.5</v>
      </c>
      <c r="BJ230">
        <f t="shared" si="58"/>
        <v>36263430</v>
      </c>
      <c r="BK230">
        <f t="shared" si="58"/>
        <v>120878100</v>
      </c>
      <c r="BL230">
        <v>225</v>
      </c>
    </row>
    <row r="231" spans="1:64" ht="17.25" thickBot="1" x14ac:dyDescent="0.25">
      <c r="A231" s="131">
        <v>227</v>
      </c>
      <c r="B231" s="132">
        <v>29150427</v>
      </c>
      <c r="D231" s="131">
        <v>227</v>
      </c>
      <c r="E231" s="132">
        <v>12.21658</v>
      </c>
      <c r="AK231">
        <v>225</v>
      </c>
      <c r="AL231" s="24">
        <f t="shared" si="57"/>
        <v>12.13092</v>
      </c>
      <c r="AM231">
        <f t="shared" si="60"/>
        <v>84.916439999999994</v>
      </c>
      <c r="AN231">
        <f t="shared" si="60"/>
        <v>121.3092</v>
      </c>
      <c r="AO231">
        <f t="shared" si="60"/>
        <v>181.96379999999999</v>
      </c>
      <c r="AP231">
        <f t="shared" si="60"/>
        <v>242.61840000000001</v>
      </c>
      <c r="AQ231">
        <f t="shared" si="60"/>
        <v>424.5822</v>
      </c>
      <c r="AR231">
        <f t="shared" si="60"/>
        <v>606.54599999999994</v>
      </c>
      <c r="AS231">
        <f t="shared" si="60"/>
        <v>970.47360000000003</v>
      </c>
      <c r="AT231">
        <f t="shared" si="60"/>
        <v>1455.7103999999999</v>
      </c>
      <c r="AU231">
        <f t="shared" si="60"/>
        <v>2062.2563999999998</v>
      </c>
      <c r="AV231">
        <f t="shared" si="60"/>
        <v>2911.4207999999999</v>
      </c>
      <c r="AW231">
        <f t="shared" si="60"/>
        <v>4003.2035999999998</v>
      </c>
      <c r="AX231">
        <f t="shared" si="60"/>
        <v>5580.2231999999995</v>
      </c>
      <c r="AY231">
        <f t="shared" si="60"/>
        <v>9704.735999999999</v>
      </c>
      <c r="AZ231">
        <f t="shared" si="60"/>
        <v>18196.38</v>
      </c>
      <c r="BA231">
        <f t="shared" si="60"/>
        <v>30327.3</v>
      </c>
      <c r="BB231">
        <f t="shared" si="60"/>
        <v>48523.68</v>
      </c>
      <c r="BC231">
        <f t="shared" si="58"/>
        <v>121309.2</v>
      </c>
      <c r="BD231">
        <f t="shared" si="58"/>
        <v>181963.8</v>
      </c>
      <c r="BE231">
        <f t="shared" si="58"/>
        <v>291142.08</v>
      </c>
      <c r="BF231">
        <f t="shared" si="58"/>
        <v>363927.6</v>
      </c>
      <c r="BG231">
        <f t="shared" si="58"/>
        <v>1213092</v>
      </c>
      <c r="BH231">
        <f t="shared" si="58"/>
        <v>3639276</v>
      </c>
      <c r="BI231">
        <f t="shared" si="58"/>
        <v>10311282</v>
      </c>
      <c r="BJ231">
        <f t="shared" si="58"/>
        <v>36392760</v>
      </c>
      <c r="BK231">
        <f t="shared" si="58"/>
        <v>121309200</v>
      </c>
      <c r="BL231" s="145">
        <v>226</v>
      </c>
    </row>
    <row r="232" spans="1:64" ht="17.25" thickBot="1" x14ac:dyDescent="0.25">
      <c r="A232" s="131">
        <v>228</v>
      </c>
      <c r="B232" s="132">
        <v>29342872</v>
      </c>
      <c r="D232" s="131">
        <v>228</v>
      </c>
      <c r="E232" s="132">
        <v>12.25914</v>
      </c>
      <c r="AK232">
        <v>226</v>
      </c>
      <c r="AL232" s="24">
        <f t="shared" si="57"/>
        <v>12.17384</v>
      </c>
      <c r="AM232">
        <f t="shared" si="60"/>
        <v>85.216880000000003</v>
      </c>
      <c r="AN232">
        <f t="shared" si="60"/>
        <v>121.7384</v>
      </c>
      <c r="AO232">
        <f t="shared" si="60"/>
        <v>182.60759999999999</v>
      </c>
      <c r="AP232">
        <f t="shared" si="60"/>
        <v>243.4768</v>
      </c>
      <c r="AQ232">
        <f t="shared" si="60"/>
        <v>426.08440000000002</v>
      </c>
      <c r="AR232">
        <f t="shared" si="60"/>
        <v>608.69200000000001</v>
      </c>
      <c r="AS232">
        <f t="shared" si="60"/>
        <v>973.90719999999999</v>
      </c>
      <c r="AT232">
        <f t="shared" si="60"/>
        <v>1460.8607999999999</v>
      </c>
      <c r="AU232">
        <f t="shared" si="60"/>
        <v>2069.5527999999999</v>
      </c>
      <c r="AV232">
        <f t="shared" si="60"/>
        <v>2921.7215999999999</v>
      </c>
      <c r="AW232">
        <f t="shared" si="60"/>
        <v>4017.3672000000001</v>
      </c>
      <c r="AX232">
        <f t="shared" si="60"/>
        <v>5599.9664000000002</v>
      </c>
      <c r="AY232">
        <f t="shared" si="60"/>
        <v>9739.0720000000001</v>
      </c>
      <c r="AZ232">
        <f t="shared" si="60"/>
        <v>18260.760000000002</v>
      </c>
      <c r="BA232">
        <f t="shared" si="60"/>
        <v>30434.600000000002</v>
      </c>
      <c r="BB232">
        <f t="shared" si="60"/>
        <v>48695.360000000001</v>
      </c>
      <c r="BC232">
        <f t="shared" si="58"/>
        <v>121738.40000000001</v>
      </c>
      <c r="BD232">
        <f t="shared" si="58"/>
        <v>182607.6</v>
      </c>
      <c r="BE232">
        <f t="shared" si="58"/>
        <v>292172.16000000003</v>
      </c>
      <c r="BF232">
        <f t="shared" si="58"/>
        <v>365215.2</v>
      </c>
      <c r="BG232">
        <f t="shared" si="58"/>
        <v>1217384</v>
      </c>
      <c r="BH232">
        <f t="shared" si="58"/>
        <v>3652152</v>
      </c>
      <c r="BI232">
        <f t="shared" si="58"/>
        <v>10347764</v>
      </c>
      <c r="BJ232">
        <f t="shared" si="58"/>
        <v>36521520</v>
      </c>
      <c r="BK232">
        <f t="shared" si="58"/>
        <v>121738400</v>
      </c>
      <c r="BL232">
        <v>227</v>
      </c>
    </row>
    <row r="233" spans="1:64" ht="17.25" thickBot="1" x14ac:dyDescent="0.25">
      <c r="A233" s="131">
        <v>229</v>
      </c>
      <c r="B233" s="132">
        <v>29535738</v>
      </c>
      <c r="D233" s="131">
        <v>229</v>
      </c>
      <c r="E233" s="132">
        <v>12.30152</v>
      </c>
      <c r="AK233">
        <v>227</v>
      </c>
      <c r="AL233" s="24">
        <f t="shared" si="57"/>
        <v>12.21658</v>
      </c>
      <c r="AM233">
        <f t="shared" si="60"/>
        <v>85.51606000000001</v>
      </c>
      <c r="AN233">
        <f t="shared" si="60"/>
        <v>122.1658</v>
      </c>
      <c r="AO233">
        <f t="shared" si="60"/>
        <v>183.24870000000001</v>
      </c>
      <c r="AP233">
        <f t="shared" si="60"/>
        <v>244.33160000000001</v>
      </c>
      <c r="AQ233">
        <f t="shared" si="60"/>
        <v>427.58030000000002</v>
      </c>
      <c r="AR233">
        <f t="shared" si="60"/>
        <v>610.82900000000006</v>
      </c>
      <c r="AS233">
        <f t="shared" si="60"/>
        <v>977.32640000000004</v>
      </c>
      <c r="AT233">
        <f t="shared" si="60"/>
        <v>1465.9896000000001</v>
      </c>
      <c r="AU233">
        <f t="shared" si="60"/>
        <v>2076.8186000000001</v>
      </c>
      <c r="AV233">
        <f t="shared" si="60"/>
        <v>2931.9792000000002</v>
      </c>
      <c r="AW233">
        <f t="shared" si="60"/>
        <v>4031.4714000000004</v>
      </c>
      <c r="AX233">
        <f t="shared" si="60"/>
        <v>5619.6268</v>
      </c>
      <c r="AY233">
        <f t="shared" si="60"/>
        <v>9773.264000000001</v>
      </c>
      <c r="AZ233">
        <f t="shared" si="60"/>
        <v>18324.87</v>
      </c>
      <c r="BA233">
        <f t="shared" si="60"/>
        <v>30541.45</v>
      </c>
      <c r="BB233">
        <f t="shared" si="60"/>
        <v>48866.32</v>
      </c>
      <c r="BC233">
        <f t="shared" si="58"/>
        <v>122165.8</v>
      </c>
      <c r="BD233">
        <f t="shared" si="58"/>
        <v>183248.7</v>
      </c>
      <c r="BE233">
        <f t="shared" si="58"/>
        <v>293197.92</v>
      </c>
      <c r="BF233">
        <f t="shared" si="58"/>
        <v>366497.4</v>
      </c>
      <c r="BG233">
        <f t="shared" si="58"/>
        <v>1221658</v>
      </c>
      <c r="BH233">
        <f t="shared" si="58"/>
        <v>3664974</v>
      </c>
      <c r="BI233">
        <f t="shared" si="58"/>
        <v>10384093</v>
      </c>
      <c r="BJ233">
        <f t="shared" si="58"/>
        <v>36649740</v>
      </c>
      <c r="BK233">
        <f t="shared" si="58"/>
        <v>122165800</v>
      </c>
      <c r="BL233" s="145">
        <v>228</v>
      </c>
    </row>
    <row r="234" spans="1:64" ht="17.25" thickBot="1" x14ac:dyDescent="0.25">
      <c r="A234" s="131">
        <v>230</v>
      </c>
      <c r="B234" s="132">
        <v>29729027</v>
      </c>
      <c r="D234" s="131">
        <v>230</v>
      </c>
      <c r="E234" s="132">
        <v>12.343719999999999</v>
      </c>
      <c r="AK234">
        <v>228</v>
      </c>
      <c r="AL234" s="24">
        <f t="shared" si="57"/>
        <v>12.25914</v>
      </c>
      <c r="AM234">
        <f t="shared" si="60"/>
        <v>85.813980000000001</v>
      </c>
      <c r="AN234">
        <f t="shared" si="60"/>
        <v>122.59140000000001</v>
      </c>
      <c r="AO234">
        <f t="shared" si="60"/>
        <v>183.8871</v>
      </c>
      <c r="AP234">
        <f t="shared" si="60"/>
        <v>245.18280000000001</v>
      </c>
      <c r="AQ234">
        <f t="shared" si="60"/>
        <v>429.06990000000002</v>
      </c>
      <c r="AR234">
        <f t="shared" si="60"/>
        <v>612.95699999999999</v>
      </c>
      <c r="AS234">
        <f t="shared" si="60"/>
        <v>980.73120000000006</v>
      </c>
      <c r="AT234">
        <f t="shared" si="60"/>
        <v>1471.0968</v>
      </c>
      <c r="AU234">
        <f t="shared" si="60"/>
        <v>2084.0538000000001</v>
      </c>
      <c r="AV234">
        <f t="shared" si="60"/>
        <v>2942.1936000000001</v>
      </c>
      <c r="AW234">
        <f t="shared" si="60"/>
        <v>4045.5162</v>
      </c>
      <c r="AX234">
        <f t="shared" si="60"/>
        <v>5639.2044000000005</v>
      </c>
      <c r="AY234">
        <f t="shared" si="60"/>
        <v>9807.3119999999999</v>
      </c>
      <c r="AZ234">
        <f t="shared" si="60"/>
        <v>18388.71</v>
      </c>
      <c r="BA234">
        <f t="shared" si="60"/>
        <v>30647.850000000002</v>
      </c>
      <c r="BB234">
        <f t="shared" si="60"/>
        <v>49036.560000000005</v>
      </c>
      <c r="BC234">
        <f t="shared" si="58"/>
        <v>122591.40000000001</v>
      </c>
      <c r="BD234">
        <f t="shared" si="58"/>
        <v>183887.1</v>
      </c>
      <c r="BE234">
        <f t="shared" si="58"/>
        <v>294219.36</v>
      </c>
      <c r="BF234">
        <f t="shared" si="58"/>
        <v>367774.2</v>
      </c>
      <c r="BG234">
        <f t="shared" si="58"/>
        <v>1225914</v>
      </c>
      <c r="BH234">
        <f t="shared" si="58"/>
        <v>3677742</v>
      </c>
      <c r="BI234">
        <f t="shared" si="58"/>
        <v>10420269</v>
      </c>
      <c r="BJ234">
        <f t="shared" si="58"/>
        <v>36777420</v>
      </c>
      <c r="BK234">
        <f t="shared" si="58"/>
        <v>122591400</v>
      </c>
      <c r="BL234">
        <v>229</v>
      </c>
    </row>
    <row r="235" spans="1:64" ht="17.25" thickBot="1" x14ac:dyDescent="0.25">
      <c r="A235" s="131">
        <v>231</v>
      </c>
      <c r="B235" s="132">
        <v>29922733</v>
      </c>
      <c r="D235" s="131">
        <v>231</v>
      </c>
      <c r="E235" s="132">
        <v>12.38574</v>
      </c>
      <c r="AK235">
        <v>229</v>
      </c>
      <c r="AL235" s="24">
        <f t="shared" si="57"/>
        <v>12.30152</v>
      </c>
      <c r="AM235">
        <f t="shared" si="60"/>
        <v>86.110640000000004</v>
      </c>
      <c r="AN235">
        <f t="shared" si="60"/>
        <v>123.01519999999999</v>
      </c>
      <c r="AO235">
        <f t="shared" si="60"/>
        <v>184.52279999999999</v>
      </c>
      <c r="AP235">
        <f t="shared" si="60"/>
        <v>246.03039999999999</v>
      </c>
      <c r="AQ235">
        <f t="shared" si="60"/>
        <v>430.5532</v>
      </c>
      <c r="AR235">
        <f t="shared" si="60"/>
        <v>615.07600000000002</v>
      </c>
      <c r="AS235">
        <f t="shared" si="60"/>
        <v>984.12159999999994</v>
      </c>
      <c r="AT235">
        <f t="shared" si="60"/>
        <v>1476.1823999999999</v>
      </c>
      <c r="AU235">
        <f t="shared" si="60"/>
        <v>2091.2584000000002</v>
      </c>
      <c r="AV235">
        <f t="shared" si="60"/>
        <v>2952.3647999999998</v>
      </c>
      <c r="AW235">
        <f t="shared" si="60"/>
        <v>4059.5016000000001</v>
      </c>
      <c r="AX235">
        <f t="shared" si="60"/>
        <v>5658.6992</v>
      </c>
      <c r="AY235">
        <f t="shared" si="60"/>
        <v>9841.2160000000003</v>
      </c>
      <c r="AZ235">
        <f t="shared" si="60"/>
        <v>18452.28</v>
      </c>
      <c r="BA235">
        <f t="shared" si="60"/>
        <v>30753.8</v>
      </c>
      <c r="BB235">
        <f t="shared" si="60"/>
        <v>49206.080000000002</v>
      </c>
      <c r="BC235">
        <f t="shared" si="58"/>
        <v>123015.2</v>
      </c>
      <c r="BD235">
        <f t="shared" si="58"/>
        <v>184522.8</v>
      </c>
      <c r="BE235">
        <f t="shared" si="58"/>
        <v>295236.47999999998</v>
      </c>
      <c r="BF235">
        <f t="shared" si="58"/>
        <v>369045.6</v>
      </c>
      <c r="BG235">
        <f t="shared" si="58"/>
        <v>1230152</v>
      </c>
      <c r="BH235">
        <f t="shared" si="58"/>
        <v>3690456</v>
      </c>
      <c r="BI235">
        <f t="shared" si="58"/>
        <v>10456292</v>
      </c>
      <c r="BJ235">
        <f t="shared" si="58"/>
        <v>36904560</v>
      </c>
      <c r="BK235">
        <f t="shared" si="58"/>
        <v>123015200</v>
      </c>
      <c r="BL235" s="145">
        <v>230</v>
      </c>
    </row>
    <row r="236" spans="1:64" ht="17.25" thickBot="1" x14ac:dyDescent="0.25">
      <c r="A236" s="131">
        <v>232</v>
      </c>
      <c r="B236" s="132">
        <v>30116861</v>
      </c>
      <c r="D236" s="131">
        <v>232</v>
      </c>
      <c r="E236" s="132">
        <v>12.42759</v>
      </c>
      <c r="AK236">
        <v>230</v>
      </c>
      <c r="AL236" s="24">
        <f t="shared" si="57"/>
        <v>12.343719999999999</v>
      </c>
      <c r="AM236">
        <f t="shared" si="60"/>
        <v>86.40603999999999</v>
      </c>
      <c r="AN236">
        <f t="shared" si="60"/>
        <v>123.43719999999999</v>
      </c>
      <c r="AO236">
        <f t="shared" si="60"/>
        <v>185.1558</v>
      </c>
      <c r="AP236">
        <f t="shared" si="60"/>
        <v>246.87439999999998</v>
      </c>
      <c r="AQ236">
        <f t="shared" si="60"/>
        <v>432.03019999999998</v>
      </c>
      <c r="AR236">
        <f t="shared" si="60"/>
        <v>617.18599999999992</v>
      </c>
      <c r="AS236">
        <f t="shared" si="60"/>
        <v>987.49759999999992</v>
      </c>
      <c r="AT236">
        <f t="shared" si="60"/>
        <v>1481.2464</v>
      </c>
      <c r="AU236">
        <f t="shared" si="60"/>
        <v>2098.4323999999997</v>
      </c>
      <c r="AV236">
        <f t="shared" si="60"/>
        <v>2962.4928</v>
      </c>
      <c r="AW236">
        <f t="shared" si="60"/>
        <v>4073.4276</v>
      </c>
      <c r="AX236">
        <f t="shared" si="60"/>
        <v>5678.1111999999994</v>
      </c>
      <c r="AY236">
        <f t="shared" si="60"/>
        <v>9874.9759999999987</v>
      </c>
      <c r="AZ236">
        <f t="shared" si="60"/>
        <v>18515.579999999998</v>
      </c>
      <c r="BA236">
        <f t="shared" si="60"/>
        <v>30859.3</v>
      </c>
      <c r="BB236">
        <f t="shared" si="60"/>
        <v>49374.879999999997</v>
      </c>
      <c r="BC236">
        <f t="shared" si="58"/>
        <v>123437.2</v>
      </c>
      <c r="BD236">
        <f t="shared" si="58"/>
        <v>185155.8</v>
      </c>
      <c r="BE236">
        <f t="shared" ref="BC236:BK264" si="61">BE$5*VLOOKUP($AK236,$D$2:$E$1404,2,FALSE)</f>
        <v>296249.27999999997</v>
      </c>
      <c r="BF236">
        <f t="shared" si="61"/>
        <v>370311.6</v>
      </c>
      <c r="BG236">
        <f t="shared" si="61"/>
        <v>1234372</v>
      </c>
      <c r="BH236">
        <f t="shared" si="61"/>
        <v>3703116</v>
      </c>
      <c r="BI236">
        <f t="shared" si="61"/>
        <v>10492162</v>
      </c>
      <c r="BJ236">
        <f t="shared" si="61"/>
        <v>37031160</v>
      </c>
      <c r="BK236">
        <f t="shared" si="61"/>
        <v>123437200</v>
      </c>
      <c r="BL236">
        <v>231</v>
      </c>
    </row>
    <row r="237" spans="1:64" ht="17.25" thickBot="1" x14ac:dyDescent="0.25">
      <c r="A237" s="131">
        <v>233</v>
      </c>
      <c r="B237" s="132">
        <v>30311405</v>
      </c>
      <c r="D237" s="131">
        <v>233</v>
      </c>
      <c r="E237" s="132">
        <v>12.46926</v>
      </c>
      <c r="AK237">
        <v>231</v>
      </c>
      <c r="AL237" s="24">
        <f t="shared" si="57"/>
        <v>12.38574</v>
      </c>
      <c r="AM237">
        <f t="shared" si="60"/>
        <v>86.700180000000003</v>
      </c>
      <c r="AN237">
        <f t="shared" si="60"/>
        <v>123.8574</v>
      </c>
      <c r="AO237">
        <f t="shared" si="60"/>
        <v>185.7861</v>
      </c>
      <c r="AP237">
        <f t="shared" si="60"/>
        <v>247.7148</v>
      </c>
      <c r="AQ237">
        <f t="shared" si="60"/>
        <v>433.5009</v>
      </c>
      <c r="AR237">
        <f t="shared" si="60"/>
        <v>619.28700000000003</v>
      </c>
      <c r="AS237">
        <f t="shared" si="60"/>
        <v>990.85919999999999</v>
      </c>
      <c r="AT237">
        <f t="shared" si="60"/>
        <v>1486.2888</v>
      </c>
      <c r="AU237">
        <f t="shared" si="60"/>
        <v>2105.5758000000001</v>
      </c>
      <c r="AV237">
        <f t="shared" si="60"/>
        <v>2972.5776000000001</v>
      </c>
      <c r="AW237">
        <f t="shared" si="60"/>
        <v>4087.2942000000003</v>
      </c>
      <c r="AX237">
        <f t="shared" si="60"/>
        <v>5697.4404000000004</v>
      </c>
      <c r="AY237">
        <f t="shared" si="60"/>
        <v>9908.5920000000006</v>
      </c>
      <c r="AZ237">
        <f t="shared" si="60"/>
        <v>18578.61</v>
      </c>
      <c r="BA237">
        <f t="shared" si="60"/>
        <v>30964.350000000002</v>
      </c>
      <c r="BB237">
        <f t="shared" si="60"/>
        <v>49542.96</v>
      </c>
      <c r="BC237">
        <f t="shared" si="61"/>
        <v>123857.40000000001</v>
      </c>
      <c r="BD237">
        <f t="shared" si="61"/>
        <v>185786.1</v>
      </c>
      <c r="BE237">
        <f t="shared" si="61"/>
        <v>297257.76</v>
      </c>
      <c r="BF237">
        <f t="shared" si="61"/>
        <v>371572.2</v>
      </c>
      <c r="BG237">
        <f t="shared" si="61"/>
        <v>1238574</v>
      </c>
      <c r="BH237">
        <f t="shared" si="61"/>
        <v>3715722</v>
      </c>
      <c r="BI237">
        <f t="shared" si="61"/>
        <v>10527879</v>
      </c>
      <c r="BJ237">
        <f t="shared" si="61"/>
        <v>37157220</v>
      </c>
      <c r="BK237">
        <f t="shared" si="61"/>
        <v>123857400</v>
      </c>
      <c r="BL237" s="145">
        <v>232</v>
      </c>
    </row>
    <row r="238" spans="1:64" ht="17.25" thickBot="1" x14ac:dyDescent="0.25">
      <c r="A238" s="131">
        <v>234</v>
      </c>
      <c r="B238" s="132">
        <v>30506366</v>
      </c>
      <c r="D238" s="131">
        <v>234</v>
      </c>
      <c r="E238" s="132">
        <v>12.510759999999999</v>
      </c>
      <c r="AK238">
        <v>232</v>
      </c>
      <c r="AL238" s="24">
        <f t="shared" si="57"/>
        <v>12.42759</v>
      </c>
      <c r="AM238">
        <f t="shared" si="60"/>
        <v>86.993130000000008</v>
      </c>
      <c r="AN238">
        <f t="shared" si="60"/>
        <v>124.27590000000001</v>
      </c>
      <c r="AO238">
        <f t="shared" si="60"/>
        <v>186.41385</v>
      </c>
      <c r="AP238">
        <f t="shared" si="60"/>
        <v>248.55180000000001</v>
      </c>
      <c r="AQ238">
        <f t="shared" si="60"/>
        <v>434.96565000000004</v>
      </c>
      <c r="AR238">
        <f t="shared" si="60"/>
        <v>621.37950000000001</v>
      </c>
      <c r="AS238">
        <f t="shared" si="60"/>
        <v>994.20720000000006</v>
      </c>
      <c r="AT238">
        <f t="shared" si="60"/>
        <v>1491.3108</v>
      </c>
      <c r="AU238">
        <f t="shared" si="60"/>
        <v>2112.6903000000002</v>
      </c>
      <c r="AV238">
        <f t="shared" si="60"/>
        <v>2982.6215999999999</v>
      </c>
      <c r="AW238">
        <f t="shared" si="60"/>
        <v>4101.1046999999999</v>
      </c>
      <c r="AX238">
        <f t="shared" si="60"/>
        <v>5716.6914000000006</v>
      </c>
      <c r="AY238">
        <f t="shared" si="60"/>
        <v>9942.0720000000001</v>
      </c>
      <c r="AZ238">
        <f t="shared" si="60"/>
        <v>18641.385000000002</v>
      </c>
      <c r="BA238">
        <f t="shared" si="60"/>
        <v>31068.975000000002</v>
      </c>
      <c r="BB238">
        <f t="shared" si="60"/>
        <v>49710.36</v>
      </c>
      <c r="BC238">
        <f t="shared" si="61"/>
        <v>124275.90000000001</v>
      </c>
      <c r="BD238">
        <f t="shared" si="61"/>
        <v>186413.85</v>
      </c>
      <c r="BE238">
        <f t="shared" si="61"/>
        <v>298262.16000000003</v>
      </c>
      <c r="BF238">
        <f t="shared" si="61"/>
        <v>372827.7</v>
      </c>
      <c r="BG238">
        <f t="shared" si="61"/>
        <v>1242759</v>
      </c>
      <c r="BH238">
        <f t="shared" si="61"/>
        <v>3728277</v>
      </c>
      <c r="BI238">
        <f t="shared" si="61"/>
        <v>10563451.5</v>
      </c>
      <c r="BJ238">
        <f t="shared" si="61"/>
        <v>37282770</v>
      </c>
      <c r="BK238">
        <f t="shared" si="61"/>
        <v>124275900</v>
      </c>
      <c r="BL238">
        <v>233</v>
      </c>
    </row>
    <row r="239" spans="1:64" ht="17.25" thickBot="1" x14ac:dyDescent="0.25">
      <c r="A239" s="131">
        <v>235</v>
      </c>
      <c r="B239" s="132">
        <v>30701744</v>
      </c>
      <c r="D239" s="131">
        <v>235</v>
      </c>
      <c r="E239" s="132">
        <v>12.55209</v>
      </c>
      <c r="AK239">
        <v>233</v>
      </c>
      <c r="AL239" s="24">
        <f t="shared" si="57"/>
        <v>12.46926</v>
      </c>
      <c r="AM239">
        <f t="shared" si="60"/>
        <v>87.284819999999996</v>
      </c>
      <c r="AN239">
        <f t="shared" si="60"/>
        <v>124.6926</v>
      </c>
      <c r="AO239">
        <f t="shared" si="60"/>
        <v>187.03890000000001</v>
      </c>
      <c r="AP239">
        <f t="shared" si="60"/>
        <v>249.3852</v>
      </c>
      <c r="AQ239">
        <f t="shared" si="60"/>
        <v>436.42410000000001</v>
      </c>
      <c r="AR239">
        <f t="shared" si="60"/>
        <v>623.46299999999997</v>
      </c>
      <c r="AS239">
        <f t="shared" si="60"/>
        <v>997.54079999999999</v>
      </c>
      <c r="AT239">
        <f t="shared" si="60"/>
        <v>1496.3112000000001</v>
      </c>
      <c r="AU239">
        <f t="shared" si="60"/>
        <v>2119.7741999999998</v>
      </c>
      <c r="AV239">
        <f t="shared" si="60"/>
        <v>2992.6224000000002</v>
      </c>
      <c r="AW239">
        <f t="shared" si="60"/>
        <v>4114.8558000000003</v>
      </c>
      <c r="AX239">
        <f t="shared" si="60"/>
        <v>5735.8595999999998</v>
      </c>
      <c r="AY239">
        <f t="shared" si="60"/>
        <v>9975.4079999999994</v>
      </c>
      <c r="AZ239">
        <f t="shared" si="60"/>
        <v>18703.89</v>
      </c>
      <c r="BA239">
        <f t="shared" si="60"/>
        <v>31173.15</v>
      </c>
      <c r="BB239">
        <f t="shared" si="60"/>
        <v>49877.04</v>
      </c>
      <c r="BC239">
        <f t="shared" si="61"/>
        <v>124692.6</v>
      </c>
      <c r="BD239">
        <f t="shared" si="61"/>
        <v>187038.9</v>
      </c>
      <c r="BE239">
        <f t="shared" si="61"/>
        <v>299262.24</v>
      </c>
      <c r="BF239">
        <f t="shared" si="61"/>
        <v>374077.8</v>
      </c>
      <c r="BG239">
        <f t="shared" si="61"/>
        <v>1246926</v>
      </c>
      <c r="BH239">
        <f t="shared" si="61"/>
        <v>3740778</v>
      </c>
      <c r="BI239">
        <f t="shared" si="61"/>
        <v>10598871</v>
      </c>
      <c r="BJ239">
        <f t="shared" si="61"/>
        <v>37407780</v>
      </c>
      <c r="BK239">
        <f t="shared" si="61"/>
        <v>124692600</v>
      </c>
      <c r="BL239" s="145">
        <v>234</v>
      </c>
    </row>
    <row r="240" spans="1:64" ht="17.25" thickBot="1" x14ac:dyDescent="0.25">
      <c r="A240" s="131">
        <v>236</v>
      </c>
      <c r="B240" s="132">
        <v>30897538</v>
      </c>
      <c r="D240" s="131">
        <v>236</v>
      </c>
      <c r="E240" s="132">
        <v>12.593249999999999</v>
      </c>
      <c r="AK240">
        <v>234</v>
      </c>
      <c r="AL240" s="24">
        <f t="shared" si="57"/>
        <v>12.510759999999999</v>
      </c>
      <c r="AM240">
        <f t="shared" si="60"/>
        <v>87.575319999999991</v>
      </c>
      <c r="AN240">
        <f t="shared" si="60"/>
        <v>125.10759999999999</v>
      </c>
      <c r="AO240">
        <f t="shared" si="60"/>
        <v>187.66139999999999</v>
      </c>
      <c r="AP240">
        <f t="shared" si="60"/>
        <v>250.21519999999998</v>
      </c>
      <c r="AQ240">
        <f t="shared" si="60"/>
        <v>437.8766</v>
      </c>
      <c r="AR240">
        <f t="shared" si="60"/>
        <v>625.53800000000001</v>
      </c>
      <c r="AS240">
        <f t="shared" si="60"/>
        <v>1000.8607999999999</v>
      </c>
      <c r="AT240">
        <f t="shared" si="60"/>
        <v>1501.2911999999999</v>
      </c>
      <c r="AU240">
        <f t="shared" si="60"/>
        <v>2126.8292000000001</v>
      </c>
      <c r="AV240">
        <f t="shared" si="60"/>
        <v>3002.5823999999998</v>
      </c>
      <c r="AW240">
        <f t="shared" si="60"/>
        <v>4128.5508</v>
      </c>
      <c r="AX240">
        <f t="shared" si="60"/>
        <v>5754.9495999999999</v>
      </c>
      <c r="AY240">
        <f t="shared" si="60"/>
        <v>10008.608</v>
      </c>
      <c r="AZ240">
        <f t="shared" si="60"/>
        <v>18766.14</v>
      </c>
      <c r="BA240">
        <f t="shared" ref="AM240:BB256" si="62">BA$5*VLOOKUP($AK240,$D$2:$E$1404,2,FALSE)</f>
        <v>31276.899999999998</v>
      </c>
      <c r="BB240">
        <f t="shared" si="62"/>
        <v>50043.040000000001</v>
      </c>
      <c r="BC240">
        <f t="shared" si="61"/>
        <v>125107.59999999999</v>
      </c>
      <c r="BD240">
        <f t="shared" si="61"/>
        <v>187661.4</v>
      </c>
      <c r="BE240">
        <f t="shared" si="61"/>
        <v>300258.24</v>
      </c>
      <c r="BF240">
        <f t="shared" si="61"/>
        <v>375322.8</v>
      </c>
      <c r="BG240">
        <f t="shared" si="61"/>
        <v>1251076</v>
      </c>
      <c r="BH240">
        <f t="shared" si="61"/>
        <v>3753228</v>
      </c>
      <c r="BI240">
        <f t="shared" si="61"/>
        <v>10634146</v>
      </c>
      <c r="BJ240">
        <f t="shared" si="61"/>
        <v>37532280</v>
      </c>
      <c r="BK240">
        <f t="shared" si="61"/>
        <v>125107600</v>
      </c>
      <c r="BL240">
        <v>235</v>
      </c>
    </row>
    <row r="241" spans="1:64" ht="17.25" thickBot="1" x14ac:dyDescent="0.25">
      <c r="A241" s="131">
        <v>237</v>
      </c>
      <c r="B241" s="132">
        <v>31093744</v>
      </c>
      <c r="D241" s="131">
        <v>237</v>
      </c>
      <c r="E241" s="132">
        <v>12.63424</v>
      </c>
      <c r="AK241">
        <v>235</v>
      </c>
      <c r="AL241" s="24">
        <f t="shared" si="57"/>
        <v>12.55209</v>
      </c>
      <c r="AM241">
        <f t="shared" si="62"/>
        <v>87.864630000000005</v>
      </c>
      <c r="AN241">
        <f t="shared" si="62"/>
        <v>125.5209</v>
      </c>
      <c r="AO241">
        <f t="shared" si="62"/>
        <v>188.28135</v>
      </c>
      <c r="AP241">
        <f t="shared" si="62"/>
        <v>251.04179999999999</v>
      </c>
      <c r="AQ241">
        <f t="shared" si="62"/>
        <v>439.32315</v>
      </c>
      <c r="AR241">
        <f t="shared" si="62"/>
        <v>627.60450000000003</v>
      </c>
      <c r="AS241">
        <f t="shared" si="62"/>
        <v>1004.1672</v>
      </c>
      <c r="AT241">
        <f t="shared" si="62"/>
        <v>1506.2508</v>
      </c>
      <c r="AU241">
        <f t="shared" si="62"/>
        <v>2133.8553000000002</v>
      </c>
      <c r="AV241">
        <f t="shared" si="62"/>
        <v>3012.5016000000001</v>
      </c>
      <c r="AW241">
        <f t="shared" si="62"/>
        <v>4142.1896999999999</v>
      </c>
      <c r="AX241">
        <f t="shared" si="62"/>
        <v>5773.9614000000001</v>
      </c>
      <c r="AY241">
        <f t="shared" si="62"/>
        <v>10041.672</v>
      </c>
      <c r="AZ241">
        <f t="shared" si="62"/>
        <v>18828.134999999998</v>
      </c>
      <c r="BA241">
        <f t="shared" si="62"/>
        <v>31380.224999999999</v>
      </c>
      <c r="BB241">
        <f t="shared" si="62"/>
        <v>50208.36</v>
      </c>
      <c r="BC241">
        <f t="shared" si="61"/>
        <v>125520.9</v>
      </c>
      <c r="BD241">
        <f t="shared" si="61"/>
        <v>188281.35</v>
      </c>
      <c r="BE241">
        <f t="shared" si="61"/>
        <v>301250.15999999997</v>
      </c>
      <c r="BF241">
        <f t="shared" si="61"/>
        <v>376562.7</v>
      </c>
      <c r="BG241">
        <f t="shared" si="61"/>
        <v>1255209</v>
      </c>
      <c r="BH241">
        <f t="shared" si="61"/>
        <v>3765627</v>
      </c>
      <c r="BI241">
        <f t="shared" si="61"/>
        <v>10669276.5</v>
      </c>
      <c r="BJ241">
        <f t="shared" si="61"/>
        <v>37656270</v>
      </c>
      <c r="BK241">
        <f t="shared" si="61"/>
        <v>125520900</v>
      </c>
      <c r="BL241" s="145">
        <v>236</v>
      </c>
    </row>
    <row r="242" spans="1:64" ht="17.25" thickBot="1" x14ac:dyDescent="0.25">
      <c r="A242" s="131">
        <v>238</v>
      </c>
      <c r="B242" s="132">
        <v>31290366</v>
      </c>
      <c r="D242" s="131">
        <v>238</v>
      </c>
      <c r="E242" s="132">
        <v>12.67506</v>
      </c>
      <c r="AK242">
        <v>236</v>
      </c>
      <c r="AL242" s="24">
        <f t="shared" si="57"/>
        <v>12.593249999999999</v>
      </c>
      <c r="AM242">
        <f t="shared" si="62"/>
        <v>88.152749999999997</v>
      </c>
      <c r="AN242">
        <f t="shared" si="62"/>
        <v>125.93249999999999</v>
      </c>
      <c r="AO242">
        <f t="shared" si="62"/>
        <v>188.89874999999998</v>
      </c>
      <c r="AP242">
        <f t="shared" si="62"/>
        <v>251.86499999999998</v>
      </c>
      <c r="AQ242">
        <f t="shared" si="62"/>
        <v>440.76374999999996</v>
      </c>
      <c r="AR242">
        <f t="shared" si="62"/>
        <v>629.66250000000002</v>
      </c>
      <c r="AS242">
        <f t="shared" si="62"/>
        <v>1007.4599999999999</v>
      </c>
      <c r="AT242">
        <f t="shared" si="62"/>
        <v>1511.1899999999998</v>
      </c>
      <c r="AU242">
        <f t="shared" si="62"/>
        <v>2140.8525</v>
      </c>
      <c r="AV242">
        <f t="shared" si="62"/>
        <v>3022.3799999999997</v>
      </c>
      <c r="AW242">
        <f t="shared" si="62"/>
        <v>4155.7725</v>
      </c>
      <c r="AX242">
        <f t="shared" si="62"/>
        <v>5792.8949999999995</v>
      </c>
      <c r="AY242">
        <f t="shared" si="62"/>
        <v>10074.6</v>
      </c>
      <c r="AZ242">
        <f t="shared" si="62"/>
        <v>18889.875</v>
      </c>
      <c r="BA242">
        <f t="shared" si="62"/>
        <v>31483.125</v>
      </c>
      <c r="BB242">
        <f t="shared" si="62"/>
        <v>50373</v>
      </c>
      <c r="BC242">
        <f t="shared" si="61"/>
        <v>125932.5</v>
      </c>
      <c r="BD242">
        <f t="shared" si="61"/>
        <v>188898.75</v>
      </c>
      <c r="BE242">
        <f t="shared" si="61"/>
        <v>302238</v>
      </c>
      <c r="BF242">
        <f t="shared" si="61"/>
        <v>377797.5</v>
      </c>
      <c r="BG242">
        <f t="shared" si="61"/>
        <v>1259325</v>
      </c>
      <c r="BH242">
        <f t="shared" si="61"/>
        <v>3777975</v>
      </c>
      <c r="BI242">
        <f t="shared" si="61"/>
        <v>10704262.5</v>
      </c>
      <c r="BJ242">
        <f t="shared" si="61"/>
        <v>37779750</v>
      </c>
      <c r="BK242">
        <f t="shared" si="61"/>
        <v>125932500</v>
      </c>
      <c r="BL242">
        <v>237</v>
      </c>
    </row>
    <row r="243" spans="1:64" ht="17.25" thickBot="1" x14ac:dyDescent="0.25">
      <c r="A243" s="131">
        <v>239</v>
      </c>
      <c r="B243" s="132">
        <v>31487400</v>
      </c>
      <c r="D243" s="131">
        <v>239</v>
      </c>
      <c r="E243" s="132">
        <v>12.715719999999999</v>
      </c>
      <c r="AK243">
        <v>237</v>
      </c>
      <c r="AL243" s="24">
        <f t="shared" si="57"/>
        <v>12.63424</v>
      </c>
      <c r="AM243">
        <f t="shared" si="62"/>
        <v>88.439679999999996</v>
      </c>
      <c r="AN243">
        <f t="shared" si="62"/>
        <v>126.3424</v>
      </c>
      <c r="AO243">
        <f t="shared" si="62"/>
        <v>189.5136</v>
      </c>
      <c r="AP243">
        <f t="shared" si="62"/>
        <v>252.6848</v>
      </c>
      <c r="AQ243">
        <f t="shared" si="62"/>
        <v>442.19839999999999</v>
      </c>
      <c r="AR243">
        <f t="shared" si="62"/>
        <v>631.71199999999999</v>
      </c>
      <c r="AS243">
        <f t="shared" si="62"/>
        <v>1010.7392</v>
      </c>
      <c r="AT243">
        <f t="shared" si="62"/>
        <v>1516.1088</v>
      </c>
      <c r="AU243">
        <f t="shared" si="62"/>
        <v>2147.8208</v>
      </c>
      <c r="AV243">
        <f t="shared" si="62"/>
        <v>3032.2175999999999</v>
      </c>
      <c r="AW243">
        <f t="shared" si="62"/>
        <v>4169.2992000000004</v>
      </c>
      <c r="AX243">
        <f t="shared" si="62"/>
        <v>5811.7503999999999</v>
      </c>
      <c r="AY243">
        <f t="shared" si="62"/>
        <v>10107.392</v>
      </c>
      <c r="AZ243">
        <f t="shared" si="62"/>
        <v>18951.36</v>
      </c>
      <c r="BA243">
        <f t="shared" si="62"/>
        <v>31585.599999999999</v>
      </c>
      <c r="BB243">
        <f t="shared" si="62"/>
        <v>50536.959999999999</v>
      </c>
      <c r="BC243">
        <f t="shared" si="61"/>
        <v>126342.39999999999</v>
      </c>
      <c r="BD243">
        <f t="shared" si="61"/>
        <v>189513.60000000001</v>
      </c>
      <c r="BE243">
        <f t="shared" si="61"/>
        <v>303221.76000000001</v>
      </c>
      <c r="BF243">
        <f t="shared" si="61"/>
        <v>379027.20000000001</v>
      </c>
      <c r="BG243">
        <f t="shared" si="61"/>
        <v>1263424</v>
      </c>
      <c r="BH243">
        <f t="shared" si="61"/>
        <v>3790272</v>
      </c>
      <c r="BI243">
        <f t="shared" si="61"/>
        <v>10739104</v>
      </c>
      <c r="BJ243">
        <f t="shared" si="61"/>
        <v>37902720</v>
      </c>
      <c r="BK243">
        <f t="shared" si="61"/>
        <v>126342400</v>
      </c>
      <c r="BL243" s="145">
        <v>238</v>
      </c>
    </row>
    <row r="244" spans="1:64" ht="17.25" thickBot="1" x14ac:dyDescent="0.25">
      <c r="A244" s="131">
        <v>240</v>
      </c>
      <c r="B244" s="132">
        <v>31684844</v>
      </c>
      <c r="D244" s="131">
        <v>240</v>
      </c>
      <c r="E244" s="132">
        <v>12.756209999999999</v>
      </c>
      <c r="AK244">
        <v>238</v>
      </c>
      <c r="AL244" s="24">
        <f t="shared" si="57"/>
        <v>12.67506</v>
      </c>
      <c r="AM244">
        <f t="shared" si="62"/>
        <v>88.72542</v>
      </c>
      <c r="AN244">
        <f t="shared" si="62"/>
        <v>126.75060000000001</v>
      </c>
      <c r="AO244">
        <f t="shared" si="62"/>
        <v>190.1259</v>
      </c>
      <c r="AP244">
        <f t="shared" si="62"/>
        <v>253.50120000000001</v>
      </c>
      <c r="AQ244">
        <f t="shared" si="62"/>
        <v>443.62709999999998</v>
      </c>
      <c r="AR244">
        <f t="shared" si="62"/>
        <v>633.75300000000004</v>
      </c>
      <c r="AS244">
        <f t="shared" si="62"/>
        <v>1014.0048</v>
      </c>
      <c r="AT244">
        <f t="shared" si="62"/>
        <v>1521.0072</v>
      </c>
      <c r="AU244">
        <f t="shared" si="62"/>
        <v>2154.7602000000002</v>
      </c>
      <c r="AV244">
        <f t="shared" si="62"/>
        <v>3042.0144</v>
      </c>
      <c r="AW244">
        <f t="shared" si="62"/>
        <v>4182.7698</v>
      </c>
      <c r="AX244">
        <f t="shared" si="62"/>
        <v>5830.5276000000003</v>
      </c>
      <c r="AY244">
        <f t="shared" si="62"/>
        <v>10140.048000000001</v>
      </c>
      <c r="AZ244">
        <f t="shared" si="62"/>
        <v>19012.59</v>
      </c>
      <c r="BA244">
        <f t="shared" si="62"/>
        <v>31687.65</v>
      </c>
      <c r="BB244">
        <f t="shared" si="62"/>
        <v>50700.24</v>
      </c>
      <c r="BC244">
        <f t="shared" si="61"/>
        <v>126750.6</v>
      </c>
      <c r="BD244">
        <f t="shared" si="61"/>
        <v>190125.9</v>
      </c>
      <c r="BE244">
        <f t="shared" si="61"/>
        <v>304201.44</v>
      </c>
      <c r="BF244">
        <f t="shared" si="61"/>
        <v>380251.8</v>
      </c>
      <c r="BG244">
        <f t="shared" si="61"/>
        <v>1267506</v>
      </c>
      <c r="BH244">
        <f t="shared" si="61"/>
        <v>3802518</v>
      </c>
      <c r="BI244">
        <f t="shared" si="61"/>
        <v>10773801</v>
      </c>
      <c r="BJ244">
        <f t="shared" si="61"/>
        <v>38025180</v>
      </c>
      <c r="BK244">
        <f t="shared" si="61"/>
        <v>126750600</v>
      </c>
      <c r="BL244">
        <v>239</v>
      </c>
    </row>
    <row r="245" spans="1:64" ht="17.25" thickBot="1" x14ac:dyDescent="0.25">
      <c r="A245" s="131">
        <v>241</v>
      </c>
      <c r="B245" s="132">
        <v>31882700</v>
      </c>
      <c r="D245" s="131">
        <v>241</v>
      </c>
      <c r="E245" s="132">
        <v>12.79654</v>
      </c>
      <c r="AK245">
        <v>239</v>
      </c>
      <c r="AL245" s="24">
        <f t="shared" si="57"/>
        <v>12.715719999999999</v>
      </c>
      <c r="AM245">
        <f t="shared" si="62"/>
        <v>89.010039999999989</v>
      </c>
      <c r="AN245">
        <f t="shared" si="62"/>
        <v>127.15719999999999</v>
      </c>
      <c r="AO245">
        <f t="shared" si="62"/>
        <v>190.73579999999998</v>
      </c>
      <c r="AP245">
        <f t="shared" si="62"/>
        <v>254.31439999999998</v>
      </c>
      <c r="AQ245">
        <f t="shared" si="62"/>
        <v>445.05019999999996</v>
      </c>
      <c r="AR245">
        <f t="shared" si="62"/>
        <v>635.78599999999994</v>
      </c>
      <c r="AS245">
        <f t="shared" si="62"/>
        <v>1017.2575999999999</v>
      </c>
      <c r="AT245">
        <f t="shared" si="62"/>
        <v>1525.8863999999999</v>
      </c>
      <c r="AU245">
        <f t="shared" si="62"/>
        <v>2161.6723999999999</v>
      </c>
      <c r="AV245">
        <f t="shared" si="62"/>
        <v>3051.7727999999997</v>
      </c>
      <c r="AW245">
        <f t="shared" si="62"/>
        <v>4196.1876000000002</v>
      </c>
      <c r="AX245">
        <f t="shared" si="62"/>
        <v>5849.2311999999993</v>
      </c>
      <c r="AY245">
        <f t="shared" si="62"/>
        <v>10172.575999999999</v>
      </c>
      <c r="AZ245">
        <f t="shared" si="62"/>
        <v>19073.579999999998</v>
      </c>
      <c r="BA245">
        <f t="shared" si="62"/>
        <v>31789.3</v>
      </c>
      <c r="BB245">
        <f t="shared" si="62"/>
        <v>50862.879999999997</v>
      </c>
      <c r="BC245">
        <f t="shared" si="61"/>
        <v>127157.2</v>
      </c>
      <c r="BD245">
        <f t="shared" si="61"/>
        <v>190735.8</v>
      </c>
      <c r="BE245">
        <f t="shared" si="61"/>
        <v>305177.27999999997</v>
      </c>
      <c r="BF245">
        <f t="shared" si="61"/>
        <v>381471.6</v>
      </c>
      <c r="BG245">
        <f t="shared" si="61"/>
        <v>1271572</v>
      </c>
      <c r="BH245">
        <f t="shared" si="61"/>
        <v>3814716</v>
      </c>
      <c r="BI245">
        <f t="shared" si="61"/>
        <v>10808362</v>
      </c>
      <c r="BJ245">
        <f t="shared" si="61"/>
        <v>38147160</v>
      </c>
      <c r="BK245">
        <f t="shared" si="61"/>
        <v>127157199.99999999</v>
      </c>
      <c r="BL245" s="145">
        <v>240</v>
      </c>
    </row>
    <row r="246" spans="1:64" ht="17.25" thickBot="1" x14ac:dyDescent="0.25">
      <c r="A246" s="131">
        <v>242</v>
      </c>
      <c r="B246" s="132">
        <v>32080966</v>
      </c>
      <c r="D246" s="131">
        <v>242</v>
      </c>
      <c r="E246" s="132">
        <v>12.83671</v>
      </c>
      <c r="AK246">
        <v>240</v>
      </c>
      <c r="AL246" s="24">
        <f t="shared" si="57"/>
        <v>12.756209999999999</v>
      </c>
      <c r="AM246">
        <f t="shared" si="62"/>
        <v>89.293469999999999</v>
      </c>
      <c r="AN246">
        <f t="shared" si="62"/>
        <v>127.56209999999999</v>
      </c>
      <c r="AO246">
        <f t="shared" si="62"/>
        <v>191.34314999999998</v>
      </c>
      <c r="AP246">
        <f t="shared" si="62"/>
        <v>255.12419999999997</v>
      </c>
      <c r="AQ246">
        <f t="shared" si="62"/>
        <v>446.46734999999995</v>
      </c>
      <c r="AR246">
        <f t="shared" si="62"/>
        <v>637.81049999999993</v>
      </c>
      <c r="AS246">
        <f t="shared" si="62"/>
        <v>1020.4967999999999</v>
      </c>
      <c r="AT246">
        <f t="shared" si="62"/>
        <v>1530.7451999999998</v>
      </c>
      <c r="AU246">
        <f t="shared" si="62"/>
        <v>2168.5556999999999</v>
      </c>
      <c r="AV246">
        <f t="shared" si="62"/>
        <v>3061.4903999999997</v>
      </c>
      <c r="AW246">
        <f t="shared" si="62"/>
        <v>4209.5492999999997</v>
      </c>
      <c r="AX246">
        <f t="shared" si="62"/>
        <v>5867.8566000000001</v>
      </c>
      <c r="AY246">
        <f t="shared" si="62"/>
        <v>10204.967999999999</v>
      </c>
      <c r="AZ246">
        <f t="shared" si="62"/>
        <v>19134.314999999999</v>
      </c>
      <c r="BA246">
        <f t="shared" si="62"/>
        <v>31890.524999999998</v>
      </c>
      <c r="BB246">
        <f t="shared" si="62"/>
        <v>51024.84</v>
      </c>
      <c r="BC246">
        <f t="shared" si="61"/>
        <v>127562.09999999999</v>
      </c>
      <c r="BD246">
        <f t="shared" si="61"/>
        <v>191343.15</v>
      </c>
      <c r="BE246">
        <f t="shared" si="61"/>
        <v>306149.03999999998</v>
      </c>
      <c r="BF246">
        <f t="shared" si="61"/>
        <v>382686.3</v>
      </c>
      <c r="BG246">
        <f t="shared" si="61"/>
        <v>1275621</v>
      </c>
      <c r="BH246">
        <f t="shared" si="61"/>
        <v>3826863</v>
      </c>
      <c r="BI246">
        <f t="shared" si="61"/>
        <v>10842778.5</v>
      </c>
      <c r="BJ246">
        <f t="shared" si="61"/>
        <v>38268630</v>
      </c>
      <c r="BK246">
        <f t="shared" si="61"/>
        <v>127562100</v>
      </c>
      <c r="BL246">
        <v>241</v>
      </c>
    </row>
    <row r="247" spans="1:64" ht="17.25" thickBot="1" x14ac:dyDescent="0.25">
      <c r="A247" s="131">
        <v>243</v>
      </c>
      <c r="B247" s="132">
        <v>32279638</v>
      </c>
      <c r="D247" s="131">
        <v>243</v>
      </c>
      <c r="E247" s="132">
        <v>12.876709999999999</v>
      </c>
      <c r="AK247">
        <v>241</v>
      </c>
      <c r="AL247" s="24">
        <f t="shared" si="57"/>
        <v>12.79654</v>
      </c>
      <c r="AM247">
        <f t="shared" si="62"/>
        <v>89.575780000000009</v>
      </c>
      <c r="AN247">
        <f t="shared" si="62"/>
        <v>127.9654</v>
      </c>
      <c r="AO247">
        <f t="shared" si="62"/>
        <v>191.94810000000001</v>
      </c>
      <c r="AP247">
        <f t="shared" si="62"/>
        <v>255.9308</v>
      </c>
      <c r="AQ247">
        <f t="shared" si="62"/>
        <v>447.87889999999999</v>
      </c>
      <c r="AR247">
        <f t="shared" si="62"/>
        <v>639.827</v>
      </c>
      <c r="AS247">
        <f t="shared" si="62"/>
        <v>1023.7232</v>
      </c>
      <c r="AT247">
        <f t="shared" si="62"/>
        <v>1535.5848000000001</v>
      </c>
      <c r="AU247">
        <f t="shared" si="62"/>
        <v>2175.4117999999999</v>
      </c>
      <c r="AV247">
        <f t="shared" si="62"/>
        <v>3071.1696000000002</v>
      </c>
      <c r="AW247">
        <f t="shared" si="62"/>
        <v>4222.8581999999997</v>
      </c>
      <c r="AX247">
        <f t="shared" si="62"/>
        <v>5886.4084000000003</v>
      </c>
      <c r="AY247">
        <f t="shared" si="62"/>
        <v>10237.232</v>
      </c>
      <c r="AZ247">
        <f t="shared" si="62"/>
        <v>19194.810000000001</v>
      </c>
      <c r="BA247">
        <f t="shared" si="62"/>
        <v>31991.350000000002</v>
      </c>
      <c r="BB247">
        <f t="shared" si="62"/>
        <v>51186.16</v>
      </c>
      <c r="BC247">
        <f t="shared" si="61"/>
        <v>127965.40000000001</v>
      </c>
      <c r="BD247">
        <f t="shared" si="61"/>
        <v>191948.1</v>
      </c>
      <c r="BE247">
        <f t="shared" si="61"/>
        <v>307116.96000000002</v>
      </c>
      <c r="BF247">
        <f t="shared" si="61"/>
        <v>383896.2</v>
      </c>
      <c r="BG247">
        <f t="shared" si="61"/>
        <v>1279654</v>
      </c>
      <c r="BH247">
        <f t="shared" si="61"/>
        <v>3838962</v>
      </c>
      <c r="BI247">
        <f t="shared" si="61"/>
        <v>10877059</v>
      </c>
      <c r="BJ247">
        <f t="shared" si="61"/>
        <v>38389620</v>
      </c>
      <c r="BK247">
        <f t="shared" si="61"/>
        <v>127965400</v>
      </c>
      <c r="BL247" s="145">
        <v>242</v>
      </c>
    </row>
    <row r="248" spans="1:64" ht="17.25" thickBot="1" x14ac:dyDescent="0.25">
      <c r="A248" s="131">
        <v>244</v>
      </c>
      <c r="B248" s="132">
        <v>32478722</v>
      </c>
      <c r="D248" s="131">
        <v>244</v>
      </c>
      <c r="E248" s="132">
        <v>12.91656</v>
      </c>
      <c r="AK248">
        <v>242</v>
      </c>
      <c r="AL248" s="24">
        <f t="shared" si="57"/>
        <v>12.83671</v>
      </c>
      <c r="AM248">
        <f t="shared" si="62"/>
        <v>89.856970000000004</v>
      </c>
      <c r="AN248">
        <f t="shared" si="62"/>
        <v>128.36709999999999</v>
      </c>
      <c r="AO248">
        <f t="shared" si="62"/>
        <v>192.55064999999999</v>
      </c>
      <c r="AP248">
        <f t="shared" si="62"/>
        <v>256.73419999999999</v>
      </c>
      <c r="AQ248">
        <f t="shared" si="62"/>
        <v>449.28485000000001</v>
      </c>
      <c r="AR248">
        <f t="shared" si="62"/>
        <v>641.83550000000002</v>
      </c>
      <c r="AS248">
        <f t="shared" si="62"/>
        <v>1026.9367999999999</v>
      </c>
      <c r="AT248">
        <f t="shared" si="62"/>
        <v>1540.4051999999999</v>
      </c>
      <c r="AU248">
        <f t="shared" si="62"/>
        <v>2182.2406999999998</v>
      </c>
      <c r="AV248">
        <f t="shared" si="62"/>
        <v>3080.8103999999998</v>
      </c>
      <c r="AW248">
        <f t="shared" si="62"/>
        <v>4236.1143000000002</v>
      </c>
      <c r="AX248">
        <f t="shared" si="62"/>
        <v>5904.8865999999998</v>
      </c>
      <c r="AY248">
        <f t="shared" si="62"/>
        <v>10269.368</v>
      </c>
      <c r="AZ248">
        <f t="shared" si="62"/>
        <v>19255.064999999999</v>
      </c>
      <c r="BA248">
        <f t="shared" si="62"/>
        <v>32091.775000000001</v>
      </c>
      <c r="BB248">
        <f t="shared" si="62"/>
        <v>51346.840000000004</v>
      </c>
      <c r="BC248">
        <f t="shared" si="61"/>
        <v>128367.1</v>
      </c>
      <c r="BD248">
        <f t="shared" si="61"/>
        <v>192550.65</v>
      </c>
      <c r="BE248">
        <f t="shared" si="61"/>
        <v>308081.03999999998</v>
      </c>
      <c r="BF248">
        <f t="shared" si="61"/>
        <v>385101.3</v>
      </c>
      <c r="BG248">
        <f t="shared" si="61"/>
        <v>1283671</v>
      </c>
      <c r="BH248">
        <f t="shared" si="61"/>
        <v>3851013</v>
      </c>
      <c r="BI248">
        <f t="shared" si="61"/>
        <v>10911203.5</v>
      </c>
      <c r="BJ248">
        <f t="shared" si="61"/>
        <v>38510130</v>
      </c>
      <c r="BK248">
        <f t="shared" si="61"/>
        <v>128367100</v>
      </c>
      <c r="BL248">
        <v>243</v>
      </c>
    </row>
    <row r="249" spans="1:64" ht="17.25" thickBot="1" x14ac:dyDescent="0.25">
      <c r="A249" s="131">
        <v>245</v>
      </c>
      <c r="B249" s="132">
        <v>32678211</v>
      </c>
      <c r="D249" s="131">
        <v>245</v>
      </c>
      <c r="E249" s="132">
        <v>12.956250000000001</v>
      </c>
      <c r="AK249">
        <v>243</v>
      </c>
      <c r="AL249" s="24">
        <f t="shared" si="57"/>
        <v>12.876709999999999</v>
      </c>
      <c r="AM249">
        <f t="shared" si="62"/>
        <v>90.136969999999991</v>
      </c>
      <c r="AN249">
        <f t="shared" si="62"/>
        <v>128.7671</v>
      </c>
      <c r="AO249">
        <f t="shared" si="62"/>
        <v>193.15064999999998</v>
      </c>
      <c r="AP249">
        <f t="shared" si="62"/>
        <v>257.5342</v>
      </c>
      <c r="AQ249">
        <f t="shared" si="62"/>
        <v>450.68484999999998</v>
      </c>
      <c r="AR249">
        <f t="shared" si="62"/>
        <v>643.83549999999991</v>
      </c>
      <c r="AS249">
        <f t="shared" si="62"/>
        <v>1030.1368</v>
      </c>
      <c r="AT249">
        <f t="shared" si="62"/>
        <v>1545.2051999999999</v>
      </c>
      <c r="AU249">
        <f t="shared" si="62"/>
        <v>2189.0407</v>
      </c>
      <c r="AV249">
        <f t="shared" si="62"/>
        <v>3090.4103999999998</v>
      </c>
      <c r="AW249">
        <f t="shared" si="62"/>
        <v>4249.3143</v>
      </c>
      <c r="AX249">
        <f t="shared" si="62"/>
        <v>5923.2865999999995</v>
      </c>
      <c r="AY249">
        <f t="shared" si="62"/>
        <v>10301.367999999999</v>
      </c>
      <c r="AZ249">
        <f t="shared" si="62"/>
        <v>19315.064999999999</v>
      </c>
      <c r="BA249">
        <f t="shared" si="62"/>
        <v>32191.774999999998</v>
      </c>
      <c r="BB249">
        <f t="shared" si="62"/>
        <v>51506.84</v>
      </c>
      <c r="BC249">
        <f t="shared" si="61"/>
        <v>128767.09999999999</v>
      </c>
      <c r="BD249">
        <f t="shared" si="61"/>
        <v>193150.65</v>
      </c>
      <c r="BE249">
        <f t="shared" si="61"/>
        <v>309041.03999999998</v>
      </c>
      <c r="BF249">
        <f t="shared" si="61"/>
        <v>386301.3</v>
      </c>
      <c r="BG249">
        <f t="shared" si="61"/>
        <v>1287671</v>
      </c>
      <c r="BH249">
        <f t="shared" si="61"/>
        <v>3863012.9999999995</v>
      </c>
      <c r="BI249">
        <f t="shared" si="61"/>
        <v>10945203.5</v>
      </c>
      <c r="BJ249">
        <f t="shared" si="61"/>
        <v>38630130</v>
      </c>
      <c r="BK249">
        <f t="shared" si="61"/>
        <v>128767099.99999999</v>
      </c>
      <c r="BL249" s="145">
        <v>244</v>
      </c>
    </row>
    <row r="250" spans="1:64" ht="17.25" thickBot="1" x14ac:dyDescent="0.25">
      <c r="A250" s="131">
        <v>246</v>
      </c>
      <c r="B250" s="132">
        <v>32878105</v>
      </c>
      <c r="D250" s="131">
        <v>246</v>
      </c>
      <c r="E250" s="132">
        <v>12.99578</v>
      </c>
      <c r="AK250">
        <v>244</v>
      </c>
      <c r="AL250" s="24">
        <f t="shared" si="57"/>
        <v>12.91656</v>
      </c>
      <c r="AM250">
        <f t="shared" si="62"/>
        <v>90.41592</v>
      </c>
      <c r="AN250">
        <f t="shared" si="62"/>
        <v>129.16560000000001</v>
      </c>
      <c r="AO250">
        <f t="shared" si="62"/>
        <v>193.7484</v>
      </c>
      <c r="AP250">
        <f t="shared" si="62"/>
        <v>258.33120000000002</v>
      </c>
      <c r="AQ250">
        <f t="shared" si="62"/>
        <v>452.07960000000003</v>
      </c>
      <c r="AR250">
        <f t="shared" si="62"/>
        <v>645.82799999999997</v>
      </c>
      <c r="AS250">
        <f t="shared" si="62"/>
        <v>1033.3248000000001</v>
      </c>
      <c r="AT250">
        <f t="shared" si="62"/>
        <v>1549.9872</v>
      </c>
      <c r="AU250">
        <f t="shared" si="62"/>
        <v>2195.8152</v>
      </c>
      <c r="AV250">
        <f t="shared" si="62"/>
        <v>3099.9744000000001</v>
      </c>
      <c r="AW250">
        <f t="shared" si="62"/>
        <v>4262.4647999999997</v>
      </c>
      <c r="AX250">
        <f t="shared" si="62"/>
        <v>5941.6176000000005</v>
      </c>
      <c r="AY250">
        <f t="shared" si="62"/>
        <v>10333.248</v>
      </c>
      <c r="AZ250">
        <f t="shared" si="62"/>
        <v>19374.84</v>
      </c>
      <c r="BA250">
        <f t="shared" si="62"/>
        <v>32291.4</v>
      </c>
      <c r="BB250">
        <f t="shared" si="62"/>
        <v>51666.240000000005</v>
      </c>
      <c r="BC250">
        <f t="shared" si="61"/>
        <v>129165.6</v>
      </c>
      <c r="BD250">
        <f t="shared" si="61"/>
        <v>193748.4</v>
      </c>
      <c r="BE250">
        <f t="shared" si="61"/>
        <v>309997.44</v>
      </c>
      <c r="BF250">
        <f t="shared" si="61"/>
        <v>387496.8</v>
      </c>
      <c r="BG250">
        <f t="shared" si="61"/>
        <v>1291656</v>
      </c>
      <c r="BH250">
        <f t="shared" si="61"/>
        <v>3874968</v>
      </c>
      <c r="BI250">
        <f t="shared" si="61"/>
        <v>10979076</v>
      </c>
      <c r="BJ250">
        <f t="shared" si="61"/>
        <v>38749680</v>
      </c>
      <c r="BK250">
        <f t="shared" si="61"/>
        <v>129165600</v>
      </c>
      <c r="BL250">
        <v>245</v>
      </c>
    </row>
    <row r="251" spans="1:64" ht="17.25" thickBot="1" x14ac:dyDescent="0.25">
      <c r="A251" s="131">
        <v>247</v>
      </c>
      <c r="B251" s="132">
        <v>33078405</v>
      </c>
      <c r="D251" s="131">
        <v>247</v>
      </c>
      <c r="E251" s="132">
        <v>13.035159999999999</v>
      </c>
      <c r="AK251">
        <v>245</v>
      </c>
      <c r="AL251" s="24">
        <f t="shared" si="57"/>
        <v>12.956250000000001</v>
      </c>
      <c r="AM251">
        <f t="shared" si="62"/>
        <v>90.693750000000009</v>
      </c>
      <c r="AN251">
        <f t="shared" si="62"/>
        <v>129.5625</v>
      </c>
      <c r="AO251">
        <f t="shared" si="62"/>
        <v>194.34375</v>
      </c>
      <c r="AP251">
        <f t="shared" si="62"/>
        <v>259.125</v>
      </c>
      <c r="AQ251">
        <f t="shared" si="62"/>
        <v>453.46875</v>
      </c>
      <c r="AR251">
        <f t="shared" si="62"/>
        <v>647.8125</v>
      </c>
      <c r="AS251">
        <f t="shared" si="62"/>
        <v>1036.5</v>
      </c>
      <c r="AT251">
        <f t="shared" si="62"/>
        <v>1554.75</v>
      </c>
      <c r="AU251">
        <f t="shared" si="62"/>
        <v>2202.5625</v>
      </c>
      <c r="AV251">
        <f t="shared" si="62"/>
        <v>3109.5</v>
      </c>
      <c r="AW251">
        <f t="shared" si="62"/>
        <v>4275.5625</v>
      </c>
      <c r="AX251">
        <f t="shared" si="62"/>
        <v>5959.875</v>
      </c>
      <c r="AY251">
        <f t="shared" si="62"/>
        <v>10365</v>
      </c>
      <c r="AZ251">
        <f t="shared" si="62"/>
        <v>19434.375</v>
      </c>
      <c r="BA251">
        <f t="shared" si="62"/>
        <v>32390.625</v>
      </c>
      <c r="BB251">
        <f t="shared" si="62"/>
        <v>51825</v>
      </c>
      <c r="BC251">
        <f t="shared" si="61"/>
        <v>129562.5</v>
      </c>
      <c r="BD251">
        <f t="shared" si="61"/>
        <v>194343.75</v>
      </c>
      <c r="BE251">
        <f t="shared" si="61"/>
        <v>310950</v>
      </c>
      <c r="BF251">
        <f t="shared" si="61"/>
        <v>388687.5</v>
      </c>
      <c r="BG251">
        <f t="shared" si="61"/>
        <v>1295625</v>
      </c>
      <c r="BH251">
        <f t="shared" si="61"/>
        <v>3886875</v>
      </c>
      <c r="BI251">
        <f t="shared" si="61"/>
        <v>11012812.5</v>
      </c>
      <c r="BJ251">
        <f t="shared" si="61"/>
        <v>38868750</v>
      </c>
      <c r="BK251">
        <f t="shared" si="61"/>
        <v>129562500</v>
      </c>
      <c r="BL251" s="145">
        <v>246</v>
      </c>
    </row>
    <row r="252" spans="1:64" ht="17.25" thickBot="1" x14ac:dyDescent="0.25">
      <c r="A252" s="131">
        <v>248</v>
      </c>
      <c r="B252" s="132">
        <v>33279111</v>
      </c>
      <c r="D252" s="131">
        <v>248</v>
      </c>
      <c r="E252" s="132">
        <v>13.07438</v>
      </c>
      <c r="AK252">
        <v>246</v>
      </c>
      <c r="AL252" s="24">
        <f t="shared" si="57"/>
        <v>12.99578</v>
      </c>
      <c r="AM252">
        <f t="shared" si="62"/>
        <v>90.970460000000003</v>
      </c>
      <c r="AN252">
        <f t="shared" si="62"/>
        <v>129.95779999999999</v>
      </c>
      <c r="AO252">
        <f t="shared" si="62"/>
        <v>194.9367</v>
      </c>
      <c r="AP252">
        <f t="shared" si="62"/>
        <v>259.91559999999998</v>
      </c>
      <c r="AQ252">
        <f t="shared" si="62"/>
        <v>454.85230000000001</v>
      </c>
      <c r="AR252">
        <f t="shared" si="62"/>
        <v>649.78899999999999</v>
      </c>
      <c r="AS252">
        <f t="shared" si="62"/>
        <v>1039.6623999999999</v>
      </c>
      <c r="AT252">
        <f t="shared" si="62"/>
        <v>1559.4936</v>
      </c>
      <c r="AU252">
        <f t="shared" si="62"/>
        <v>2209.2826</v>
      </c>
      <c r="AV252">
        <f t="shared" si="62"/>
        <v>3118.9872</v>
      </c>
      <c r="AW252">
        <f t="shared" si="62"/>
        <v>4288.6073999999999</v>
      </c>
      <c r="AX252">
        <f t="shared" si="62"/>
        <v>5978.0587999999998</v>
      </c>
      <c r="AY252">
        <f t="shared" si="62"/>
        <v>10396.624</v>
      </c>
      <c r="AZ252">
        <f t="shared" si="62"/>
        <v>19493.669999999998</v>
      </c>
      <c r="BA252">
        <f t="shared" si="62"/>
        <v>32489.45</v>
      </c>
      <c r="BB252">
        <f t="shared" si="62"/>
        <v>51983.12</v>
      </c>
      <c r="BC252">
        <f t="shared" si="61"/>
        <v>129957.8</v>
      </c>
      <c r="BD252">
        <f t="shared" si="61"/>
        <v>194936.7</v>
      </c>
      <c r="BE252">
        <f t="shared" si="61"/>
        <v>311898.71999999997</v>
      </c>
      <c r="BF252">
        <f t="shared" si="61"/>
        <v>389873.4</v>
      </c>
      <c r="BG252">
        <f t="shared" si="61"/>
        <v>1299578</v>
      </c>
      <c r="BH252">
        <f t="shared" si="61"/>
        <v>3898734</v>
      </c>
      <c r="BI252">
        <f t="shared" si="61"/>
        <v>11046413</v>
      </c>
      <c r="BJ252">
        <f t="shared" si="61"/>
        <v>38987340</v>
      </c>
      <c r="BK252">
        <f t="shared" si="61"/>
        <v>129957800</v>
      </c>
      <c r="BL252">
        <v>247</v>
      </c>
    </row>
    <row r="253" spans="1:64" ht="17.25" thickBot="1" x14ac:dyDescent="0.25">
      <c r="A253" s="131">
        <v>249</v>
      </c>
      <c r="B253" s="132">
        <v>33480222</v>
      </c>
      <c r="D253" s="131">
        <v>249</v>
      </c>
      <c r="E253" s="132">
        <v>13.13298</v>
      </c>
      <c r="AK253">
        <v>247</v>
      </c>
      <c r="AL253" s="24">
        <f t="shared" si="57"/>
        <v>13.035159999999999</v>
      </c>
      <c r="AM253">
        <f t="shared" si="62"/>
        <v>91.246119999999991</v>
      </c>
      <c r="AN253">
        <f t="shared" si="62"/>
        <v>130.35159999999999</v>
      </c>
      <c r="AO253">
        <f t="shared" si="62"/>
        <v>195.5274</v>
      </c>
      <c r="AP253">
        <f t="shared" si="62"/>
        <v>260.70319999999998</v>
      </c>
      <c r="AQ253">
        <f t="shared" si="62"/>
        <v>456.23059999999998</v>
      </c>
      <c r="AR253">
        <f t="shared" si="62"/>
        <v>651.75799999999992</v>
      </c>
      <c r="AS253">
        <f t="shared" si="62"/>
        <v>1042.8127999999999</v>
      </c>
      <c r="AT253">
        <f t="shared" si="62"/>
        <v>1564.2192</v>
      </c>
      <c r="AU253">
        <f t="shared" si="62"/>
        <v>2215.9771999999998</v>
      </c>
      <c r="AV253">
        <f t="shared" si="62"/>
        <v>3128.4384</v>
      </c>
      <c r="AW253">
        <f t="shared" si="62"/>
        <v>4301.6027999999997</v>
      </c>
      <c r="AX253">
        <f t="shared" si="62"/>
        <v>5996.1736000000001</v>
      </c>
      <c r="AY253">
        <f t="shared" si="62"/>
        <v>10428.127999999999</v>
      </c>
      <c r="AZ253">
        <f t="shared" si="62"/>
        <v>19552.739999999998</v>
      </c>
      <c r="BA253">
        <f t="shared" si="62"/>
        <v>32587.899999999998</v>
      </c>
      <c r="BB253">
        <f t="shared" si="62"/>
        <v>52140.639999999999</v>
      </c>
      <c r="BC253">
        <f t="shared" si="61"/>
        <v>130351.59999999999</v>
      </c>
      <c r="BD253">
        <f t="shared" si="61"/>
        <v>195527.4</v>
      </c>
      <c r="BE253">
        <f t="shared" si="61"/>
        <v>312843.83999999997</v>
      </c>
      <c r="BF253">
        <f t="shared" si="61"/>
        <v>391054.8</v>
      </c>
      <c r="BG253">
        <f t="shared" si="61"/>
        <v>1303516</v>
      </c>
      <c r="BH253">
        <f t="shared" si="61"/>
        <v>3910548</v>
      </c>
      <c r="BI253">
        <f t="shared" si="61"/>
        <v>11079886</v>
      </c>
      <c r="BJ253">
        <f t="shared" si="61"/>
        <v>39105480</v>
      </c>
      <c r="BK253">
        <f t="shared" si="61"/>
        <v>130351600</v>
      </c>
      <c r="BL253" s="145">
        <v>248</v>
      </c>
    </row>
    <row r="254" spans="1:64" ht="17.25" thickBot="1" x14ac:dyDescent="0.25">
      <c r="A254" s="131">
        <v>250</v>
      </c>
      <c r="B254" s="132">
        <v>33681738</v>
      </c>
      <c r="D254" s="131">
        <v>250</v>
      </c>
      <c r="E254" s="132">
        <v>13.19135</v>
      </c>
      <c r="AK254">
        <v>248</v>
      </c>
      <c r="AL254" s="24">
        <f t="shared" si="57"/>
        <v>13.07438</v>
      </c>
      <c r="AM254">
        <f t="shared" si="62"/>
        <v>91.520659999999992</v>
      </c>
      <c r="AN254">
        <f t="shared" si="62"/>
        <v>130.74379999999999</v>
      </c>
      <c r="AO254">
        <f t="shared" si="62"/>
        <v>196.1157</v>
      </c>
      <c r="AP254">
        <f t="shared" si="62"/>
        <v>261.48759999999999</v>
      </c>
      <c r="AQ254">
        <f t="shared" si="62"/>
        <v>457.60329999999999</v>
      </c>
      <c r="AR254">
        <f t="shared" si="62"/>
        <v>653.71899999999994</v>
      </c>
      <c r="AS254">
        <f t="shared" si="62"/>
        <v>1045.9503999999999</v>
      </c>
      <c r="AT254">
        <f t="shared" si="62"/>
        <v>1568.9256</v>
      </c>
      <c r="AU254">
        <f t="shared" si="62"/>
        <v>2222.6446000000001</v>
      </c>
      <c r="AV254">
        <f t="shared" si="62"/>
        <v>3137.8512000000001</v>
      </c>
      <c r="AW254">
        <f t="shared" si="62"/>
        <v>4314.5454</v>
      </c>
      <c r="AX254">
        <f t="shared" si="62"/>
        <v>6014.2147999999997</v>
      </c>
      <c r="AY254">
        <f t="shared" si="62"/>
        <v>10459.503999999999</v>
      </c>
      <c r="AZ254">
        <f t="shared" si="62"/>
        <v>19611.57</v>
      </c>
      <c r="BA254">
        <f t="shared" si="62"/>
        <v>32685.95</v>
      </c>
      <c r="BB254">
        <f t="shared" si="62"/>
        <v>52297.52</v>
      </c>
      <c r="BC254">
        <f t="shared" si="61"/>
        <v>130743.8</v>
      </c>
      <c r="BD254">
        <f t="shared" si="61"/>
        <v>196115.69999999998</v>
      </c>
      <c r="BE254">
        <f t="shared" si="61"/>
        <v>313785.12</v>
      </c>
      <c r="BF254">
        <f t="shared" si="61"/>
        <v>392231.39999999997</v>
      </c>
      <c r="BG254">
        <f t="shared" si="61"/>
        <v>1307438</v>
      </c>
      <c r="BH254">
        <f t="shared" si="61"/>
        <v>3922314</v>
      </c>
      <c r="BI254">
        <f t="shared" si="61"/>
        <v>11113223</v>
      </c>
      <c r="BJ254">
        <f t="shared" si="61"/>
        <v>39223140</v>
      </c>
      <c r="BK254">
        <f t="shared" si="61"/>
        <v>130743800</v>
      </c>
      <c r="BL254">
        <v>249</v>
      </c>
    </row>
    <row r="255" spans="1:64" ht="17.25" thickBot="1" x14ac:dyDescent="0.25">
      <c r="A255" s="131">
        <v>251</v>
      </c>
      <c r="B255" s="132">
        <v>33883655</v>
      </c>
      <c r="D255" s="131">
        <v>251</v>
      </c>
      <c r="E255" s="132">
        <v>13.24949</v>
      </c>
      <c r="AK255">
        <v>249</v>
      </c>
      <c r="AL255" s="24">
        <f t="shared" si="57"/>
        <v>13.13298</v>
      </c>
      <c r="AM255">
        <f t="shared" si="62"/>
        <v>91.930859999999996</v>
      </c>
      <c r="AN255">
        <f t="shared" si="62"/>
        <v>131.32980000000001</v>
      </c>
      <c r="AO255">
        <f t="shared" si="62"/>
        <v>196.99469999999999</v>
      </c>
      <c r="AP255">
        <f t="shared" si="62"/>
        <v>262.65960000000001</v>
      </c>
      <c r="AQ255">
        <f t="shared" si="62"/>
        <v>459.65429999999998</v>
      </c>
      <c r="AR255">
        <f t="shared" si="62"/>
        <v>656.649</v>
      </c>
      <c r="AS255">
        <f t="shared" si="62"/>
        <v>1050.6384</v>
      </c>
      <c r="AT255">
        <f t="shared" si="62"/>
        <v>1575.9576</v>
      </c>
      <c r="AU255">
        <f t="shared" si="62"/>
        <v>2232.6066000000001</v>
      </c>
      <c r="AV255">
        <f t="shared" si="62"/>
        <v>3151.9151999999999</v>
      </c>
      <c r="AW255">
        <f t="shared" si="62"/>
        <v>4333.8833999999997</v>
      </c>
      <c r="AX255">
        <f t="shared" si="62"/>
        <v>6041.1707999999999</v>
      </c>
      <c r="AY255">
        <f t="shared" si="62"/>
        <v>10506.384</v>
      </c>
      <c r="AZ255">
        <f t="shared" si="62"/>
        <v>19699.47</v>
      </c>
      <c r="BA255">
        <f t="shared" si="62"/>
        <v>32832.449999999997</v>
      </c>
      <c r="BB255">
        <f t="shared" si="62"/>
        <v>52531.92</v>
      </c>
      <c r="BC255">
        <f t="shared" si="61"/>
        <v>131329.79999999999</v>
      </c>
      <c r="BD255">
        <f t="shared" si="61"/>
        <v>196994.7</v>
      </c>
      <c r="BE255">
        <f t="shared" si="61"/>
        <v>315191.52</v>
      </c>
      <c r="BF255">
        <f t="shared" si="61"/>
        <v>393989.4</v>
      </c>
      <c r="BG255">
        <f t="shared" si="61"/>
        <v>1313298</v>
      </c>
      <c r="BH255">
        <f t="shared" si="61"/>
        <v>3939894</v>
      </c>
      <c r="BI255">
        <f t="shared" si="61"/>
        <v>11163033</v>
      </c>
      <c r="BJ255">
        <f t="shared" si="61"/>
        <v>39398940</v>
      </c>
      <c r="BK255">
        <f t="shared" si="61"/>
        <v>131329800</v>
      </c>
      <c r="BL255" s="145">
        <v>250</v>
      </c>
    </row>
    <row r="256" spans="1:64" ht="17.25" thickBot="1" x14ac:dyDescent="0.25">
      <c r="A256" s="131">
        <v>252</v>
      </c>
      <c r="B256" s="132">
        <v>34085977</v>
      </c>
      <c r="D256" s="131">
        <v>252</v>
      </c>
      <c r="E256" s="132">
        <v>13.307410000000001</v>
      </c>
      <c r="AK256">
        <v>250</v>
      </c>
      <c r="AL256" s="24">
        <f t="shared" si="57"/>
        <v>13.19135</v>
      </c>
      <c r="AM256">
        <f t="shared" si="62"/>
        <v>92.339449999999999</v>
      </c>
      <c r="AN256">
        <f t="shared" si="62"/>
        <v>131.9135</v>
      </c>
      <c r="AO256">
        <f t="shared" si="62"/>
        <v>197.87025</v>
      </c>
      <c r="AP256">
        <f t="shared" si="62"/>
        <v>263.827</v>
      </c>
      <c r="AQ256">
        <f t="shared" si="62"/>
        <v>461.69725</v>
      </c>
      <c r="AR256">
        <f t="shared" si="62"/>
        <v>659.5675</v>
      </c>
      <c r="AS256">
        <f t="shared" si="62"/>
        <v>1055.308</v>
      </c>
      <c r="AT256">
        <f t="shared" si="62"/>
        <v>1582.962</v>
      </c>
      <c r="AU256">
        <f t="shared" si="62"/>
        <v>2242.5295000000001</v>
      </c>
      <c r="AV256">
        <f t="shared" si="62"/>
        <v>3165.924</v>
      </c>
      <c r="AW256">
        <f t="shared" si="62"/>
        <v>4353.1454999999996</v>
      </c>
      <c r="AX256">
        <f t="shared" si="62"/>
        <v>6068.0209999999997</v>
      </c>
      <c r="AY256">
        <f t="shared" si="62"/>
        <v>10553.08</v>
      </c>
      <c r="AZ256">
        <f t="shared" ref="AM256:BB272" si="63">AZ$5*VLOOKUP($AK256,$D$2:$E$1404,2,FALSE)</f>
        <v>19787.025000000001</v>
      </c>
      <c r="BA256">
        <f t="shared" si="63"/>
        <v>32978.375</v>
      </c>
      <c r="BB256">
        <f t="shared" si="63"/>
        <v>52765.4</v>
      </c>
      <c r="BC256">
        <f t="shared" si="61"/>
        <v>131913.5</v>
      </c>
      <c r="BD256">
        <f t="shared" si="61"/>
        <v>197870.25</v>
      </c>
      <c r="BE256">
        <f t="shared" si="61"/>
        <v>316592.40000000002</v>
      </c>
      <c r="BF256">
        <f t="shared" si="61"/>
        <v>395740.5</v>
      </c>
      <c r="BG256">
        <f t="shared" si="61"/>
        <v>1319135</v>
      </c>
      <c r="BH256">
        <f t="shared" si="61"/>
        <v>3957405</v>
      </c>
      <c r="BI256">
        <f t="shared" si="61"/>
        <v>11212647.5</v>
      </c>
      <c r="BJ256">
        <f t="shared" si="61"/>
        <v>39574050</v>
      </c>
      <c r="BK256">
        <f t="shared" si="61"/>
        <v>131913500</v>
      </c>
      <c r="BL256">
        <v>251</v>
      </c>
    </row>
    <row r="257" spans="1:64" ht="17.25" thickBot="1" x14ac:dyDescent="0.25">
      <c r="A257" s="131">
        <v>253</v>
      </c>
      <c r="B257" s="132">
        <v>34288700</v>
      </c>
      <c r="D257" s="131">
        <v>253</v>
      </c>
      <c r="E257" s="132">
        <v>13.36511</v>
      </c>
      <c r="AK257">
        <v>251</v>
      </c>
      <c r="AL257" s="24">
        <f t="shared" si="57"/>
        <v>13.24949</v>
      </c>
      <c r="AM257">
        <f t="shared" si="63"/>
        <v>92.746430000000004</v>
      </c>
      <c r="AN257">
        <f t="shared" si="63"/>
        <v>132.4949</v>
      </c>
      <c r="AO257">
        <f t="shared" si="63"/>
        <v>198.74234999999999</v>
      </c>
      <c r="AP257">
        <f t="shared" si="63"/>
        <v>264.9898</v>
      </c>
      <c r="AQ257">
        <f t="shared" si="63"/>
        <v>463.73214999999999</v>
      </c>
      <c r="AR257">
        <f t="shared" si="63"/>
        <v>662.47450000000003</v>
      </c>
      <c r="AS257">
        <f t="shared" si="63"/>
        <v>1059.9592</v>
      </c>
      <c r="AT257">
        <f t="shared" si="63"/>
        <v>1589.9387999999999</v>
      </c>
      <c r="AU257">
        <f t="shared" si="63"/>
        <v>2252.4133000000002</v>
      </c>
      <c r="AV257">
        <f t="shared" si="63"/>
        <v>3179.8775999999998</v>
      </c>
      <c r="AW257">
        <f t="shared" si="63"/>
        <v>4372.3316999999997</v>
      </c>
      <c r="AX257">
        <f t="shared" si="63"/>
        <v>6094.7654000000002</v>
      </c>
      <c r="AY257">
        <f t="shared" si="63"/>
        <v>10599.592000000001</v>
      </c>
      <c r="AZ257">
        <f t="shared" si="63"/>
        <v>19874.235000000001</v>
      </c>
      <c r="BA257">
        <f t="shared" si="63"/>
        <v>33123.724999999999</v>
      </c>
      <c r="BB257">
        <f t="shared" si="63"/>
        <v>52997.96</v>
      </c>
      <c r="BC257">
        <f t="shared" si="61"/>
        <v>132494.9</v>
      </c>
      <c r="BD257">
        <f t="shared" si="61"/>
        <v>198742.35</v>
      </c>
      <c r="BE257">
        <f t="shared" si="61"/>
        <v>317987.76</v>
      </c>
      <c r="BF257">
        <f t="shared" si="61"/>
        <v>397484.7</v>
      </c>
      <c r="BG257">
        <f t="shared" si="61"/>
        <v>1324949</v>
      </c>
      <c r="BH257">
        <f t="shared" si="61"/>
        <v>3974847</v>
      </c>
      <c r="BI257">
        <f t="shared" si="61"/>
        <v>11262066.5</v>
      </c>
      <c r="BJ257">
        <f t="shared" si="61"/>
        <v>39748470</v>
      </c>
      <c r="BK257">
        <f t="shared" si="61"/>
        <v>132494900</v>
      </c>
      <c r="BL257" s="145">
        <v>252</v>
      </c>
    </row>
    <row r="258" spans="1:64" ht="17.25" thickBot="1" x14ac:dyDescent="0.25">
      <c r="A258" s="131">
        <v>254</v>
      </c>
      <c r="B258" s="132">
        <v>34491822</v>
      </c>
      <c r="D258" s="131">
        <v>254</v>
      </c>
      <c r="E258" s="132">
        <v>13.42259</v>
      </c>
      <c r="AK258">
        <v>252</v>
      </c>
      <c r="AL258" s="24">
        <f t="shared" si="57"/>
        <v>13.307410000000001</v>
      </c>
      <c r="AM258">
        <f t="shared" si="63"/>
        <v>93.151870000000002</v>
      </c>
      <c r="AN258">
        <f t="shared" si="63"/>
        <v>133.07410000000002</v>
      </c>
      <c r="AO258">
        <f t="shared" si="63"/>
        <v>199.61115000000001</v>
      </c>
      <c r="AP258">
        <f t="shared" si="63"/>
        <v>266.14820000000003</v>
      </c>
      <c r="AQ258">
        <f t="shared" si="63"/>
        <v>465.75935000000004</v>
      </c>
      <c r="AR258">
        <f t="shared" si="63"/>
        <v>665.37049999999999</v>
      </c>
      <c r="AS258">
        <f t="shared" si="63"/>
        <v>1064.5928000000001</v>
      </c>
      <c r="AT258">
        <f t="shared" si="63"/>
        <v>1596.8892000000001</v>
      </c>
      <c r="AU258">
        <f t="shared" si="63"/>
        <v>2262.2597000000001</v>
      </c>
      <c r="AV258">
        <f t="shared" si="63"/>
        <v>3193.7784000000001</v>
      </c>
      <c r="AW258">
        <f t="shared" si="63"/>
        <v>4391.4453000000003</v>
      </c>
      <c r="AX258">
        <f t="shared" si="63"/>
        <v>6121.4086000000007</v>
      </c>
      <c r="AY258">
        <f t="shared" si="63"/>
        <v>10645.928</v>
      </c>
      <c r="AZ258">
        <f t="shared" si="63"/>
        <v>19961.115000000002</v>
      </c>
      <c r="BA258">
        <f t="shared" si="63"/>
        <v>33268.525000000001</v>
      </c>
      <c r="BB258">
        <f t="shared" si="63"/>
        <v>53229.640000000007</v>
      </c>
      <c r="BC258">
        <f t="shared" si="61"/>
        <v>133074.1</v>
      </c>
      <c r="BD258">
        <f t="shared" si="61"/>
        <v>199611.15000000002</v>
      </c>
      <c r="BE258">
        <f t="shared" si="61"/>
        <v>319377.84000000003</v>
      </c>
      <c r="BF258">
        <f t="shared" si="61"/>
        <v>399222.30000000005</v>
      </c>
      <c r="BG258">
        <f t="shared" si="61"/>
        <v>1330741</v>
      </c>
      <c r="BH258">
        <f t="shared" si="61"/>
        <v>3992223.0000000005</v>
      </c>
      <c r="BI258">
        <f t="shared" si="61"/>
        <v>11311298.5</v>
      </c>
      <c r="BJ258">
        <f t="shared" si="61"/>
        <v>39922230</v>
      </c>
      <c r="BK258">
        <f t="shared" si="61"/>
        <v>133074100.00000001</v>
      </c>
      <c r="BL258">
        <v>253</v>
      </c>
    </row>
    <row r="259" spans="1:64" ht="17.25" thickBot="1" x14ac:dyDescent="0.25">
      <c r="A259" s="131">
        <v>255</v>
      </c>
      <c r="B259" s="132">
        <v>34695344</v>
      </c>
      <c r="D259" s="131">
        <v>255</v>
      </c>
      <c r="E259" s="132">
        <v>13.479850000000001</v>
      </c>
      <c r="AK259">
        <v>253</v>
      </c>
      <c r="AL259" s="24">
        <f t="shared" si="57"/>
        <v>13.36511</v>
      </c>
      <c r="AM259">
        <f t="shared" si="63"/>
        <v>93.555769999999995</v>
      </c>
      <c r="AN259">
        <f t="shared" si="63"/>
        <v>133.65109999999999</v>
      </c>
      <c r="AO259">
        <f t="shared" si="63"/>
        <v>200.47665000000001</v>
      </c>
      <c r="AP259">
        <f t="shared" si="63"/>
        <v>267.30219999999997</v>
      </c>
      <c r="AQ259">
        <f t="shared" si="63"/>
        <v>467.77884999999998</v>
      </c>
      <c r="AR259">
        <f t="shared" si="63"/>
        <v>668.25549999999998</v>
      </c>
      <c r="AS259">
        <f t="shared" si="63"/>
        <v>1069.2087999999999</v>
      </c>
      <c r="AT259">
        <f t="shared" si="63"/>
        <v>1603.8132000000001</v>
      </c>
      <c r="AU259">
        <f t="shared" si="63"/>
        <v>2272.0686999999998</v>
      </c>
      <c r="AV259">
        <f t="shared" si="63"/>
        <v>3207.6264000000001</v>
      </c>
      <c r="AW259">
        <f t="shared" si="63"/>
        <v>4410.4862999999996</v>
      </c>
      <c r="AX259">
        <f t="shared" si="63"/>
        <v>6147.9506000000001</v>
      </c>
      <c r="AY259">
        <f t="shared" si="63"/>
        <v>10692.088</v>
      </c>
      <c r="AZ259">
        <f t="shared" si="63"/>
        <v>20047.665000000001</v>
      </c>
      <c r="BA259">
        <f t="shared" si="63"/>
        <v>33412.775000000001</v>
      </c>
      <c r="BB259">
        <f t="shared" si="63"/>
        <v>53460.439999999995</v>
      </c>
      <c r="BC259">
        <f t="shared" si="61"/>
        <v>133651.1</v>
      </c>
      <c r="BD259">
        <f t="shared" si="61"/>
        <v>200476.65</v>
      </c>
      <c r="BE259">
        <f t="shared" si="61"/>
        <v>320762.64</v>
      </c>
      <c r="BF259">
        <f t="shared" si="61"/>
        <v>400953.3</v>
      </c>
      <c r="BG259">
        <f t="shared" si="61"/>
        <v>1336511</v>
      </c>
      <c r="BH259">
        <f t="shared" si="61"/>
        <v>4009533</v>
      </c>
      <c r="BI259">
        <f t="shared" si="61"/>
        <v>11360343.5</v>
      </c>
      <c r="BJ259">
        <f t="shared" si="61"/>
        <v>40095330</v>
      </c>
      <c r="BK259">
        <f t="shared" si="61"/>
        <v>133651100</v>
      </c>
      <c r="BL259" s="145">
        <v>254</v>
      </c>
    </row>
    <row r="260" spans="1:64" ht="17.25" thickBot="1" x14ac:dyDescent="0.25">
      <c r="A260" s="131">
        <v>256</v>
      </c>
      <c r="B260" s="132">
        <v>34899261</v>
      </c>
      <c r="D260" s="131">
        <v>256</v>
      </c>
      <c r="E260" s="132">
        <v>13.53689</v>
      </c>
      <c r="AK260">
        <v>254</v>
      </c>
      <c r="AL260" s="24">
        <f t="shared" si="57"/>
        <v>13.42259</v>
      </c>
      <c r="AM260">
        <f t="shared" si="63"/>
        <v>93.958129999999997</v>
      </c>
      <c r="AN260">
        <f t="shared" si="63"/>
        <v>134.2259</v>
      </c>
      <c r="AO260">
        <f t="shared" si="63"/>
        <v>201.33884999999998</v>
      </c>
      <c r="AP260">
        <f t="shared" si="63"/>
        <v>268.45179999999999</v>
      </c>
      <c r="AQ260">
        <f t="shared" si="63"/>
        <v>469.79064999999997</v>
      </c>
      <c r="AR260">
        <f t="shared" si="63"/>
        <v>671.12950000000001</v>
      </c>
      <c r="AS260">
        <f t="shared" si="63"/>
        <v>1073.8072</v>
      </c>
      <c r="AT260">
        <f t="shared" si="63"/>
        <v>1610.7107999999998</v>
      </c>
      <c r="AU260">
        <f t="shared" si="63"/>
        <v>2281.8402999999998</v>
      </c>
      <c r="AV260">
        <f t="shared" si="63"/>
        <v>3221.4215999999997</v>
      </c>
      <c r="AW260">
        <f t="shared" si="63"/>
        <v>4429.4547000000002</v>
      </c>
      <c r="AX260">
        <f t="shared" si="63"/>
        <v>6174.3913999999995</v>
      </c>
      <c r="AY260">
        <f t="shared" si="63"/>
        <v>10738.072</v>
      </c>
      <c r="AZ260">
        <f t="shared" si="63"/>
        <v>20133.884999999998</v>
      </c>
      <c r="BA260">
        <f t="shared" si="63"/>
        <v>33556.474999999999</v>
      </c>
      <c r="BB260">
        <f t="shared" si="63"/>
        <v>53690.36</v>
      </c>
      <c r="BC260">
        <f t="shared" si="61"/>
        <v>134225.9</v>
      </c>
      <c r="BD260">
        <f t="shared" si="61"/>
        <v>201338.85</v>
      </c>
      <c r="BE260">
        <f t="shared" si="61"/>
        <v>322142.15999999997</v>
      </c>
      <c r="BF260">
        <f t="shared" si="61"/>
        <v>402677.7</v>
      </c>
      <c r="BG260">
        <f t="shared" si="61"/>
        <v>1342259</v>
      </c>
      <c r="BH260">
        <f t="shared" si="61"/>
        <v>4026777</v>
      </c>
      <c r="BI260">
        <f t="shared" si="61"/>
        <v>11409201.5</v>
      </c>
      <c r="BJ260">
        <f t="shared" si="61"/>
        <v>40267770</v>
      </c>
      <c r="BK260">
        <f t="shared" si="61"/>
        <v>134225900</v>
      </c>
      <c r="BL260">
        <v>255</v>
      </c>
    </row>
    <row r="261" spans="1:64" ht="17.25" thickBot="1" x14ac:dyDescent="0.25">
      <c r="A261" s="131">
        <v>257</v>
      </c>
      <c r="B261" s="132">
        <v>35103577</v>
      </c>
      <c r="D261" s="131">
        <v>257</v>
      </c>
      <c r="E261" s="132">
        <v>13.59371</v>
      </c>
      <c r="AK261">
        <v>255</v>
      </c>
      <c r="AL261" s="24">
        <f t="shared" si="57"/>
        <v>13.479850000000001</v>
      </c>
      <c r="AM261">
        <f t="shared" si="63"/>
        <v>94.358950000000007</v>
      </c>
      <c r="AN261">
        <f t="shared" si="63"/>
        <v>134.79850000000002</v>
      </c>
      <c r="AO261">
        <f t="shared" si="63"/>
        <v>202.19775000000001</v>
      </c>
      <c r="AP261">
        <f t="shared" si="63"/>
        <v>269.59700000000004</v>
      </c>
      <c r="AQ261">
        <f t="shared" si="63"/>
        <v>471.79475000000002</v>
      </c>
      <c r="AR261">
        <f t="shared" si="63"/>
        <v>673.99250000000006</v>
      </c>
      <c r="AS261">
        <f t="shared" si="63"/>
        <v>1078.3880000000001</v>
      </c>
      <c r="AT261">
        <f t="shared" si="63"/>
        <v>1617.5820000000001</v>
      </c>
      <c r="AU261">
        <f t="shared" si="63"/>
        <v>2291.5745000000002</v>
      </c>
      <c r="AV261">
        <f t="shared" si="63"/>
        <v>3235.1640000000002</v>
      </c>
      <c r="AW261">
        <f t="shared" si="63"/>
        <v>4448.3505000000005</v>
      </c>
      <c r="AX261">
        <f t="shared" si="63"/>
        <v>6200.7310000000007</v>
      </c>
      <c r="AY261">
        <f t="shared" si="63"/>
        <v>10783.880000000001</v>
      </c>
      <c r="AZ261">
        <f t="shared" si="63"/>
        <v>20219.775000000001</v>
      </c>
      <c r="BA261">
        <f t="shared" si="63"/>
        <v>33699.625</v>
      </c>
      <c r="BB261">
        <f t="shared" si="63"/>
        <v>53919.4</v>
      </c>
      <c r="BC261">
        <f t="shared" si="61"/>
        <v>134798.5</v>
      </c>
      <c r="BD261">
        <f t="shared" si="61"/>
        <v>202197.75</v>
      </c>
      <c r="BE261">
        <f t="shared" si="61"/>
        <v>323516.40000000002</v>
      </c>
      <c r="BF261">
        <f t="shared" si="61"/>
        <v>404395.5</v>
      </c>
      <c r="BG261">
        <f t="shared" si="61"/>
        <v>1347985</v>
      </c>
      <c r="BH261">
        <f t="shared" si="61"/>
        <v>4043955</v>
      </c>
      <c r="BI261">
        <f t="shared" si="61"/>
        <v>11457872.5</v>
      </c>
      <c r="BJ261">
        <f t="shared" si="61"/>
        <v>40439550</v>
      </c>
      <c r="BK261">
        <f t="shared" si="61"/>
        <v>134798500</v>
      </c>
      <c r="BL261" s="145">
        <v>256</v>
      </c>
    </row>
    <row r="262" spans="1:64" ht="17.25" thickBot="1" x14ac:dyDescent="0.25">
      <c r="A262" s="131">
        <v>258</v>
      </c>
      <c r="B262" s="132">
        <v>35308294</v>
      </c>
      <c r="D262" s="131">
        <v>258</v>
      </c>
      <c r="E262" s="132">
        <v>13.650320000000001</v>
      </c>
      <c r="AK262">
        <v>256</v>
      </c>
      <c r="AL262" s="24">
        <f t="shared" si="57"/>
        <v>13.53689</v>
      </c>
      <c r="AM262">
        <f t="shared" si="63"/>
        <v>94.758229999999998</v>
      </c>
      <c r="AN262">
        <f t="shared" si="63"/>
        <v>135.3689</v>
      </c>
      <c r="AO262">
        <f t="shared" si="63"/>
        <v>203.05334999999999</v>
      </c>
      <c r="AP262">
        <f t="shared" si="63"/>
        <v>270.73779999999999</v>
      </c>
      <c r="AQ262">
        <f t="shared" si="63"/>
        <v>473.79115000000002</v>
      </c>
      <c r="AR262">
        <f t="shared" si="63"/>
        <v>676.84449999999993</v>
      </c>
      <c r="AS262">
        <f t="shared" si="63"/>
        <v>1082.9512</v>
      </c>
      <c r="AT262">
        <f t="shared" si="63"/>
        <v>1624.4268</v>
      </c>
      <c r="AU262">
        <f t="shared" si="63"/>
        <v>2301.2712999999999</v>
      </c>
      <c r="AV262">
        <f t="shared" si="63"/>
        <v>3248.8535999999999</v>
      </c>
      <c r="AW262">
        <f t="shared" si="63"/>
        <v>4467.1737000000003</v>
      </c>
      <c r="AX262">
        <f t="shared" si="63"/>
        <v>6226.9694</v>
      </c>
      <c r="AY262">
        <f t="shared" si="63"/>
        <v>10829.511999999999</v>
      </c>
      <c r="AZ262">
        <f t="shared" si="63"/>
        <v>20305.334999999999</v>
      </c>
      <c r="BA262">
        <f t="shared" si="63"/>
        <v>33842.224999999999</v>
      </c>
      <c r="BB262">
        <f t="shared" si="63"/>
        <v>54147.56</v>
      </c>
      <c r="BC262">
        <f t="shared" si="61"/>
        <v>135368.9</v>
      </c>
      <c r="BD262">
        <f t="shared" si="61"/>
        <v>203053.35</v>
      </c>
      <c r="BE262">
        <f t="shared" si="61"/>
        <v>324885.36</v>
      </c>
      <c r="BF262">
        <f t="shared" si="61"/>
        <v>406106.7</v>
      </c>
      <c r="BG262">
        <f t="shared" si="61"/>
        <v>1353689</v>
      </c>
      <c r="BH262">
        <f t="shared" si="61"/>
        <v>4061067</v>
      </c>
      <c r="BI262">
        <f t="shared" si="61"/>
        <v>11506356.5</v>
      </c>
      <c r="BJ262">
        <f t="shared" si="61"/>
        <v>40610670</v>
      </c>
      <c r="BK262">
        <f t="shared" si="61"/>
        <v>135368900</v>
      </c>
      <c r="BL262">
        <v>257</v>
      </c>
    </row>
    <row r="263" spans="1:64" ht="17.25" thickBot="1" x14ac:dyDescent="0.25">
      <c r="A263" s="131">
        <v>259</v>
      </c>
      <c r="B263" s="132">
        <v>35513405</v>
      </c>
      <c r="D263" s="131">
        <v>259</v>
      </c>
      <c r="E263" s="132">
        <v>13.706720000000001</v>
      </c>
      <c r="AK263">
        <v>257</v>
      </c>
      <c r="AL263" s="24">
        <f t="shared" si="57"/>
        <v>13.59371</v>
      </c>
      <c r="AM263">
        <f t="shared" si="63"/>
        <v>95.155969999999996</v>
      </c>
      <c r="AN263">
        <f t="shared" si="63"/>
        <v>135.93709999999999</v>
      </c>
      <c r="AO263">
        <f t="shared" si="63"/>
        <v>203.90565000000001</v>
      </c>
      <c r="AP263">
        <f t="shared" si="63"/>
        <v>271.87419999999997</v>
      </c>
      <c r="AQ263">
        <f t="shared" si="63"/>
        <v>475.77985000000001</v>
      </c>
      <c r="AR263">
        <f t="shared" si="63"/>
        <v>679.68549999999993</v>
      </c>
      <c r="AS263">
        <f t="shared" si="63"/>
        <v>1087.4967999999999</v>
      </c>
      <c r="AT263">
        <f t="shared" si="63"/>
        <v>1631.2452000000001</v>
      </c>
      <c r="AU263">
        <f t="shared" si="63"/>
        <v>2310.9306999999999</v>
      </c>
      <c r="AV263">
        <f t="shared" si="63"/>
        <v>3262.4904000000001</v>
      </c>
      <c r="AW263">
        <f t="shared" si="63"/>
        <v>4485.9242999999997</v>
      </c>
      <c r="AX263">
        <f t="shared" si="63"/>
        <v>6253.1066000000001</v>
      </c>
      <c r="AY263">
        <f t="shared" si="63"/>
        <v>10874.967999999999</v>
      </c>
      <c r="AZ263">
        <f t="shared" si="63"/>
        <v>20390.564999999999</v>
      </c>
      <c r="BA263">
        <f t="shared" si="63"/>
        <v>33984.275000000001</v>
      </c>
      <c r="BB263">
        <f t="shared" si="63"/>
        <v>54374.84</v>
      </c>
      <c r="BC263">
        <f t="shared" si="61"/>
        <v>135937.1</v>
      </c>
      <c r="BD263">
        <f t="shared" si="61"/>
        <v>203905.65</v>
      </c>
      <c r="BE263">
        <f t="shared" si="61"/>
        <v>326249.03999999998</v>
      </c>
      <c r="BF263">
        <f t="shared" si="61"/>
        <v>407811.3</v>
      </c>
      <c r="BG263">
        <f t="shared" si="61"/>
        <v>1359371</v>
      </c>
      <c r="BH263">
        <f t="shared" si="61"/>
        <v>4078113</v>
      </c>
      <c r="BI263">
        <f t="shared" si="61"/>
        <v>11554653.5</v>
      </c>
      <c r="BJ263">
        <f t="shared" si="61"/>
        <v>40781130</v>
      </c>
      <c r="BK263">
        <f t="shared" si="61"/>
        <v>135937100</v>
      </c>
      <c r="BL263" s="145">
        <v>258</v>
      </c>
    </row>
    <row r="264" spans="1:64" ht="17.25" thickBot="1" x14ac:dyDescent="0.25">
      <c r="A264" s="131">
        <v>260</v>
      </c>
      <c r="B264" s="132">
        <v>35718911</v>
      </c>
      <c r="D264" s="131">
        <v>260</v>
      </c>
      <c r="E264" s="132">
        <v>13.7629</v>
      </c>
      <c r="AK264">
        <v>258</v>
      </c>
      <c r="AL264" s="24">
        <f t="shared" si="57"/>
        <v>13.650320000000001</v>
      </c>
      <c r="AM264">
        <f t="shared" si="63"/>
        <v>95.552240000000012</v>
      </c>
      <c r="AN264">
        <f t="shared" si="63"/>
        <v>136.50319999999999</v>
      </c>
      <c r="AO264">
        <f t="shared" si="63"/>
        <v>204.75480000000002</v>
      </c>
      <c r="AP264">
        <f t="shared" si="63"/>
        <v>273.00639999999999</v>
      </c>
      <c r="AQ264">
        <f t="shared" si="63"/>
        <v>477.76120000000003</v>
      </c>
      <c r="AR264">
        <f t="shared" si="63"/>
        <v>682.51600000000008</v>
      </c>
      <c r="AS264">
        <f t="shared" si="63"/>
        <v>1092.0255999999999</v>
      </c>
      <c r="AT264">
        <f t="shared" si="63"/>
        <v>1638.0384000000001</v>
      </c>
      <c r="AU264">
        <f t="shared" si="63"/>
        <v>2320.5544</v>
      </c>
      <c r="AV264">
        <f t="shared" si="63"/>
        <v>3276.0768000000003</v>
      </c>
      <c r="AW264">
        <f t="shared" si="63"/>
        <v>4504.6055999999999</v>
      </c>
      <c r="AX264">
        <f t="shared" si="63"/>
        <v>6279.1472000000003</v>
      </c>
      <c r="AY264">
        <f t="shared" si="63"/>
        <v>10920.256000000001</v>
      </c>
      <c r="AZ264">
        <f t="shared" si="63"/>
        <v>20475.48</v>
      </c>
      <c r="BA264">
        <f t="shared" si="63"/>
        <v>34125.800000000003</v>
      </c>
      <c r="BB264">
        <f t="shared" si="63"/>
        <v>54601.280000000006</v>
      </c>
      <c r="BC264">
        <f t="shared" si="61"/>
        <v>136503.20000000001</v>
      </c>
      <c r="BD264">
        <f t="shared" si="61"/>
        <v>204754.80000000002</v>
      </c>
      <c r="BE264">
        <f t="shared" si="61"/>
        <v>327607.67999999999</v>
      </c>
      <c r="BF264">
        <f t="shared" si="61"/>
        <v>409509.60000000003</v>
      </c>
      <c r="BG264">
        <f t="shared" si="61"/>
        <v>1365032</v>
      </c>
      <c r="BH264">
        <f t="shared" ref="BC264:BK292" si="64">BH$5*VLOOKUP($AK264,$D$2:$E$1404,2,FALSE)</f>
        <v>4095096</v>
      </c>
      <c r="BI264">
        <f t="shared" si="64"/>
        <v>11602772</v>
      </c>
      <c r="BJ264">
        <f t="shared" si="64"/>
        <v>40950960</v>
      </c>
      <c r="BK264">
        <f t="shared" si="64"/>
        <v>136503200</v>
      </c>
      <c r="BL264">
        <v>259</v>
      </c>
    </row>
    <row r="265" spans="1:64" ht="17.25" thickBot="1" x14ac:dyDescent="0.25">
      <c r="A265" s="131">
        <v>261</v>
      </c>
      <c r="B265" s="132">
        <v>35924811</v>
      </c>
      <c r="D265" s="131">
        <v>261</v>
      </c>
      <c r="E265" s="132">
        <v>13.81888</v>
      </c>
      <c r="AK265">
        <v>259</v>
      </c>
      <c r="AL265" s="24">
        <f t="shared" si="57"/>
        <v>13.706720000000001</v>
      </c>
      <c r="AM265">
        <f t="shared" si="63"/>
        <v>95.947040000000001</v>
      </c>
      <c r="AN265">
        <f t="shared" si="63"/>
        <v>137.06720000000001</v>
      </c>
      <c r="AO265">
        <f t="shared" si="63"/>
        <v>205.60080000000002</v>
      </c>
      <c r="AP265">
        <f t="shared" si="63"/>
        <v>274.13440000000003</v>
      </c>
      <c r="AQ265">
        <f t="shared" si="63"/>
        <v>479.73520000000002</v>
      </c>
      <c r="AR265">
        <f t="shared" si="63"/>
        <v>685.33600000000001</v>
      </c>
      <c r="AS265">
        <f t="shared" si="63"/>
        <v>1096.5376000000001</v>
      </c>
      <c r="AT265">
        <f t="shared" si="63"/>
        <v>1644.8064000000002</v>
      </c>
      <c r="AU265">
        <f t="shared" si="63"/>
        <v>2330.1424000000002</v>
      </c>
      <c r="AV265">
        <f t="shared" si="63"/>
        <v>3289.6128000000003</v>
      </c>
      <c r="AW265">
        <f t="shared" si="63"/>
        <v>4523.2175999999999</v>
      </c>
      <c r="AX265">
        <f t="shared" si="63"/>
        <v>6305.0912000000008</v>
      </c>
      <c r="AY265">
        <f t="shared" si="63"/>
        <v>10965.376</v>
      </c>
      <c r="AZ265">
        <f t="shared" si="63"/>
        <v>20560.080000000002</v>
      </c>
      <c r="BA265">
        <f t="shared" si="63"/>
        <v>34266.800000000003</v>
      </c>
      <c r="BB265">
        <f t="shared" si="63"/>
        <v>54826.880000000005</v>
      </c>
      <c r="BC265">
        <f t="shared" si="64"/>
        <v>137067.20000000001</v>
      </c>
      <c r="BD265">
        <f t="shared" si="64"/>
        <v>205600.80000000002</v>
      </c>
      <c r="BE265">
        <f t="shared" si="64"/>
        <v>328961.28000000003</v>
      </c>
      <c r="BF265">
        <f t="shared" si="64"/>
        <v>411201.60000000003</v>
      </c>
      <c r="BG265">
        <f t="shared" si="64"/>
        <v>1370672</v>
      </c>
      <c r="BH265">
        <f t="shared" si="64"/>
        <v>4112016</v>
      </c>
      <c r="BI265">
        <f t="shared" si="64"/>
        <v>11650712</v>
      </c>
      <c r="BJ265">
        <f t="shared" si="64"/>
        <v>41120160</v>
      </c>
      <c r="BK265">
        <f t="shared" si="64"/>
        <v>137067200</v>
      </c>
      <c r="BL265" s="145">
        <v>260</v>
      </c>
    </row>
    <row r="266" spans="1:64" ht="17.25" thickBot="1" x14ac:dyDescent="0.25">
      <c r="A266" s="131">
        <v>262</v>
      </c>
      <c r="B266" s="132">
        <v>36131105</v>
      </c>
      <c r="D266" s="131">
        <v>262</v>
      </c>
      <c r="E266" s="132">
        <v>13.874650000000001</v>
      </c>
      <c r="AK266">
        <v>260</v>
      </c>
      <c r="AL266" s="24">
        <f t="shared" si="57"/>
        <v>13.7629</v>
      </c>
      <c r="AM266">
        <f t="shared" si="63"/>
        <v>96.340299999999999</v>
      </c>
      <c r="AN266">
        <f t="shared" si="63"/>
        <v>137.62899999999999</v>
      </c>
      <c r="AO266">
        <f t="shared" si="63"/>
        <v>206.4435</v>
      </c>
      <c r="AP266">
        <f t="shared" si="63"/>
        <v>275.25799999999998</v>
      </c>
      <c r="AQ266">
        <f t="shared" si="63"/>
        <v>481.70150000000001</v>
      </c>
      <c r="AR266">
        <f t="shared" si="63"/>
        <v>688.14499999999998</v>
      </c>
      <c r="AS266">
        <f t="shared" si="63"/>
        <v>1101.0319999999999</v>
      </c>
      <c r="AT266">
        <f t="shared" si="63"/>
        <v>1651.548</v>
      </c>
      <c r="AU266">
        <f t="shared" si="63"/>
        <v>2339.6930000000002</v>
      </c>
      <c r="AV266">
        <f t="shared" si="63"/>
        <v>3303.096</v>
      </c>
      <c r="AW266">
        <f t="shared" si="63"/>
        <v>4541.7569999999996</v>
      </c>
      <c r="AX266">
        <f t="shared" si="63"/>
        <v>6330.9340000000002</v>
      </c>
      <c r="AY266">
        <f t="shared" si="63"/>
        <v>11010.32</v>
      </c>
      <c r="AZ266">
        <f t="shared" si="63"/>
        <v>20644.349999999999</v>
      </c>
      <c r="BA266">
        <f t="shared" si="63"/>
        <v>34407.25</v>
      </c>
      <c r="BB266">
        <f t="shared" si="63"/>
        <v>55051.6</v>
      </c>
      <c r="BC266">
        <f t="shared" si="64"/>
        <v>137629</v>
      </c>
      <c r="BD266">
        <f t="shared" si="64"/>
        <v>206443.5</v>
      </c>
      <c r="BE266">
        <f t="shared" si="64"/>
        <v>330309.59999999998</v>
      </c>
      <c r="BF266">
        <f t="shared" si="64"/>
        <v>412887</v>
      </c>
      <c r="BG266">
        <f t="shared" si="64"/>
        <v>1376290</v>
      </c>
      <c r="BH266">
        <f t="shared" si="64"/>
        <v>4128870</v>
      </c>
      <c r="BI266">
        <f t="shared" si="64"/>
        <v>11698465</v>
      </c>
      <c r="BJ266">
        <f t="shared" si="64"/>
        <v>41288700</v>
      </c>
      <c r="BK266">
        <f t="shared" si="64"/>
        <v>137629000</v>
      </c>
      <c r="BL266">
        <v>261</v>
      </c>
    </row>
    <row r="267" spans="1:64" ht="17.25" thickBot="1" x14ac:dyDescent="0.25">
      <c r="A267" s="131">
        <v>263</v>
      </c>
      <c r="B267" s="132">
        <v>36337794</v>
      </c>
      <c r="D267" s="131">
        <v>263</v>
      </c>
      <c r="E267" s="132">
        <v>13.930210000000001</v>
      </c>
      <c r="AK267">
        <v>261</v>
      </c>
      <c r="AL267" s="24">
        <f t="shared" si="57"/>
        <v>13.81888</v>
      </c>
      <c r="AM267">
        <f t="shared" si="63"/>
        <v>96.732159999999993</v>
      </c>
      <c r="AN267">
        <f t="shared" si="63"/>
        <v>138.18880000000001</v>
      </c>
      <c r="AO267">
        <f t="shared" si="63"/>
        <v>207.28319999999999</v>
      </c>
      <c r="AP267">
        <f t="shared" si="63"/>
        <v>276.37760000000003</v>
      </c>
      <c r="AQ267">
        <f t="shared" si="63"/>
        <v>483.66079999999999</v>
      </c>
      <c r="AR267">
        <f t="shared" si="63"/>
        <v>690.94399999999996</v>
      </c>
      <c r="AS267">
        <f t="shared" si="63"/>
        <v>1105.5104000000001</v>
      </c>
      <c r="AT267">
        <f t="shared" si="63"/>
        <v>1658.2655999999999</v>
      </c>
      <c r="AU267">
        <f t="shared" si="63"/>
        <v>2349.2096000000001</v>
      </c>
      <c r="AV267">
        <f t="shared" si="63"/>
        <v>3316.5311999999999</v>
      </c>
      <c r="AW267">
        <f t="shared" si="63"/>
        <v>4560.2304000000004</v>
      </c>
      <c r="AX267">
        <f t="shared" si="63"/>
        <v>6356.6848</v>
      </c>
      <c r="AY267">
        <f t="shared" si="63"/>
        <v>11055.103999999999</v>
      </c>
      <c r="AZ267">
        <f t="shared" si="63"/>
        <v>20728.32</v>
      </c>
      <c r="BA267">
        <f t="shared" si="63"/>
        <v>34547.199999999997</v>
      </c>
      <c r="BB267">
        <f t="shared" si="63"/>
        <v>55275.519999999997</v>
      </c>
      <c r="BC267">
        <f t="shared" si="64"/>
        <v>138188.79999999999</v>
      </c>
      <c r="BD267">
        <f t="shared" si="64"/>
        <v>207283.20000000001</v>
      </c>
      <c r="BE267">
        <f t="shared" si="64"/>
        <v>331653.12</v>
      </c>
      <c r="BF267">
        <f t="shared" si="64"/>
        <v>414566.40000000002</v>
      </c>
      <c r="BG267">
        <f t="shared" si="64"/>
        <v>1381888</v>
      </c>
      <c r="BH267">
        <f t="shared" si="64"/>
        <v>4145664</v>
      </c>
      <c r="BI267">
        <f t="shared" si="64"/>
        <v>11746048</v>
      </c>
      <c r="BJ267">
        <f t="shared" si="64"/>
        <v>41456640</v>
      </c>
      <c r="BK267">
        <f t="shared" si="64"/>
        <v>138188800</v>
      </c>
      <c r="BL267" s="145">
        <v>262</v>
      </c>
    </row>
    <row r="268" spans="1:64" ht="17.25" thickBot="1" x14ac:dyDescent="0.25">
      <c r="A268" s="131">
        <v>264</v>
      </c>
      <c r="B268" s="132">
        <v>36544877</v>
      </c>
      <c r="D268" s="131">
        <v>264</v>
      </c>
      <c r="E268" s="132">
        <v>13.985569999999999</v>
      </c>
      <c r="AK268">
        <v>262</v>
      </c>
      <c r="AL268" s="24">
        <f t="shared" si="57"/>
        <v>13.874650000000001</v>
      </c>
      <c r="AM268">
        <f t="shared" si="63"/>
        <v>97.122550000000004</v>
      </c>
      <c r="AN268">
        <f t="shared" si="63"/>
        <v>138.7465</v>
      </c>
      <c r="AO268">
        <f t="shared" si="63"/>
        <v>208.11975000000001</v>
      </c>
      <c r="AP268">
        <f t="shared" si="63"/>
        <v>277.49299999999999</v>
      </c>
      <c r="AQ268">
        <f t="shared" si="63"/>
        <v>485.61275000000001</v>
      </c>
      <c r="AR268">
        <f t="shared" si="63"/>
        <v>693.73250000000007</v>
      </c>
      <c r="AS268">
        <f t="shared" si="63"/>
        <v>1109.972</v>
      </c>
      <c r="AT268">
        <f t="shared" si="63"/>
        <v>1664.9580000000001</v>
      </c>
      <c r="AU268">
        <f t="shared" si="63"/>
        <v>2358.6905000000002</v>
      </c>
      <c r="AV268">
        <f t="shared" si="63"/>
        <v>3329.9160000000002</v>
      </c>
      <c r="AW268">
        <f t="shared" si="63"/>
        <v>4578.6345000000001</v>
      </c>
      <c r="AX268">
        <f t="shared" si="63"/>
        <v>6382.3389999999999</v>
      </c>
      <c r="AY268">
        <f t="shared" si="63"/>
        <v>11099.720000000001</v>
      </c>
      <c r="AZ268">
        <f t="shared" si="63"/>
        <v>20811.975000000002</v>
      </c>
      <c r="BA268">
        <f t="shared" si="63"/>
        <v>34686.625</v>
      </c>
      <c r="BB268">
        <f t="shared" si="63"/>
        <v>55498.600000000006</v>
      </c>
      <c r="BC268">
        <f t="shared" si="64"/>
        <v>138746.5</v>
      </c>
      <c r="BD268">
        <f t="shared" si="64"/>
        <v>208119.75</v>
      </c>
      <c r="BE268">
        <f t="shared" si="64"/>
        <v>332991.60000000003</v>
      </c>
      <c r="BF268">
        <f t="shared" si="64"/>
        <v>416239.5</v>
      </c>
      <c r="BG268">
        <f t="shared" si="64"/>
        <v>1387465</v>
      </c>
      <c r="BH268">
        <f t="shared" si="64"/>
        <v>4162395.0000000005</v>
      </c>
      <c r="BI268">
        <f t="shared" si="64"/>
        <v>11793452.5</v>
      </c>
      <c r="BJ268">
        <f t="shared" si="64"/>
        <v>41623950</v>
      </c>
      <c r="BK268">
        <f t="shared" si="64"/>
        <v>138746500</v>
      </c>
      <c r="BL268">
        <v>263</v>
      </c>
    </row>
    <row r="269" spans="1:64" ht="17.25" thickBot="1" x14ac:dyDescent="0.25">
      <c r="A269" s="131">
        <v>265</v>
      </c>
      <c r="B269" s="132">
        <v>36752350</v>
      </c>
      <c r="D269" s="131">
        <v>265</v>
      </c>
      <c r="E269" s="132">
        <v>14.04072</v>
      </c>
      <c r="AK269">
        <v>263</v>
      </c>
      <c r="AL269" s="24">
        <f t="shared" si="57"/>
        <v>13.930210000000001</v>
      </c>
      <c r="AM269">
        <f t="shared" si="63"/>
        <v>97.511470000000003</v>
      </c>
      <c r="AN269">
        <f t="shared" si="63"/>
        <v>139.3021</v>
      </c>
      <c r="AO269">
        <f t="shared" si="63"/>
        <v>208.95315000000002</v>
      </c>
      <c r="AP269">
        <f t="shared" si="63"/>
        <v>278.60419999999999</v>
      </c>
      <c r="AQ269">
        <f t="shared" si="63"/>
        <v>487.55735000000004</v>
      </c>
      <c r="AR269">
        <f t="shared" si="63"/>
        <v>696.51049999999998</v>
      </c>
      <c r="AS269">
        <f t="shared" si="63"/>
        <v>1114.4168</v>
      </c>
      <c r="AT269">
        <f t="shared" si="63"/>
        <v>1671.6252000000002</v>
      </c>
      <c r="AU269">
        <f t="shared" si="63"/>
        <v>2368.1357000000003</v>
      </c>
      <c r="AV269">
        <f t="shared" si="63"/>
        <v>3343.2504000000004</v>
      </c>
      <c r="AW269">
        <f t="shared" si="63"/>
        <v>4596.9693000000007</v>
      </c>
      <c r="AX269">
        <f t="shared" si="63"/>
        <v>6407.8966</v>
      </c>
      <c r="AY269">
        <f t="shared" si="63"/>
        <v>11144.168</v>
      </c>
      <c r="AZ269">
        <f t="shared" si="63"/>
        <v>20895.315000000002</v>
      </c>
      <c r="BA269">
        <f t="shared" si="63"/>
        <v>34825.525000000001</v>
      </c>
      <c r="BB269">
        <f t="shared" si="63"/>
        <v>55720.840000000004</v>
      </c>
      <c r="BC269">
        <f t="shared" si="64"/>
        <v>139302.1</v>
      </c>
      <c r="BD269">
        <f t="shared" si="64"/>
        <v>208953.15000000002</v>
      </c>
      <c r="BE269">
        <f t="shared" si="64"/>
        <v>334325.04000000004</v>
      </c>
      <c r="BF269">
        <f t="shared" si="64"/>
        <v>417906.30000000005</v>
      </c>
      <c r="BG269">
        <f t="shared" si="64"/>
        <v>1393021</v>
      </c>
      <c r="BH269">
        <f t="shared" si="64"/>
        <v>4179063</v>
      </c>
      <c r="BI269">
        <f t="shared" si="64"/>
        <v>11840678.5</v>
      </c>
      <c r="BJ269">
        <f t="shared" si="64"/>
        <v>41790630</v>
      </c>
      <c r="BK269">
        <f t="shared" si="64"/>
        <v>139302100</v>
      </c>
      <c r="BL269" s="145">
        <v>264</v>
      </c>
    </row>
    <row r="270" spans="1:64" ht="17.25" thickBot="1" x14ac:dyDescent="0.25">
      <c r="A270" s="131">
        <v>266</v>
      </c>
      <c r="B270" s="132">
        <v>36960211</v>
      </c>
      <c r="D270" s="131">
        <v>266</v>
      </c>
      <c r="E270" s="132">
        <v>14.09567</v>
      </c>
      <c r="AK270">
        <v>264</v>
      </c>
      <c r="AL270" s="24">
        <f t="shared" si="57"/>
        <v>13.985569999999999</v>
      </c>
      <c r="AM270">
        <f t="shared" si="63"/>
        <v>97.898989999999998</v>
      </c>
      <c r="AN270">
        <f t="shared" si="63"/>
        <v>139.85569999999998</v>
      </c>
      <c r="AO270">
        <f t="shared" si="63"/>
        <v>209.78354999999999</v>
      </c>
      <c r="AP270">
        <f t="shared" si="63"/>
        <v>279.71139999999997</v>
      </c>
      <c r="AQ270">
        <f t="shared" si="63"/>
        <v>489.49494999999996</v>
      </c>
      <c r="AR270">
        <f t="shared" si="63"/>
        <v>699.27850000000001</v>
      </c>
      <c r="AS270">
        <f t="shared" si="63"/>
        <v>1118.8455999999999</v>
      </c>
      <c r="AT270">
        <f t="shared" si="63"/>
        <v>1678.2683999999999</v>
      </c>
      <c r="AU270">
        <f t="shared" si="63"/>
        <v>2377.5468999999998</v>
      </c>
      <c r="AV270">
        <f t="shared" si="63"/>
        <v>3356.5367999999999</v>
      </c>
      <c r="AW270">
        <f t="shared" si="63"/>
        <v>4615.2380999999996</v>
      </c>
      <c r="AX270">
        <f t="shared" si="63"/>
        <v>6433.3621999999996</v>
      </c>
      <c r="AY270">
        <f t="shared" si="63"/>
        <v>11188.456</v>
      </c>
      <c r="AZ270">
        <f t="shared" si="63"/>
        <v>20978.355</v>
      </c>
      <c r="BA270">
        <f t="shared" si="63"/>
        <v>34963.924999999996</v>
      </c>
      <c r="BB270">
        <f t="shared" si="63"/>
        <v>55942.28</v>
      </c>
      <c r="BC270">
        <f t="shared" si="64"/>
        <v>139855.69999999998</v>
      </c>
      <c r="BD270">
        <f t="shared" si="64"/>
        <v>209783.55</v>
      </c>
      <c r="BE270">
        <f t="shared" si="64"/>
        <v>335653.68</v>
      </c>
      <c r="BF270">
        <f t="shared" si="64"/>
        <v>419567.1</v>
      </c>
      <c r="BG270">
        <f t="shared" si="64"/>
        <v>1398557</v>
      </c>
      <c r="BH270">
        <f t="shared" si="64"/>
        <v>4195671</v>
      </c>
      <c r="BI270">
        <f t="shared" si="64"/>
        <v>11887734.5</v>
      </c>
      <c r="BJ270">
        <f t="shared" si="64"/>
        <v>41956710</v>
      </c>
      <c r="BK270">
        <f t="shared" si="64"/>
        <v>139855700</v>
      </c>
      <c r="BL270">
        <v>265</v>
      </c>
    </row>
    <row r="271" spans="1:64" ht="17.25" thickBot="1" x14ac:dyDescent="0.25">
      <c r="A271" s="131">
        <v>267</v>
      </c>
      <c r="B271" s="132">
        <v>37168466</v>
      </c>
      <c r="D271" s="131">
        <v>267</v>
      </c>
      <c r="E271" s="132">
        <v>14.15042</v>
      </c>
      <c r="AK271">
        <v>265</v>
      </c>
      <c r="AL271" s="24">
        <f t="shared" ref="AL271:AL334" si="65">VLOOKUP(AK271,D$2:E$1404,2,FALSE)</f>
        <v>14.04072</v>
      </c>
      <c r="AM271">
        <f t="shared" si="63"/>
        <v>98.285040000000009</v>
      </c>
      <c r="AN271">
        <f t="shared" si="63"/>
        <v>140.40719999999999</v>
      </c>
      <c r="AO271">
        <f t="shared" si="63"/>
        <v>210.61080000000001</v>
      </c>
      <c r="AP271">
        <f t="shared" si="63"/>
        <v>280.81439999999998</v>
      </c>
      <c r="AQ271">
        <f t="shared" si="63"/>
        <v>491.42520000000002</v>
      </c>
      <c r="AR271">
        <f t="shared" si="63"/>
        <v>702.03600000000006</v>
      </c>
      <c r="AS271">
        <f t="shared" si="63"/>
        <v>1123.2575999999999</v>
      </c>
      <c r="AT271">
        <f t="shared" si="63"/>
        <v>1684.8864000000001</v>
      </c>
      <c r="AU271">
        <f t="shared" si="63"/>
        <v>2386.9223999999999</v>
      </c>
      <c r="AV271">
        <f t="shared" si="63"/>
        <v>3369.7728000000002</v>
      </c>
      <c r="AW271">
        <f t="shared" si="63"/>
        <v>4633.4376000000002</v>
      </c>
      <c r="AX271">
        <f t="shared" si="63"/>
        <v>6458.7312000000002</v>
      </c>
      <c r="AY271">
        <f t="shared" si="63"/>
        <v>11232.576000000001</v>
      </c>
      <c r="AZ271">
        <f t="shared" si="63"/>
        <v>21061.08</v>
      </c>
      <c r="BA271">
        <f t="shared" si="63"/>
        <v>35101.800000000003</v>
      </c>
      <c r="BB271">
        <f t="shared" si="63"/>
        <v>56162.880000000005</v>
      </c>
      <c r="BC271">
        <f t="shared" si="64"/>
        <v>140407.20000000001</v>
      </c>
      <c r="BD271">
        <f t="shared" si="64"/>
        <v>210610.80000000002</v>
      </c>
      <c r="BE271">
        <f t="shared" si="64"/>
        <v>336977.28</v>
      </c>
      <c r="BF271">
        <f t="shared" si="64"/>
        <v>421221.60000000003</v>
      </c>
      <c r="BG271">
        <f t="shared" si="64"/>
        <v>1404072</v>
      </c>
      <c r="BH271">
        <f t="shared" si="64"/>
        <v>4212216</v>
      </c>
      <c r="BI271">
        <f t="shared" si="64"/>
        <v>11934612</v>
      </c>
      <c r="BJ271">
        <f t="shared" si="64"/>
        <v>42122160</v>
      </c>
      <c r="BK271">
        <f t="shared" si="64"/>
        <v>140407200</v>
      </c>
      <c r="BL271" s="145">
        <v>266</v>
      </c>
    </row>
    <row r="272" spans="1:64" ht="17.25" thickBot="1" x14ac:dyDescent="0.25">
      <c r="A272" s="131">
        <v>268</v>
      </c>
      <c r="B272" s="132">
        <v>37377111</v>
      </c>
      <c r="D272" s="131">
        <v>268</v>
      </c>
      <c r="E272" s="132">
        <v>14.204969999999999</v>
      </c>
      <c r="AK272">
        <v>266</v>
      </c>
      <c r="AL272" s="24">
        <f t="shared" si="65"/>
        <v>14.09567</v>
      </c>
      <c r="AM272">
        <f t="shared" si="63"/>
        <v>98.669690000000003</v>
      </c>
      <c r="AN272">
        <f t="shared" si="63"/>
        <v>140.95670000000001</v>
      </c>
      <c r="AO272">
        <f t="shared" si="63"/>
        <v>211.43504999999999</v>
      </c>
      <c r="AP272">
        <f t="shared" si="63"/>
        <v>281.91340000000002</v>
      </c>
      <c r="AQ272">
        <f t="shared" si="63"/>
        <v>493.34845000000001</v>
      </c>
      <c r="AR272">
        <f t="shared" si="63"/>
        <v>704.7835</v>
      </c>
      <c r="AS272">
        <f t="shared" si="63"/>
        <v>1127.6536000000001</v>
      </c>
      <c r="AT272">
        <f t="shared" si="63"/>
        <v>1691.4803999999999</v>
      </c>
      <c r="AU272">
        <f t="shared" si="63"/>
        <v>2396.2638999999999</v>
      </c>
      <c r="AV272">
        <f t="shared" si="63"/>
        <v>3382.9607999999998</v>
      </c>
      <c r="AW272">
        <f t="shared" si="63"/>
        <v>4651.5711000000001</v>
      </c>
      <c r="AX272">
        <f t="shared" si="63"/>
        <v>6484.0082000000002</v>
      </c>
      <c r="AY272">
        <f t="shared" ref="AM272:BB288" si="66">AY$5*VLOOKUP($AK272,$D$2:$E$1404,2,FALSE)</f>
        <v>11276.536</v>
      </c>
      <c r="AZ272">
        <f t="shared" si="66"/>
        <v>21143.505000000001</v>
      </c>
      <c r="BA272">
        <f t="shared" si="66"/>
        <v>35239.175000000003</v>
      </c>
      <c r="BB272">
        <f t="shared" si="66"/>
        <v>56382.68</v>
      </c>
      <c r="BC272">
        <f t="shared" si="64"/>
        <v>140956.70000000001</v>
      </c>
      <c r="BD272">
        <f t="shared" si="64"/>
        <v>211435.05</v>
      </c>
      <c r="BE272">
        <f t="shared" si="64"/>
        <v>338296.08</v>
      </c>
      <c r="BF272">
        <f t="shared" si="64"/>
        <v>422870.1</v>
      </c>
      <c r="BG272">
        <f t="shared" si="64"/>
        <v>1409567</v>
      </c>
      <c r="BH272">
        <f t="shared" si="64"/>
        <v>4228701</v>
      </c>
      <c r="BI272">
        <f t="shared" si="64"/>
        <v>11981319.5</v>
      </c>
      <c r="BJ272">
        <f t="shared" si="64"/>
        <v>42287010</v>
      </c>
      <c r="BK272">
        <f t="shared" si="64"/>
        <v>140956700</v>
      </c>
      <c r="BL272">
        <v>267</v>
      </c>
    </row>
    <row r="273" spans="1:64" ht="17.25" thickBot="1" x14ac:dyDescent="0.25">
      <c r="A273" s="131">
        <v>269</v>
      </c>
      <c r="B273" s="132">
        <v>37586144</v>
      </c>
      <c r="D273" s="131">
        <v>269</v>
      </c>
      <c r="E273" s="132">
        <v>14.259320000000001</v>
      </c>
      <c r="AK273">
        <v>267</v>
      </c>
      <c r="AL273" s="24">
        <f t="shared" si="65"/>
        <v>14.15042</v>
      </c>
      <c r="AM273">
        <f t="shared" si="66"/>
        <v>99.052940000000007</v>
      </c>
      <c r="AN273">
        <f t="shared" si="66"/>
        <v>141.5042</v>
      </c>
      <c r="AO273">
        <f t="shared" si="66"/>
        <v>212.25630000000001</v>
      </c>
      <c r="AP273">
        <f t="shared" si="66"/>
        <v>283.00839999999999</v>
      </c>
      <c r="AQ273">
        <f t="shared" si="66"/>
        <v>495.2647</v>
      </c>
      <c r="AR273">
        <f t="shared" si="66"/>
        <v>707.52100000000007</v>
      </c>
      <c r="AS273">
        <f t="shared" si="66"/>
        <v>1132.0336</v>
      </c>
      <c r="AT273">
        <f t="shared" si="66"/>
        <v>1698.0504000000001</v>
      </c>
      <c r="AU273">
        <f t="shared" si="66"/>
        <v>2405.5714000000003</v>
      </c>
      <c r="AV273">
        <f t="shared" si="66"/>
        <v>3396.1008000000002</v>
      </c>
      <c r="AW273">
        <f t="shared" si="66"/>
        <v>4669.6386000000002</v>
      </c>
      <c r="AX273">
        <f t="shared" si="66"/>
        <v>6509.1932000000006</v>
      </c>
      <c r="AY273">
        <f t="shared" si="66"/>
        <v>11320.336000000001</v>
      </c>
      <c r="AZ273">
        <f t="shared" si="66"/>
        <v>21225.63</v>
      </c>
      <c r="BA273">
        <f t="shared" si="66"/>
        <v>35376.050000000003</v>
      </c>
      <c r="BB273">
        <f t="shared" si="66"/>
        <v>56601.68</v>
      </c>
      <c r="BC273">
        <f t="shared" si="64"/>
        <v>141504.20000000001</v>
      </c>
      <c r="BD273">
        <f t="shared" si="64"/>
        <v>212256.30000000002</v>
      </c>
      <c r="BE273">
        <f t="shared" si="64"/>
        <v>339610.08</v>
      </c>
      <c r="BF273">
        <f t="shared" si="64"/>
        <v>424512.60000000003</v>
      </c>
      <c r="BG273">
        <f t="shared" si="64"/>
        <v>1415042</v>
      </c>
      <c r="BH273">
        <f t="shared" si="64"/>
        <v>4245126</v>
      </c>
      <c r="BI273">
        <f t="shared" si="64"/>
        <v>12027857</v>
      </c>
      <c r="BJ273">
        <f t="shared" si="64"/>
        <v>42451260</v>
      </c>
      <c r="BK273">
        <f t="shared" si="64"/>
        <v>141504200</v>
      </c>
      <c r="BL273" s="145">
        <v>268</v>
      </c>
    </row>
    <row r="274" spans="1:64" ht="17.25" thickBot="1" x14ac:dyDescent="0.25">
      <c r="A274" s="131">
        <v>270</v>
      </c>
      <c r="B274" s="132">
        <v>37795566</v>
      </c>
      <c r="D274" s="131">
        <v>270</v>
      </c>
      <c r="E274" s="132">
        <v>14.31348</v>
      </c>
      <c r="AK274">
        <v>268</v>
      </c>
      <c r="AL274" s="24">
        <f t="shared" si="65"/>
        <v>14.204969999999999</v>
      </c>
      <c r="AM274">
        <f t="shared" si="66"/>
        <v>99.434789999999992</v>
      </c>
      <c r="AN274">
        <f t="shared" si="66"/>
        <v>142.0497</v>
      </c>
      <c r="AO274">
        <f t="shared" si="66"/>
        <v>213.07454999999999</v>
      </c>
      <c r="AP274">
        <f t="shared" si="66"/>
        <v>284.0994</v>
      </c>
      <c r="AQ274">
        <f t="shared" si="66"/>
        <v>497.17394999999999</v>
      </c>
      <c r="AR274">
        <f t="shared" si="66"/>
        <v>710.24849999999992</v>
      </c>
      <c r="AS274">
        <f t="shared" si="66"/>
        <v>1136.3976</v>
      </c>
      <c r="AT274">
        <f t="shared" si="66"/>
        <v>1704.5963999999999</v>
      </c>
      <c r="AU274">
        <f t="shared" si="66"/>
        <v>2414.8449000000001</v>
      </c>
      <c r="AV274">
        <f t="shared" si="66"/>
        <v>3409.1927999999998</v>
      </c>
      <c r="AW274">
        <f t="shared" si="66"/>
        <v>4687.6400999999996</v>
      </c>
      <c r="AX274">
        <f t="shared" si="66"/>
        <v>6534.2861999999996</v>
      </c>
      <c r="AY274">
        <f t="shared" si="66"/>
        <v>11363.975999999999</v>
      </c>
      <c r="AZ274">
        <f t="shared" si="66"/>
        <v>21307.454999999998</v>
      </c>
      <c r="BA274">
        <f t="shared" si="66"/>
        <v>35512.424999999996</v>
      </c>
      <c r="BB274">
        <f t="shared" si="66"/>
        <v>56819.88</v>
      </c>
      <c r="BC274">
        <f t="shared" si="64"/>
        <v>142049.69999999998</v>
      </c>
      <c r="BD274">
        <f t="shared" si="64"/>
        <v>213074.55</v>
      </c>
      <c r="BE274">
        <f t="shared" si="64"/>
        <v>340919.27999999997</v>
      </c>
      <c r="BF274">
        <f t="shared" si="64"/>
        <v>426149.1</v>
      </c>
      <c r="BG274">
        <f t="shared" si="64"/>
        <v>1420497</v>
      </c>
      <c r="BH274">
        <f t="shared" si="64"/>
        <v>4261491</v>
      </c>
      <c r="BI274">
        <f t="shared" si="64"/>
        <v>12074224.5</v>
      </c>
      <c r="BJ274">
        <f t="shared" si="64"/>
        <v>42614910</v>
      </c>
      <c r="BK274">
        <f t="shared" si="64"/>
        <v>142049700</v>
      </c>
      <c r="BL274">
        <v>269</v>
      </c>
    </row>
    <row r="275" spans="1:64" ht="17.25" thickBot="1" x14ac:dyDescent="0.25">
      <c r="A275" s="131">
        <v>271</v>
      </c>
      <c r="B275" s="132">
        <v>38005372</v>
      </c>
      <c r="D275" s="131">
        <v>271</v>
      </c>
      <c r="E275" s="132">
        <v>14.36744</v>
      </c>
      <c r="AK275">
        <v>269</v>
      </c>
      <c r="AL275" s="24">
        <f t="shared" si="65"/>
        <v>14.259320000000001</v>
      </c>
      <c r="AM275">
        <f t="shared" si="66"/>
        <v>99.815240000000003</v>
      </c>
      <c r="AN275">
        <f t="shared" si="66"/>
        <v>142.5932</v>
      </c>
      <c r="AO275">
        <f t="shared" si="66"/>
        <v>213.88980000000001</v>
      </c>
      <c r="AP275">
        <f t="shared" si="66"/>
        <v>285.18639999999999</v>
      </c>
      <c r="AQ275">
        <f t="shared" si="66"/>
        <v>499.07620000000003</v>
      </c>
      <c r="AR275">
        <f t="shared" si="66"/>
        <v>712.96600000000001</v>
      </c>
      <c r="AS275">
        <f t="shared" si="66"/>
        <v>1140.7456</v>
      </c>
      <c r="AT275">
        <f t="shared" si="66"/>
        <v>1711.1184000000001</v>
      </c>
      <c r="AU275">
        <f t="shared" si="66"/>
        <v>2424.0844000000002</v>
      </c>
      <c r="AV275">
        <f t="shared" si="66"/>
        <v>3422.2368000000001</v>
      </c>
      <c r="AW275">
        <f t="shared" si="66"/>
        <v>4705.5756000000001</v>
      </c>
      <c r="AX275">
        <f t="shared" si="66"/>
        <v>6559.2872000000007</v>
      </c>
      <c r="AY275">
        <f t="shared" si="66"/>
        <v>11407.456</v>
      </c>
      <c r="AZ275">
        <f t="shared" si="66"/>
        <v>21388.98</v>
      </c>
      <c r="BA275">
        <f t="shared" si="66"/>
        <v>35648.300000000003</v>
      </c>
      <c r="BB275">
        <f t="shared" si="66"/>
        <v>57037.280000000006</v>
      </c>
      <c r="BC275">
        <f t="shared" si="64"/>
        <v>142593.20000000001</v>
      </c>
      <c r="BD275">
        <f t="shared" si="64"/>
        <v>213889.80000000002</v>
      </c>
      <c r="BE275">
        <f t="shared" si="64"/>
        <v>342223.68</v>
      </c>
      <c r="BF275">
        <f t="shared" si="64"/>
        <v>427779.60000000003</v>
      </c>
      <c r="BG275">
        <f t="shared" si="64"/>
        <v>1425932</v>
      </c>
      <c r="BH275">
        <f t="shared" si="64"/>
        <v>4277796</v>
      </c>
      <c r="BI275">
        <f t="shared" si="64"/>
        <v>12120422</v>
      </c>
      <c r="BJ275">
        <f t="shared" si="64"/>
        <v>42777960</v>
      </c>
      <c r="BK275">
        <f t="shared" si="64"/>
        <v>142593200</v>
      </c>
      <c r="BL275" s="145">
        <v>270</v>
      </c>
    </row>
    <row r="276" spans="1:64" ht="17.25" thickBot="1" x14ac:dyDescent="0.25">
      <c r="A276" s="131">
        <v>272</v>
      </c>
      <c r="B276" s="132">
        <v>38215566</v>
      </c>
      <c r="D276" s="131">
        <v>272</v>
      </c>
      <c r="E276" s="132">
        <v>14.42121</v>
      </c>
      <c r="AK276">
        <v>270</v>
      </c>
      <c r="AL276" s="24">
        <f t="shared" si="65"/>
        <v>14.31348</v>
      </c>
      <c r="AM276">
        <f t="shared" si="66"/>
        <v>100.19436</v>
      </c>
      <c r="AN276">
        <f t="shared" si="66"/>
        <v>143.13480000000001</v>
      </c>
      <c r="AO276">
        <f t="shared" si="66"/>
        <v>214.7022</v>
      </c>
      <c r="AP276">
        <f t="shared" si="66"/>
        <v>286.26960000000003</v>
      </c>
      <c r="AQ276">
        <f t="shared" si="66"/>
        <v>500.97180000000003</v>
      </c>
      <c r="AR276">
        <f t="shared" si="66"/>
        <v>715.67399999999998</v>
      </c>
      <c r="AS276">
        <f t="shared" si="66"/>
        <v>1145.0784000000001</v>
      </c>
      <c r="AT276">
        <f t="shared" si="66"/>
        <v>1717.6176</v>
      </c>
      <c r="AU276">
        <f t="shared" si="66"/>
        <v>2433.2916</v>
      </c>
      <c r="AV276">
        <f t="shared" si="66"/>
        <v>3435.2352000000001</v>
      </c>
      <c r="AW276">
        <f t="shared" si="66"/>
        <v>4723.4484000000002</v>
      </c>
      <c r="AX276">
        <f t="shared" si="66"/>
        <v>6584.2008000000005</v>
      </c>
      <c r="AY276">
        <f t="shared" si="66"/>
        <v>11450.784</v>
      </c>
      <c r="AZ276">
        <f t="shared" si="66"/>
        <v>21470.22</v>
      </c>
      <c r="BA276">
        <f t="shared" si="66"/>
        <v>35783.699999999997</v>
      </c>
      <c r="BB276">
        <f t="shared" si="66"/>
        <v>57253.919999999998</v>
      </c>
      <c r="BC276">
        <f t="shared" si="64"/>
        <v>143134.79999999999</v>
      </c>
      <c r="BD276">
        <f t="shared" si="64"/>
        <v>214702.2</v>
      </c>
      <c r="BE276">
        <f t="shared" si="64"/>
        <v>343523.52</v>
      </c>
      <c r="BF276">
        <f t="shared" si="64"/>
        <v>429404.4</v>
      </c>
      <c r="BG276">
        <f t="shared" si="64"/>
        <v>1431348</v>
      </c>
      <c r="BH276">
        <f t="shared" si="64"/>
        <v>4294044</v>
      </c>
      <c r="BI276">
        <f t="shared" si="64"/>
        <v>12166458</v>
      </c>
      <c r="BJ276">
        <f t="shared" si="64"/>
        <v>42940440</v>
      </c>
      <c r="BK276">
        <f t="shared" si="64"/>
        <v>143134800</v>
      </c>
      <c r="BL276">
        <v>271</v>
      </c>
    </row>
    <row r="277" spans="1:64" ht="17.25" thickBot="1" x14ac:dyDescent="0.25">
      <c r="A277" s="131">
        <v>273</v>
      </c>
      <c r="B277" s="132">
        <v>38426150</v>
      </c>
      <c r="D277" s="131">
        <v>273</v>
      </c>
      <c r="E277" s="132">
        <v>14.47479</v>
      </c>
      <c r="AK277">
        <v>271</v>
      </c>
      <c r="AL277" s="24">
        <f t="shared" si="65"/>
        <v>14.36744</v>
      </c>
      <c r="AM277">
        <f t="shared" si="66"/>
        <v>100.57208</v>
      </c>
      <c r="AN277">
        <f t="shared" si="66"/>
        <v>143.67439999999999</v>
      </c>
      <c r="AO277">
        <f t="shared" si="66"/>
        <v>215.51160000000002</v>
      </c>
      <c r="AP277">
        <f t="shared" si="66"/>
        <v>287.34879999999998</v>
      </c>
      <c r="AQ277">
        <f t="shared" si="66"/>
        <v>502.86040000000003</v>
      </c>
      <c r="AR277">
        <f t="shared" si="66"/>
        <v>718.37199999999996</v>
      </c>
      <c r="AS277">
        <f t="shared" si="66"/>
        <v>1149.3951999999999</v>
      </c>
      <c r="AT277">
        <f t="shared" si="66"/>
        <v>1724.0928000000001</v>
      </c>
      <c r="AU277">
        <f t="shared" si="66"/>
        <v>2442.4648000000002</v>
      </c>
      <c r="AV277">
        <f t="shared" si="66"/>
        <v>3448.1856000000002</v>
      </c>
      <c r="AW277">
        <f t="shared" si="66"/>
        <v>4741.2552000000005</v>
      </c>
      <c r="AX277">
        <f t="shared" si="66"/>
        <v>6609.0223999999998</v>
      </c>
      <c r="AY277">
        <f t="shared" si="66"/>
        <v>11493.951999999999</v>
      </c>
      <c r="AZ277">
        <f t="shared" si="66"/>
        <v>21551.16</v>
      </c>
      <c r="BA277">
        <f t="shared" si="66"/>
        <v>35918.6</v>
      </c>
      <c r="BB277">
        <f t="shared" si="66"/>
        <v>57469.760000000002</v>
      </c>
      <c r="BC277">
        <f t="shared" si="64"/>
        <v>143674.4</v>
      </c>
      <c r="BD277">
        <f t="shared" si="64"/>
        <v>215511.6</v>
      </c>
      <c r="BE277">
        <f t="shared" si="64"/>
        <v>344818.56</v>
      </c>
      <c r="BF277">
        <f t="shared" si="64"/>
        <v>431023.2</v>
      </c>
      <c r="BG277">
        <f t="shared" si="64"/>
        <v>1436744</v>
      </c>
      <c r="BH277">
        <f t="shared" si="64"/>
        <v>4310232</v>
      </c>
      <c r="BI277">
        <f t="shared" si="64"/>
        <v>12212324</v>
      </c>
      <c r="BJ277">
        <f t="shared" si="64"/>
        <v>43102320</v>
      </c>
      <c r="BK277">
        <f t="shared" si="64"/>
        <v>143674400</v>
      </c>
      <c r="BL277" s="145">
        <v>272</v>
      </c>
    </row>
    <row r="278" spans="1:64" ht="17.25" thickBot="1" x14ac:dyDescent="0.25">
      <c r="A278" s="131">
        <v>274</v>
      </c>
      <c r="B278" s="132">
        <v>38637116</v>
      </c>
      <c r="D278" s="131">
        <v>274</v>
      </c>
      <c r="E278" s="132">
        <v>14.528180000000001</v>
      </c>
      <c r="AK278">
        <v>272</v>
      </c>
      <c r="AL278" s="24">
        <f t="shared" si="65"/>
        <v>14.42121</v>
      </c>
      <c r="AM278">
        <f t="shared" si="66"/>
        <v>100.94847</v>
      </c>
      <c r="AN278">
        <f t="shared" si="66"/>
        <v>144.21209999999999</v>
      </c>
      <c r="AO278">
        <f t="shared" si="66"/>
        <v>216.31815</v>
      </c>
      <c r="AP278">
        <f t="shared" si="66"/>
        <v>288.42419999999998</v>
      </c>
      <c r="AQ278">
        <f t="shared" si="66"/>
        <v>504.74234999999999</v>
      </c>
      <c r="AR278">
        <f t="shared" si="66"/>
        <v>721.06050000000005</v>
      </c>
      <c r="AS278">
        <f t="shared" si="66"/>
        <v>1153.6967999999999</v>
      </c>
      <c r="AT278">
        <f t="shared" si="66"/>
        <v>1730.5452</v>
      </c>
      <c r="AU278">
        <f t="shared" si="66"/>
        <v>2451.6057000000001</v>
      </c>
      <c r="AV278">
        <f t="shared" si="66"/>
        <v>3461.0904</v>
      </c>
      <c r="AW278">
        <f t="shared" si="66"/>
        <v>4758.9993000000004</v>
      </c>
      <c r="AX278">
        <f t="shared" si="66"/>
        <v>6633.7565999999997</v>
      </c>
      <c r="AY278">
        <f t="shared" si="66"/>
        <v>11536.968000000001</v>
      </c>
      <c r="AZ278">
        <f t="shared" si="66"/>
        <v>21631.814999999999</v>
      </c>
      <c r="BA278">
        <f t="shared" si="66"/>
        <v>36053.025000000001</v>
      </c>
      <c r="BB278">
        <f t="shared" si="66"/>
        <v>57684.840000000004</v>
      </c>
      <c r="BC278">
        <f t="shared" si="64"/>
        <v>144212.1</v>
      </c>
      <c r="BD278">
        <f t="shared" si="64"/>
        <v>216318.15</v>
      </c>
      <c r="BE278">
        <f t="shared" si="64"/>
        <v>346109.04</v>
      </c>
      <c r="BF278">
        <f t="shared" si="64"/>
        <v>432636.3</v>
      </c>
      <c r="BG278">
        <f t="shared" si="64"/>
        <v>1442121</v>
      </c>
      <c r="BH278">
        <f t="shared" si="64"/>
        <v>4326363</v>
      </c>
      <c r="BI278">
        <f t="shared" si="64"/>
        <v>12258028.5</v>
      </c>
      <c r="BJ278">
        <f t="shared" si="64"/>
        <v>43263630</v>
      </c>
      <c r="BK278">
        <f t="shared" si="64"/>
        <v>144212100</v>
      </c>
      <c r="BL278">
        <v>273</v>
      </c>
    </row>
    <row r="279" spans="1:64" ht="17.25" thickBot="1" x14ac:dyDescent="0.25">
      <c r="A279" s="131">
        <v>275</v>
      </c>
      <c r="B279" s="132">
        <v>38848466</v>
      </c>
      <c r="D279" s="131">
        <v>275</v>
      </c>
      <c r="E279" s="132">
        <v>14.581379999999999</v>
      </c>
      <c r="AK279">
        <v>273</v>
      </c>
      <c r="AL279" s="24">
        <f t="shared" si="65"/>
        <v>14.47479</v>
      </c>
      <c r="AM279">
        <f t="shared" si="66"/>
        <v>101.32353000000001</v>
      </c>
      <c r="AN279">
        <f t="shared" si="66"/>
        <v>144.74790000000002</v>
      </c>
      <c r="AO279">
        <f t="shared" si="66"/>
        <v>217.12184999999999</v>
      </c>
      <c r="AP279">
        <f t="shared" si="66"/>
        <v>289.49580000000003</v>
      </c>
      <c r="AQ279">
        <f t="shared" si="66"/>
        <v>506.61765000000003</v>
      </c>
      <c r="AR279">
        <f t="shared" si="66"/>
        <v>723.73950000000002</v>
      </c>
      <c r="AS279">
        <f t="shared" si="66"/>
        <v>1157.9832000000001</v>
      </c>
      <c r="AT279">
        <f t="shared" si="66"/>
        <v>1736.9748</v>
      </c>
      <c r="AU279">
        <f t="shared" si="66"/>
        <v>2460.7143000000001</v>
      </c>
      <c r="AV279">
        <f t="shared" si="66"/>
        <v>3473.9495999999999</v>
      </c>
      <c r="AW279">
        <f t="shared" si="66"/>
        <v>4776.6806999999999</v>
      </c>
      <c r="AX279">
        <f t="shared" si="66"/>
        <v>6658.4034000000001</v>
      </c>
      <c r="AY279">
        <f t="shared" si="66"/>
        <v>11579.832</v>
      </c>
      <c r="AZ279">
        <f t="shared" si="66"/>
        <v>21712.185000000001</v>
      </c>
      <c r="BA279">
        <f t="shared" si="66"/>
        <v>36186.974999999999</v>
      </c>
      <c r="BB279">
        <f t="shared" si="66"/>
        <v>57899.16</v>
      </c>
      <c r="BC279">
        <f t="shared" si="64"/>
        <v>144747.9</v>
      </c>
      <c r="BD279">
        <f t="shared" si="64"/>
        <v>217121.85</v>
      </c>
      <c r="BE279">
        <f t="shared" si="64"/>
        <v>347394.96</v>
      </c>
      <c r="BF279">
        <f t="shared" si="64"/>
        <v>434243.7</v>
      </c>
      <c r="BG279">
        <f t="shared" si="64"/>
        <v>1447479</v>
      </c>
      <c r="BH279">
        <f t="shared" si="64"/>
        <v>4342437</v>
      </c>
      <c r="BI279">
        <f t="shared" si="64"/>
        <v>12303571.5</v>
      </c>
      <c r="BJ279">
        <f t="shared" si="64"/>
        <v>43424370</v>
      </c>
      <c r="BK279">
        <f t="shared" si="64"/>
        <v>144747900</v>
      </c>
      <c r="BL279" s="145">
        <v>274</v>
      </c>
    </row>
    <row r="280" spans="1:64" ht="17.25" thickBot="1" x14ac:dyDescent="0.25">
      <c r="A280" s="131">
        <v>276</v>
      </c>
      <c r="B280" s="132">
        <v>39060200</v>
      </c>
      <c r="D280" s="131">
        <v>276</v>
      </c>
      <c r="E280" s="132">
        <v>14.63439</v>
      </c>
      <c r="AK280">
        <v>274</v>
      </c>
      <c r="AL280" s="24">
        <f t="shared" si="65"/>
        <v>14.528180000000001</v>
      </c>
      <c r="AM280">
        <f t="shared" si="66"/>
        <v>101.69726</v>
      </c>
      <c r="AN280">
        <f t="shared" si="66"/>
        <v>145.2818</v>
      </c>
      <c r="AO280">
        <f t="shared" si="66"/>
        <v>217.92270000000002</v>
      </c>
      <c r="AP280">
        <f t="shared" si="66"/>
        <v>290.56360000000001</v>
      </c>
      <c r="AQ280">
        <f t="shared" si="66"/>
        <v>508.48630000000003</v>
      </c>
      <c r="AR280">
        <f t="shared" si="66"/>
        <v>726.40899999999999</v>
      </c>
      <c r="AS280">
        <f t="shared" si="66"/>
        <v>1162.2544</v>
      </c>
      <c r="AT280">
        <f t="shared" si="66"/>
        <v>1743.3816000000002</v>
      </c>
      <c r="AU280">
        <f t="shared" si="66"/>
        <v>2469.7906000000003</v>
      </c>
      <c r="AV280">
        <f t="shared" si="66"/>
        <v>3486.7632000000003</v>
      </c>
      <c r="AW280">
        <f t="shared" si="66"/>
        <v>4794.2993999999999</v>
      </c>
      <c r="AX280">
        <f t="shared" si="66"/>
        <v>6682.9628000000002</v>
      </c>
      <c r="AY280">
        <f t="shared" si="66"/>
        <v>11622.544</v>
      </c>
      <c r="AZ280">
        <f t="shared" si="66"/>
        <v>21792.27</v>
      </c>
      <c r="BA280">
        <f t="shared" si="66"/>
        <v>36320.450000000004</v>
      </c>
      <c r="BB280">
        <f t="shared" si="66"/>
        <v>58112.72</v>
      </c>
      <c r="BC280">
        <f t="shared" si="64"/>
        <v>145281.80000000002</v>
      </c>
      <c r="BD280">
        <f t="shared" si="64"/>
        <v>217922.7</v>
      </c>
      <c r="BE280">
        <f t="shared" si="64"/>
        <v>348676.32</v>
      </c>
      <c r="BF280">
        <f t="shared" si="64"/>
        <v>435845.4</v>
      </c>
      <c r="BG280">
        <f t="shared" si="64"/>
        <v>1452818</v>
      </c>
      <c r="BH280">
        <f t="shared" si="64"/>
        <v>4358454</v>
      </c>
      <c r="BI280">
        <f t="shared" si="64"/>
        <v>12348953</v>
      </c>
      <c r="BJ280">
        <f t="shared" si="64"/>
        <v>43584540</v>
      </c>
      <c r="BK280">
        <f t="shared" si="64"/>
        <v>145281800</v>
      </c>
      <c r="BL280">
        <v>275</v>
      </c>
    </row>
    <row r="281" spans="1:64" ht="17.25" thickBot="1" x14ac:dyDescent="0.25">
      <c r="A281" s="131">
        <v>277</v>
      </c>
      <c r="B281" s="132">
        <v>39272316</v>
      </c>
      <c r="D281" s="131">
        <v>277</v>
      </c>
      <c r="E281" s="132">
        <v>14.68721</v>
      </c>
      <c r="AK281">
        <v>275</v>
      </c>
      <c r="AL281" s="24">
        <f t="shared" si="65"/>
        <v>14.581379999999999</v>
      </c>
      <c r="AM281">
        <f t="shared" si="66"/>
        <v>102.06966</v>
      </c>
      <c r="AN281">
        <f t="shared" si="66"/>
        <v>145.81379999999999</v>
      </c>
      <c r="AO281">
        <f t="shared" si="66"/>
        <v>218.72069999999999</v>
      </c>
      <c r="AP281">
        <f t="shared" si="66"/>
        <v>291.62759999999997</v>
      </c>
      <c r="AQ281">
        <f t="shared" si="66"/>
        <v>510.34829999999999</v>
      </c>
      <c r="AR281">
        <f t="shared" si="66"/>
        <v>729.06899999999996</v>
      </c>
      <c r="AS281">
        <f t="shared" si="66"/>
        <v>1166.5103999999999</v>
      </c>
      <c r="AT281">
        <f t="shared" si="66"/>
        <v>1749.7655999999999</v>
      </c>
      <c r="AU281">
        <f t="shared" si="66"/>
        <v>2478.8345999999997</v>
      </c>
      <c r="AV281">
        <f t="shared" si="66"/>
        <v>3499.5311999999999</v>
      </c>
      <c r="AW281">
        <f t="shared" si="66"/>
        <v>4811.8553999999995</v>
      </c>
      <c r="AX281">
        <f t="shared" si="66"/>
        <v>6707.4348</v>
      </c>
      <c r="AY281">
        <f t="shared" si="66"/>
        <v>11665.103999999999</v>
      </c>
      <c r="AZ281">
        <f t="shared" si="66"/>
        <v>21872.07</v>
      </c>
      <c r="BA281">
        <f t="shared" si="66"/>
        <v>36453.449999999997</v>
      </c>
      <c r="BB281">
        <f t="shared" si="66"/>
        <v>58325.52</v>
      </c>
      <c r="BC281">
        <f t="shared" si="64"/>
        <v>145813.79999999999</v>
      </c>
      <c r="BD281">
        <f t="shared" si="64"/>
        <v>218720.69999999998</v>
      </c>
      <c r="BE281">
        <f t="shared" si="64"/>
        <v>349953.12</v>
      </c>
      <c r="BF281">
        <f t="shared" si="64"/>
        <v>437441.39999999997</v>
      </c>
      <c r="BG281">
        <f t="shared" si="64"/>
        <v>1458138</v>
      </c>
      <c r="BH281">
        <f t="shared" si="64"/>
        <v>4374414</v>
      </c>
      <c r="BI281">
        <f t="shared" si="64"/>
        <v>12394173</v>
      </c>
      <c r="BJ281">
        <f t="shared" si="64"/>
        <v>43744140</v>
      </c>
      <c r="BK281">
        <f t="shared" si="64"/>
        <v>145813800</v>
      </c>
      <c r="BL281" s="145">
        <v>276</v>
      </c>
    </row>
    <row r="282" spans="1:64" ht="17.25" thickBot="1" x14ac:dyDescent="0.25">
      <c r="A282" s="131">
        <v>278</v>
      </c>
      <c r="B282" s="132">
        <v>39484816</v>
      </c>
      <c r="D282" s="131">
        <v>278</v>
      </c>
      <c r="E282" s="132">
        <v>14.739850000000001</v>
      </c>
      <c r="AK282">
        <v>276</v>
      </c>
      <c r="AL282" s="24">
        <f t="shared" si="65"/>
        <v>14.63439</v>
      </c>
      <c r="AM282">
        <f t="shared" si="66"/>
        <v>102.44073</v>
      </c>
      <c r="AN282">
        <f t="shared" si="66"/>
        <v>146.34389999999999</v>
      </c>
      <c r="AO282">
        <f t="shared" si="66"/>
        <v>219.51585</v>
      </c>
      <c r="AP282">
        <f t="shared" si="66"/>
        <v>292.68779999999998</v>
      </c>
      <c r="AQ282">
        <f t="shared" si="66"/>
        <v>512.20365000000004</v>
      </c>
      <c r="AR282">
        <f t="shared" si="66"/>
        <v>731.71950000000004</v>
      </c>
      <c r="AS282">
        <f t="shared" si="66"/>
        <v>1170.7511999999999</v>
      </c>
      <c r="AT282">
        <f t="shared" si="66"/>
        <v>1756.1268</v>
      </c>
      <c r="AU282">
        <f t="shared" si="66"/>
        <v>2487.8463000000002</v>
      </c>
      <c r="AV282">
        <f t="shared" si="66"/>
        <v>3512.2536</v>
      </c>
      <c r="AW282">
        <f t="shared" si="66"/>
        <v>4829.3486999999996</v>
      </c>
      <c r="AX282">
        <f t="shared" si="66"/>
        <v>6731.8194000000003</v>
      </c>
      <c r="AY282">
        <f t="shared" si="66"/>
        <v>11707.512000000001</v>
      </c>
      <c r="AZ282">
        <f t="shared" si="66"/>
        <v>21951.584999999999</v>
      </c>
      <c r="BA282">
        <f t="shared" si="66"/>
        <v>36585.974999999999</v>
      </c>
      <c r="BB282">
        <f t="shared" si="66"/>
        <v>58537.56</v>
      </c>
      <c r="BC282">
        <f t="shared" si="64"/>
        <v>146343.9</v>
      </c>
      <c r="BD282">
        <f t="shared" si="64"/>
        <v>219515.85</v>
      </c>
      <c r="BE282">
        <f t="shared" si="64"/>
        <v>351225.36</v>
      </c>
      <c r="BF282">
        <f t="shared" si="64"/>
        <v>439031.7</v>
      </c>
      <c r="BG282">
        <f t="shared" si="64"/>
        <v>1463439</v>
      </c>
      <c r="BH282">
        <f t="shared" si="64"/>
        <v>4390317</v>
      </c>
      <c r="BI282">
        <f t="shared" si="64"/>
        <v>12439231.5</v>
      </c>
      <c r="BJ282">
        <f t="shared" si="64"/>
        <v>43903170</v>
      </c>
      <c r="BK282">
        <f t="shared" si="64"/>
        <v>146343900</v>
      </c>
      <c r="BL282">
        <v>277</v>
      </c>
    </row>
    <row r="283" spans="1:64" ht="17.25" thickBot="1" x14ac:dyDescent="0.25">
      <c r="A283" s="131">
        <v>279</v>
      </c>
      <c r="B283" s="132">
        <v>39697700</v>
      </c>
      <c r="D283" s="131">
        <v>279</v>
      </c>
      <c r="E283" s="132">
        <v>14.792299999999999</v>
      </c>
      <c r="AK283">
        <v>277</v>
      </c>
      <c r="AL283" s="24">
        <f t="shared" si="65"/>
        <v>14.68721</v>
      </c>
      <c r="AM283">
        <f t="shared" si="66"/>
        <v>102.81047000000001</v>
      </c>
      <c r="AN283">
        <f t="shared" si="66"/>
        <v>146.87209999999999</v>
      </c>
      <c r="AO283">
        <f t="shared" si="66"/>
        <v>220.30815000000001</v>
      </c>
      <c r="AP283">
        <f t="shared" si="66"/>
        <v>293.74419999999998</v>
      </c>
      <c r="AQ283">
        <f t="shared" si="66"/>
        <v>514.05235000000005</v>
      </c>
      <c r="AR283">
        <f t="shared" si="66"/>
        <v>734.3605</v>
      </c>
      <c r="AS283">
        <f t="shared" si="66"/>
        <v>1174.9767999999999</v>
      </c>
      <c r="AT283">
        <f t="shared" si="66"/>
        <v>1762.4652000000001</v>
      </c>
      <c r="AU283">
        <f t="shared" si="66"/>
        <v>2496.8256999999999</v>
      </c>
      <c r="AV283">
        <f t="shared" si="66"/>
        <v>3524.9304000000002</v>
      </c>
      <c r="AW283">
        <f t="shared" si="66"/>
        <v>4846.7793000000001</v>
      </c>
      <c r="AX283">
        <f t="shared" si="66"/>
        <v>6756.1166000000003</v>
      </c>
      <c r="AY283">
        <f t="shared" si="66"/>
        <v>11749.768</v>
      </c>
      <c r="AZ283">
        <f t="shared" si="66"/>
        <v>22030.814999999999</v>
      </c>
      <c r="BA283">
        <f t="shared" si="66"/>
        <v>36718.025000000001</v>
      </c>
      <c r="BB283">
        <f t="shared" si="66"/>
        <v>58748.840000000004</v>
      </c>
      <c r="BC283">
        <f t="shared" si="64"/>
        <v>146872.1</v>
      </c>
      <c r="BD283">
        <f t="shared" si="64"/>
        <v>220308.15</v>
      </c>
      <c r="BE283">
        <f t="shared" si="64"/>
        <v>352493.04</v>
      </c>
      <c r="BF283">
        <f t="shared" si="64"/>
        <v>440616.3</v>
      </c>
      <c r="BG283">
        <f t="shared" si="64"/>
        <v>1468721</v>
      </c>
      <c r="BH283">
        <f t="shared" si="64"/>
        <v>4406163</v>
      </c>
      <c r="BI283">
        <f t="shared" si="64"/>
        <v>12484128.5</v>
      </c>
      <c r="BJ283">
        <f t="shared" si="64"/>
        <v>44061630</v>
      </c>
      <c r="BK283">
        <f t="shared" si="64"/>
        <v>146872100</v>
      </c>
      <c r="BL283" s="145">
        <v>278</v>
      </c>
    </row>
    <row r="284" spans="1:64" ht="17.25" thickBot="1" x14ac:dyDescent="0.25">
      <c r="A284" s="131">
        <v>280</v>
      </c>
      <c r="B284" s="132">
        <v>39910961</v>
      </c>
      <c r="D284" s="131">
        <v>280</v>
      </c>
      <c r="E284" s="132">
        <v>14.844569999999999</v>
      </c>
      <c r="AK284">
        <v>278</v>
      </c>
      <c r="AL284" s="24">
        <f t="shared" si="65"/>
        <v>14.739850000000001</v>
      </c>
      <c r="AM284">
        <f t="shared" si="66"/>
        <v>103.17895</v>
      </c>
      <c r="AN284">
        <f t="shared" si="66"/>
        <v>147.39850000000001</v>
      </c>
      <c r="AO284">
        <f t="shared" si="66"/>
        <v>221.09775000000002</v>
      </c>
      <c r="AP284">
        <f t="shared" si="66"/>
        <v>294.79700000000003</v>
      </c>
      <c r="AQ284">
        <f t="shared" si="66"/>
        <v>515.89475000000004</v>
      </c>
      <c r="AR284">
        <f t="shared" si="66"/>
        <v>736.99250000000006</v>
      </c>
      <c r="AS284">
        <f t="shared" si="66"/>
        <v>1179.1880000000001</v>
      </c>
      <c r="AT284">
        <f t="shared" si="66"/>
        <v>1768.7820000000002</v>
      </c>
      <c r="AU284">
        <f t="shared" si="66"/>
        <v>2505.7745</v>
      </c>
      <c r="AV284">
        <f t="shared" si="66"/>
        <v>3537.5640000000003</v>
      </c>
      <c r="AW284">
        <f t="shared" si="66"/>
        <v>4864.1504999999997</v>
      </c>
      <c r="AX284">
        <f t="shared" si="66"/>
        <v>6780.3310000000001</v>
      </c>
      <c r="AY284">
        <f t="shared" si="66"/>
        <v>11791.880000000001</v>
      </c>
      <c r="AZ284">
        <f t="shared" si="66"/>
        <v>22109.775000000001</v>
      </c>
      <c r="BA284">
        <f t="shared" si="66"/>
        <v>36849.625</v>
      </c>
      <c r="BB284">
        <f t="shared" si="66"/>
        <v>58959.4</v>
      </c>
      <c r="BC284">
        <f t="shared" si="64"/>
        <v>147398.5</v>
      </c>
      <c r="BD284">
        <f t="shared" si="64"/>
        <v>221097.75</v>
      </c>
      <c r="BE284">
        <f t="shared" si="64"/>
        <v>353756.4</v>
      </c>
      <c r="BF284">
        <f t="shared" si="64"/>
        <v>442195.5</v>
      </c>
      <c r="BG284">
        <f t="shared" si="64"/>
        <v>1473985</v>
      </c>
      <c r="BH284">
        <f t="shared" si="64"/>
        <v>4421955</v>
      </c>
      <c r="BI284">
        <f t="shared" si="64"/>
        <v>12528872.5</v>
      </c>
      <c r="BJ284">
        <f t="shared" si="64"/>
        <v>44219550</v>
      </c>
      <c r="BK284">
        <f t="shared" si="64"/>
        <v>147398500</v>
      </c>
      <c r="BL284">
        <v>279</v>
      </c>
    </row>
    <row r="285" spans="1:64" ht="17.25" thickBot="1" x14ac:dyDescent="0.25">
      <c r="A285" s="131">
        <v>281</v>
      </c>
      <c r="B285" s="132">
        <v>40124605</v>
      </c>
      <c r="D285" s="131">
        <v>281</v>
      </c>
      <c r="E285" s="132">
        <v>14.896660000000001</v>
      </c>
      <c r="AK285">
        <v>279</v>
      </c>
      <c r="AL285" s="24">
        <f t="shared" si="65"/>
        <v>14.792299999999999</v>
      </c>
      <c r="AM285">
        <f t="shared" si="66"/>
        <v>103.5461</v>
      </c>
      <c r="AN285">
        <f t="shared" si="66"/>
        <v>147.923</v>
      </c>
      <c r="AO285">
        <f t="shared" si="66"/>
        <v>221.88449999999997</v>
      </c>
      <c r="AP285">
        <f t="shared" si="66"/>
        <v>295.846</v>
      </c>
      <c r="AQ285">
        <f t="shared" si="66"/>
        <v>517.73050000000001</v>
      </c>
      <c r="AR285">
        <f t="shared" si="66"/>
        <v>739.61500000000001</v>
      </c>
      <c r="AS285">
        <f t="shared" si="66"/>
        <v>1183.384</v>
      </c>
      <c r="AT285">
        <f t="shared" si="66"/>
        <v>1775.0759999999998</v>
      </c>
      <c r="AU285">
        <f t="shared" si="66"/>
        <v>2514.6909999999998</v>
      </c>
      <c r="AV285">
        <f t="shared" si="66"/>
        <v>3550.1519999999996</v>
      </c>
      <c r="AW285">
        <f t="shared" si="66"/>
        <v>4881.4589999999998</v>
      </c>
      <c r="AX285">
        <f t="shared" si="66"/>
        <v>6804.4579999999996</v>
      </c>
      <c r="AY285">
        <f t="shared" si="66"/>
        <v>11833.84</v>
      </c>
      <c r="AZ285">
        <f t="shared" si="66"/>
        <v>22188.449999999997</v>
      </c>
      <c r="BA285">
        <f t="shared" si="66"/>
        <v>36980.75</v>
      </c>
      <c r="BB285">
        <f t="shared" si="66"/>
        <v>59169.2</v>
      </c>
      <c r="BC285">
        <f t="shared" si="64"/>
        <v>147923</v>
      </c>
      <c r="BD285">
        <f t="shared" si="64"/>
        <v>221884.5</v>
      </c>
      <c r="BE285">
        <f t="shared" si="64"/>
        <v>355015.19999999995</v>
      </c>
      <c r="BF285">
        <f t="shared" si="64"/>
        <v>443769</v>
      </c>
      <c r="BG285">
        <f t="shared" si="64"/>
        <v>1479230</v>
      </c>
      <c r="BH285">
        <f t="shared" si="64"/>
        <v>4437690</v>
      </c>
      <c r="BI285">
        <f t="shared" si="64"/>
        <v>12573455</v>
      </c>
      <c r="BJ285">
        <f t="shared" si="64"/>
        <v>44376900</v>
      </c>
      <c r="BK285">
        <f t="shared" si="64"/>
        <v>147923000</v>
      </c>
      <c r="BL285" s="145">
        <v>280</v>
      </c>
    </row>
    <row r="286" spans="1:64" ht="17.25" thickBot="1" x14ac:dyDescent="0.25">
      <c r="A286" s="131">
        <v>282</v>
      </c>
      <c r="B286" s="132">
        <v>40338627</v>
      </c>
      <c r="D286" s="131">
        <v>282</v>
      </c>
      <c r="E286" s="132">
        <v>14.94857</v>
      </c>
      <c r="AK286">
        <v>280</v>
      </c>
      <c r="AL286" s="24">
        <f t="shared" si="65"/>
        <v>14.844569999999999</v>
      </c>
      <c r="AM286">
        <f t="shared" si="66"/>
        <v>103.91198999999999</v>
      </c>
      <c r="AN286">
        <f t="shared" si="66"/>
        <v>148.44569999999999</v>
      </c>
      <c r="AO286">
        <f t="shared" si="66"/>
        <v>222.66854999999998</v>
      </c>
      <c r="AP286">
        <f t="shared" si="66"/>
        <v>296.89139999999998</v>
      </c>
      <c r="AQ286">
        <f t="shared" si="66"/>
        <v>519.55994999999996</v>
      </c>
      <c r="AR286">
        <f t="shared" si="66"/>
        <v>742.22849999999994</v>
      </c>
      <c r="AS286">
        <f t="shared" si="66"/>
        <v>1187.5655999999999</v>
      </c>
      <c r="AT286">
        <f t="shared" si="66"/>
        <v>1781.3483999999999</v>
      </c>
      <c r="AU286">
        <f t="shared" si="66"/>
        <v>2523.5769</v>
      </c>
      <c r="AV286">
        <f t="shared" si="66"/>
        <v>3562.6967999999997</v>
      </c>
      <c r="AW286">
        <f t="shared" si="66"/>
        <v>4898.7080999999998</v>
      </c>
      <c r="AX286">
        <f t="shared" si="66"/>
        <v>6828.5021999999999</v>
      </c>
      <c r="AY286">
        <f t="shared" si="66"/>
        <v>11875.655999999999</v>
      </c>
      <c r="AZ286">
        <f t="shared" si="66"/>
        <v>22266.855</v>
      </c>
      <c r="BA286">
        <f t="shared" si="66"/>
        <v>37111.424999999996</v>
      </c>
      <c r="BB286">
        <f t="shared" si="66"/>
        <v>59378.28</v>
      </c>
      <c r="BC286">
        <f t="shared" si="64"/>
        <v>148445.69999999998</v>
      </c>
      <c r="BD286">
        <f t="shared" si="64"/>
        <v>222668.55</v>
      </c>
      <c r="BE286">
        <f t="shared" si="64"/>
        <v>356269.68</v>
      </c>
      <c r="BF286">
        <f t="shared" si="64"/>
        <v>445337.1</v>
      </c>
      <c r="BG286">
        <f t="shared" si="64"/>
        <v>1484457</v>
      </c>
      <c r="BH286">
        <f t="shared" si="64"/>
        <v>4453371</v>
      </c>
      <c r="BI286">
        <f t="shared" si="64"/>
        <v>12617884.5</v>
      </c>
      <c r="BJ286">
        <f t="shared" si="64"/>
        <v>44533710</v>
      </c>
      <c r="BK286">
        <f t="shared" si="64"/>
        <v>148445700</v>
      </c>
      <c r="BL286">
        <v>281</v>
      </c>
    </row>
    <row r="287" spans="1:64" ht="17.25" thickBot="1" x14ac:dyDescent="0.25">
      <c r="A287" s="131">
        <v>283</v>
      </c>
      <c r="B287" s="132">
        <v>40553033</v>
      </c>
      <c r="D287" s="131">
        <v>283</v>
      </c>
      <c r="E287" s="132">
        <v>15.000299999999999</v>
      </c>
      <c r="AK287">
        <v>281</v>
      </c>
      <c r="AL287" s="24">
        <f t="shared" si="65"/>
        <v>14.896660000000001</v>
      </c>
      <c r="AM287">
        <f t="shared" si="66"/>
        <v>104.27662000000001</v>
      </c>
      <c r="AN287">
        <f t="shared" si="66"/>
        <v>148.9666</v>
      </c>
      <c r="AO287">
        <f t="shared" si="66"/>
        <v>223.44990000000001</v>
      </c>
      <c r="AP287">
        <f t="shared" si="66"/>
        <v>297.9332</v>
      </c>
      <c r="AQ287">
        <f t="shared" si="66"/>
        <v>521.38310000000001</v>
      </c>
      <c r="AR287">
        <f t="shared" si="66"/>
        <v>744.83300000000008</v>
      </c>
      <c r="AS287">
        <f t="shared" si="66"/>
        <v>1191.7328</v>
      </c>
      <c r="AT287">
        <f t="shared" si="66"/>
        <v>1787.5992000000001</v>
      </c>
      <c r="AU287">
        <f t="shared" si="66"/>
        <v>2532.4322000000002</v>
      </c>
      <c r="AV287">
        <f t="shared" si="66"/>
        <v>3575.1984000000002</v>
      </c>
      <c r="AW287">
        <f t="shared" si="66"/>
        <v>4915.8978000000006</v>
      </c>
      <c r="AX287">
        <f t="shared" si="66"/>
        <v>6852.4636</v>
      </c>
      <c r="AY287">
        <f t="shared" si="66"/>
        <v>11917.328000000001</v>
      </c>
      <c r="AZ287">
        <f t="shared" si="66"/>
        <v>22344.99</v>
      </c>
      <c r="BA287">
        <f t="shared" si="66"/>
        <v>37241.65</v>
      </c>
      <c r="BB287">
        <f t="shared" si="66"/>
        <v>59586.64</v>
      </c>
      <c r="BC287">
        <f t="shared" si="64"/>
        <v>148966.6</v>
      </c>
      <c r="BD287">
        <f t="shared" si="64"/>
        <v>223449.90000000002</v>
      </c>
      <c r="BE287">
        <f t="shared" si="64"/>
        <v>357519.84</v>
      </c>
      <c r="BF287">
        <f t="shared" si="64"/>
        <v>446899.80000000005</v>
      </c>
      <c r="BG287">
        <f t="shared" si="64"/>
        <v>1489666</v>
      </c>
      <c r="BH287">
        <f t="shared" si="64"/>
        <v>4468998</v>
      </c>
      <c r="BI287">
        <f t="shared" si="64"/>
        <v>12662161</v>
      </c>
      <c r="BJ287">
        <f t="shared" si="64"/>
        <v>44689980</v>
      </c>
      <c r="BK287">
        <f t="shared" si="64"/>
        <v>148966600</v>
      </c>
      <c r="BL287" s="145">
        <v>282</v>
      </c>
    </row>
    <row r="288" spans="1:64" ht="17.25" thickBot="1" x14ac:dyDescent="0.25">
      <c r="A288" s="131">
        <v>284</v>
      </c>
      <c r="B288" s="132">
        <v>40767816</v>
      </c>
      <c r="D288" s="131">
        <v>284</v>
      </c>
      <c r="E288" s="132">
        <v>15.05185</v>
      </c>
      <c r="AK288">
        <v>282</v>
      </c>
      <c r="AL288" s="24">
        <f t="shared" si="65"/>
        <v>14.94857</v>
      </c>
      <c r="AM288">
        <f t="shared" si="66"/>
        <v>104.63999</v>
      </c>
      <c r="AN288">
        <f t="shared" si="66"/>
        <v>149.48570000000001</v>
      </c>
      <c r="AO288">
        <f t="shared" si="66"/>
        <v>224.22855000000001</v>
      </c>
      <c r="AP288">
        <f t="shared" si="66"/>
        <v>298.97140000000002</v>
      </c>
      <c r="AQ288">
        <f t="shared" si="66"/>
        <v>523.19995000000006</v>
      </c>
      <c r="AR288">
        <f t="shared" si="66"/>
        <v>747.42849999999999</v>
      </c>
      <c r="AS288">
        <f t="shared" si="66"/>
        <v>1195.8856000000001</v>
      </c>
      <c r="AT288">
        <f t="shared" si="66"/>
        <v>1793.8284000000001</v>
      </c>
      <c r="AU288">
        <f t="shared" si="66"/>
        <v>2541.2568999999999</v>
      </c>
      <c r="AV288">
        <f t="shared" si="66"/>
        <v>3587.6568000000002</v>
      </c>
      <c r="AW288">
        <f t="shared" si="66"/>
        <v>4933.0281000000004</v>
      </c>
      <c r="AX288">
        <f t="shared" ref="AM288:BB304" si="67">AX$5*VLOOKUP($AK288,$D$2:$E$1404,2,FALSE)</f>
        <v>6876.3422</v>
      </c>
      <c r="AY288">
        <f t="shared" si="67"/>
        <v>11958.856</v>
      </c>
      <c r="AZ288">
        <f t="shared" si="67"/>
        <v>22422.855</v>
      </c>
      <c r="BA288">
        <f t="shared" si="67"/>
        <v>37371.425000000003</v>
      </c>
      <c r="BB288">
        <f t="shared" si="67"/>
        <v>59794.28</v>
      </c>
      <c r="BC288">
        <f t="shared" si="64"/>
        <v>149485.70000000001</v>
      </c>
      <c r="BD288">
        <f t="shared" si="64"/>
        <v>224228.55</v>
      </c>
      <c r="BE288">
        <f t="shared" si="64"/>
        <v>358765.68</v>
      </c>
      <c r="BF288">
        <f t="shared" si="64"/>
        <v>448457.1</v>
      </c>
      <c r="BG288">
        <f t="shared" si="64"/>
        <v>1494857</v>
      </c>
      <c r="BH288">
        <f t="shared" si="64"/>
        <v>4484571</v>
      </c>
      <c r="BI288">
        <f t="shared" si="64"/>
        <v>12706284.5</v>
      </c>
      <c r="BJ288">
        <f t="shared" si="64"/>
        <v>44845710</v>
      </c>
      <c r="BK288">
        <f t="shared" si="64"/>
        <v>149485700</v>
      </c>
      <c r="BL288">
        <v>283</v>
      </c>
    </row>
    <row r="289" spans="1:64" ht="17.25" thickBot="1" x14ac:dyDescent="0.25">
      <c r="A289" s="131">
        <v>285</v>
      </c>
      <c r="B289" s="132">
        <v>40982977</v>
      </c>
      <c r="D289" s="131">
        <v>285</v>
      </c>
      <c r="E289" s="132">
        <v>15.10322</v>
      </c>
      <c r="AK289">
        <v>283</v>
      </c>
      <c r="AL289" s="24">
        <f t="shared" si="65"/>
        <v>15.000299999999999</v>
      </c>
      <c r="AM289">
        <f t="shared" si="67"/>
        <v>105.0021</v>
      </c>
      <c r="AN289">
        <f t="shared" si="67"/>
        <v>150.00299999999999</v>
      </c>
      <c r="AO289">
        <f t="shared" si="67"/>
        <v>225.00449999999998</v>
      </c>
      <c r="AP289">
        <f t="shared" si="67"/>
        <v>300.00599999999997</v>
      </c>
      <c r="AQ289">
        <f t="shared" si="67"/>
        <v>525.01049999999998</v>
      </c>
      <c r="AR289">
        <f t="shared" si="67"/>
        <v>750.01499999999999</v>
      </c>
      <c r="AS289">
        <f t="shared" si="67"/>
        <v>1200.0239999999999</v>
      </c>
      <c r="AT289">
        <f t="shared" si="67"/>
        <v>1800.0359999999998</v>
      </c>
      <c r="AU289">
        <f t="shared" si="67"/>
        <v>2550.0509999999999</v>
      </c>
      <c r="AV289">
        <f t="shared" si="67"/>
        <v>3600.0719999999997</v>
      </c>
      <c r="AW289">
        <f t="shared" si="67"/>
        <v>4950.0990000000002</v>
      </c>
      <c r="AX289">
        <f t="shared" si="67"/>
        <v>6900.1379999999999</v>
      </c>
      <c r="AY289">
        <f t="shared" si="67"/>
        <v>12000.24</v>
      </c>
      <c r="AZ289">
        <f t="shared" si="67"/>
        <v>22500.45</v>
      </c>
      <c r="BA289">
        <f t="shared" si="67"/>
        <v>37500.75</v>
      </c>
      <c r="BB289">
        <f t="shared" si="67"/>
        <v>60001.2</v>
      </c>
      <c r="BC289">
        <f t="shared" si="64"/>
        <v>150003</v>
      </c>
      <c r="BD289">
        <f t="shared" si="64"/>
        <v>225004.5</v>
      </c>
      <c r="BE289">
        <f t="shared" si="64"/>
        <v>360007.2</v>
      </c>
      <c r="BF289">
        <f t="shared" si="64"/>
        <v>450009</v>
      </c>
      <c r="BG289">
        <f t="shared" si="64"/>
        <v>1500030</v>
      </c>
      <c r="BH289">
        <f t="shared" si="64"/>
        <v>4500090</v>
      </c>
      <c r="BI289">
        <f t="shared" si="64"/>
        <v>12750255</v>
      </c>
      <c r="BJ289">
        <f t="shared" si="64"/>
        <v>45000900</v>
      </c>
      <c r="BK289">
        <f t="shared" si="64"/>
        <v>150003000</v>
      </c>
      <c r="BL289" s="145">
        <v>284</v>
      </c>
    </row>
    <row r="290" spans="1:64" ht="17.25" thickBot="1" x14ac:dyDescent="0.25">
      <c r="A290" s="131">
        <v>286</v>
      </c>
      <c r="B290" s="132">
        <v>41198516</v>
      </c>
      <c r="D290" s="131">
        <v>286</v>
      </c>
      <c r="E290" s="132">
        <v>15.15442</v>
      </c>
      <c r="AK290">
        <v>284</v>
      </c>
      <c r="AL290" s="24">
        <f t="shared" si="65"/>
        <v>15.05185</v>
      </c>
      <c r="AM290">
        <f t="shared" si="67"/>
        <v>105.36295</v>
      </c>
      <c r="AN290">
        <f t="shared" si="67"/>
        <v>150.51849999999999</v>
      </c>
      <c r="AO290">
        <f t="shared" si="67"/>
        <v>225.77775</v>
      </c>
      <c r="AP290">
        <f t="shared" si="67"/>
        <v>301.03699999999998</v>
      </c>
      <c r="AQ290">
        <f t="shared" si="67"/>
        <v>526.81475</v>
      </c>
      <c r="AR290">
        <f t="shared" si="67"/>
        <v>752.59249999999997</v>
      </c>
      <c r="AS290">
        <f t="shared" si="67"/>
        <v>1204.1479999999999</v>
      </c>
      <c r="AT290">
        <f t="shared" si="67"/>
        <v>1806.222</v>
      </c>
      <c r="AU290">
        <f t="shared" si="67"/>
        <v>2558.8145</v>
      </c>
      <c r="AV290">
        <f t="shared" si="67"/>
        <v>3612.444</v>
      </c>
      <c r="AW290">
        <f t="shared" si="67"/>
        <v>4967.1104999999998</v>
      </c>
      <c r="AX290">
        <f t="shared" si="67"/>
        <v>6923.8509999999997</v>
      </c>
      <c r="AY290">
        <f t="shared" si="67"/>
        <v>12041.48</v>
      </c>
      <c r="AZ290">
        <f t="shared" si="67"/>
        <v>22577.775000000001</v>
      </c>
      <c r="BA290">
        <f t="shared" si="67"/>
        <v>37629.625</v>
      </c>
      <c r="BB290">
        <f t="shared" si="67"/>
        <v>60207.4</v>
      </c>
      <c r="BC290">
        <f t="shared" si="64"/>
        <v>150518.5</v>
      </c>
      <c r="BD290">
        <f t="shared" si="64"/>
        <v>225777.75</v>
      </c>
      <c r="BE290">
        <f t="shared" si="64"/>
        <v>361244.4</v>
      </c>
      <c r="BF290">
        <f t="shared" si="64"/>
        <v>451555.5</v>
      </c>
      <c r="BG290">
        <f t="shared" si="64"/>
        <v>1505185</v>
      </c>
      <c r="BH290">
        <f t="shared" si="64"/>
        <v>4515555</v>
      </c>
      <c r="BI290">
        <f t="shared" si="64"/>
        <v>12794072.5</v>
      </c>
      <c r="BJ290">
        <f t="shared" si="64"/>
        <v>45155550</v>
      </c>
      <c r="BK290">
        <f t="shared" si="64"/>
        <v>150518500</v>
      </c>
      <c r="BL290">
        <v>285</v>
      </c>
    </row>
    <row r="291" spans="1:64" ht="17.25" thickBot="1" x14ac:dyDescent="0.25">
      <c r="A291" s="131">
        <v>287</v>
      </c>
      <c r="B291" s="132">
        <v>41414427</v>
      </c>
      <c r="D291" s="131">
        <v>287</v>
      </c>
      <c r="E291" s="132">
        <v>15.205450000000001</v>
      </c>
      <c r="AK291">
        <v>285</v>
      </c>
      <c r="AL291" s="24">
        <f t="shared" si="65"/>
        <v>15.10322</v>
      </c>
      <c r="AM291">
        <f t="shared" si="67"/>
        <v>105.72254000000001</v>
      </c>
      <c r="AN291">
        <f t="shared" si="67"/>
        <v>151.03219999999999</v>
      </c>
      <c r="AO291">
        <f t="shared" si="67"/>
        <v>226.54830000000001</v>
      </c>
      <c r="AP291">
        <f t="shared" si="67"/>
        <v>302.06439999999998</v>
      </c>
      <c r="AQ291">
        <f t="shared" si="67"/>
        <v>528.61270000000002</v>
      </c>
      <c r="AR291">
        <f t="shared" si="67"/>
        <v>755.16100000000006</v>
      </c>
      <c r="AS291">
        <f t="shared" si="67"/>
        <v>1208.2575999999999</v>
      </c>
      <c r="AT291">
        <f t="shared" si="67"/>
        <v>1812.3864000000001</v>
      </c>
      <c r="AU291">
        <f t="shared" si="67"/>
        <v>2567.5473999999999</v>
      </c>
      <c r="AV291">
        <f t="shared" si="67"/>
        <v>3624.7728000000002</v>
      </c>
      <c r="AW291">
        <f t="shared" si="67"/>
        <v>4984.0626000000002</v>
      </c>
      <c r="AX291">
        <f t="shared" si="67"/>
        <v>6947.4812000000002</v>
      </c>
      <c r="AY291">
        <f t="shared" si="67"/>
        <v>12082.576000000001</v>
      </c>
      <c r="AZ291">
        <f t="shared" si="67"/>
        <v>22654.83</v>
      </c>
      <c r="BA291">
        <f t="shared" si="67"/>
        <v>37758.050000000003</v>
      </c>
      <c r="BB291">
        <f t="shared" si="67"/>
        <v>60412.880000000005</v>
      </c>
      <c r="BC291">
        <f t="shared" si="64"/>
        <v>151032.20000000001</v>
      </c>
      <c r="BD291">
        <f t="shared" si="64"/>
        <v>226548.30000000002</v>
      </c>
      <c r="BE291">
        <f t="shared" si="64"/>
        <v>362477.28</v>
      </c>
      <c r="BF291">
        <f t="shared" si="64"/>
        <v>453096.60000000003</v>
      </c>
      <c r="BG291">
        <f t="shared" si="64"/>
        <v>1510322</v>
      </c>
      <c r="BH291">
        <f t="shared" si="64"/>
        <v>4530966</v>
      </c>
      <c r="BI291">
        <f t="shared" si="64"/>
        <v>12837737</v>
      </c>
      <c r="BJ291">
        <f t="shared" si="64"/>
        <v>45309660</v>
      </c>
      <c r="BK291">
        <f t="shared" si="64"/>
        <v>151032200</v>
      </c>
      <c r="BL291" s="145">
        <v>286</v>
      </c>
    </row>
    <row r="292" spans="1:64" ht="17.25" thickBot="1" x14ac:dyDescent="0.25">
      <c r="A292" s="131">
        <v>288</v>
      </c>
      <c r="B292" s="132">
        <v>41630716</v>
      </c>
      <c r="D292" s="131">
        <v>288</v>
      </c>
      <c r="E292" s="132">
        <v>15.2563</v>
      </c>
      <c r="AK292">
        <v>286</v>
      </c>
      <c r="AL292" s="24">
        <f t="shared" si="65"/>
        <v>15.15442</v>
      </c>
      <c r="AM292">
        <f t="shared" si="67"/>
        <v>106.08094</v>
      </c>
      <c r="AN292">
        <f t="shared" si="67"/>
        <v>151.54419999999999</v>
      </c>
      <c r="AO292">
        <f t="shared" si="67"/>
        <v>227.31630000000001</v>
      </c>
      <c r="AP292">
        <f t="shared" si="67"/>
        <v>303.08839999999998</v>
      </c>
      <c r="AQ292">
        <f t="shared" si="67"/>
        <v>530.40470000000005</v>
      </c>
      <c r="AR292">
        <f t="shared" si="67"/>
        <v>757.721</v>
      </c>
      <c r="AS292">
        <f t="shared" si="67"/>
        <v>1212.3535999999999</v>
      </c>
      <c r="AT292">
        <f t="shared" si="67"/>
        <v>1818.5304000000001</v>
      </c>
      <c r="AU292">
        <f t="shared" si="67"/>
        <v>2576.2514000000001</v>
      </c>
      <c r="AV292">
        <f t="shared" si="67"/>
        <v>3637.0608000000002</v>
      </c>
      <c r="AW292">
        <f t="shared" si="67"/>
        <v>5000.9585999999999</v>
      </c>
      <c r="AX292">
        <f t="shared" si="67"/>
        <v>6971.0331999999999</v>
      </c>
      <c r="AY292">
        <f t="shared" si="67"/>
        <v>12123.536</v>
      </c>
      <c r="AZ292">
        <f t="shared" si="67"/>
        <v>22731.63</v>
      </c>
      <c r="BA292">
        <f t="shared" si="67"/>
        <v>37886.050000000003</v>
      </c>
      <c r="BB292">
        <f t="shared" si="67"/>
        <v>60617.68</v>
      </c>
      <c r="BC292">
        <f t="shared" si="64"/>
        <v>151544.20000000001</v>
      </c>
      <c r="BD292">
        <f t="shared" si="64"/>
        <v>227316.3</v>
      </c>
      <c r="BE292">
        <f t="shared" si="64"/>
        <v>363706.08</v>
      </c>
      <c r="BF292">
        <f t="shared" si="64"/>
        <v>454632.6</v>
      </c>
      <c r="BG292">
        <f t="shared" si="64"/>
        <v>1515442</v>
      </c>
      <c r="BH292">
        <f t="shared" si="64"/>
        <v>4546326</v>
      </c>
      <c r="BI292">
        <f t="shared" si="64"/>
        <v>12881257</v>
      </c>
      <c r="BJ292">
        <f t="shared" si="64"/>
        <v>45463260</v>
      </c>
      <c r="BK292">
        <f t="shared" ref="BC292:BK321" si="68">BK$5*VLOOKUP($AK292,$D$2:$E$1404,2,FALSE)</f>
        <v>151544200</v>
      </c>
      <c r="BL292">
        <v>287</v>
      </c>
    </row>
    <row r="293" spans="1:64" ht="17.25" thickBot="1" x14ac:dyDescent="0.25">
      <c r="A293" s="131">
        <v>289</v>
      </c>
      <c r="B293" s="132">
        <v>41847383</v>
      </c>
      <c r="D293" s="131">
        <v>289</v>
      </c>
      <c r="E293" s="132">
        <v>15.306979999999999</v>
      </c>
      <c r="AK293">
        <v>287</v>
      </c>
      <c r="AL293" s="24">
        <f t="shared" si="65"/>
        <v>15.205450000000001</v>
      </c>
      <c r="AM293">
        <f t="shared" si="67"/>
        <v>106.43815000000001</v>
      </c>
      <c r="AN293">
        <f t="shared" si="67"/>
        <v>152.05450000000002</v>
      </c>
      <c r="AO293">
        <f t="shared" si="67"/>
        <v>228.08175</v>
      </c>
      <c r="AP293">
        <f t="shared" si="67"/>
        <v>304.10900000000004</v>
      </c>
      <c r="AQ293">
        <f t="shared" si="67"/>
        <v>532.19074999999998</v>
      </c>
      <c r="AR293">
        <f t="shared" si="67"/>
        <v>760.27250000000004</v>
      </c>
      <c r="AS293">
        <f t="shared" si="67"/>
        <v>1216.4360000000001</v>
      </c>
      <c r="AT293">
        <f t="shared" si="67"/>
        <v>1824.654</v>
      </c>
      <c r="AU293">
        <f t="shared" si="67"/>
        <v>2584.9265</v>
      </c>
      <c r="AV293">
        <f t="shared" si="67"/>
        <v>3649.308</v>
      </c>
      <c r="AW293">
        <f t="shared" si="67"/>
        <v>5017.7984999999999</v>
      </c>
      <c r="AX293">
        <f t="shared" si="67"/>
        <v>6994.5070000000005</v>
      </c>
      <c r="AY293">
        <f t="shared" si="67"/>
        <v>12164.36</v>
      </c>
      <c r="AZ293">
        <f t="shared" si="67"/>
        <v>22808.175000000003</v>
      </c>
      <c r="BA293">
        <f t="shared" si="67"/>
        <v>38013.625</v>
      </c>
      <c r="BB293">
        <f t="shared" si="67"/>
        <v>60821.8</v>
      </c>
      <c r="BC293">
        <f t="shared" si="68"/>
        <v>152054.5</v>
      </c>
      <c r="BD293">
        <f t="shared" si="68"/>
        <v>228081.75</v>
      </c>
      <c r="BE293">
        <f t="shared" si="68"/>
        <v>364930.80000000005</v>
      </c>
      <c r="BF293">
        <f t="shared" si="68"/>
        <v>456163.5</v>
      </c>
      <c r="BG293">
        <f t="shared" si="68"/>
        <v>1520545</v>
      </c>
      <c r="BH293">
        <f t="shared" si="68"/>
        <v>4561635</v>
      </c>
      <c r="BI293">
        <f t="shared" si="68"/>
        <v>12924632.5</v>
      </c>
      <c r="BJ293">
        <f t="shared" si="68"/>
        <v>45616350</v>
      </c>
      <c r="BK293">
        <f t="shared" si="68"/>
        <v>152054500</v>
      </c>
      <c r="BL293" s="145">
        <v>288</v>
      </c>
    </row>
    <row r="294" spans="1:64" ht="17.25" thickBot="1" x14ac:dyDescent="0.25">
      <c r="A294" s="131">
        <v>290</v>
      </c>
      <c r="B294" s="132">
        <v>42064422</v>
      </c>
      <c r="D294" s="131">
        <v>290</v>
      </c>
      <c r="E294" s="132">
        <v>15.35749</v>
      </c>
      <c r="AK294">
        <v>288</v>
      </c>
      <c r="AL294" s="24">
        <f t="shared" si="65"/>
        <v>15.2563</v>
      </c>
      <c r="AM294">
        <f t="shared" si="67"/>
        <v>106.7941</v>
      </c>
      <c r="AN294">
        <f t="shared" si="67"/>
        <v>152.56299999999999</v>
      </c>
      <c r="AO294">
        <f t="shared" si="67"/>
        <v>228.84449999999998</v>
      </c>
      <c r="AP294">
        <f t="shared" si="67"/>
        <v>305.12599999999998</v>
      </c>
      <c r="AQ294">
        <f t="shared" si="67"/>
        <v>533.97050000000002</v>
      </c>
      <c r="AR294">
        <f t="shared" si="67"/>
        <v>762.81499999999994</v>
      </c>
      <c r="AS294">
        <f t="shared" si="67"/>
        <v>1220.5039999999999</v>
      </c>
      <c r="AT294">
        <f t="shared" si="67"/>
        <v>1830.7559999999999</v>
      </c>
      <c r="AU294">
        <f t="shared" si="67"/>
        <v>2593.5709999999999</v>
      </c>
      <c r="AV294">
        <f t="shared" si="67"/>
        <v>3661.5119999999997</v>
      </c>
      <c r="AW294">
        <f t="shared" si="67"/>
        <v>5034.5789999999997</v>
      </c>
      <c r="AX294">
        <f t="shared" si="67"/>
        <v>7017.8980000000001</v>
      </c>
      <c r="AY294">
        <f t="shared" si="67"/>
        <v>12205.039999999999</v>
      </c>
      <c r="AZ294">
        <f t="shared" si="67"/>
        <v>22884.45</v>
      </c>
      <c r="BA294">
        <f t="shared" si="67"/>
        <v>38140.75</v>
      </c>
      <c r="BB294">
        <f t="shared" si="67"/>
        <v>61025.2</v>
      </c>
      <c r="BC294">
        <f t="shared" si="68"/>
        <v>152563</v>
      </c>
      <c r="BD294">
        <f t="shared" si="68"/>
        <v>228844.5</v>
      </c>
      <c r="BE294">
        <f t="shared" si="68"/>
        <v>366151.2</v>
      </c>
      <c r="BF294">
        <f t="shared" si="68"/>
        <v>457689</v>
      </c>
      <c r="BG294">
        <f t="shared" si="68"/>
        <v>1525630</v>
      </c>
      <c r="BH294">
        <f t="shared" si="68"/>
        <v>4576890</v>
      </c>
      <c r="BI294">
        <f t="shared" si="68"/>
        <v>12967855</v>
      </c>
      <c r="BJ294">
        <f t="shared" si="68"/>
        <v>45768900</v>
      </c>
      <c r="BK294">
        <f t="shared" si="68"/>
        <v>152563000</v>
      </c>
      <c r="BL294">
        <v>289</v>
      </c>
    </row>
    <row r="295" spans="1:64" ht="17.25" thickBot="1" x14ac:dyDescent="0.25">
      <c r="A295" s="131">
        <v>291</v>
      </c>
      <c r="B295" s="132">
        <v>42281833</v>
      </c>
      <c r="D295" s="131">
        <v>291</v>
      </c>
      <c r="E295" s="132">
        <v>15.407830000000001</v>
      </c>
      <c r="AK295">
        <v>289</v>
      </c>
      <c r="AL295" s="24">
        <f t="shared" si="65"/>
        <v>15.306979999999999</v>
      </c>
      <c r="AM295">
        <f t="shared" si="67"/>
        <v>107.14886</v>
      </c>
      <c r="AN295">
        <f t="shared" si="67"/>
        <v>153.06979999999999</v>
      </c>
      <c r="AO295">
        <f t="shared" si="67"/>
        <v>229.60469999999998</v>
      </c>
      <c r="AP295">
        <f t="shared" si="67"/>
        <v>306.13959999999997</v>
      </c>
      <c r="AQ295">
        <f t="shared" si="67"/>
        <v>535.74429999999995</v>
      </c>
      <c r="AR295">
        <f t="shared" si="67"/>
        <v>765.34899999999993</v>
      </c>
      <c r="AS295">
        <f t="shared" si="67"/>
        <v>1224.5583999999999</v>
      </c>
      <c r="AT295">
        <f t="shared" si="67"/>
        <v>1836.8375999999998</v>
      </c>
      <c r="AU295">
        <f t="shared" si="67"/>
        <v>2602.1866</v>
      </c>
      <c r="AV295">
        <f t="shared" si="67"/>
        <v>3673.6751999999997</v>
      </c>
      <c r="AW295">
        <f t="shared" si="67"/>
        <v>5051.3033999999998</v>
      </c>
      <c r="AX295">
        <f t="shared" si="67"/>
        <v>7041.2107999999998</v>
      </c>
      <c r="AY295">
        <f t="shared" si="67"/>
        <v>12245.583999999999</v>
      </c>
      <c r="AZ295">
        <f t="shared" si="67"/>
        <v>22960.469999999998</v>
      </c>
      <c r="BA295">
        <f t="shared" si="67"/>
        <v>38267.449999999997</v>
      </c>
      <c r="BB295">
        <f t="shared" si="67"/>
        <v>61227.92</v>
      </c>
      <c r="BC295">
        <f t="shared" si="68"/>
        <v>153069.79999999999</v>
      </c>
      <c r="BD295">
        <f t="shared" si="68"/>
        <v>229604.69999999998</v>
      </c>
      <c r="BE295">
        <f t="shared" si="68"/>
        <v>367367.51999999996</v>
      </c>
      <c r="BF295">
        <f t="shared" si="68"/>
        <v>459209.39999999997</v>
      </c>
      <c r="BG295">
        <f t="shared" si="68"/>
        <v>1530698</v>
      </c>
      <c r="BH295">
        <f t="shared" si="68"/>
        <v>4592094</v>
      </c>
      <c r="BI295">
        <f t="shared" si="68"/>
        <v>13010933</v>
      </c>
      <c r="BJ295">
        <f t="shared" si="68"/>
        <v>45920940</v>
      </c>
      <c r="BK295">
        <f t="shared" si="68"/>
        <v>153069800</v>
      </c>
      <c r="BL295" s="145">
        <v>290</v>
      </c>
    </row>
    <row r="296" spans="1:64" ht="17.25" thickBot="1" x14ac:dyDescent="0.25">
      <c r="A296" s="131">
        <v>292</v>
      </c>
      <c r="B296" s="132">
        <v>42499616</v>
      </c>
      <c r="D296" s="131">
        <v>292</v>
      </c>
      <c r="E296" s="132">
        <v>15.458</v>
      </c>
      <c r="AK296">
        <v>290</v>
      </c>
      <c r="AL296" s="24">
        <f t="shared" si="65"/>
        <v>15.35749</v>
      </c>
      <c r="AM296">
        <f t="shared" si="67"/>
        <v>107.50243</v>
      </c>
      <c r="AN296">
        <f t="shared" si="67"/>
        <v>153.57490000000001</v>
      </c>
      <c r="AO296">
        <f t="shared" si="67"/>
        <v>230.36234999999999</v>
      </c>
      <c r="AP296">
        <f t="shared" si="67"/>
        <v>307.14980000000003</v>
      </c>
      <c r="AQ296">
        <f t="shared" si="67"/>
        <v>537.51215000000002</v>
      </c>
      <c r="AR296">
        <f t="shared" si="67"/>
        <v>767.87450000000001</v>
      </c>
      <c r="AS296">
        <f t="shared" si="67"/>
        <v>1228.5992000000001</v>
      </c>
      <c r="AT296">
        <f t="shared" si="67"/>
        <v>1842.8987999999999</v>
      </c>
      <c r="AU296">
        <f t="shared" si="67"/>
        <v>2610.7732999999998</v>
      </c>
      <c r="AV296">
        <f t="shared" si="67"/>
        <v>3685.7975999999999</v>
      </c>
      <c r="AW296">
        <f t="shared" si="67"/>
        <v>5067.9717000000001</v>
      </c>
      <c r="AX296">
        <f t="shared" si="67"/>
        <v>7064.4454000000005</v>
      </c>
      <c r="AY296">
        <f t="shared" si="67"/>
        <v>12285.992</v>
      </c>
      <c r="AZ296">
        <f t="shared" si="67"/>
        <v>23036.235000000001</v>
      </c>
      <c r="BA296">
        <f t="shared" si="67"/>
        <v>38393.724999999999</v>
      </c>
      <c r="BB296">
        <f t="shared" si="67"/>
        <v>61429.96</v>
      </c>
      <c r="BC296">
        <f t="shared" si="68"/>
        <v>153574.9</v>
      </c>
      <c r="BD296">
        <f t="shared" si="68"/>
        <v>230362.35</v>
      </c>
      <c r="BE296">
        <f t="shared" si="68"/>
        <v>368579.76</v>
      </c>
      <c r="BF296">
        <f t="shared" si="68"/>
        <v>460724.7</v>
      </c>
      <c r="BG296">
        <f t="shared" si="68"/>
        <v>1535749</v>
      </c>
      <c r="BH296">
        <f t="shared" si="68"/>
        <v>4607247</v>
      </c>
      <c r="BI296">
        <f t="shared" si="68"/>
        <v>13053866.5</v>
      </c>
      <c r="BJ296">
        <f t="shared" si="68"/>
        <v>46072470</v>
      </c>
      <c r="BK296">
        <f t="shared" si="68"/>
        <v>153574900</v>
      </c>
      <c r="BL296">
        <v>291</v>
      </c>
    </row>
    <row r="297" spans="1:64" ht="17.25" thickBot="1" x14ac:dyDescent="0.25">
      <c r="A297" s="131">
        <v>293</v>
      </c>
      <c r="B297" s="132">
        <v>42717772</v>
      </c>
      <c r="D297" s="131">
        <v>293</v>
      </c>
      <c r="E297" s="132">
        <v>15.507999999999999</v>
      </c>
      <c r="AK297">
        <v>291</v>
      </c>
      <c r="AL297" s="24">
        <f t="shared" si="65"/>
        <v>15.407830000000001</v>
      </c>
      <c r="AM297">
        <f t="shared" si="67"/>
        <v>107.85481</v>
      </c>
      <c r="AN297">
        <f t="shared" si="67"/>
        <v>154.07830000000001</v>
      </c>
      <c r="AO297">
        <f t="shared" si="67"/>
        <v>231.11745000000002</v>
      </c>
      <c r="AP297">
        <f t="shared" si="67"/>
        <v>308.15660000000003</v>
      </c>
      <c r="AQ297">
        <f t="shared" si="67"/>
        <v>539.27404999999999</v>
      </c>
      <c r="AR297">
        <f t="shared" si="67"/>
        <v>770.39150000000006</v>
      </c>
      <c r="AS297">
        <f t="shared" si="67"/>
        <v>1232.6264000000001</v>
      </c>
      <c r="AT297">
        <f t="shared" si="67"/>
        <v>1848.9396000000002</v>
      </c>
      <c r="AU297">
        <f t="shared" si="67"/>
        <v>2619.3310999999999</v>
      </c>
      <c r="AV297">
        <f t="shared" si="67"/>
        <v>3697.8792000000003</v>
      </c>
      <c r="AW297">
        <f t="shared" si="67"/>
        <v>5084.5839000000005</v>
      </c>
      <c r="AX297">
        <f t="shared" si="67"/>
        <v>7087.6018000000004</v>
      </c>
      <c r="AY297">
        <f t="shared" si="67"/>
        <v>12326.264000000001</v>
      </c>
      <c r="AZ297">
        <f t="shared" si="67"/>
        <v>23111.745000000003</v>
      </c>
      <c r="BA297">
        <f t="shared" si="67"/>
        <v>38519.575000000004</v>
      </c>
      <c r="BB297">
        <f t="shared" si="67"/>
        <v>61631.32</v>
      </c>
      <c r="BC297">
        <f t="shared" si="68"/>
        <v>154078.30000000002</v>
      </c>
      <c r="BD297">
        <f t="shared" si="68"/>
        <v>231117.45</v>
      </c>
      <c r="BE297">
        <f t="shared" si="68"/>
        <v>369787.92000000004</v>
      </c>
      <c r="BF297">
        <f t="shared" si="68"/>
        <v>462234.9</v>
      </c>
      <c r="BG297">
        <f t="shared" si="68"/>
        <v>1540783</v>
      </c>
      <c r="BH297">
        <f t="shared" si="68"/>
        <v>4622349</v>
      </c>
      <c r="BI297">
        <f t="shared" si="68"/>
        <v>13096655.5</v>
      </c>
      <c r="BJ297">
        <f t="shared" si="68"/>
        <v>46223490</v>
      </c>
      <c r="BK297">
        <f t="shared" si="68"/>
        <v>154078300</v>
      </c>
      <c r="BL297" s="145">
        <v>292</v>
      </c>
    </row>
    <row r="298" spans="1:64" ht="17.25" thickBot="1" x14ac:dyDescent="0.25">
      <c r="A298" s="131">
        <v>294</v>
      </c>
      <c r="B298" s="132">
        <v>42936300</v>
      </c>
      <c r="D298" s="131">
        <v>294</v>
      </c>
      <c r="E298" s="132">
        <v>15.557840000000001</v>
      </c>
      <c r="AK298">
        <v>292</v>
      </c>
      <c r="AL298" s="24">
        <f t="shared" si="65"/>
        <v>15.458</v>
      </c>
      <c r="AM298">
        <f t="shared" si="67"/>
        <v>108.206</v>
      </c>
      <c r="AN298">
        <f t="shared" si="67"/>
        <v>154.58000000000001</v>
      </c>
      <c r="AO298">
        <f t="shared" si="67"/>
        <v>231.87</v>
      </c>
      <c r="AP298">
        <f t="shared" si="67"/>
        <v>309.16000000000003</v>
      </c>
      <c r="AQ298">
        <f t="shared" si="67"/>
        <v>541.03</v>
      </c>
      <c r="AR298">
        <f t="shared" si="67"/>
        <v>772.9</v>
      </c>
      <c r="AS298">
        <f t="shared" si="67"/>
        <v>1236.6400000000001</v>
      </c>
      <c r="AT298">
        <f t="shared" si="67"/>
        <v>1854.96</v>
      </c>
      <c r="AU298">
        <f t="shared" si="67"/>
        <v>2627.86</v>
      </c>
      <c r="AV298">
        <f t="shared" si="67"/>
        <v>3709.92</v>
      </c>
      <c r="AW298">
        <f t="shared" si="67"/>
        <v>5101.1400000000003</v>
      </c>
      <c r="AX298">
        <f t="shared" si="67"/>
        <v>7110.68</v>
      </c>
      <c r="AY298">
        <f t="shared" si="67"/>
        <v>12366.4</v>
      </c>
      <c r="AZ298">
        <f t="shared" si="67"/>
        <v>23187</v>
      </c>
      <c r="BA298">
        <f t="shared" si="67"/>
        <v>38645</v>
      </c>
      <c r="BB298">
        <f t="shared" si="67"/>
        <v>61832</v>
      </c>
      <c r="BC298">
        <f t="shared" si="68"/>
        <v>154580</v>
      </c>
      <c r="BD298">
        <f t="shared" si="68"/>
        <v>231870</v>
      </c>
      <c r="BE298">
        <f t="shared" si="68"/>
        <v>370992</v>
      </c>
      <c r="BF298">
        <f t="shared" si="68"/>
        <v>463740</v>
      </c>
      <c r="BG298">
        <f t="shared" si="68"/>
        <v>1545800</v>
      </c>
      <c r="BH298">
        <f t="shared" si="68"/>
        <v>4637400</v>
      </c>
      <c r="BI298">
        <f t="shared" si="68"/>
        <v>13139300</v>
      </c>
      <c r="BJ298">
        <f t="shared" si="68"/>
        <v>46374000</v>
      </c>
      <c r="BK298">
        <f t="shared" si="68"/>
        <v>154580000</v>
      </c>
      <c r="BL298">
        <v>293</v>
      </c>
    </row>
    <row r="299" spans="1:64" ht="17.25" thickBot="1" x14ac:dyDescent="0.25">
      <c r="A299" s="131">
        <v>295</v>
      </c>
      <c r="B299" s="132">
        <v>43155200</v>
      </c>
      <c r="D299" s="131">
        <v>295</v>
      </c>
      <c r="E299" s="132">
        <v>15.60751</v>
      </c>
      <c r="AK299">
        <v>293</v>
      </c>
      <c r="AL299" s="24">
        <f t="shared" si="65"/>
        <v>15.507999999999999</v>
      </c>
      <c r="AM299">
        <f t="shared" si="67"/>
        <v>108.556</v>
      </c>
      <c r="AN299">
        <f t="shared" si="67"/>
        <v>155.07999999999998</v>
      </c>
      <c r="AO299">
        <f t="shared" si="67"/>
        <v>232.61999999999998</v>
      </c>
      <c r="AP299">
        <f t="shared" si="67"/>
        <v>310.15999999999997</v>
      </c>
      <c r="AQ299">
        <f t="shared" si="67"/>
        <v>542.78</v>
      </c>
      <c r="AR299">
        <f t="shared" si="67"/>
        <v>775.4</v>
      </c>
      <c r="AS299">
        <f t="shared" si="67"/>
        <v>1240.6399999999999</v>
      </c>
      <c r="AT299">
        <f t="shared" si="67"/>
        <v>1860.9599999999998</v>
      </c>
      <c r="AU299">
        <f t="shared" si="67"/>
        <v>2636.3599999999997</v>
      </c>
      <c r="AV299">
        <f t="shared" si="67"/>
        <v>3721.9199999999996</v>
      </c>
      <c r="AW299">
        <f t="shared" si="67"/>
        <v>5117.6399999999994</v>
      </c>
      <c r="AX299">
        <f t="shared" si="67"/>
        <v>7133.6799999999994</v>
      </c>
      <c r="AY299">
        <f t="shared" si="67"/>
        <v>12406.4</v>
      </c>
      <c r="AZ299">
        <f t="shared" si="67"/>
        <v>23262</v>
      </c>
      <c r="BA299">
        <f t="shared" si="67"/>
        <v>38770</v>
      </c>
      <c r="BB299">
        <f t="shared" si="67"/>
        <v>62032</v>
      </c>
      <c r="BC299">
        <f t="shared" si="68"/>
        <v>155080</v>
      </c>
      <c r="BD299">
        <f t="shared" si="68"/>
        <v>232620</v>
      </c>
      <c r="BE299">
        <f t="shared" si="68"/>
        <v>372192</v>
      </c>
      <c r="BF299">
        <f t="shared" si="68"/>
        <v>465240</v>
      </c>
      <c r="BG299">
        <f t="shared" si="68"/>
        <v>1550800</v>
      </c>
      <c r="BH299">
        <f t="shared" si="68"/>
        <v>4652400</v>
      </c>
      <c r="BI299">
        <f t="shared" si="68"/>
        <v>13181800</v>
      </c>
      <c r="BJ299">
        <f t="shared" si="68"/>
        <v>46524000</v>
      </c>
      <c r="BK299">
        <f t="shared" si="68"/>
        <v>155080000</v>
      </c>
      <c r="BL299" s="145">
        <v>294</v>
      </c>
    </row>
    <row r="300" spans="1:64" ht="17.25" thickBot="1" x14ac:dyDescent="0.25">
      <c r="A300" s="131">
        <v>296</v>
      </c>
      <c r="B300" s="132">
        <v>43374472</v>
      </c>
      <c r="D300" s="131">
        <v>296</v>
      </c>
      <c r="E300" s="132">
        <v>15.657019999999999</v>
      </c>
      <c r="AK300">
        <v>294</v>
      </c>
      <c r="AL300" s="24">
        <f t="shared" si="65"/>
        <v>15.557840000000001</v>
      </c>
      <c r="AM300">
        <f t="shared" si="67"/>
        <v>108.90488000000001</v>
      </c>
      <c r="AN300">
        <f t="shared" si="67"/>
        <v>155.57840000000002</v>
      </c>
      <c r="AO300">
        <f t="shared" si="67"/>
        <v>233.36760000000001</v>
      </c>
      <c r="AP300">
        <f t="shared" si="67"/>
        <v>311.15680000000003</v>
      </c>
      <c r="AQ300">
        <f t="shared" si="67"/>
        <v>544.52440000000001</v>
      </c>
      <c r="AR300">
        <f t="shared" si="67"/>
        <v>777.89200000000005</v>
      </c>
      <c r="AS300">
        <f t="shared" si="67"/>
        <v>1244.6272000000001</v>
      </c>
      <c r="AT300">
        <f t="shared" si="67"/>
        <v>1866.9408000000001</v>
      </c>
      <c r="AU300">
        <f t="shared" si="67"/>
        <v>2644.8328000000001</v>
      </c>
      <c r="AV300">
        <f t="shared" si="67"/>
        <v>3733.8816000000002</v>
      </c>
      <c r="AW300">
        <f t="shared" si="67"/>
        <v>5134.0871999999999</v>
      </c>
      <c r="AX300">
        <f t="shared" si="67"/>
        <v>7156.6064000000006</v>
      </c>
      <c r="AY300">
        <f t="shared" si="67"/>
        <v>12446.272000000001</v>
      </c>
      <c r="AZ300">
        <f t="shared" si="67"/>
        <v>23336.760000000002</v>
      </c>
      <c r="BA300">
        <f t="shared" si="67"/>
        <v>38894.6</v>
      </c>
      <c r="BB300">
        <f t="shared" si="67"/>
        <v>62231.360000000001</v>
      </c>
      <c r="BC300">
        <f t="shared" si="68"/>
        <v>155578.4</v>
      </c>
      <c r="BD300">
        <f t="shared" si="68"/>
        <v>233367.6</v>
      </c>
      <c r="BE300">
        <f t="shared" si="68"/>
        <v>373388.16000000003</v>
      </c>
      <c r="BF300">
        <f t="shared" si="68"/>
        <v>466735.2</v>
      </c>
      <c r="BG300">
        <f t="shared" si="68"/>
        <v>1555784</v>
      </c>
      <c r="BH300">
        <f t="shared" si="68"/>
        <v>4667352</v>
      </c>
      <c r="BI300">
        <f t="shared" si="68"/>
        <v>13224164</v>
      </c>
      <c r="BJ300">
        <f t="shared" si="68"/>
        <v>46673520</v>
      </c>
      <c r="BK300">
        <f t="shared" si="68"/>
        <v>155578400</v>
      </c>
      <c r="BL300">
        <v>295</v>
      </c>
    </row>
    <row r="301" spans="1:64" ht="17.25" thickBot="1" x14ac:dyDescent="0.25">
      <c r="A301" s="131">
        <v>297</v>
      </c>
      <c r="B301" s="132">
        <v>43594116</v>
      </c>
      <c r="D301" s="131">
        <v>297</v>
      </c>
      <c r="E301" s="132">
        <v>15.70637</v>
      </c>
      <c r="AK301">
        <v>295</v>
      </c>
      <c r="AL301" s="24">
        <f t="shared" si="65"/>
        <v>15.60751</v>
      </c>
      <c r="AM301">
        <f t="shared" si="67"/>
        <v>109.25256999999999</v>
      </c>
      <c r="AN301">
        <f t="shared" si="67"/>
        <v>156.07509999999999</v>
      </c>
      <c r="AO301">
        <f t="shared" si="67"/>
        <v>234.11265</v>
      </c>
      <c r="AP301">
        <f t="shared" si="67"/>
        <v>312.15019999999998</v>
      </c>
      <c r="AQ301">
        <f t="shared" si="67"/>
        <v>546.26284999999996</v>
      </c>
      <c r="AR301">
        <f t="shared" si="67"/>
        <v>780.37549999999999</v>
      </c>
      <c r="AS301">
        <f t="shared" si="67"/>
        <v>1248.6007999999999</v>
      </c>
      <c r="AT301">
        <f t="shared" si="67"/>
        <v>1872.9012</v>
      </c>
      <c r="AU301">
        <f t="shared" si="67"/>
        <v>2653.2766999999999</v>
      </c>
      <c r="AV301">
        <f t="shared" si="67"/>
        <v>3745.8024</v>
      </c>
      <c r="AW301">
        <f t="shared" si="67"/>
        <v>5150.4782999999998</v>
      </c>
      <c r="AX301">
        <f t="shared" si="67"/>
        <v>7179.4546</v>
      </c>
      <c r="AY301">
        <f t="shared" si="67"/>
        <v>12486.008</v>
      </c>
      <c r="AZ301">
        <f t="shared" si="67"/>
        <v>23411.264999999999</v>
      </c>
      <c r="BA301">
        <f t="shared" si="67"/>
        <v>39018.775000000001</v>
      </c>
      <c r="BB301">
        <f t="shared" si="67"/>
        <v>62430.04</v>
      </c>
      <c r="BC301">
        <f t="shared" si="68"/>
        <v>156075.1</v>
      </c>
      <c r="BD301">
        <f t="shared" si="68"/>
        <v>234112.65</v>
      </c>
      <c r="BE301">
        <f t="shared" si="68"/>
        <v>374580.24</v>
      </c>
      <c r="BF301">
        <f t="shared" si="68"/>
        <v>468225.3</v>
      </c>
      <c r="BG301">
        <f t="shared" si="68"/>
        <v>1560751</v>
      </c>
      <c r="BH301">
        <f t="shared" si="68"/>
        <v>4682253</v>
      </c>
      <c r="BI301">
        <f t="shared" si="68"/>
        <v>13266383.5</v>
      </c>
      <c r="BJ301">
        <f t="shared" si="68"/>
        <v>46822530</v>
      </c>
      <c r="BK301">
        <f t="shared" si="68"/>
        <v>156075100</v>
      </c>
      <c r="BL301" s="145">
        <v>296</v>
      </c>
    </row>
    <row r="302" spans="1:64" ht="17.25" thickBot="1" x14ac:dyDescent="0.25">
      <c r="A302" s="131">
        <v>298</v>
      </c>
      <c r="B302" s="132">
        <v>43814127</v>
      </c>
      <c r="D302" s="131">
        <v>298</v>
      </c>
      <c r="E302" s="132">
        <v>15.755559999999999</v>
      </c>
      <c r="AK302">
        <v>296</v>
      </c>
      <c r="AL302" s="24">
        <f t="shared" si="65"/>
        <v>15.657019999999999</v>
      </c>
      <c r="AM302">
        <f t="shared" si="67"/>
        <v>109.59913999999999</v>
      </c>
      <c r="AN302">
        <f t="shared" si="67"/>
        <v>156.5702</v>
      </c>
      <c r="AO302">
        <f t="shared" si="67"/>
        <v>234.8553</v>
      </c>
      <c r="AP302">
        <f t="shared" si="67"/>
        <v>313.1404</v>
      </c>
      <c r="AQ302">
        <f t="shared" si="67"/>
        <v>547.99569999999994</v>
      </c>
      <c r="AR302">
        <f t="shared" si="67"/>
        <v>782.851</v>
      </c>
      <c r="AS302">
        <f t="shared" si="67"/>
        <v>1252.5616</v>
      </c>
      <c r="AT302">
        <f t="shared" si="67"/>
        <v>1878.8424</v>
      </c>
      <c r="AU302">
        <f t="shared" si="67"/>
        <v>2661.6933999999997</v>
      </c>
      <c r="AV302">
        <f t="shared" si="67"/>
        <v>3757.6848</v>
      </c>
      <c r="AW302">
        <f t="shared" si="67"/>
        <v>5166.8166000000001</v>
      </c>
      <c r="AX302">
        <f t="shared" si="67"/>
        <v>7202.2291999999998</v>
      </c>
      <c r="AY302">
        <f t="shared" si="67"/>
        <v>12525.616</v>
      </c>
      <c r="AZ302">
        <f t="shared" si="67"/>
        <v>23485.53</v>
      </c>
      <c r="BA302">
        <f t="shared" si="67"/>
        <v>39142.549999999996</v>
      </c>
      <c r="BB302">
        <f t="shared" si="67"/>
        <v>62628.079999999994</v>
      </c>
      <c r="BC302">
        <f t="shared" si="68"/>
        <v>156570.19999999998</v>
      </c>
      <c r="BD302">
        <f t="shared" si="68"/>
        <v>234855.3</v>
      </c>
      <c r="BE302">
        <f t="shared" si="68"/>
        <v>375768.48</v>
      </c>
      <c r="BF302">
        <f t="shared" si="68"/>
        <v>469710.6</v>
      </c>
      <c r="BG302">
        <f t="shared" si="68"/>
        <v>1565702</v>
      </c>
      <c r="BH302">
        <f t="shared" si="68"/>
        <v>4697106</v>
      </c>
      <c r="BI302">
        <f t="shared" si="68"/>
        <v>13308467</v>
      </c>
      <c r="BJ302">
        <f t="shared" si="68"/>
        <v>46971060</v>
      </c>
      <c r="BK302">
        <f t="shared" si="68"/>
        <v>156570200</v>
      </c>
      <c r="BL302">
        <v>297</v>
      </c>
    </row>
    <row r="303" spans="1:64" ht="17.25" thickBot="1" x14ac:dyDescent="0.25">
      <c r="A303" s="131">
        <v>299</v>
      </c>
      <c r="B303" s="132">
        <v>44034505</v>
      </c>
      <c r="D303" s="131">
        <v>299</v>
      </c>
      <c r="E303" s="132">
        <v>15.80458</v>
      </c>
      <c r="AK303">
        <v>297</v>
      </c>
      <c r="AL303" s="24">
        <f t="shared" si="65"/>
        <v>15.70637</v>
      </c>
      <c r="AM303">
        <f t="shared" si="67"/>
        <v>109.94459000000001</v>
      </c>
      <c r="AN303">
        <f t="shared" si="67"/>
        <v>157.06369999999998</v>
      </c>
      <c r="AO303">
        <f t="shared" si="67"/>
        <v>235.59555</v>
      </c>
      <c r="AP303">
        <f t="shared" si="67"/>
        <v>314.12739999999997</v>
      </c>
      <c r="AQ303">
        <f t="shared" si="67"/>
        <v>549.72294999999997</v>
      </c>
      <c r="AR303">
        <f t="shared" si="67"/>
        <v>785.31849999999997</v>
      </c>
      <c r="AS303">
        <f t="shared" si="67"/>
        <v>1256.5095999999999</v>
      </c>
      <c r="AT303">
        <f t="shared" si="67"/>
        <v>1884.7644</v>
      </c>
      <c r="AU303">
        <f t="shared" si="67"/>
        <v>2670.0828999999999</v>
      </c>
      <c r="AV303">
        <f t="shared" si="67"/>
        <v>3769.5288</v>
      </c>
      <c r="AW303">
        <f t="shared" si="67"/>
        <v>5183.1021000000001</v>
      </c>
      <c r="AX303">
        <f t="shared" si="67"/>
        <v>7224.9301999999998</v>
      </c>
      <c r="AY303">
        <f t="shared" si="67"/>
        <v>12565.096</v>
      </c>
      <c r="AZ303">
        <f t="shared" si="67"/>
        <v>23559.555</v>
      </c>
      <c r="BA303">
        <f t="shared" si="67"/>
        <v>39265.925000000003</v>
      </c>
      <c r="BB303">
        <f t="shared" si="67"/>
        <v>62825.479999999996</v>
      </c>
      <c r="BC303">
        <f t="shared" si="68"/>
        <v>157063.70000000001</v>
      </c>
      <c r="BD303">
        <f t="shared" si="68"/>
        <v>235595.55</v>
      </c>
      <c r="BE303">
        <f t="shared" si="68"/>
        <v>376952.88</v>
      </c>
      <c r="BF303">
        <f t="shared" si="68"/>
        <v>471191.1</v>
      </c>
      <c r="BG303">
        <f t="shared" si="68"/>
        <v>1570637</v>
      </c>
      <c r="BH303">
        <f t="shared" si="68"/>
        <v>4711911</v>
      </c>
      <c r="BI303">
        <f t="shared" si="68"/>
        <v>13350414.5</v>
      </c>
      <c r="BJ303">
        <f t="shared" si="68"/>
        <v>47119110</v>
      </c>
      <c r="BK303">
        <f t="shared" si="68"/>
        <v>157063700</v>
      </c>
      <c r="BL303" s="145">
        <v>298</v>
      </c>
    </row>
    <row r="304" spans="1:64" ht="17.25" thickBot="1" x14ac:dyDescent="0.25">
      <c r="A304" s="131">
        <v>300</v>
      </c>
      <c r="B304" s="132">
        <v>44255255</v>
      </c>
      <c r="D304" s="131">
        <v>300</v>
      </c>
      <c r="E304" s="132">
        <v>15.853440000000001</v>
      </c>
      <c r="AK304">
        <v>298</v>
      </c>
      <c r="AL304" s="24">
        <f t="shared" si="65"/>
        <v>15.755559999999999</v>
      </c>
      <c r="AM304">
        <f t="shared" si="67"/>
        <v>110.28891999999999</v>
      </c>
      <c r="AN304">
        <f t="shared" si="67"/>
        <v>157.5556</v>
      </c>
      <c r="AO304">
        <f t="shared" si="67"/>
        <v>236.33339999999998</v>
      </c>
      <c r="AP304">
        <f t="shared" si="67"/>
        <v>315.1112</v>
      </c>
      <c r="AQ304">
        <f t="shared" si="67"/>
        <v>551.44459999999992</v>
      </c>
      <c r="AR304">
        <f t="shared" si="67"/>
        <v>787.77799999999991</v>
      </c>
      <c r="AS304">
        <f t="shared" si="67"/>
        <v>1260.4448</v>
      </c>
      <c r="AT304">
        <f t="shared" si="67"/>
        <v>1890.6671999999999</v>
      </c>
      <c r="AU304">
        <f t="shared" si="67"/>
        <v>2678.4451999999997</v>
      </c>
      <c r="AV304">
        <f t="shared" si="67"/>
        <v>3781.3343999999997</v>
      </c>
      <c r="AW304">
        <f t="shared" ref="AM304:BB320" si="69">AW$5*VLOOKUP($AK304,$D$2:$E$1404,2,FALSE)</f>
        <v>5199.3347999999996</v>
      </c>
      <c r="AX304">
        <f t="shared" si="69"/>
        <v>7247.5575999999992</v>
      </c>
      <c r="AY304">
        <f t="shared" si="69"/>
        <v>12604.447999999999</v>
      </c>
      <c r="AZ304">
        <f t="shared" si="69"/>
        <v>23633.34</v>
      </c>
      <c r="BA304">
        <f t="shared" si="69"/>
        <v>39388.899999999994</v>
      </c>
      <c r="BB304">
        <f t="shared" si="69"/>
        <v>63022.239999999998</v>
      </c>
      <c r="BC304">
        <f t="shared" si="68"/>
        <v>157555.59999999998</v>
      </c>
      <c r="BD304">
        <f t="shared" si="68"/>
        <v>236333.4</v>
      </c>
      <c r="BE304">
        <f t="shared" si="68"/>
        <v>378133.44</v>
      </c>
      <c r="BF304">
        <f t="shared" si="68"/>
        <v>472666.8</v>
      </c>
      <c r="BG304">
        <f t="shared" si="68"/>
        <v>1575556</v>
      </c>
      <c r="BH304">
        <f t="shared" si="68"/>
        <v>4726668</v>
      </c>
      <c r="BI304">
        <f t="shared" si="68"/>
        <v>13392226</v>
      </c>
      <c r="BJ304">
        <f t="shared" si="68"/>
        <v>47266680</v>
      </c>
      <c r="BK304">
        <f t="shared" si="68"/>
        <v>157555600</v>
      </c>
      <c r="BL304">
        <v>299</v>
      </c>
    </row>
    <row r="305" spans="1:64" ht="17.25" thickBot="1" x14ac:dyDescent="0.25">
      <c r="A305" s="131">
        <v>301</v>
      </c>
      <c r="B305" s="132">
        <v>44476372</v>
      </c>
      <c r="D305" s="131">
        <v>301</v>
      </c>
      <c r="E305" s="132">
        <v>15.902150000000001</v>
      </c>
      <c r="AK305">
        <v>299</v>
      </c>
      <c r="AL305" s="24">
        <f t="shared" si="65"/>
        <v>15.80458</v>
      </c>
      <c r="AM305">
        <f t="shared" si="69"/>
        <v>110.63206</v>
      </c>
      <c r="AN305">
        <f t="shared" si="69"/>
        <v>158.04579999999999</v>
      </c>
      <c r="AO305">
        <f t="shared" si="69"/>
        <v>237.06870000000001</v>
      </c>
      <c r="AP305">
        <f t="shared" si="69"/>
        <v>316.09159999999997</v>
      </c>
      <c r="AQ305">
        <f t="shared" si="69"/>
        <v>553.16030000000001</v>
      </c>
      <c r="AR305">
        <f t="shared" si="69"/>
        <v>790.22899999999993</v>
      </c>
      <c r="AS305">
        <f t="shared" si="69"/>
        <v>1264.3663999999999</v>
      </c>
      <c r="AT305">
        <f t="shared" si="69"/>
        <v>1896.5496000000001</v>
      </c>
      <c r="AU305">
        <f t="shared" si="69"/>
        <v>2686.7786000000001</v>
      </c>
      <c r="AV305">
        <f t="shared" si="69"/>
        <v>3793.0992000000001</v>
      </c>
      <c r="AW305">
        <f t="shared" si="69"/>
        <v>5215.5114000000003</v>
      </c>
      <c r="AX305">
        <f t="shared" si="69"/>
        <v>7270.1067999999996</v>
      </c>
      <c r="AY305">
        <f t="shared" si="69"/>
        <v>12643.663999999999</v>
      </c>
      <c r="AZ305">
        <f t="shared" si="69"/>
        <v>23706.87</v>
      </c>
      <c r="BA305">
        <f t="shared" si="69"/>
        <v>39511.449999999997</v>
      </c>
      <c r="BB305">
        <f t="shared" si="69"/>
        <v>63218.32</v>
      </c>
      <c r="BC305">
        <f t="shared" si="68"/>
        <v>158045.79999999999</v>
      </c>
      <c r="BD305">
        <f t="shared" si="68"/>
        <v>237068.69999999998</v>
      </c>
      <c r="BE305">
        <f t="shared" si="68"/>
        <v>379309.92</v>
      </c>
      <c r="BF305">
        <f t="shared" si="68"/>
        <v>474137.39999999997</v>
      </c>
      <c r="BG305">
        <f t="shared" si="68"/>
        <v>1580458</v>
      </c>
      <c r="BH305">
        <f t="shared" si="68"/>
        <v>4741374</v>
      </c>
      <c r="BI305">
        <f t="shared" si="68"/>
        <v>13433893</v>
      </c>
      <c r="BJ305">
        <f t="shared" si="68"/>
        <v>47413740</v>
      </c>
      <c r="BK305">
        <f t="shared" si="68"/>
        <v>158045800</v>
      </c>
      <c r="BL305" s="145">
        <v>300</v>
      </c>
    </row>
    <row r="306" spans="1:64" ht="17.25" thickBot="1" x14ac:dyDescent="0.25">
      <c r="A306" s="131">
        <v>302</v>
      </c>
      <c r="B306" s="132">
        <v>44697855</v>
      </c>
      <c r="D306" s="131">
        <v>302</v>
      </c>
      <c r="E306" s="132">
        <v>15.950699999999999</v>
      </c>
      <c r="AK306">
        <v>300</v>
      </c>
      <c r="AL306" s="24">
        <f t="shared" si="65"/>
        <v>15.853440000000001</v>
      </c>
      <c r="AM306">
        <f t="shared" si="69"/>
        <v>110.97408</v>
      </c>
      <c r="AN306">
        <f t="shared" si="69"/>
        <v>158.53440000000001</v>
      </c>
      <c r="AO306">
        <f t="shared" si="69"/>
        <v>237.80160000000001</v>
      </c>
      <c r="AP306">
        <f t="shared" si="69"/>
        <v>317.06880000000001</v>
      </c>
      <c r="AQ306">
        <f t="shared" si="69"/>
        <v>554.87040000000002</v>
      </c>
      <c r="AR306">
        <f t="shared" si="69"/>
        <v>792.67200000000003</v>
      </c>
      <c r="AS306">
        <f t="shared" si="69"/>
        <v>1268.2752</v>
      </c>
      <c r="AT306">
        <f t="shared" si="69"/>
        <v>1902.4128000000001</v>
      </c>
      <c r="AU306">
        <f t="shared" si="69"/>
        <v>2695.0848000000001</v>
      </c>
      <c r="AV306">
        <f t="shared" si="69"/>
        <v>3804.8256000000001</v>
      </c>
      <c r="AW306">
        <f t="shared" si="69"/>
        <v>5231.6352000000006</v>
      </c>
      <c r="AX306">
        <f t="shared" si="69"/>
        <v>7292.5824000000002</v>
      </c>
      <c r="AY306">
        <f t="shared" si="69"/>
        <v>12682.752</v>
      </c>
      <c r="AZ306">
        <f t="shared" si="69"/>
        <v>23780.16</v>
      </c>
      <c r="BA306">
        <f t="shared" si="69"/>
        <v>39633.599999999999</v>
      </c>
      <c r="BB306">
        <f t="shared" si="69"/>
        <v>63413.760000000002</v>
      </c>
      <c r="BC306">
        <f t="shared" si="68"/>
        <v>158534.39999999999</v>
      </c>
      <c r="BD306">
        <f t="shared" si="68"/>
        <v>237801.60000000001</v>
      </c>
      <c r="BE306">
        <f t="shared" si="68"/>
        <v>380482.56</v>
      </c>
      <c r="BF306">
        <f t="shared" si="68"/>
        <v>475603.20000000001</v>
      </c>
      <c r="BG306">
        <f t="shared" si="68"/>
        <v>1585344</v>
      </c>
      <c r="BH306">
        <f t="shared" si="68"/>
        <v>4756032</v>
      </c>
      <c r="BI306">
        <f t="shared" si="68"/>
        <v>13475424</v>
      </c>
      <c r="BJ306">
        <f t="shared" si="68"/>
        <v>47560320</v>
      </c>
      <c r="BK306">
        <f t="shared" si="68"/>
        <v>158534400</v>
      </c>
      <c r="BL306">
        <v>301</v>
      </c>
    </row>
    <row r="307" spans="1:64" ht="17.25" thickBot="1" x14ac:dyDescent="0.25">
      <c r="A307" s="131">
        <v>303</v>
      </c>
      <c r="B307" s="132">
        <v>44919705</v>
      </c>
      <c r="D307" s="131">
        <v>303</v>
      </c>
      <c r="E307" s="132">
        <v>15.999090000000001</v>
      </c>
      <c r="AK307">
        <v>301</v>
      </c>
      <c r="AL307" s="24">
        <f t="shared" si="65"/>
        <v>15.902150000000001</v>
      </c>
      <c r="AM307">
        <f t="shared" si="69"/>
        <v>111.31505</v>
      </c>
      <c r="AN307">
        <f t="shared" si="69"/>
        <v>159.0215</v>
      </c>
      <c r="AO307">
        <f t="shared" si="69"/>
        <v>238.53225</v>
      </c>
      <c r="AP307">
        <f t="shared" si="69"/>
        <v>318.04300000000001</v>
      </c>
      <c r="AQ307">
        <f t="shared" si="69"/>
        <v>556.57524999999998</v>
      </c>
      <c r="AR307">
        <f t="shared" si="69"/>
        <v>795.10750000000007</v>
      </c>
      <c r="AS307">
        <f t="shared" si="69"/>
        <v>1272.172</v>
      </c>
      <c r="AT307">
        <f t="shared" si="69"/>
        <v>1908.258</v>
      </c>
      <c r="AU307">
        <f t="shared" si="69"/>
        <v>2703.3655000000003</v>
      </c>
      <c r="AV307">
        <f t="shared" si="69"/>
        <v>3816.5160000000001</v>
      </c>
      <c r="AW307">
        <f t="shared" si="69"/>
        <v>5247.7094999999999</v>
      </c>
      <c r="AX307">
        <f t="shared" si="69"/>
        <v>7314.9890000000005</v>
      </c>
      <c r="AY307">
        <f t="shared" si="69"/>
        <v>12721.720000000001</v>
      </c>
      <c r="AZ307">
        <f t="shared" si="69"/>
        <v>23853.225000000002</v>
      </c>
      <c r="BA307">
        <f t="shared" si="69"/>
        <v>39755.375</v>
      </c>
      <c r="BB307">
        <f t="shared" si="69"/>
        <v>63608.600000000006</v>
      </c>
      <c r="BC307">
        <f t="shared" si="68"/>
        <v>159021.5</v>
      </c>
      <c r="BD307">
        <f t="shared" si="68"/>
        <v>238532.25</v>
      </c>
      <c r="BE307">
        <f t="shared" si="68"/>
        <v>381651.60000000003</v>
      </c>
      <c r="BF307">
        <f t="shared" si="68"/>
        <v>477064.5</v>
      </c>
      <c r="BG307">
        <f t="shared" si="68"/>
        <v>1590215</v>
      </c>
      <c r="BH307">
        <f t="shared" si="68"/>
        <v>4770645</v>
      </c>
      <c r="BI307">
        <f t="shared" si="68"/>
        <v>13516827.5</v>
      </c>
      <c r="BJ307">
        <f t="shared" si="68"/>
        <v>47706450</v>
      </c>
      <c r="BK307">
        <f t="shared" si="68"/>
        <v>159021500</v>
      </c>
      <c r="BL307" s="145">
        <v>302</v>
      </c>
    </row>
    <row r="308" spans="1:64" ht="17.25" thickBot="1" x14ac:dyDescent="0.25">
      <c r="A308" s="131">
        <v>304</v>
      </c>
      <c r="B308" s="132">
        <v>45141922</v>
      </c>
      <c r="D308" s="131">
        <v>304</v>
      </c>
      <c r="E308" s="132">
        <v>16.047329999999999</v>
      </c>
      <c r="AK308">
        <v>302</v>
      </c>
      <c r="AL308" s="24">
        <f t="shared" si="65"/>
        <v>15.950699999999999</v>
      </c>
      <c r="AM308">
        <f t="shared" si="69"/>
        <v>111.6549</v>
      </c>
      <c r="AN308">
        <f t="shared" si="69"/>
        <v>159.50700000000001</v>
      </c>
      <c r="AO308">
        <f t="shared" si="69"/>
        <v>239.26049999999998</v>
      </c>
      <c r="AP308">
        <f t="shared" si="69"/>
        <v>319.01400000000001</v>
      </c>
      <c r="AQ308">
        <f t="shared" si="69"/>
        <v>558.27449999999999</v>
      </c>
      <c r="AR308">
        <f t="shared" si="69"/>
        <v>797.53499999999997</v>
      </c>
      <c r="AS308">
        <f t="shared" si="69"/>
        <v>1276.056</v>
      </c>
      <c r="AT308">
        <f t="shared" si="69"/>
        <v>1914.0839999999998</v>
      </c>
      <c r="AU308">
        <f t="shared" si="69"/>
        <v>2711.6189999999997</v>
      </c>
      <c r="AV308">
        <f t="shared" si="69"/>
        <v>3828.1679999999997</v>
      </c>
      <c r="AW308">
        <f t="shared" si="69"/>
        <v>5263.7309999999998</v>
      </c>
      <c r="AX308">
        <f t="shared" si="69"/>
        <v>7337.3220000000001</v>
      </c>
      <c r="AY308">
        <f t="shared" si="69"/>
        <v>12760.56</v>
      </c>
      <c r="AZ308">
        <f t="shared" si="69"/>
        <v>23926.05</v>
      </c>
      <c r="BA308">
        <f t="shared" si="69"/>
        <v>39876.75</v>
      </c>
      <c r="BB308">
        <f t="shared" si="69"/>
        <v>63802.799999999996</v>
      </c>
      <c r="BC308">
        <f t="shared" si="68"/>
        <v>159507</v>
      </c>
      <c r="BD308">
        <f t="shared" si="68"/>
        <v>239260.5</v>
      </c>
      <c r="BE308">
        <f t="shared" si="68"/>
        <v>382816.8</v>
      </c>
      <c r="BF308">
        <f t="shared" si="68"/>
        <v>478521</v>
      </c>
      <c r="BG308">
        <f t="shared" si="68"/>
        <v>1595070</v>
      </c>
      <c r="BH308">
        <f t="shared" si="68"/>
        <v>4785210</v>
      </c>
      <c r="BI308">
        <f t="shared" si="68"/>
        <v>13558095</v>
      </c>
      <c r="BJ308">
        <f t="shared" si="68"/>
        <v>47852100</v>
      </c>
      <c r="BK308">
        <f t="shared" si="68"/>
        <v>159507000</v>
      </c>
      <c r="BL308">
        <v>303</v>
      </c>
    </row>
    <row r="309" spans="1:64" ht="17.25" thickBot="1" x14ac:dyDescent="0.25">
      <c r="A309" s="131">
        <v>305</v>
      </c>
      <c r="B309" s="132">
        <v>45364505</v>
      </c>
      <c r="D309" s="131">
        <v>305</v>
      </c>
      <c r="E309" s="132">
        <v>16.095410000000001</v>
      </c>
      <c r="AK309">
        <v>303</v>
      </c>
      <c r="AL309" s="24">
        <f t="shared" si="65"/>
        <v>15.999090000000001</v>
      </c>
      <c r="AM309">
        <f t="shared" si="69"/>
        <v>111.99363000000001</v>
      </c>
      <c r="AN309">
        <f t="shared" si="69"/>
        <v>159.99090000000001</v>
      </c>
      <c r="AO309">
        <f t="shared" si="69"/>
        <v>239.98635000000002</v>
      </c>
      <c r="AP309">
        <f t="shared" si="69"/>
        <v>319.98180000000002</v>
      </c>
      <c r="AQ309">
        <f t="shared" si="69"/>
        <v>559.96815000000004</v>
      </c>
      <c r="AR309">
        <f t="shared" si="69"/>
        <v>799.95450000000005</v>
      </c>
      <c r="AS309">
        <f t="shared" si="69"/>
        <v>1279.9272000000001</v>
      </c>
      <c r="AT309">
        <f t="shared" si="69"/>
        <v>1919.8908000000001</v>
      </c>
      <c r="AU309">
        <f t="shared" si="69"/>
        <v>2719.8453</v>
      </c>
      <c r="AV309">
        <f t="shared" si="69"/>
        <v>3839.7816000000003</v>
      </c>
      <c r="AW309">
        <f t="shared" si="69"/>
        <v>5279.6997000000001</v>
      </c>
      <c r="AX309">
        <f t="shared" si="69"/>
        <v>7359.5814</v>
      </c>
      <c r="AY309">
        <f t="shared" si="69"/>
        <v>12799.272000000001</v>
      </c>
      <c r="AZ309">
        <f t="shared" si="69"/>
        <v>23998.635000000002</v>
      </c>
      <c r="BA309">
        <f t="shared" si="69"/>
        <v>39997.724999999999</v>
      </c>
      <c r="BB309">
        <f t="shared" si="69"/>
        <v>63996.36</v>
      </c>
      <c r="BC309">
        <f t="shared" si="68"/>
        <v>159990.9</v>
      </c>
      <c r="BD309">
        <f t="shared" si="68"/>
        <v>239986.35</v>
      </c>
      <c r="BE309">
        <f t="shared" si="68"/>
        <v>383978.16000000003</v>
      </c>
      <c r="BF309">
        <f t="shared" si="68"/>
        <v>479972.7</v>
      </c>
      <c r="BG309">
        <f t="shared" si="68"/>
        <v>1599909</v>
      </c>
      <c r="BH309">
        <f t="shared" si="68"/>
        <v>4799727</v>
      </c>
      <c r="BI309">
        <f t="shared" si="68"/>
        <v>13599226.5</v>
      </c>
      <c r="BJ309">
        <f t="shared" si="68"/>
        <v>47997270</v>
      </c>
      <c r="BK309">
        <f t="shared" si="68"/>
        <v>159990900</v>
      </c>
      <c r="BL309" s="145">
        <v>304</v>
      </c>
    </row>
    <row r="310" spans="1:64" ht="17.25" thickBot="1" x14ac:dyDescent="0.25">
      <c r="A310" s="131">
        <v>306</v>
      </c>
      <c r="B310" s="132">
        <v>45587450</v>
      </c>
      <c r="D310" s="131">
        <v>306</v>
      </c>
      <c r="E310" s="132">
        <v>16.143339999999998</v>
      </c>
      <c r="AK310">
        <v>304</v>
      </c>
      <c r="AL310" s="24">
        <f t="shared" si="65"/>
        <v>16.047329999999999</v>
      </c>
      <c r="AM310">
        <f t="shared" si="69"/>
        <v>112.33130999999999</v>
      </c>
      <c r="AN310">
        <f t="shared" si="69"/>
        <v>160.47329999999999</v>
      </c>
      <c r="AO310">
        <f t="shared" si="69"/>
        <v>240.70994999999999</v>
      </c>
      <c r="AP310">
        <f t="shared" si="69"/>
        <v>320.94659999999999</v>
      </c>
      <c r="AQ310">
        <f t="shared" si="69"/>
        <v>561.65654999999992</v>
      </c>
      <c r="AR310">
        <f t="shared" si="69"/>
        <v>802.36649999999997</v>
      </c>
      <c r="AS310">
        <f t="shared" si="69"/>
        <v>1283.7864</v>
      </c>
      <c r="AT310">
        <f t="shared" si="69"/>
        <v>1925.6795999999999</v>
      </c>
      <c r="AU310">
        <f t="shared" si="69"/>
        <v>2728.0460999999996</v>
      </c>
      <c r="AV310">
        <f t="shared" si="69"/>
        <v>3851.3591999999999</v>
      </c>
      <c r="AW310">
        <f t="shared" si="69"/>
        <v>5295.6188999999995</v>
      </c>
      <c r="AX310">
        <f t="shared" si="69"/>
        <v>7381.7717999999995</v>
      </c>
      <c r="AY310">
        <f t="shared" si="69"/>
        <v>12837.864</v>
      </c>
      <c r="AZ310">
        <f t="shared" si="69"/>
        <v>24070.994999999999</v>
      </c>
      <c r="BA310">
        <f t="shared" si="69"/>
        <v>40118.324999999997</v>
      </c>
      <c r="BB310">
        <f t="shared" si="69"/>
        <v>64189.319999999992</v>
      </c>
      <c r="BC310">
        <f t="shared" si="68"/>
        <v>160473.29999999999</v>
      </c>
      <c r="BD310">
        <f t="shared" si="68"/>
        <v>240709.94999999998</v>
      </c>
      <c r="BE310">
        <f t="shared" si="68"/>
        <v>385135.92</v>
      </c>
      <c r="BF310">
        <f t="shared" si="68"/>
        <v>481419.89999999997</v>
      </c>
      <c r="BG310">
        <f t="shared" si="68"/>
        <v>1604732.9999999998</v>
      </c>
      <c r="BH310">
        <f t="shared" si="68"/>
        <v>4814199</v>
      </c>
      <c r="BI310">
        <f t="shared" si="68"/>
        <v>13640230.499999998</v>
      </c>
      <c r="BJ310">
        <f t="shared" si="68"/>
        <v>48141990</v>
      </c>
      <c r="BK310">
        <f t="shared" si="68"/>
        <v>160473300</v>
      </c>
      <c r="BL310">
        <v>305</v>
      </c>
    </row>
    <row r="311" spans="1:64" ht="17.25" thickBot="1" x14ac:dyDescent="0.25">
      <c r="A311" s="131">
        <v>307</v>
      </c>
      <c r="B311" s="132">
        <v>45810761</v>
      </c>
      <c r="D311" s="131">
        <v>307</v>
      </c>
      <c r="E311" s="132">
        <v>16.191120000000002</v>
      </c>
      <c r="AK311">
        <v>305</v>
      </c>
      <c r="AL311" s="24">
        <f t="shared" si="65"/>
        <v>16.095410000000001</v>
      </c>
      <c r="AM311">
        <f t="shared" si="69"/>
        <v>112.66787000000001</v>
      </c>
      <c r="AN311">
        <f t="shared" si="69"/>
        <v>160.95410000000001</v>
      </c>
      <c r="AO311">
        <f t="shared" si="69"/>
        <v>241.43115</v>
      </c>
      <c r="AP311">
        <f t="shared" si="69"/>
        <v>321.90820000000002</v>
      </c>
      <c r="AQ311">
        <f t="shared" si="69"/>
        <v>563.33935000000008</v>
      </c>
      <c r="AR311">
        <f t="shared" si="69"/>
        <v>804.77050000000008</v>
      </c>
      <c r="AS311">
        <f t="shared" si="69"/>
        <v>1287.6328000000001</v>
      </c>
      <c r="AT311">
        <f t="shared" si="69"/>
        <v>1931.4492</v>
      </c>
      <c r="AU311">
        <f t="shared" si="69"/>
        <v>2736.2197000000001</v>
      </c>
      <c r="AV311">
        <f t="shared" si="69"/>
        <v>3862.8984</v>
      </c>
      <c r="AW311">
        <f t="shared" si="69"/>
        <v>5311.4853000000003</v>
      </c>
      <c r="AX311">
        <f t="shared" si="69"/>
        <v>7403.8886000000002</v>
      </c>
      <c r="AY311">
        <f t="shared" si="69"/>
        <v>12876.328000000001</v>
      </c>
      <c r="AZ311">
        <f t="shared" si="69"/>
        <v>24143.115000000002</v>
      </c>
      <c r="BA311">
        <f t="shared" si="69"/>
        <v>40238.525000000001</v>
      </c>
      <c r="BB311">
        <f t="shared" si="69"/>
        <v>64381.640000000007</v>
      </c>
      <c r="BC311">
        <f t="shared" si="68"/>
        <v>160954.1</v>
      </c>
      <c r="BD311">
        <f t="shared" si="68"/>
        <v>241431.15000000002</v>
      </c>
      <c r="BE311">
        <f t="shared" si="68"/>
        <v>386289.84</v>
      </c>
      <c r="BF311">
        <f t="shared" si="68"/>
        <v>482862.30000000005</v>
      </c>
      <c r="BG311">
        <f t="shared" si="68"/>
        <v>1609541</v>
      </c>
      <c r="BH311">
        <f t="shared" si="68"/>
        <v>4828623</v>
      </c>
      <c r="BI311">
        <f t="shared" si="68"/>
        <v>13681098.500000002</v>
      </c>
      <c r="BJ311">
        <f t="shared" si="68"/>
        <v>48286230</v>
      </c>
      <c r="BK311">
        <f t="shared" si="68"/>
        <v>160954100</v>
      </c>
      <c r="BL311" s="145">
        <v>306</v>
      </c>
    </row>
    <row r="312" spans="1:64" ht="17.25" thickBot="1" x14ac:dyDescent="0.25">
      <c r="A312" s="131">
        <v>308</v>
      </c>
      <c r="B312" s="132">
        <v>46034433</v>
      </c>
      <c r="D312" s="131">
        <v>308</v>
      </c>
      <c r="E312" s="132">
        <v>16.23874</v>
      </c>
      <c r="AK312">
        <v>306</v>
      </c>
      <c r="AL312" s="24">
        <f t="shared" si="65"/>
        <v>16.143339999999998</v>
      </c>
      <c r="AM312">
        <f t="shared" si="69"/>
        <v>113.00337999999999</v>
      </c>
      <c r="AN312">
        <f t="shared" si="69"/>
        <v>161.43339999999998</v>
      </c>
      <c r="AO312">
        <f t="shared" si="69"/>
        <v>242.15009999999998</v>
      </c>
      <c r="AP312">
        <f t="shared" si="69"/>
        <v>322.86679999999996</v>
      </c>
      <c r="AQ312">
        <f t="shared" si="69"/>
        <v>565.01689999999996</v>
      </c>
      <c r="AR312">
        <f t="shared" si="69"/>
        <v>807.16699999999992</v>
      </c>
      <c r="AS312">
        <f t="shared" si="69"/>
        <v>1291.4671999999998</v>
      </c>
      <c r="AT312">
        <f t="shared" si="69"/>
        <v>1937.2007999999998</v>
      </c>
      <c r="AU312">
        <f t="shared" si="69"/>
        <v>2744.3677999999995</v>
      </c>
      <c r="AV312">
        <f t="shared" si="69"/>
        <v>3874.4015999999997</v>
      </c>
      <c r="AW312">
        <f t="shared" si="69"/>
        <v>5327.3021999999992</v>
      </c>
      <c r="AX312">
        <f t="shared" si="69"/>
        <v>7425.9363999999996</v>
      </c>
      <c r="AY312">
        <f t="shared" si="69"/>
        <v>12914.671999999999</v>
      </c>
      <c r="AZ312">
        <f t="shared" si="69"/>
        <v>24215.01</v>
      </c>
      <c r="BA312">
        <f t="shared" si="69"/>
        <v>40358.35</v>
      </c>
      <c r="BB312">
        <f t="shared" si="69"/>
        <v>64573.359999999993</v>
      </c>
      <c r="BC312">
        <f t="shared" si="68"/>
        <v>161433.4</v>
      </c>
      <c r="BD312">
        <f t="shared" si="68"/>
        <v>242150.09999999998</v>
      </c>
      <c r="BE312">
        <f t="shared" si="68"/>
        <v>387440.16</v>
      </c>
      <c r="BF312">
        <f t="shared" si="68"/>
        <v>484300.19999999995</v>
      </c>
      <c r="BG312">
        <f t="shared" si="68"/>
        <v>1614333.9999999998</v>
      </c>
      <c r="BH312">
        <f t="shared" si="68"/>
        <v>4843002</v>
      </c>
      <c r="BI312">
        <f t="shared" si="68"/>
        <v>13721838.999999998</v>
      </c>
      <c r="BJ312">
        <f t="shared" si="68"/>
        <v>48430019.999999993</v>
      </c>
      <c r="BK312">
        <f t="shared" si="68"/>
        <v>161433399.99999997</v>
      </c>
      <c r="BL312">
        <v>307</v>
      </c>
    </row>
    <row r="313" spans="1:64" ht="17.25" thickBot="1" x14ac:dyDescent="0.25">
      <c r="A313" s="131">
        <v>309</v>
      </c>
      <c r="B313" s="132">
        <v>46258466</v>
      </c>
      <c r="D313" s="131">
        <v>309</v>
      </c>
      <c r="E313" s="132">
        <v>16.286210000000001</v>
      </c>
      <c r="AK313">
        <v>307</v>
      </c>
      <c r="AL313" s="24">
        <f t="shared" si="65"/>
        <v>16.191120000000002</v>
      </c>
      <c r="AM313">
        <f t="shared" si="69"/>
        <v>113.33784000000001</v>
      </c>
      <c r="AN313">
        <f t="shared" si="69"/>
        <v>161.91120000000001</v>
      </c>
      <c r="AO313">
        <f t="shared" si="69"/>
        <v>242.86680000000001</v>
      </c>
      <c r="AP313">
        <f t="shared" si="69"/>
        <v>323.82240000000002</v>
      </c>
      <c r="AQ313">
        <f t="shared" si="69"/>
        <v>566.68920000000003</v>
      </c>
      <c r="AR313">
        <f t="shared" si="69"/>
        <v>809.55600000000004</v>
      </c>
      <c r="AS313">
        <f t="shared" si="69"/>
        <v>1295.2896000000001</v>
      </c>
      <c r="AT313">
        <f t="shared" si="69"/>
        <v>1942.9344000000001</v>
      </c>
      <c r="AU313">
        <f t="shared" si="69"/>
        <v>2752.4904000000001</v>
      </c>
      <c r="AV313">
        <f t="shared" si="69"/>
        <v>3885.8688000000002</v>
      </c>
      <c r="AW313">
        <f t="shared" si="69"/>
        <v>5343.0696000000007</v>
      </c>
      <c r="AX313">
        <f t="shared" si="69"/>
        <v>7447.9152000000004</v>
      </c>
      <c r="AY313">
        <f t="shared" si="69"/>
        <v>12952.896000000001</v>
      </c>
      <c r="AZ313">
        <f t="shared" si="69"/>
        <v>24286.680000000004</v>
      </c>
      <c r="BA313">
        <f t="shared" si="69"/>
        <v>40477.800000000003</v>
      </c>
      <c r="BB313">
        <f t="shared" si="69"/>
        <v>64764.480000000003</v>
      </c>
      <c r="BC313">
        <f t="shared" si="68"/>
        <v>161911.20000000001</v>
      </c>
      <c r="BD313">
        <f t="shared" si="68"/>
        <v>242866.80000000002</v>
      </c>
      <c r="BE313">
        <f t="shared" si="68"/>
        <v>388586.88000000006</v>
      </c>
      <c r="BF313">
        <f t="shared" si="68"/>
        <v>485733.60000000003</v>
      </c>
      <c r="BG313">
        <f t="shared" si="68"/>
        <v>1619112.0000000002</v>
      </c>
      <c r="BH313">
        <f t="shared" si="68"/>
        <v>4857336</v>
      </c>
      <c r="BI313">
        <f t="shared" si="68"/>
        <v>13762452.000000002</v>
      </c>
      <c r="BJ313">
        <f t="shared" si="68"/>
        <v>48573360.000000007</v>
      </c>
      <c r="BK313">
        <f t="shared" si="68"/>
        <v>161911200.00000003</v>
      </c>
      <c r="BL313" s="145">
        <v>308</v>
      </c>
    </row>
    <row r="314" spans="1:64" ht="17.25" thickBot="1" x14ac:dyDescent="0.25">
      <c r="A314" s="131">
        <v>310</v>
      </c>
      <c r="B314" s="132">
        <v>46482866</v>
      </c>
      <c r="D314" s="131">
        <v>310</v>
      </c>
      <c r="E314" s="132">
        <v>16.33353</v>
      </c>
      <c r="AK314">
        <v>308</v>
      </c>
      <c r="AL314" s="24">
        <f t="shared" si="65"/>
        <v>16.23874</v>
      </c>
      <c r="AM314">
        <f t="shared" si="69"/>
        <v>113.67117999999999</v>
      </c>
      <c r="AN314">
        <f t="shared" si="69"/>
        <v>162.38740000000001</v>
      </c>
      <c r="AO314">
        <f t="shared" si="69"/>
        <v>243.58109999999999</v>
      </c>
      <c r="AP314">
        <f t="shared" si="69"/>
        <v>324.77480000000003</v>
      </c>
      <c r="AQ314">
        <f t="shared" si="69"/>
        <v>568.35590000000002</v>
      </c>
      <c r="AR314">
        <f t="shared" si="69"/>
        <v>811.93700000000001</v>
      </c>
      <c r="AS314">
        <f t="shared" si="69"/>
        <v>1299.0992000000001</v>
      </c>
      <c r="AT314">
        <f t="shared" si="69"/>
        <v>1948.6487999999999</v>
      </c>
      <c r="AU314">
        <f t="shared" si="69"/>
        <v>2760.5857999999998</v>
      </c>
      <c r="AV314">
        <f t="shared" si="69"/>
        <v>3897.2975999999999</v>
      </c>
      <c r="AW314">
        <f t="shared" si="69"/>
        <v>5358.7842000000001</v>
      </c>
      <c r="AX314">
        <f t="shared" si="69"/>
        <v>7469.8203999999996</v>
      </c>
      <c r="AY314">
        <f t="shared" si="69"/>
        <v>12990.992</v>
      </c>
      <c r="AZ314">
        <f t="shared" si="69"/>
        <v>24358.11</v>
      </c>
      <c r="BA314">
        <f t="shared" si="69"/>
        <v>40596.85</v>
      </c>
      <c r="BB314">
        <f t="shared" si="69"/>
        <v>64954.96</v>
      </c>
      <c r="BC314">
        <f t="shared" si="68"/>
        <v>162387.4</v>
      </c>
      <c r="BD314">
        <f t="shared" si="68"/>
        <v>243581.1</v>
      </c>
      <c r="BE314">
        <f t="shared" si="68"/>
        <v>389729.76</v>
      </c>
      <c r="BF314">
        <f t="shared" si="68"/>
        <v>487162.2</v>
      </c>
      <c r="BG314">
        <f t="shared" si="68"/>
        <v>1623874</v>
      </c>
      <c r="BH314">
        <f t="shared" si="68"/>
        <v>4871622</v>
      </c>
      <c r="BI314">
        <f t="shared" si="68"/>
        <v>13802929</v>
      </c>
      <c r="BJ314">
        <f t="shared" si="68"/>
        <v>48716220</v>
      </c>
      <c r="BK314">
        <f t="shared" si="68"/>
        <v>162387400</v>
      </c>
      <c r="BL314">
        <v>309</v>
      </c>
    </row>
    <row r="315" spans="1:64" ht="17.25" thickBot="1" x14ac:dyDescent="0.25">
      <c r="A315" s="131">
        <v>311</v>
      </c>
      <c r="B315" s="132">
        <v>46707627</v>
      </c>
      <c r="D315" s="131">
        <v>311</v>
      </c>
      <c r="E315" s="132">
        <v>16.380700000000001</v>
      </c>
      <c r="AK315">
        <v>309</v>
      </c>
      <c r="AL315" s="24">
        <f t="shared" si="65"/>
        <v>16.286210000000001</v>
      </c>
      <c r="AM315">
        <f t="shared" si="69"/>
        <v>114.00347000000001</v>
      </c>
      <c r="AN315">
        <f t="shared" si="69"/>
        <v>162.8621</v>
      </c>
      <c r="AO315">
        <f t="shared" si="69"/>
        <v>244.29315</v>
      </c>
      <c r="AP315">
        <f t="shared" si="69"/>
        <v>325.7242</v>
      </c>
      <c r="AQ315">
        <f t="shared" si="69"/>
        <v>570.01734999999996</v>
      </c>
      <c r="AR315">
        <f t="shared" si="69"/>
        <v>814.31050000000005</v>
      </c>
      <c r="AS315">
        <f t="shared" si="69"/>
        <v>1302.8968</v>
      </c>
      <c r="AT315">
        <f t="shared" si="69"/>
        <v>1954.3452</v>
      </c>
      <c r="AU315">
        <f t="shared" si="69"/>
        <v>2768.6557000000003</v>
      </c>
      <c r="AV315">
        <f t="shared" si="69"/>
        <v>3908.6904</v>
      </c>
      <c r="AW315">
        <f t="shared" si="69"/>
        <v>5374.4493000000002</v>
      </c>
      <c r="AX315">
        <f t="shared" si="69"/>
        <v>7491.6566000000003</v>
      </c>
      <c r="AY315">
        <f t="shared" si="69"/>
        <v>13028.968000000001</v>
      </c>
      <c r="AZ315">
        <f t="shared" si="69"/>
        <v>24429.315000000002</v>
      </c>
      <c r="BA315">
        <f t="shared" si="69"/>
        <v>40715.525000000001</v>
      </c>
      <c r="BB315">
        <f t="shared" si="69"/>
        <v>65144.840000000004</v>
      </c>
      <c r="BC315">
        <f t="shared" si="68"/>
        <v>162862.1</v>
      </c>
      <c r="BD315">
        <f t="shared" si="68"/>
        <v>244293.15</v>
      </c>
      <c r="BE315">
        <f t="shared" si="68"/>
        <v>390869.04000000004</v>
      </c>
      <c r="BF315">
        <f t="shared" si="68"/>
        <v>488586.3</v>
      </c>
      <c r="BG315">
        <f t="shared" si="68"/>
        <v>1628621</v>
      </c>
      <c r="BH315">
        <f t="shared" si="68"/>
        <v>4885863</v>
      </c>
      <c r="BI315">
        <f t="shared" si="68"/>
        <v>13843278.5</v>
      </c>
      <c r="BJ315">
        <f t="shared" si="68"/>
        <v>48858630</v>
      </c>
      <c r="BK315">
        <f t="shared" si="68"/>
        <v>162862100</v>
      </c>
      <c r="BL315" s="145">
        <v>310</v>
      </c>
    </row>
    <row r="316" spans="1:64" ht="17.25" thickBot="1" x14ac:dyDescent="0.25">
      <c r="A316" s="131">
        <v>312</v>
      </c>
      <c r="B316" s="132">
        <v>46932750</v>
      </c>
      <c r="D316" s="131">
        <v>312</v>
      </c>
      <c r="E316" s="132">
        <v>16.42773</v>
      </c>
      <c r="AK316">
        <v>310</v>
      </c>
      <c r="AL316" s="24">
        <f t="shared" si="65"/>
        <v>16.33353</v>
      </c>
      <c r="AM316">
        <f t="shared" si="69"/>
        <v>114.33471</v>
      </c>
      <c r="AN316">
        <f t="shared" si="69"/>
        <v>163.33529999999999</v>
      </c>
      <c r="AO316">
        <f t="shared" si="69"/>
        <v>245.00295</v>
      </c>
      <c r="AP316">
        <f t="shared" si="69"/>
        <v>326.67059999999998</v>
      </c>
      <c r="AQ316">
        <f t="shared" si="69"/>
        <v>571.67354999999998</v>
      </c>
      <c r="AR316">
        <f t="shared" si="69"/>
        <v>816.67650000000003</v>
      </c>
      <c r="AS316">
        <f t="shared" si="69"/>
        <v>1306.6823999999999</v>
      </c>
      <c r="AT316">
        <f t="shared" si="69"/>
        <v>1960.0236</v>
      </c>
      <c r="AU316">
        <f t="shared" si="69"/>
        <v>2776.7001</v>
      </c>
      <c r="AV316">
        <f t="shared" si="69"/>
        <v>3920.0472</v>
      </c>
      <c r="AW316">
        <f t="shared" si="69"/>
        <v>5390.0649000000003</v>
      </c>
      <c r="AX316">
        <f t="shared" si="69"/>
        <v>7513.4237999999996</v>
      </c>
      <c r="AY316">
        <f t="shared" si="69"/>
        <v>13066.824000000001</v>
      </c>
      <c r="AZ316">
        <f t="shared" si="69"/>
        <v>24500.294999999998</v>
      </c>
      <c r="BA316">
        <f t="shared" si="69"/>
        <v>40833.824999999997</v>
      </c>
      <c r="BB316">
        <f t="shared" si="69"/>
        <v>65334.119999999995</v>
      </c>
      <c r="BC316">
        <f t="shared" si="68"/>
        <v>163335.29999999999</v>
      </c>
      <c r="BD316">
        <f t="shared" si="68"/>
        <v>245002.94999999998</v>
      </c>
      <c r="BE316">
        <f t="shared" si="68"/>
        <v>392004.72</v>
      </c>
      <c r="BF316">
        <f t="shared" si="68"/>
        <v>490005.89999999997</v>
      </c>
      <c r="BG316">
        <f t="shared" si="68"/>
        <v>1633353</v>
      </c>
      <c r="BH316">
        <f t="shared" si="68"/>
        <v>4900059</v>
      </c>
      <c r="BI316">
        <f t="shared" si="68"/>
        <v>13883500.5</v>
      </c>
      <c r="BJ316">
        <f t="shared" si="68"/>
        <v>49000590</v>
      </c>
      <c r="BK316">
        <f t="shared" si="68"/>
        <v>163335300</v>
      </c>
      <c r="BL316">
        <v>311</v>
      </c>
    </row>
    <row r="317" spans="1:64" ht="17.25" thickBot="1" x14ac:dyDescent="0.25">
      <c r="A317" s="131">
        <v>313</v>
      </c>
      <c r="B317" s="132">
        <v>47158233</v>
      </c>
      <c r="D317" s="131">
        <v>313</v>
      </c>
      <c r="E317" s="132">
        <v>16.474609999999998</v>
      </c>
      <c r="AK317">
        <v>311</v>
      </c>
      <c r="AL317" s="24">
        <f t="shared" si="65"/>
        <v>16.380700000000001</v>
      </c>
      <c r="AM317">
        <f t="shared" si="69"/>
        <v>114.6649</v>
      </c>
      <c r="AN317">
        <f t="shared" si="69"/>
        <v>163.80700000000002</v>
      </c>
      <c r="AO317">
        <f t="shared" si="69"/>
        <v>245.71050000000002</v>
      </c>
      <c r="AP317">
        <f t="shared" si="69"/>
        <v>327.61400000000003</v>
      </c>
      <c r="AQ317">
        <f t="shared" si="69"/>
        <v>573.32450000000006</v>
      </c>
      <c r="AR317">
        <f t="shared" si="69"/>
        <v>819.03500000000008</v>
      </c>
      <c r="AS317">
        <f t="shared" si="69"/>
        <v>1310.4560000000001</v>
      </c>
      <c r="AT317">
        <f t="shared" si="69"/>
        <v>1965.6840000000002</v>
      </c>
      <c r="AU317">
        <f t="shared" si="69"/>
        <v>2784.7190000000001</v>
      </c>
      <c r="AV317">
        <f t="shared" si="69"/>
        <v>3931.3680000000004</v>
      </c>
      <c r="AW317">
        <f t="shared" si="69"/>
        <v>5405.6310000000003</v>
      </c>
      <c r="AX317">
        <f t="shared" si="69"/>
        <v>7535.1220000000003</v>
      </c>
      <c r="AY317">
        <f t="shared" si="69"/>
        <v>13104.560000000001</v>
      </c>
      <c r="AZ317">
        <f t="shared" si="69"/>
        <v>24571.050000000003</v>
      </c>
      <c r="BA317">
        <f t="shared" si="69"/>
        <v>40951.75</v>
      </c>
      <c r="BB317">
        <f t="shared" si="69"/>
        <v>65522.8</v>
      </c>
      <c r="BC317">
        <f t="shared" si="68"/>
        <v>163807</v>
      </c>
      <c r="BD317">
        <f t="shared" si="68"/>
        <v>245710.5</v>
      </c>
      <c r="BE317">
        <f t="shared" si="68"/>
        <v>393136.80000000005</v>
      </c>
      <c r="BF317">
        <f t="shared" si="68"/>
        <v>491421</v>
      </c>
      <c r="BG317">
        <f t="shared" si="68"/>
        <v>1638070</v>
      </c>
      <c r="BH317">
        <f t="shared" si="68"/>
        <v>4914210</v>
      </c>
      <c r="BI317">
        <f t="shared" si="68"/>
        <v>13923595</v>
      </c>
      <c r="BJ317">
        <f t="shared" si="68"/>
        <v>49142100</v>
      </c>
      <c r="BK317">
        <f t="shared" si="68"/>
        <v>163807000</v>
      </c>
      <c r="BL317" s="145">
        <v>312</v>
      </c>
    </row>
    <row r="318" spans="1:64" ht="17.25" thickBot="1" x14ac:dyDescent="0.25">
      <c r="A318" s="131">
        <v>314</v>
      </c>
      <c r="B318" s="132">
        <v>47384072</v>
      </c>
      <c r="D318" s="131">
        <v>314</v>
      </c>
      <c r="E318" s="132">
        <v>16.521339999999999</v>
      </c>
      <c r="AK318">
        <v>312</v>
      </c>
      <c r="AL318" s="24">
        <f t="shared" si="65"/>
        <v>16.42773</v>
      </c>
      <c r="AM318">
        <f t="shared" si="69"/>
        <v>114.99411000000001</v>
      </c>
      <c r="AN318">
        <f t="shared" si="69"/>
        <v>164.2773</v>
      </c>
      <c r="AO318">
        <f t="shared" si="69"/>
        <v>246.41595000000001</v>
      </c>
      <c r="AP318">
        <f t="shared" si="69"/>
        <v>328.55459999999999</v>
      </c>
      <c r="AQ318">
        <f t="shared" si="69"/>
        <v>574.97055</v>
      </c>
      <c r="AR318">
        <f t="shared" si="69"/>
        <v>821.38650000000007</v>
      </c>
      <c r="AS318">
        <f t="shared" si="69"/>
        <v>1314.2184</v>
      </c>
      <c r="AT318">
        <f t="shared" si="69"/>
        <v>1971.3276000000001</v>
      </c>
      <c r="AU318">
        <f t="shared" si="69"/>
        <v>2792.7141000000001</v>
      </c>
      <c r="AV318">
        <f t="shared" si="69"/>
        <v>3942.6552000000001</v>
      </c>
      <c r="AW318">
        <f t="shared" si="69"/>
        <v>5421.1509000000005</v>
      </c>
      <c r="AX318">
        <f t="shared" si="69"/>
        <v>7556.7557999999999</v>
      </c>
      <c r="AY318">
        <f t="shared" si="69"/>
        <v>13142.184000000001</v>
      </c>
      <c r="AZ318">
        <f t="shared" si="69"/>
        <v>24641.595000000001</v>
      </c>
      <c r="BA318">
        <f t="shared" si="69"/>
        <v>41069.325000000004</v>
      </c>
      <c r="BB318">
        <f t="shared" si="69"/>
        <v>65710.92</v>
      </c>
      <c r="BC318">
        <f t="shared" si="68"/>
        <v>164277.30000000002</v>
      </c>
      <c r="BD318">
        <f t="shared" si="68"/>
        <v>246415.95</v>
      </c>
      <c r="BE318">
        <f t="shared" si="68"/>
        <v>394265.52</v>
      </c>
      <c r="BF318">
        <f t="shared" si="68"/>
        <v>492831.9</v>
      </c>
      <c r="BG318">
        <f t="shared" si="68"/>
        <v>1642773</v>
      </c>
      <c r="BH318">
        <f t="shared" si="68"/>
        <v>4928319</v>
      </c>
      <c r="BI318">
        <f t="shared" si="68"/>
        <v>13963570.5</v>
      </c>
      <c r="BJ318">
        <f t="shared" si="68"/>
        <v>49283190</v>
      </c>
      <c r="BK318">
        <f t="shared" si="68"/>
        <v>164277300</v>
      </c>
      <c r="BL318">
        <v>313</v>
      </c>
    </row>
    <row r="319" spans="1:64" ht="17.25" thickBot="1" x14ac:dyDescent="0.25">
      <c r="A319" s="131">
        <v>315</v>
      </c>
      <c r="B319" s="132">
        <v>47610272</v>
      </c>
      <c r="D319" s="131">
        <v>315</v>
      </c>
      <c r="E319" s="132">
        <v>16.56793</v>
      </c>
      <c r="AK319">
        <v>313</v>
      </c>
      <c r="AL319" s="24">
        <f t="shared" si="65"/>
        <v>16.474609999999998</v>
      </c>
      <c r="AM319">
        <f t="shared" si="69"/>
        <v>115.32226999999999</v>
      </c>
      <c r="AN319">
        <f t="shared" si="69"/>
        <v>164.74609999999998</v>
      </c>
      <c r="AO319">
        <f t="shared" si="69"/>
        <v>247.11914999999999</v>
      </c>
      <c r="AP319">
        <f t="shared" si="69"/>
        <v>329.49219999999997</v>
      </c>
      <c r="AQ319">
        <f t="shared" si="69"/>
        <v>576.6113499999999</v>
      </c>
      <c r="AR319">
        <f t="shared" si="69"/>
        <v>823.73049999999989</v>
      </c>
      <c r="AS319">
        <f t="shared" si="69"/>
        <v>1317.9687999999999</v>
      </c>
      <c r="AT319">
        <f t="shared" si="69"/>
        <v>1976.9531999999999</v>
      </c>
      <c r="AU319">
        <f t="shared" si="69"/>
        <v>2800.6836999999996</v>
      </c>
      <c r="AV319">
        <f t="shared" si="69"/>
        <v>3953.9063999999998</v>
      </c>
      <c r="AW319">
        <f t="shared" si="69"/>
        <v>5436.6212999999998</v>
      </c>
      <c r="AX319">
        <f t="shared" si="69"/>
        <v>7578.3205999999991</v>
      </c>
      <c r="AY319">
        <f t="shared" si="69"/>
        <v>13179.687999999998</v>
      </c>
      <c r="AZ319">
        <f t="shared" si="69"/>
        <v>24711.914999999997</v>
      </c>
      <c r="BA319">
        <f t="shared" si="69"/>
        <v>41186.524999999994</v>
      </c>
      <c r="BB319">
        <f t="shared" si="69"/>
        <v>65898.439999999988</v>
      </c>
      <c r="BC319">
        <f t="shared" si="68"/>
        <v>164746.09999999998</v>
      </c>
      <c r="BD319">
        <f t="shared" si="68"/>
        <v>247119.14999999997</v>
      </c>
      <c r="BE319">
        <f t="shared" si="68"/>
        <v>395390.63999999996</v>
      </c>
      <c r="BF319">
        <f t="shared" si="68"/>
        <v>494238.29999999993</v>
      </c>
      <c r="BG319">
        <f t="shared" si="68"/>
        <v>1647460.9999999998</v>
      </c>
      <c r="BH319">
        <f t="shared" si="68"/>
        <v>4942382.9999999991</v>
      </c>
      <c r="BI319">
        <f t="shared" si="68"/>
        <v>14003418.499999998</v>
      </c>
      <c r="BJ319">
        <f t="shared" si="68"/>
        <v>49423829.999999993</v>
      </c>
      <c r="BK319">
        <f t="shared" si="68"/>
        <v>164746099.99999997</v>
      </c>
      <c r="BL319" s="145">
        <v>314</v>
      </c>
    </row>
    <row r="320" spans="1:64" ht="17.25" thickBot="1" x14ac:dyDescent="0.25">
      <c r="A320" s="131">
        <v>316</v>
      </c>
      <c r="B320" s="132">
        <v>47836833</v>
      </c>
      <c r="D320" s="131">
        <v>316</v>
      </c>
      <c r="E320" s="132">
        <v>16.614370000000001</v>
      </c>
      <c r="AK320">
        <v>314</v>
      </c>
      <c r="AL320" s="24">
        <f t="shared" si="65"/>
        <v>16.521339999999999</v>
      </c>
      <c r="AM320">
        <f t="shared" si="69"/>
        <v>115.64937999999999</v>
      </c>
      <c r="AN320">
        <f t="shared" si="69"/>
        <v>165.21339999999998</v>
      </c>
      <c r="AO320">
        <f t="shared" si="69"/>
        <v>247.82009999999997</v>
      </c>
      <c r="AP320">
        <f t="shared" si="69"/>
        <v>330.42679999999996</v>
      </c>
      <c r="AQ320">
        <f t="shared" si="69"/>
        <v>578.24689999999998</v>
      </c>
      <c r="AR320">
        <f t="shared" si="69"/>
        <v>826.06699999999989</v>
      </c>
      <c r="AS320">
        <f t="shared" si="69"/>
        <v>1321.7071999999998</v>
      </c>
      <c r="AT320">
        <f t="shared" si="69"/>
        <v>1982.5607999999997</v>
      </c>
      <c r="AU320">
        <f t="shared" si="69"/>
        <v>2808.6277999999998</v>
      </c>
      <c r="AV320">
        <f t="shared" ref="AM320:BB336" si="70">AV$5*VLOOKUP($AK320,$D$2:$E$1404,2,FALSE)</f>
        <v>3965.1215999999995</v>
      </c>
      <c r="AW320">
        <f t="shared" si="70"/>
        <v>5452.0421999999999</v>
      </c>
      <c r="AX320">
        <f t="shared" si="70"/>
        <v>7599.8163999999997</v>
      </c>
      <c r="AY320">
        <f t="shared" si="70"/>
        <v>13217.071999999998</v>
      </c>
      <c r="AZ320">
        <f t="shared" si="70"/>
        <v>24782.01</v>
      </c>
      <c r="BA320">
        <f t="shared" si="70"/>
        <v>41303.35</v>
      </c>
      <c r="BB320">
        <f t="shared" si="70"/>
        <v>66085.36</v>
      </c>
      <c r="BC320">
        <f t="shared" si="68"/>
        <v>165213.4</v>
      </c>
      <c r="BD320">
        <f t="shared" si="68"/>
        <v>247820.09999999998</v>
      </c>
      <c r="BE320">
        <f t="shared" si="68"/>
        <v>396512.16</v>
      </c>
      <c r="BF320">
        <f t="shared" si="68"/>
        <v>495640.19999999995</v>
      </c>
      <c r="BG320">
        <f t="shared" si="68"/>
        <v>1652133.9999999998</v>
      </c>
      <c r="BH320">
        <f t="shared" si="68"/>
        <v>4956402</v>
      </c>
      <c r="BI320">
        <f t="shared" si="68"/>
        <v>14043138.999999998</v>
      </c>
      <c r="BJ320">
        <f t="shared" si="68"/>
        <v>49564019.999999993</v>
      </c>
      <c r="BK320">
        <f t="shared" si="68"/>
        <v>165213400</v>
      </c>
      <c r="BL320">
        <v>315</v>
      </c>
    </row>
    <row r="321" spans="1:64" ht="17.25" thickBot="1" x14ac:dyDescent="0.25">
      <c r="A321" s="131">
        <v>317</v>
      </c>
      <c r="B321" s="132">
        <v>48063750</v>
      </c>
      <c r="D321" s="131">
        <v>317</v>
      </c>
      <c r="E321" s="132">
        <v>16.66067</v>
      </c>
      <c r="AK321">
        <v>315</v>
      </c>
      <c r="AL321" s="24">
        <f t="shared" si="65"/>
        <v>16.56793</v>
      </c>
      <c r="AM321">
        <f t="shared" si="70"/>
        <v>115.97551</v>
      </c>
      <c r="AN321">
        <f t="shared" si="70"/>
        <v>165.67930000000001</v>
      </c>
      <c r="AO321">
        <f t="shared" si="70"/>
        <v>248.51895000000002</v>
      </c>
      <c r="AP321">
        <f t="shared" si="70"/>
        <v>331.35860000000002</v>
      </c>
      <c r="AQ321">
        <f t="shared" si="70"/>
        <v>579.87755000000004</v>
      </c>
      <c r="AR321">
        <f t="shared" si="70"/>
        <v>828.39650000000006</v>
      </c>
      <c r="AS321">
        <f t="shared" si="70"/>
        <v>1325.4344000000001</v>
      </c>
      <c r="AT321">
        <f t="shared" si="70"/>
        <v>1988.1516000000001</v>
      </c>
      <c r="AU321">
        <f t="shared" si="70"/>
        <v>2816.5481</v>
      </c>
      <c r="AV321">
        <f t="shared" si="70"/>
        <v>3976.3032000000003</v>
      </c>
      <c r="AW321">
        <f t="shared" si="70"/>
        <v>5467.4169000000002</v>
      </c>
      <c r="AX321">
        <f t="shared" si="70"/>
        <v>7621.2478000000001</v>
      </c>
      <c r="AY321">
        <f t="shared" si="70"/>
        <v>13254.344000000001</v>
      </c>
      <c r="AZ321">
        <f t="shared" si="70"/>
        <v>24851.895</v>
      </c>
      <c r="BA321">
        <f t="shared" si="70"/>
        <v>41419.825000000004</v>
      </c>
      <c r="BB321">
        <f t="shared" si="70"/>
        <v>66271.72</v>
      </c>
      <c r="BC321">
        <f t="shared" si="68"/>
        <v>165679.30000000002</v>
      </c>
      <c r="BD321">
        <f t="shared" si="68"/>
        <v>248518.95</v>
      </c>
      <c r="BE321">
        <f t="shared" ref="BC321:BK349" si="71">BE$5*VLOOKUP($AK321,$D$2:$E$1404,2,FALSE)</f>
        <v>397630.32</v>
      </c>
      <c r="BF321">
        <f t="shared" si="71"/>
        <v>497037.9</v>
      </c>
      <c r="BG321">
        <f t="shared" si="71"/>
        <v>1656793</v>
      </c>
      <c r="BH321">
        <f t="shared" si="71"/>
        <v>4970379</v>
      </c>
      <c r="BI321">
        <f t="shared" si="71"/>
        <v>14082740.5</v>
      </c>
      <c r="BJ321">
        <f t="shared" si="71"/>
        <v>49703790</v>
      </c>
      <c r="BK321">
        <f t="shared" si="71"/>
        <v>165679300</v>
      </c>
      <c r="BL321" s="145">
        <v>316</v>
      </c>
    </row>
    <row r="322" spans="1:64" ht="17.25" thickBot="1" x14ac:dyDescent="0.25">
      <c r="A322" s="131">
        <v>318</v>
      </c>
      <c r="B322" s="132">
        <v>48291022</v>
      </c>
      <c r="D322" s="131">
        <v>318</v>
      </c>
      <c r="E322" s="132">
        <v>16.70683</v>
      </c>
      <c r="AK322">
        <v>316</v>
      </c>
      <c r="AL322" s="24">
        <f t="shared" si="65"/>
        <v>16.614370000000001</v>
      </c>
      <c r="AM322">
        <f t="shared" si="70"/>
        <v>116.30059</v>
      </c>
      <c r="AN322">
        <f t="shared" si="70"/>
        <v>166.14370000000002</v>
      </c>
      <c r="AO322">
        <f t="shared" si="70"/>
        <v>249.21555000000001</v>
      </c>
      <c r="AP322">
        <f t="shared" si="70"/>
        <v>332.28740000000005</v>
      </c>
      <c r="AQ322">
        <f t="shared" si="70"/>
        <v>581.50295000000006</v>
      </c>
      <c r="AR322">
        <f t="shared" si="70"/>
        <v>830.71850000000006</v>
      </c>
      <c r="AS322">
        <f t="shared" si="70"/>
        <v>1329.1496000000002</v>
      </c>
      <c r="AT322">
        <f t="shared" si="70"/>
        <v>1993.7244000000001</v>
      </c>
      <c r="AU322">
        <f t="shared" si="70"/>
        <v>2824.4429</v>
      </c>
      <c r="AV322">
        <f t="shared" si="70"/>
        <v>3987.4488000000001</v>
      </c>
      <c r="AW322">
        <f t="shared" si="70"/>
        <v>5482.7421000000004</v>
      </c>
      <c r="AX322">
        <f t="shared" si="70"/>
        <v>7642.6102000000001</v>
      </c>
      <c r="AY322">
        <f t="shared" si="70"/>
        <v>13291.496000000001</v>
      </c>
      <c r="AZ322">
        <f t="shared" si="70"/>
        <v>24921.555</v>
      </c>
      <c r="BA322">
        <f t="shared" si="70"/>
        <v>41535.925000000003</v>
      </c>
      <c r="BB322">
        <f t="shared" si="70"/>
        <v>66457.48000000001</v>
      </c>
      <c r="BC322">
        <f t="shared" si="71"/>
        <v>166143.70000000001</v>
      </c>
      <c r="BD322">
        <f t="shared" si="71"/>
        <v>249215.55000000002</v>
      </c>
      <c r="BE322">
        <f t="shared" si="71"/>
        <v>398744.88</v>
      </c>
      <c r="BF322">
        <f t="shared" si="71"/>
        <v>498431.10000000003</v>
      </c>
      <c r="BG322">
        <f t="shared" si="71"/>
        <v>1661437</v>
      </c>
      <c r="BH322">
        <f t="shared" si="71"/>
        <v>4984311</v>
      </c>
      <c r="BI322">
        <f t="shared" si="71"/>
        <v>14122214.5</v>
      </c>
      <c r="BJ322">
        <f t="shared" si="71"/>
        <v>49843110</v>
      </c>
      <c r="BK322">
        <f t="shared" si="71"/>
        <v>166143700</v>
      </c>
      <c r="BL322">
        <v>317</v>
      </c>
    </row>
    <row r="323" spans="1:64" ht="17.25" thickBot="1" x14ac:dyDescent="0.25">
      <c r="A323" s="131">
        <v>319</v>
      </c>
      <c r="B323" s="132">
        <v>48518655</v>
      </c>
      <c r="D323" s="131">
        <v>319</v>
      </c>
      <c r="E323" s="132">
        <v>16.752849999999999</v>
      </c>
      <c r="AK323">
        <v>317</v>
      </c>
      <c r="AL323" s="24">
        <f t="shared" si="65"/>
        <v>16.66067</v>
      </c>
      <c r="AM323">
        <f t="shared" si="70"/>
        <v>116.62469</v>
      </c>
      <c r="AN323">
        <f t="shared" si="70"/>
        <v>166.60669999999999</v>
      </c>
      <c r="AO323">
        <f t="shared" si="70"/>
        <v>249.91004999999998</v>
      </c>
      <c r="AP323">
        <f t="shared" si="70"/>
        <v>333.21339999999998</v>
      </c>
      <c r="AQ323">
        <f t="shared" si="70"/>
        <v>583.12344999999993</v>
      </c>
      <c r="AR323">
        <f t="shared" si="70"/>
        <v>833.0335</v>
      </c>
      <c r="AS323">
        <f t="shared" si="70"/>
        <v>1332.8535999999999</v>
      </c>
      <c r="AT323">
        <f t="shared" si="70"/>
        <v>1999.2803999999999</v>
      </c>
      <c r="AU323">
        <f t="shared" si="70"/>
        <v>2832.3139000000001</v>
      </c>
      <c r="AV323">
        <f t="shared" si="70"/>
        <v>3998.5607999999997</v>
      </c>
      <c r="AW323">
        <f t="shared" si="70"/>
        <v>5498.0210999999999</v>
      </c>
      <c r="AX323">
        <f t="shared" si="70"/>
        <v>7663.9081999999999</v>
      </c>
      <c r="AY323">
        <f t="shared" si="70"/>
        <v>13328.536</v>
      </c>
      <c r="AZ323">
        <f t="shared" si="70"/>
        <v>24991.005000000001</v>
      </c>
      <c r="BA323">
        <f t="shared" si="70"/>
        <v>41651.674999999996</v>
      </c>
      <c r="BB323">
        <f t="shared" si="70"/>
        <v>66642.679999999993</v>
      </c>
      <c r="BC323">
        <f t="shared" si="71"/>
        <v>166606.69999999998</v>
      </c>
      <c r="BD323">
        <f t="shared" si="71"/>
        <v>249910.05</v>
      </c>
      <c r="BE323">
        <f t="shared" si="71"/>
        <v>399856.08</v>
      </c>
      <c r="BF323">
        <f t="shared" si="71"/>
        <v>499820.1</v>
      </c>
      <c r="BG323">
        <f t="shared" si="71"/>
        <v>1666067</v>
      </c>
      <c r="BH323">
        <f t="shared" si="71"/>
        <v>4998201</v>
      </c>
      <c r="BI323">
        <f t="shared" si="71"/>
        <v>14161569.5</v>
      </c>
      <c r="BJ323">
        <f t="shared" si="71"/>
        <v>49982010</v>
      </c>
      <c r="BK323">
        <f t="shared" si="71"/>
        <v>166606700</v>
      </c>
      <c r="BL323" s="145">
        <v>318</v>
      </c>
    </row>
    <row r="324" spans="1:64" ht="17.25" thickBot="1" x14ac:dyDescent="0.25">
      <c r="A324" s="131">
        <v>320</v>
      </c>
      <c r="B324" s="132">
        <v>48746644</v>
      </c>
      <c r="D324" s="131">
        <v>320</v>
      </c>
      <c r="E324" s="132">
        <v>16.798729999999999</v>
      </c>
      <c r="AK324">
        <v>318</v>
      </c>
      <c r="AL324" s="24">
        <f t="shared" si="65"/>
        <v>16.70683</v>
      </c>
      <c r="AM324">
        <f t="shared" si="70"/>
        <v>116.94781</v>
      </c>
      <c r="AN324">
        <f t="shared" si="70"/>
        <v>167.06829999999999</v>
      </c>
      <c r="AO324">
        <f t="shared" si="70"/>
        <v>250.60245</v>
      </c>
      <c r="AP324">
        <f t="shared" si="70"/>
        <v>334.13659999999999</v>
      </c>
      <c r="AQ324">
        <f t="shared" si="70"/>
        <v>584.73905000000002</v>
      </c>
      <c r="AR324">
        <f t="shared" si="70"/>
        <v>835.3415</v>
      </c>
      <c r="AS324">
        <f t="shared" si="70"/>
        <v>1336.5463999999999</v>
      </c>
      <c r="AT324">
        <f t="shared" si="70"/>
        <v>2004.8196</v>
      </c>
      <c r="AU324">
        <f t="shared" si="70"/>
        <v>2840.1610999999998</v>
      </c>
      <c r="AV324">
        <f t="shared" si="70"/>
        <v>4009.6392000000001</v>
      </c>
      <c r="AW324">
        <f t="shared" si="70"/>
        <v>5513.2538999999997</v>
      </c>
      <c r="AX324">
        <f t="shared" si="70"/>
        <v>7685.1418000000003</v>
      </c>
      <c r="AY324">
        <f t="shared" si="70"/>
        <v>13365.464</v>
      </c>
      <c r="AZ324">
        <f t="shared" si="70"/>
        <v>25060.244999999999</v>
      </c>
      <c r="BA324">
        <f t="shared" si="70"/>
        <v>41767.074999999997</v>
      </c>
      <c r="BB324">
        <f t="shared" si="70"/>
        <v>66827.320000000007</v>
      </c>
      <c r="BC324">
        <f t="shared" si="71"/>
        <v>167068.29999999999</v>
      </c>
      <c r="BD324">
        <f t="shared" si="71"/>
        <v>250602.45</v>
      </c>
      <c r="BE324">
        <f t="shared" si="71"/>
        <v>400963.92</v>
      </c>
      <c r="BF324">
        <f t="shared" si="71"/>
        <v>501204.9</v>
      </c>
      <c r="BG324">
        <f t="shared" si="71"/>
        <v>1670683</v>
      </c>
      <c r="BH324">
        <f t="shared" si="71"/>
        <v>5012049</v>
      </c>
      <c r="BI324">
        <f t="shared" si="71"/>
        <v>14200805.5</v>
      </c>
      <c r="BJ324">
        <f t="shared" si="71"/>
        <v>50120490</v>
      </c>
      <c r="BK324">
        <f t="shared" si="71"/>
        <v>167068300</v>
      </c>
      <c r="BL324">
        <v>319</v>
      </c>
    </row>
    <row r="325" spans="1:64" ht="17.25" thickBot="1" x14ac:dyDescent="0.25">
      <c r="A325" s="131">
        <v>321</v>
      </c>
      <c r="B325" s="132">
        <v>48974988</v>
      </c>
      <c r="D325" s="131">
        <v>321</v>
      </c>
      <c r="E325" s="132">
        <v>16.844470000000001</v>
      </c>
      <c r="AK325">
        <v>319</v>
      </c>
      <c r="AL325" s="24">
        <f t="shared" si="65"/>
        <v>16.752849999999999</v>
      </c>
      <c r="AM325">
        <f t="shared" si="70"/>
        <v>117.26994999999999</v>
      </c>
      <c r="AN325">
        <f t="shared" si="70"/>
        <v>167.52849999999998</v>
      </c>
      <c r="AO325">
        <f t="shared" si="70"/>
        <v>251.29274999999998</v>
      </c>
      <c r="AP325">
        <f t="shared" si="70"/>
        <v>335.05699999999996</v>
      </c>
      <c r="AQ325">
        <f t="shared" si="70"/>
        <v>586.34974999999997</v>
      </c>
      <c r="AR325">
        <f t="shared" si="70"/>
        <v>837.64249999999993</v>
      </c>
      <c r="AS325">
        <f t="shared" si="70"/>
        <v>1340.2279999999998</v>
      </c>
      <c r="AT325">
        <f t="shared" si="70"/>
        <v>2010.3419999999999</v>
      </c>
      <c r="AU325">
        <f t="shared" si="70"/>
        <v>2847.9844999999996</v>
      </c>
      <c r="AV325">
        <f t="shared" si="70"/>
        <v>4020.6839999999997</v>
      </c>
      <c r="AW325">
        <f t="shared" si="70"/>
        <v>5528.4404999999997</v>
      </c>
      <c r="AX325">
        <f t="shared" si="70"/>
        <v>7706.3109999999997</v>
      </c>
      <c r="AY325">
        <f t="shared" si="70"/>
        <v>13402.279999999999</v>
      </c>
      <c r="AZ325">
        <f t="shared" si="70"/>
        <v>25129.274999999998</v>
      </c>
      <c r="BA325">
        <f t="shared" si="70"/>
        <v>41882.125</v>
      </c>
      <c r="BB325">
        <f t="shared" si="70"/>
        <v>67011.399999999994</v>
      </c>
      <c r="BC325">
        <f t="shared" si="71"/>
        <v>167528.5</v>
      </c>
      <c r="BD325">
        <f t="shared" si="71"/>
        <v>251292.74999999997</v>
      </c>
      <c r="BE325">
        <f t="shared" si="71"/>
        <v>402068.39999999997</v>
      </c>
      <c r="BF325">
        <f t="shared" si="71"/>
        <v>502585.49999999994</v>
      </c>
      <c r="BG325">
        <f t="shared" si="71"/>
        <v>1675284.9999999998</v>
      </c>
      <c r="BH325">
        <f t="shared" si="71"/>
        <v>5025855</v>
      </c>
      <c r="BI325">
        <f t="shared" si="71"/>
        <v>14239922.499999998</v>
      </c>
      <c r="BJ325">
        <f t="shared" si="71"/>
        <v>50258549.999999993</v>
      </c>
      <c r="BK325">
        <f t="shared" si="71"/>
        <v>167528500</v>
      </c>
      <c r="BL325" s="145">
        <v>320</v>
      </c>
    </row>
    <row r="326" spans="1:64" ht="17.25" thickBot="1" x14ac:dyDescent="0.25">
      <c r="A326" s="131">
        <v>322</v>
      </c>
      <c r="B326" s="132">
        <v>49203688</v>
      </c>
      <c r="D326" s="131">
        <v>322</v>
      </c>
      <c r="E326" s="132">
        <v>16.890070000000001</v>
      </c>
      <c r="AK326">
        <v>320</v>
      </c>
      <c r="AL326" s="24">
        <f t="shared" si="65"/>
        <v>16.798729999999999</v>
      </c>
      <c r="AM326">
        <f t="shared" si="70"/>
        <v>117.59110999999999</v>
      </c>
      <c r="AN326">
        <f t="shared" si="70"/>
        <v>167.9873</v>
      </c>
      <c r="AO326">
        <f t="shared" si="70"/>
        <v>251.98094999999998</v>
      </c>
      <c r="AP326">
        <f t="shared" si="70"/>
        <v>335.97460000000001</v>
      </c>
      <c r="AQ326">
        <f t="shared" si="70"/>
        <v>587.95555000000002</v>
      </c>
      <c r="AR326">
        <f t="shared" si="70"/>
        <v>839.93649999999991</v>
      </c>
      <c r="AS326">
        <f t="shared" si="70"/>
        <v>1343.8984</v>
      </c>
      <c r="AT326">
        <f t="shared" si="70"/>
        <v>2015.8475999999998</v>
      </c>
      <c r="AU326">
        <f t="shared" si="70"/>
        <v>2855.7840999999999</v>
      </c>
      <c r="AV326">
        <f t="shared" si="70"/>
        <v>4031.6951999999997</v>
      </c>
      <c r="AW326">
        <f t="shared" si="70"/>
        <v>5543.5808999999999</v>
      </c>
      <c r="AX326">
        <f t="shared" si="70"/>
        <v>7727.4157999999998</v>
      </c>
      <c r="AY326">
        <f t="shared" si="70"/>
        <v>13438.983999999999</v>
      </c>
      <c r="AZ326">
        <f t="shared" si="70"/>
        <v>25198.094999999998</v>
      </c>
      <c r="BA326">
        <f t="shared" si="70"/>
        <v>41996.824999999997</v>
      </c>
      <c r="BB326">
        <f t="shared" si="70"/>
        <v>67194.92</v>
      </c>
      <c r="BC326">
        <f t="shared" si="71"/>
        <v>167987.3</v>
      </c>
      <c r="BD326">
        <f t="shared" si="71"/>
        <v>251980.94999999998</v>
      </c>
      <c r="BE326">
        <f t="shared" si="71"/>
        <v>403169.51999999996</v>
      </c>
      <c r="BF326">
        <f t="shared" si="71"/>
        <v>503961.89999999997</v>
      </c>
      <c r="BG326">
        <f t="shared" si="71"/>
        <v>1679873</v>
      </c>
      <c r="BH326">
        <f t="shared" si="71"/>
        <v>5039619</v>
      </c>
      <c r="BI326">
        <f t="shared" si="71"/>
        <v>14278920.5</v>
      </c>
      <c r="BJ326">
        <f t="shared" si="71"/>
        <v>50396190</v>
      </c>
      <c r="BK326">
        <f t="shared" si="71"/>
        <v>167987300</v>
      </c>
      <c r="BL326">
        <v>321</v>
      </c>
    </row>
    <row r="327" spans="1:64" ht="17.25" thickBot="1" x14ac:dyDescent="0.25">
      <c r="A327" s="131">
        <v>323</v>
      </c>
      <c r="B327" s="132">
        <v>49432744</v>
      </c>
      <c r="D327" s="131">
        <v>323</v>
      </c>
      <c r="E327" s="132">
        <v>16.93553</v>
      </c>
      <c r="AK327">
        <v>321</v>
      </c>
      <c r="AL327" s="24">
        <f t="shared" si="65"/>
        <v>16.844470000000001</v>
      </c>
      <c r="AM327">
        <f t="shared" si="70"/>
        <v>117.91129000000001</v>
      </c>
      <c r="AN327">
        <f t="shared" si="70"/>
        <v>168.44470000000001</v>
      </c>
      <c r="AO327">
        <f t="shared" si="70"/>
        <v>252.66705000000002</v>
      </c>
      <c r="AP327">
        <f t="shared" si="70"/>
        <v>336.88940000000002</v>
      </c>
      <c r="AQ327">
        <f t="shared" si="70"/>
        <v>589.55645000000004</v>
      </c>
      <c r="AR327">
        <f t="shared" si="70"/>
        <v>842.22350000000006</v>
      </c>
      <c r="AS327">
        <f t="shared" si="70"/>
        <v>1347.5576000000001</v>
      </c>
      <c r="AT327">
        <f t="shared" si="70"/>
        <v>2021.3364000000001</v>
      </c>
      <c r="AU327">
        <f t="shared" si="70"/>
        <v>2863.5599000000002</v>
      </c>
      <c r="AV327">
        <f t="shared" si="70"/>
        <v>4042.6728000000003</v>
      </c>
      <c r="AW327">
        <f t="shared" si="70"/>
        <v>5558.6751000000004</v>
      </c>
      <c r="AX327">
        <f t="shared" si="70"/>
        <v>7748.4562000000005</v>
      </c>
      <c r="AY327">
        <f t="shared" si="70"/>
        <v>13475.576000000001</v>
      </c>
      <c r="AZ327">
        <f t="shared" si="70"/>
        <v>25266.705000000002</v>
      </c>
      <c r="BA327">
        <f t="shared" si="70"/>
        <v>42111.175000000003</v>
      </c>
      <c r="BB327">
        <f t="shared" si="70"/>
        <v>67377.88</v>
      </c>
      <c r="BC327">
        <f t="shared" si="71"/>
        <v>168444.7</v>
      </c>
      <c r="BD327">
        <f t="shared" si="71"/>
        <v>252667.05000000002</v>
      </c>
      <c r="BE327">
        <f t="shared" si="71"/>
        <v>404267.28</v>
      </c>
      <c r="BF327">
        <f t="shared" si="71"/>
        <v>505334.10000000003</v>
      </c>
      <c r="BG327">
        <f t="shared" si="71"/>
        <v>1684447</v>
      </c>
      <c r="BH327">
        <f t="shared" si="71"/>
        <v>5053341</v>
      </c>
      <c r="BI327">
        <f t="shared" si="71"/>
        <v>14317799.500000002</v>
      </c>
      <c r="BJ327">
        <f t="shared" si="71"/>
        <v>50533410</v>
      </c>
      <c r="BK327">
        <f t="shared" si="71"/>
        <v>168444700</v>
      </c>
      <c r="BL327" s="145">
        <v>322</v>
      </c>
    </row>
    <row r="328" spans="1:64" ht="17.25" thickBot="1" x14ac:dyDescent="0.25">
      <c r="A328" s="131">
        <v>324</v>
      </c>
      <c r="B328" s="132">
        <v>49662155</v>
      </c>
      <c r="D328" s="131">
        <v>324</v>
      </c>
      <c r="E328" s="132">
        <v>16.98085</v>
      </c>
      <c r="AK328">
        <v>322</v>
      </c>
      <c r="AL328" s="24">
        <f t="shared" si="65"/>
        <v>16.890070000000001</v>
      </c>
      <c r="AM328">
        <f t="shared" si="70"/>
        <v>118.23049</v>
      </c>
      <c r="AN328">
        <f t="shared" si="70"/>
        <v>168.90070000000003</v>
      </c>
      <c r="AO328">
        <f t="shared" si="70"/>
        <v>253.35105000000001</v>
      </c>
      <c r="AP328">
        <f t="shared" si="70"/>
        <v>337.80140000000006</v>
      </c>
      <c r="AQ328">
        <f t="shared" si="70"/>
        <v>591.15245000000004</v>
      </c>
      <c r="AR328">
        <f t="shared" si="70"/>
        <v>844.50350000000003</v>
      </c>
      <c r="AS328">
        <f t="shared" si="70"/>
        <v>1351.2056000000002</v>
      </c>
      <c r="AT328">
        <f t="shared" si="70"/>
        <v>2026.8084000000001</v>
      </c>
      <c r="AU328">
        <f t="shared" si="70"/>
        <v>2871.3119000000002</v>
      </c>
      <c r="AV328">
        <f t="shared" si="70"/>
        <v>4053.6168000000002</v>
      </c>
      <c r="AW328">
        <f t="shared" si="70"/>
        <v>5573.7231000000002</v>
      </c>
      <c r="AX328">
        <f t="shared" si="70"/>
        <v>7769.4322000000011</v>
      </c>
      <c r="AY328">
        <f t="shared" si="70"/>
        <v>13512.056</v>
      </c>
      <c r="AZ328">
        <f t="shared" si="70"/>
        <v>25335.105000000003</v>
      </c>
      <c r="BA328">
        <f t="shared" si="70"/>
        <v>42225.175000000003</v>
      </c>
      <c r="BB328">
        <f t="shared" si="70"/>
        <v>67560.28</v>
      </c>
      <c r="BC328">
        <f t="shared" si="71"/>
        <v>168900.7</v>
      </c>
      <c r="BD328">
        <f t="shared" si="71"/>
        <v>253351.05000000002</v>
      </c>
      <c r="BE328">
        <f t="shared" si="71"/>
        <v>405361.68000000005</v>
      </c>
      <c r="BF328">
        <f t="shared" si="71"/>
        <v>506702.10000000003</v>
      </c>
      <c r="BG328">
        <f t="shared" si="71"/>
        <v>1689007.0000000002</v>
      </c>
      <c r="BH328">
        <f t="shared" si="71"/>
        <v>5067021</v>
      </c>
      <c r="BI328">
        <f t="shared" si="71"/>
        <v>14356559.500000002</v>
      </c>
      <c r="BJ328">
        <f t="shared" si="71"/>
        <v>50670210.000000007</v>
      </c>
      <c r="BK328">
        <f t="shared" si="71"/>
        <v>168900700</v>
      </c>
      <c r="BL328">
        <v>323</v>
      </c>
    </row>
    <row r="329" spans="1:64" ht="17.25" thickBot="1" x14ac:dyDescent="0.25">
      <c r="A329" s="131">
        <v>325</v>
      </c>
      <c r="B329" s="132">
        <v>49891916</v>
      </c>
      <c r="D329" s="131">
        <v>325</v>
      </c>
      <c r="E329" s="132">
        <v>17.026039999999998</v>
      </c>
      <c r="AK329">
        <v>323</v>
      </c>
      <c r="AL329" s="24">
        <f t="shared" si="65"/>
        <v>16.93553</v>
      </c>
      <c r="AM329">
        <f t="shared" si="70"/>
        <v>118.54871</v>
      </c>
      <c r="AN329">
        <f t="shared" si="70"/>
        <v>169.3553</v>
      </c>
      <c r="AO329">
        <f t="shared" si="70"/>
        <v>254.03295</v>
      </c>
      <c r="AP329">
        <f t="shared" si="70"/>
        <v>338.7106</v>
      </c>
      <c r="AQ329">
        <f t="shared" si="70"/>
        <v>592.74355000000003</v>
      </c>
      <c r="AR329">
        <f t="shared" si="70"/>
        <v>846.77649999999994</v>
      </c>
      <c r="AS329">
        <f t="shared" si="70"/>
        <v>1354.8424</v>
      </c>
      <c r="AT329">
        <f t="shared" si="70"/>
        <v>2032.2636</v>
      </c>
      <c r="AU329">
        <f t="shared" si="70"/>
        <v>2879.0401000000002</v>
      </c>
      <c r="AV329">
        <f t="shared" si="70"/>
        <v>4064.5272</v>
      </c>
      <c r="AW329">
        <f t="shared" si="70"/>
        <v>5588.7249000000002</v>
      </c>
      <c r="AX329">
        <f t="shared" si="70"/>
        <v>7790.3437999999996</v>
      </c>
      <c r="AY329">
        <f t="shared" si="70"/>
        <v>13548.423999999999</v>
      </c>
      <c r="AZ329">
        <f t="shared" si="70"/>
        <v>25403.294999999998</v>
      </c>
      <c r="BA329">
        <f t="shared" si="70"/>
        <v>42338.824999999997</v>
      </c>
      <c r="BB329">
        <f t="shared" si="70"/>
        <v>67742.12</v>
      </c>
      <c r="BC329">
        <f t="shared" si="71"/>
        <v>169355.3</v>
      </c>
      <c r="BD329">
        <f t="shared" si="71"/>
        <v>254032.95</v>
      </c>
      <c r="BE329">
        <f t="shared" si="71"/>
        <v>406452.72</v>
      </c>
      <c r="BF329">
        <f t="shared" si="71"/>
        <v>508065.9</v>
      </c>
      <c r="BG329">
        <f t="shared" si="71"/>
        <v>1693553</v>
      </c>
      <c r="BH329">
        <f t="shared" si="71"/>
        <v>5080659</v>
      </c>
      <c r="BI329">
        <f t="shared" si="71"/>
        <v>14395200.5</v>
      </c>
      <c r="BJ329">
        <f t="shared" si="71"/>
        <v>50806590</v>
      </c>
      <c r="BK329">
        <f t="shared" si="71"/>
        <v>169355300</v>
      </c>
      <c r="BL329" s="145">
        <v>324</v>
      </c>
    </row>
    <row r="330" spans="1:64" ht="17.25" thickBot="1" x14ac:dyDescent="0.25">
      <c r="A330" s="131">
        <v>326</v>
      </c>
      <c r="B330" s="132">
        <v>50122033</v>
      </c>
      <c r="D330" s="131">
        <v>326</v>
      </c>
      <c r="E330" s="132">
        <v>17.071090000000002</v>
      </c>
      <c r="AK330">
        <v>324</v>
      </c>
      <c r="AL330" s="24">
        <f t="shared" si="65"/>
        <v>16.98085</v>
      </c>
      <c r="AM330">
        <f t="shared" si="70"/>
        <v>118.86595</v>
      </c>
      <c r="AN330">
        <f t="shared" si="70"/>
        <v>169.80850000000001</v>
      </c>
      <c r="AO330">
        <f t="shared" si="70"/>
        <v>254.71275</v>
      </c>
      <c r="AP330">
        <f t="shared" si="70"/>
        <v>339.61700000000002</v>
      </c>
      <c r="AQ330">
        <f t="shared" si="70"/>
        <v>594.32974999999999</v>
      </c>
      <c r="AR330">
        <f t="shared" si="70"/>
        <v>849.04250000000002</v>
      </c>
      <c r="AS330">
        <f t="shared" si="70"/>
        <v>1358.4680000000001</v>
      </c>
      <c r="AT330">
        <f t="shared" si="70"/>
        <v>2037.702</v>
      </c>
      <c r="AU330">
        <f t="shared" si="70"/>
        <v>2886.7445000000002</v>
      </c>
      <c r="AV330">
        <f t="shared" si="70"/>
        <v>4075.404</v>
      </c>
      <c r="AW330">
        <f t="shared" si="70"/>
        <v>5603.6805000000004</v>
      </c>
      <c r="AX330">
        <f t="shared" si="70"/>
        <v>7811.1909999999998</v>
      </c>
      <c r="AY330">
        <f t="shared" si="70"/>
        <v>13584.68</v>
      </c>
      <c r="AZ330">
        <f t="shared" si="70"/>
        <v>25471.275000000001</v>
      </c>
      <c r="BA330">
        <f t="shared" si="70"/>
        <v>42452.125</v>
      </c>
      <c r="BB330">
        <f t="shared" si="70"/>
        <v>67923.399999999994</v>
      </c>
      <c r="BC330">
        <f t="shared" si="71"/>
        <v>169808.5</v>
      </c>
      <c r="BD330">
        <f t="shared" si="71"/>
        <v>254712.75</v>
      </c>
      <c r="BE330">
        <f t="shared" si="71"/>
        <v>407540.4</v>
      </c>
      <c r="BF330">
        <f t="shared" si="71"/>
        <v>509425.5</v>
      </c>
      <c r="BG330">
        <f t="shared" si="71"/>
        <v>1698085</v>
      </c>
      <c r="BH330">
        <f t="shared" si="71"/>
        <v>5094255</v>
      </c>
      <c r="BI330">
        <f t="shared" si="71"/>
        <v>14433722.5</v>
      </c>
      <c r="BJ330">
        <f t="shared" si="71"/>
        <v>50942550</v>
      </c>
      <c r="BK330">
        <f t="shared" si="71"/>
        <v>169808500</v>
      </c>
      <c r="BL330">
        <v>325</v>
      </c>
    </row>
    <row r="331" spans="1:64" ht="17.25" thickBot="1" x14ac:dyDescent="0.25">
      <c r="A331" s="131">
        <v>327</v>
      </c>
      <c r="B331" s="132">
        <v>50352499</v>
      </c>
      <c r="D331" s="131">
        <v>327</v>
      </c>
      <c r="E331" s="132">
        <v>17.116009999999999</v>
      </c>
      <c r="AK331">
        <v>325</v>
      </c>
      <c r="AL331" s="24">
        <f t="shared" si="65"/>
        <v>17.026039999999998</v>
      </c>
      <c r="AM331">
        <f t="shared" si="70"/>
        <v>119.18227999999999</v>
      </c>
      <c r="AN331">
        <f t="shared" si="70"/>
        <v>170.26039999999998</v>
      </c>
      <c r="AO331">
        <f t="shared" si="70"/>
        <v>255.39059999999998</v>
      </c>
      <c r="AP331">
        <f t="shared" si="70"/>
        <v>340.52079999999995</v>
      </c>
      <c r="AQ331">
        <f t="shared" si="70"/>
        <v>595.91139999999996</v>
      </c>
      <c r="AR331">
        <f t="shared" si="70"/>
        <v>851.30199999999991</v>
      </c>
      <c r="AS331">
        <f t="shared" si="70"/>
        <v>1362.0831999999998</v>
      </c>
      <c r="AT331">
        <f t="shared" si="70"/>
        <v>2043.1247999999998</v>
      </c>
      <c r="AU331">
        <f t="shared" si="70"/>
        <v>2894.4267999999997</v>
      </c>
      <c r="AV331">
        <f t="shared" si="70"/>
        <v>4086.2495999999996</v>
      </c>
      <c r="AW331">
        <f t="shared" si="70"/>
        <v>5618.5931999999993</v>
      </c>
      <c r="AX331">
        <f t="shared" si="70"/>
        <v>7831.9783999999991</v>
      </c>
      <c r="AY331">
        <f t="shared" si="70"/>
        <v>13620.831999999999</v>
      </c>
      <c r="AZ331">
        <f t="shared" si="70"/>
        <v>25539.059999999998</v>
      </c>
      <c r="BA331">
        <f t="shared" si="70"/>
        <v>42565.1</v>
      </c>
      <c r="BB331">
        <f t="shared" si="70"/>
        <v>68104.159999999989</v>
      </c>
      <c r="BC331">
        <f t="shared" si="71"/>
        <v>170260.4</v>
      </c>
      <c r="BD331">
        <f t="shared" si="71"/>
        <v>255390.59999999998</v>
      </c>
      <c r="BE331">
        <f t="shared" si="71"/>
        <v>408624.95999999996</v>
      </c>
      <c r="BF331">
        <f t="shared" si="71"/>
        <v>510781.19999999995</v>
      </c>
      <c r="BG331">
        <f t="shared" si="71"/>
        <v>1702603.9999999998</v>
      </c>
      <c r="BH331">
        <f t="shared" si="71"/>
        <v>5107811.9999999991</v>
      </c>
      <c r="BI331">
        <f t="shared" si="71"/>
        <v>14472133.999999998</v>
      </c>
      <c r="BJ331">
        <f t="shared" si="71"/>
        <v>51078119.999999993</v>
      </c>
      <c r="BK331">
        <f t="shared" si="71"/>
        <v>170260399.99999997</v>
      </c>
      <c r="BL331" s="145">
        <v>326</v>
      </c>
    </row>
    <row r="332" spans="1:64" ht="17.25" thickBot="1" x14ac:dyDescent="0.25">
      <c r="A332" s="131">
        <v>328</v>
      </c>
      <c r="B332" s="132">
        <v>50583322</v>
      </c>
      <c r="D332" s="131">
        <v>328</v>
      </c>
      <c r="E332" s="132">
        <v>17.160789999999999</v>
      </c>
      <c r="AK332">
        <v>326</v>
      </c>
      <c r="AL332" s="24">
        <f t="shared" si="65"/>
        <v>17.071090000000002</v>
      </c>
      <c r="AM332">
        <f t="shared" si="70"/>
        <v>119.49763000000002</v>
      </c>
      <c r="AN332">
        <f t="shared" si="70"/>
        <v>170.71090000000001</v>
      </c>
      <c r="AO332">
        <f t="shared" si="70"/>
        <v>256.06635</v>
      </c>
      <c r="AP332">
        <f t="shared" si="70"/>
        <v>341.42180000000002</v>
      </c>
      <c r="AQ332">
        <f t="shared" si="70"/>
        <v>597.48815000000002</v>
      </c>
      <c r="AR332">
        <f t="shared" si="70"/>
        <v>853.55450000000008</v>
      </c>
      <c r="AS332">
        <f t="shared" si="70"/>
        <v>1365.6872000000001</v>
      </c>
      <c r="AT332">
        <f t="shared" si="70"/>
        <v>2048.5308</v>
      </c>
      <c r="AU332">
        <f t="shared" si="70"/>
        <v>2902.0853000000002</v>
      </c>
      <c r="AV332">
        <f t="shared" si="70"/>
        <v>4097.0616</v>
      </c>
      <c r="AW332">
        <f t="shared" si="70"/>
        <v>5633.4597000000003</v>
      </c>
      <c r="AX332">
        <f t="shared" si="70"/>
        <v>7852.7014000000008</v>
      </c>
      <c r="AY332">
        <f t="shared" si="70"/>
        <v>13656.872000000001</v>
      </c>
      <c r="AZ332">
        <f t="shared" si="70"/>
        <v>25606.635000000002</v>
      </c>
      <c r="BA332">
        <f t="shared" si="70"/>
        <v>42677.725000000006</v>
      </c>
      <c r="BB332">
        <f t="shared" si="70"/>
        <v>68284.36</v>
      </c>
      <c r="BC332">
        <f t="shared" si="71"/>
        <v>170710.90000000002</v>
      </c>
      <c r="BD332">
        <f t="shared" si="71"/>
        <v>256066.35000000003</v>
      </c>
      <c r="BE332">
        <f t="shared" si="71"/>
        <v>409706.16000000003</v>
      </c>
      <c r="BF332">
        <f t="shared" si="71"/>
        <v>512132.70000000007</v>
      </c>
      <c r="BG332">
        <f t="shared" si="71"/>
        <v>1707109.0000000002</v>
      </c>
      <c r="BH332">
        <f t="shared" si="71"/>
        <v>5121327.0000000009</v>
      </c>
      <c r="BI332">
        <f t="shared" si="71"/>
        <v>14510426.500000002</v>
      </c>
      <c r="BJ332">
        <f t="shared" si="71"/>
        <v>51213270.000000007</v>
      </c>
      <c r="BK332">
        <f t="shared" si="71"/>
        <v>170710900.00000003</v>
      </c>
      <c r="BL332">
        <v>327</v>
      </c>
    </row>
    <row r="333" spans="1:64" ht="17.25" thickBot="1" x14ac:dyDescent="0.25">
      <c r="A333" s="131">
        <v>329</v>
      </c>
      <c r="B333" s="132">
        <v>50814494</v>
      </c>
      <c r="D333" s="131">
        <v>329</v>
      </c>
      <c r="E333" s="132">
        <v>17.205439999999999</v>
      </c>
      <c r="AK333">
        <v>327</v>
      </c>
      <c r="AL333" s="24">
        <f t="shared" si="65"/>
        <v>17.116009999999999</v>
      </c>
      <c r="AM333">
        <f t="shared" si="70"/>
        <v>119.81206999999999</v>
      </c>
      <c r="AN333">
        <f t="shared" si="70"/>
        <v>171.1601</v>
      </c>
      <c r="AO333">
        <f t="shared" si="70"/>
        <v>256.74014999999997</v>
      </c>
      <c r="AP333">
        <f t="shared" si="70"/>
        <v>342.3202</v>
      </c>
      <c r="AQ333">
        <f t="shared" si="70"/>
        <v>599.06034999999997</v>
      </c>
      <c r="AR333">
        <f t="shared" si="70"/>
        <v>855.80049999999994</v>
      </c>
      <c r="AS333">
        <f t="shared" si="70"/>
        <v>1369.2808</v>
      </c>
      <c r="AT333">
        <f t="shared" si="70"/>
        <v>2053.9211999999998</v>
      </c>
      <c r="AU333">
        <f t="shared" si="70"/>
        <v>2909.7217000000001</v>
      </c>
      <c r="AV333">
        <f t="shared" si="70"/>
        <v>4107.8423999999995</v>
      </c>
      <c r="AW333">
        <f t="shared" si="70"/>
        <v>5648.2833000000001</v>
      </c>
      <c r="AX333">
        <f t="shared" si="70"/>
        <v>7873.3645999999999</v>
      </c>
      <c r="AY333">
        <f t="shared" si="70"/>
        <v>13692.807999999999</v>
      </c>
      <c r="AZ333">
        <f t="shared" si="70"/>
        <v>25674.014999999999</v>
      </c>
      <c r="BA333">
        <f t="shared" si="70"/>
        <v>42790.025000000001</v>
      </c>
      <c r="BB333">
        <f t="shared" si="70"/>
        <v>68464.039999999994</v>
      </c>
      <c r="BC333">
        <f t="shared" si="71"/>
        <v>171160.1</v>
      </c>
      <c r="BD333">
        <f t="shared" si="71"/>
        <v>256740.15</v>
      </c>
      <c r="BE333">
        <f t="shared" si="71"/>
        <v>410784.24</v>
      </c>
      <c r="BF333">
        <f t="shared" si="71"/>
        <v>513480.3</v>
      </c>
      <c r="BG333">
        <f t="shared" si="71"/>
        <v>1711601</v>
      </c>
      <c r="BH333">
        <f t="shared" si="71"/>
        <v>5134803</v>
      </c>
      <c r="BI333">
        <f t="shared" si="71"/>
        <v>14548608.5</v>
      </c>
      <c r="BJ333">
        <f t="shared" si="71"/>
        <v>51348030</v>
      </c>
      <c r="BK333">
        <f t="shared" si="71"/>
        <v>171160100</v>
      </c>
      <c r="BL333" s="145">
        <v>328</v>
      </c>
    </row>
    <row r="334" spans="1:64" ht="17.25" thickBot="1" x14ac:dyDescent="0.25">
      <c r="A334" s="131">
        <v>330</v>
      </c>
      <c r="B334" s="132">
        <v>51046016</v>
      </c>
      <c r="D334" s="131">
        <v>330</v>
      </c>
      <c r="E334" s="132">
        <v>17.249960000000002</v>
      </c>
      <c r="AK334">
        <v>328</v>
      </c>
      <c r="AL334" s="24">
        <f t="shared" si="65"/>
        <v>17.160789999999999</v>
      </c>
      <c r="AM334">
        <f t="shared" si="70"/>
        <v>120.12553</v>
      </c>
      <c r="AN334">
        <f t="shared" si="70"/>
        <v>171.60789999999997</v>
      </c>
      <c r="AO334">
        <f t="shared" si="70"/>
        <v>257.41184999999996</v>
      </c>
      <c r="AP334">
        <f t="shared" si="70"/>
        <v>343.21579999999994</v>
      </c>
      <c r="AQ334">
        <f t="shared" si="70"/>
        <v>600.6276499999999</v>
      </c>
      <c r="AR334">
        <f t="shared" si="70"/>
        <v>858.03949999999998</v>
      </c>
      <c r="AS334">
        <f t="shared" si="70"/>
        <v>1372.8631999999998</v>
      </c>
      <c r="AT334">
        <f t="shared" si="70"/>
        <v>2059.2947999999997</v>
      </c>
      <c r="AU334">
        <f t="shared" si="70"/>
        <v>2917.3343</v>
      </c>
      <c r="AV334">
        <f t="shared" si="70"/>
        <v>4118.5895999999993</v>
      </c>
      <c r="AW334">
        <f t="shared" si="70"/>
        <v>5663.0607</v>
      </c>
      <c r="AX334">
        <f t="shared" si="70"/>
        <v>7893.9633999999996</v>
      </c>
      <c r="AY334">
        <f t="shared" si="70"/>
        <v>13728.632</v>
      </c>
      <c r="AZ334">
        <f t="shared" si="70"/>
        <v>25741.184999999998</v>
      </c>
      <c r="BA334">
        <f t="shared" si="70"/>
        <v>42901.974999999999</v>
      </c>
      <c r="BB334">
        <f t="shared" si="70"/>
        <v>68643.159999999989</v>
      </c>
      <c r="BC334">
        <f t="shared" si="71"/>
        <v>171607.9</v>
      </c>
      <c r="BD334">
        <f t="shared" si="71"/>
        <v>257411.84999999998</v>
      </c>
      <c r="BE334">
        <f t="shared" si="71"/>
        <v>411858.95999999996</v>
      </c>
      <c r="BF334">
        <f t="shared" si="71"/>
        <v>514823.69999999995</v>
      </c>
      <c r="BG334">
        <f t="shared" si="71"/>
        <v>1716078.9999999998</v>
      </c>
      <c r="BH334">
        <f t="shared" si="71"/>
        <v>5148237</v>
      </c>
      <c r="BI334">
        <f t="shared" si="71"/>
        <v>14586671.499999998</v>
      </c>
      <c r="BJ334">
        <f t="shared" si="71"/>
        <v>51482369.999999993</v>
      </c>
      <c r="BK334">
        <f t="shared" si="71"/>
        <v>171607900</v>
      </c>
      <c r="BL334">
        <v>329</v>
      </c>
    </row>
    <row r="335" spans="1:64" ht="17.25" thickBot="1" x14ac:dyDescent="0.25">
      <c r="A335" s="131">
        <v>331</v>
      </c>
      <c r="B335" s="132">
        <v>51277888</v>
      </c>
      <c r="D335" s="131">
        <v>331</v>
      </c>
      <c r="E335" s="132">
        <v>17.294339999999998</v>
      </c>
      <c r="AK335">
        <v>329</v>
      </c>
      <c r="AL335" s="24">
        <f t="shared" ref="AL335:AL398" si="72">VLOOKUP(AK335,D$2:E$1404,2,FALSE)</f>
        <v>17.205439999999999</v>
      </c>
      <c r="AM335">
        <f t="shared" si="70"/>
        <v>120.43808</v>
      </c>
      <c r="AN335">
        <f t="shared" si="70"/>
        <v>172.05439999999999</v>
      </c>
      <c r="AO335">
        <f t="shared" si="70"/>
        <v>258.08159999999998</v>
      </c>
      <c r="AP335">
        <f t="shared" si="70"/>
        <v>344.10879999999997</v>
      </c>
      <c r="AQ335">
        <f t="shared" si="70"/>
        <v>602.19039999999995</v>
      </c>
      <c r="AR335">
        <f t="shared" si="70"/>
        <v>860.27199999999993</v>
      </c>
      <c r="AS335">
        <f t="shared" si="70"/>
        <v>1376.4351999999999</v>
      </c>
      <c r="AT335">
        <f t="shared" si="70"/>
        <v>2064.6527999999998</v>
      </c>
      <c r="AU335">
        <f t="shared" si="70"/>
        <v>2924.9247999999998</v>
      </c>
      <c r="AV335">
        <f t="shared" si="70"/>
        <v>4129.3055999999997</v>
      </c>
      <c r="AW335">
        <f t="shared" si="70"/>
        <v>5677.7951999999996</v>
      </c>
      <c r="AX335">
        <f t="shared" si="70"/>
        <v>7914.5023999999994</v>
      </c>
      <c r="AY335">
        <f t="shared" si="70"/>
        <v>13764.351999999999</v>
      </c>
      <c r="AZ335">
        <f t="shared" si="70"/>
        <v>25808.16</v>
      </c>
      <c r="BA335">
        <f t="shared" si="70"/>
        <v>43013.599999999999</v>
      </c>
      <c r="BB335">
        <f t="shared" si="70"/>
        <v>68821.759999999995</v>
      </c>
      <c r="BC335">
        <f t="shared" si="71"/>
        <v>172054.39999999999</v>
      </c>
      <c r="BD335">
        <f t="shared" si="71"/>
        <v>258081.59999999998</v>
      </c>
      <c r="BE335">
        <f t="shared" si="71"/>
        <v>412930.56</v>
      </c>
      <c r="BF335">
        <f t="shared" si="71"/>
        <v>516163.19999999995</v>
      </c>
      <c r="BG335">
        <f t="shared" si="71"/>
        <v>1720544</v>
      </c>
      <c r="BH335">
        <f t="shared" si="71"/>
        <v>5161632</v>
      </c>
      <c r="BI335">
        <f t="shared" si="71"/>
        <v>14624624</v>
      </c>
      <c r="BJ335">
        <f t="shared" si="71"/>
        <v>51616320</v>
      </c>
      <c r="BK335">
        <f t="shared" si="71"/>
        <v>172054400</v>
      </c>
      <c r="BL335" s="145">
        <v>330</v>
      </c>
    </row>
    <row r="336" spans="1:64" ht="17.25" thickBot="1" x14ac:dyDescent="0.25">
      <c r="A336" s="131">
        <v>332</v>
      </c>
      <c r="B336" s="132">
        <v>51510111</v>
      </c>
      <c r="D336" s="131">
        <v>332</v>
      </c>
      <c r="E336" s="132">
        <v>17.33859</v>
      </c>
      <c r="AK336">
        <v>330</v>
      </c>
      <c r="AL336" s="24">
        <f t="shared" si="72"/>
        <v>17.249960000000002</v>
      </c>
      <c r="AM336">
        <f t="shared" si="70"/>
        <v>120.74972000000001</v>
      </c>
      <c r="AN336">
        <f t="shared" si="70"/>
        <v>172.49960000000002</v>
      </c>
      <c r="AO336">
        <f t="shared" si="70"/>
        <v>258.74940000000004</v>
      </c>
      <c r="AP336">
        <f t="shared" si="70"/>
        <v>344.99920000000003</v>
      </c>
      <c r="AQ336">
        <f t="shared" si="70"/>
        <v>603.74860000000001</v>
      </c>
      <c r="AR336">
        <f t="shared" si="70"/>
        <v>862.49800000000005</v>
      </c>
      <c r="AS336">
        <f t="shared" si="70"/>
        <v>1379.9968000000001</v>
      </c>
      <c r="AT336">
        <f t="shared" si="70"/>
        <v>2069.9952000000003</v>
      </c>
      <c r="AU336">
        <f t="shared" ref="AM336:BB352" si="73">AU$5*VLOOKUP($AK336,$D$2:$E$1404,2,FALSE)</f>
        <v>2932.4932000000003</v>
      </c>
      <c r="AV336">
        <f t="shared" si="73"/>
        <v>4139.9904000000006</v>
      </c>
      <c r="AW336">
        <f t="shared" si="73"/>
        <v>5692.4868000000006</v>
      </c>
      <c r="AX336">
        <f t="shared" si="73"/>
        <v>7934.981600000001</v>
      </c>
      <c r="AY336">
        <f t="shared" si="73"/>
        <v>13799.968000000001</v>
      </c>
      <c r="AZ336">
        <f t="shared" si="73"/>
        <v>25874.940000000002</v>
      </c>
      <c r="BA336">
        <f t="shared" si="73"/>
        <v>43124.9</v>
      </c>
      <c r="BB336">
        <f t="shared" si="73"/>
        <v>68999.840000000011</v>
      </c>
      <c r="BC336">
        <f t="shared" si="71"/>
        <v>172499.6</v>
      </c>
      <c r="BD336">
        <f t="shared" si="71"/>
        <v>258749.40000000002</v>
      </c>
      <c r="BE336">
        <f t="shared" si="71"/>
        <v>413999.04000000004</v>
      </c>
      <c r="BF336">
        <f t="shared" si="71"/>
        <v>517498.80000000005</v>
      </c>
      <c r="BG336">
        <f t="shared" si="71"/>
        <v>1724996.0000000002</v>
      </c>
      <c r="BH336">
        <f t="shared" si="71"/>
        <v>5174988</v>
      </c>
      <c r="BI336">
        <f t="shared" si="71"/>
        <v>14662466.000000002</v>
      </c>
      <c r="BJ336">
        <f t="shared" si="71"/>
        <v>51749880.000000007</v>
      </c>
      <c r="BK336">
        <f t="shared" si="71"/>
        <v>172499600.00000003</v>
      </c>
      <c r="BL336">
        <v>331</v>
      </c>
    </row>
    <row r="337" spans="1:64" ht="17.25" thickBot="1" x14ac:dyDescent="0.25">
      <c r="A337" s="131">
        <v>333</v>
      </c>
      <c r="B337" s="132">
        <v>51742683</v>
      </c>
      <c r="D337" s="131">
        <v>333</v>
      </c>
      <c r="E337" s="132">
        <v>17.382709999999999</v>
      </c>
      <c r="AK337">
        <v>331</v>
      </c>
      <c r="AL337" s="24">
        <f t="shared" si="72"/>
        <v>17.294339999999998</v>
      </c>
      <c r="AM337">
        <f t="shared" si="73"/>
        <v>121.06037999999998</v>
      </c>
      <c r="AN337">
        <f t="shared" si="73"/>
        <v>172.9434</v>
      </c>
      <c r="AO337">
        <f t="shared" si="73"/>
        <v>259.4151</v>
      </c>
      <c r="AP337">
        <f t="shared" si="73"/>
        <v>345.88679999999999</v>
      </c>
      <c r="AQ337">
        <f t="shared" si="73"/>
        <v>605.30189999999993</v>
      </c>
      <c r="AR337">
        <f t="shared" si="73"/>
        <v>864.71699999999987</v>
      </c>
      <c r="AS337">
        <f t="shared" si="73"/>
        <v>1383.5472</v>
      </c>
      <c r="AT337">
        <f t="shared" si="73"/>
        <v>2075.3208</v>
      </c>
      <c r="AU337">
        <f t="shared" si="73"/>
        <v>2940.0377999999996</v>
      </c>
      <c r="AV337">
        <f t="shared" si="73"/>
        <v>4150.6415999999999</v>
      </c>
      <c r="AW337">
        <f t="shared" si="73"/>
        <v>5707.1321999999991</v>
      </c>
      <c r="AX337">
        <f t="shared" si="73"/>
        <v>7955.3963999999996</v>
      </c>
      <c r="AY337">
        <f t="shared" si="73"/>
        <v>13835.471999999998</v>
      </c>
      <c r="AZ337">
        <f t="shared" si="73"/>
        <v>25941.51</v>
      </c>
      <c r="BA337">
        <f t="shared" si="73"/>
        <v>43235.85</v>
      </c>
      <c r="BB337">
        <f t="shared" si="73"/>
        <v>69177.359999999986</v>
      </c>
      <c r="BC337">
        <f t="shared" si="71"/>
        <v>172943.4</v>
      </c>
      <c r="BD337">
        <f t="shared" si="71"/>
        <v>259415.09999999998</v>
      </c>
      <c r="BE337">
        <f t="shared" si="71"/>
        <v>415064.16</v>
      </c>
      <c r="BF337">
        <f t="shared" si="71"/>
        <v>518830.19999999995</v>
      </c>
      <c r="BG337">
        <f t="shared" si="71"/>
        <v>1729433.9999999998</v>
      </c>
      <c r="BH337">
        <f t="shared" si="71"/>
        <v>5188301.9999999991</v>
      </c>
      <c r="BI337">
        <f t="shared" si="71"/>
        <v>14700188.999999998</v>
      </c>
      <c r="BJ337">
        <f t="shared" si="71"/>
        <v>51883019.999999993</v>
      </c>
      <c r="BK337">
        <f t="shared" si="71"/>
        <v>172943399.99999997</v>
      </c>
      <c r="BL337" s="145">
        <v>332</v>
      </c>
    </row>
    <row r="338" spans="1:64" ht="17.25" thickBot="1" x14ac:dyDescent="0.25">
      <c r="A338" s="131">
        <v>334</v>
      </c>
      <c r="B338" s="132">
        <v>51975605</v>
      </c>
      <c r="D338" s="131">
        <v>334</v>
      </c>
      <c r="E338" s="132">
        <v>17.4267</v>
      </c>
      <c r="AK338">
        <v>332</v>
      </c>
      <c r="AL338" s="24">
        <f t="shared" si="72"/>
        <v>17.33859</v>
      </c>
      <c r="AM338">
        <f t="shared" si="73"/>
        <v>121.37013</v>
      </c>
      <c r="AN338">
        <f t="shared" si="73"/>
        <v>173.38589999999999</v>
      </c>
      <c r="AO338">
        <f t="shared" si="73"/>
        <v>260.07884999999999</v>
      </c>
      <c r="AP338">
        <f t="shared" si="73"/>
        <v>346.77179999999998</v>
      </c>
      <c r="AQ338">
        <f t="shared" si="73"/>
        <v>606.85064999999997</v>
      </c>
      <c r="AR338">
        <f t="shared" si="73"/>
        <v>866.92949999999996</v>
      </c>
      <c r="AS338">
        <f t="shared" si="73"/>
        <v>1387.0871999999999</v>
      </c>
      <c r="AT338">
        <f t="shared" si="73"/>
        <v>2080.6307999999999</v>
      </c>
      <c r="AU338">
        <f t="shared" si="73"/>
        <v>2947.5603000000001</v>
      </c>
      <c r="AV338">
        <f t="shared" si="73"/>
        <v>4161.2615999999998</v>
      </c>
      <c r="AW338">
        <f t="shared" si="73"/>
        <v>5721.7347</v>
      </c>
      <c r="AX338">
        <f t="shared" si="73"/>
        <v>7975.7514000000001</v>
      </c>
      <c r="AY338">
        <f t="shared" si="73"/>
        <v>13870.871999999999</v>
      </c>
      <c r="AZ338">
        <f t="shared" si="73"/>
        <v>26007.884999999998</v>
      </c>
      <c r="BA338">
        <f t="shared" si="73"/>
        <v>43346.474999999999</v>
      </c>
      <c r="BB338">
        <f t="shared" si="73"/>
        <v>69354.36</v>
      </c>
      <c r="BC338">
        <f t="shared" si="71"/>
        <v>173385.9</v>
      </c>
      <c r="BD338">
        <f t="shared" si="71"/>
        <v>260078.85</v>
      </c>
      <c r="BE338">
        <f t="shared" si="71"/>
        <v>416126.16</v>
      </c>
      <c r="BF338">
        <f t="shared" si="71"/>
        <v>520157.7</v>
      </c>
      <c r="BG338">
        <f t="shared" si="71"/>
        <v>1733859</v>
      </c>
      <c r="BH338">
        <f t="shared" si="71"/>
        <v>5201577</v>
      </c>
      <c r="BI338">
        <f t="shared" si="71"/>
        <v>14737801.5</v>
      </c>
      <c r="BJ338">
        <f t="shared" si="71"/>
        <v>52015770</v>
      </c>
      <c r="BK338">
        <f t="shared" si="71"/>
        <v>173385900</v>
      </c>
      <c r="BL338">
        <v>333</v>
      </c>
    </row>
    <row r="339" spans="1:64" ht="17.25" thickBot="1" x14ac:dyDescent="0.25">
      <c r="A339" s="131">
        <v>335</v>
      </c>
      <c r="B339" s="132">
        <v>52208877</v>
      </c>
      <c r="D339" s="131">
        <v>335</v>
      </c>
      <c r="E339" s="132">
        <v>17.470559999999999</v>
      </c>
      <c r="AK339">
        <v>333</v>
      </c>
      <c r="AL339" s="24">
        <f t="shared" si="72"/>
        <v>17.382709999999999</v>
      </c>
      <c r="AM339">
        <f t="shared" si="73"/>
        <v>121.67896999999999</v>
      </c>
      <c r="AN339">
        <f t="shared" si="73"/>
        <v>173.8271</v>
      </c>
      <c r="AO339">
        <f t="shared" si="73"/>
        <v>260.74065000000002</v>
      </c>
      <c r="AP339">
        <f t="shared" si="73"/>
        <v>347.6542</v>
      </c>
      <c r="AQ339">
        <f t="shared" si="73"/>
        <v>608.39485000000002</v>
      </c>
      <c r="AR339">
        <f t="shared" si="73"/>
        <v>869.13549999999998</v>
      </c>
      <c r="AS339">
        <f t="shared" si="73"/>
        <v>1390.6168</v>
      </c>
      <c r="AT339">
        <f t="shared" si="73"/>
        <v>2085.9252000000001</v>
      </c>
      <c r="AU339">
        <f t="shared" si="73"/>
        <v>2955.0607</v>
      </c>
      <c r="AV339">
        <f t="shared" si="73"/>
        <v>4171.8504000000003</v>
      </c>
      <c r="AW339">
        <f t="shared" si="73"/>
        <v>5736.2942999999996</v>
      </c>
      <c r="AX339">
        <f t="shared" si="73"/>
        <v>7996.0465999999997</v>
      </c>
      <c r="AY339">
        <f t="shared" si="73"/>
        <v>13906.168</v>
      </c>
      <c r="AZ339">
        <f t="shared" si="73"/>
        <v>26074.064999999999</v>
      </c>
      <c r="BA339">
        <f t="shared" si="73"/>
        <v>43456.775000000001</v>
      </c>
      <c r="BB339">
        <f t="shared" si="73"/>
        <v>69530.84</v>
      </c>
      <c r="BC339">
        <f t="shared" si="71"/>
        <v>173827.1</v>
      </c>
      <c r="BD339">
        <f t="shared" si="71"/>
        <v>260740.65</v>
      </c>
      <c r="BE339">
        <f t="shared" si="71"/>
        <v>417185.04</v>
      </c>
      <c r="BF339">
        <f t="shared" si="71"/>
        <v>521481.3</v>
      </c>
      <c r="BG339">
        <f t="shared" si="71"/>
        <v>1738271</v>
      </c>
      <c r="BH339">
        <f t="shared" si="71"/>
        <v>5214813</v>
      </c>
      <c r="BI339">
        <f t="shared" si="71"/>
        <v>14775303.5</v>
      </c>
      <c r="BJ339">
        <f t="shared" si="71"/>
        <v>52148130</v>
      </c>
      <c r="BK339">
        <f t="shared" si="71"/>
        <v>173827100</v>
      </c>
      <c r="BL339" s="145">
        <v>334</v>
      </c>
    </row>
    <row r="340" spans="1:64" ht="17.25" thickBot="1" x14ac:dyDescent="0.25">
      <c r="A340" s="131">
        <v>336</v>
      </c>
      <c r="B340" s="132">
        <v>52442494</v>
      </c>
      <c r="D340" s="131">
        <v>336</v>
      </c>
      <c r="E340" s="132">
        <v>17.514299999999999</v>
      </c>
      <c r="AK340">
        <v>334</v>
      </c>
      <c r="AL340" s="24">
        <f t="shared" si="72"/>
        <v>17.4267</v>
      </c>
      <c r="AM340">
        <f t="shared" si="73"/>
        <v>121.98690000000001</v>
      </c>
      <c r="AN340">
        <f t="shared" si="73"/>
        <v>174.267</v>
      </c>
      <c r="AO340">
        <f t="shared" si="73"/>
        <v>261.40050000000002</v>
      </c>
      <c r="AP340">
        <f t="shared" si="73"/>
        <v>348.53399999999999</v>
      </c>
      <c r="AQ340">
        <f t="shared" si="73"/>
        <v>609.93449999999996</v>
      </c>
      <c r="AR340">
        <f t="shared" si="73"/>
        <v>871.33500000000004</v>
      </c>
      <c r="AS340">
        <f t="shared" si="73"/>
        <v>1394.136</v>
      </c>
      <c r="AT340">
        <f t="shared" si="73"/>
        <v>2091.2040000000002</v>
      </c>
      <c r="AU340">
        <f t="shared" si="73"/>
        <v>2962.5390000000002</v>
      </c>
      <c r="AV340">
        <f t="shared" si="73"/>
        <v>4182.4080000000004</v>
      </c>
      <c r="AW340">
        <f t="shared" si="73"/>
        <v>5750.8109999999997</v>
      </c>
      <c r="AX340">
        <f t="shared" si="73"/>
        <v>8016.2820000000002</v>
      </c>
      <c r="AY340">
        <f t="shared" si="73"/>
        <v>13941.36</v>
      </c>
      <c r="AZ340">
        <f t="shared" si="73"/>
        <v>26140.05</v>
      </c>
      <c r="BA340">
        <f t="shared" si="73"/>
        <v>43566.75</v>
      </c>
      <c r="BB340">
        <f t="shared" si="73"/>
        <v>69706.8</v>
      </c>
      <c r="BC340">
        <f t="shared" si="71"/>
        <v>174267</v>
      </c>
      <c r="BD340">
        <f t="shared" si="71"/>
        <v>261400.5</v>
      </c>
      <c r="BE340">
        <f t="shared" si="71"/>
        <v>418240.8</v>
      </c>
      <c r="BF340">
        <f t="shared" si="71"/>
        <v>522801</v>
      </c>
      <c r="BG340">
        <f t="shared" si="71"/>
        <v>1742670</v>
      </c>
      <c r="BH340">
        <f t="shared" si="71"/>
        <v>5228010</v>
      </c>
      <c r="BI340">
        <f t="shared" si="71"/>
        <v>14812695</v>
      </c>
      <c r="BJ340">
        <f t="shared" si="71"/>
        <v>52280100</v>
      </c>
      <c r="BK340">
        <f t="shared" si="71"/>
        <v>174267000</v>
      </c>
      <c r="BL340">
        <v>335</v>
      </c>
    </row>
    <row r="341" spans="1:64" ht="17.25" thickBot="1" x14ac:dyDescent="0.25">
      <c r="A341" s="131">
        <v>337</v>
      </c>
      <c r="B341" s="132">
        <v>52676461</v>
      </c>
      <c r="D341" s="131">
        <v>337</v>
      </c>
      <c r="E341" s="132">
        <v>17.55791</v>
      </c>
      <c r="AK341">
        <v>335</v>
      </c>
      <c r="AL341" s="24">
        <f t="shared" si="72"/>
        <v>17.470559999999999</v>
      </c>
      <c r="AM341">
        <f t="shared" si="73"/>
        <v>122.29391999999999</v>
      </c>
      <c r="AN341">
        <f t="shared" si="73"/>
        <v>174.7056</v>
      </c>
      <c r="AO341">
        <f t="shared" si="73"/>
        <v>262.05840000000001</v>
      </c>
      <c r="AP341">
        <f t="shared" si="73"/>
        <v>349.41120000000001</v>
      </c>
      <c r="AQ341">
        <f t="shared" si="73"/>
        <v>611.46960000000001</v>
      </c>
      <c r="AR341">
        <f t="shared" si="73"/>
        <v>873.52799999999991</v>
      </c>
      <c r="AS341">
        <f t="shared" si="73"/>
        <v>1397.6448</v>
      </c>
      <c r="AT341">
        <f t="shared" si="73"/>
        <v>2096.4672</v>
      </c>
      <c r="AU341">
        <f t="shared" si="73"/>
        <v>2969.9951999999998</v>
      </c>
      <c r="AV341">
        <f t="shared" si="73"/>
        <v>4192.9344000000001</v>
      </c>
      <c r="AW341">
        <f t="shared" si="73"/>
        <v>5765.2847999999994</v>
      </c>
      <c r="AX341">
        <f t="shared" si="73"/>
        <v>8036.4575999999997</v>
      </c>
      <c r="AY341">
        <f t="shared" si="73"/>
        <v>13976.447999999999</v>
      </c>
      <c r="AZ341">
        <f t="shared" si="73"/>
        <v>26205.84</v>
      </c>
      <c r="BA341">
        <f t="shared" si="73"/>
        <v>43676.399999999994</v>
      </c>
      <c r="BB341">
        <f t="shared" si="73"/>
        <v>69882.239999999991</v>
      </c>
      <c r="BC341">
        <f t="shared" si="71"/>
        <v>174705.59999999998</v>
      </c>
      <c r="BD341">
        <f t="shared" si="71"/>
        <v>262058.4</v>
      </c>
      <c r="BE341">
        <f t="shared" si="71"/>
        <v>419293.44</v>
      </c>
      <c r="BF341">
        <f t="shared" si="71"/>
        <v>524116.8</v>
      </c>
      <c r="BG341">
        <f t="shared" si="71"/>
        <v>1747056</v>
      </c>
      <c r="BH341">
        <f t="shared" si="71"/>
        <v>5241168</v>
      </c>
      <c r="BI341">
        <f t="shared" si="71"/>
        <v>14849976</v>
      </c>
      <c r="BJ341">
        <f t="shared" si="71"/>
        <v>52411680</v>
      </c>
      <c r="BK341">
        <f t="shared" si="71"/>
        <v>174705600</v>
      </c>
      <c r="BL341" s="145">
        <v>336</v>
      </c>
    </row>
    <row r="342" spans="1:64" ht="17.25" thickBot="1" x14ac:dyDescent="0.25">
      <c r="A342" s="131">
        <v>338</v>
      </c>
      <c r="B342" s="132">
        <v>52910772</v>
      </c>
      <c r="D342" s="131">
        <v>338</v>
      </c>
      <c r="E342" s="132">
        <v>17.601389999999999</v>
      </c>
      <c r="AK342">
        <v>336</v>
      </c>
      <c r="AL342" s="24">
        <f t="shared" si="72"/>
        <v>17.514299999999999</v>
      </c>
      <c r="AM342">
        <f t="shared" si="73"/>
        <v>122.6001</v>
      </c>
      <c r="AN342">
        <f t="shared" si="73"/>
        <v>175.14299999999997</v>
      </c>
      <c r="AO342">
        <f t="shared" si="73"/>
        <v>262.71449999999999</v>
      </c>
      <c r="AP342">
        <f t="shared" si="73"/>
        <v>350.28599999999994</v>
      </c>
      <c r="AQ342">
        <f t="shared" si="73"/>
        <v>613.00049999999999</v>
      </c>
      <c r="AR342">
        <f t="shared" si="73"/>
        <v>875.71499999999992</v>
      </c>
      <c r="AS342">
        <f t="shared" si="73"/>
        <v>1401.1439999999998</v>
      </c>
      <c r="AT342">
        <f t="shared" si="73"/>
        <v>2101.7159999999999</v>
      </c>
      <c r="AU342">
        <f t="shared" si="73"/>
        <v>2977.4309999999996</v>
      </c>
      <c r="AV342">
        <f t="shared" si="73"/>
        <v>4203.4319999999998</v>
      </c>
      <c r="AW342">
        <f t="shared" si="73"/>
        <v>5779.7189999999991</v>
      </c>
      <c r="AX342">
        <f t="shared" si="73"/>
        <v>8056.5779999999995</v>
      </c>
      <c r="AY342">
        <f t="shared" si="73"/>
        <v>14011.439999999999</v>
      </c>
      <c r="AZ342">
        <f t="shared" si="73"/>
        <v>26271.449999999997</v>
      </c>
      <c r="BA342">
        <f t="shared" si="73"/>
        <v>43785.75</v>
      </c>
      <c r="BB342">
        <f t="shared" si="73"/>
        <v>70057.2</v>
      </c>
      <c r="BC342">
        <f t="shared" si="71"/>
        <v>175143</v>
      </c>
      <c r="BD342">
        <f t="shared" si="71"/>
        <v>262714.5</v>
      </c>
      <c r="BE342">
        <f t="shared" si="71"/>
        <v>420343.19999999995</v>
      </c>
      <c r="BF342">
        <f t="shared" si="71"/>
        <v>525429</v>
      </c>
      <c r="BG342">
        <f t="shared" si="71"/>
        <v>1751429.9999999998</v>
      </c>
      <c r="BH342">
        <f t="shared" si="71"/>
        <v>5254290</v>
      </c>
      <c r="BI342">
        <f t="shared" si="71"/>
        <v>14887154.999999998</v>
      </c>
      <c r="BJ342">
        <f t="shared" si="71"/>
        <v>52542899.999999993</v>
      </c>
      <c r="BK342">
        <f t="shared" si="71"/>
        <v>175143000</v>
      </c>
      <c r="BL342">
        <v>337</v>
      </c>
    </row>
    <row r="343" spans="1:64" ht="17.25" thickBot="1" x14ac:dyDescent="0.25">
      <c r="A343" s="131">
        <v>339</v>
      </c>
      <c r="B343" s="132">
        <v>53145433</v>
      </c>
      <c r="D343" s="131">
        <v>339</v>
      </c>
      <c r="E343" s="132">
        <v>17.644749999999998</v>
      </c>
      <c r="AK343">
        <v>337</v>
      </c>
      <c r="AL343" s="24">
        <f t="shared" si="72"/>
        <v>17.55791</v>
      </c>
      <c r="AM343">
        <f t="shared" si="73"/>
        <v>122.90537</v>
      </c>
      <c r="AN343">
        <f t="shared" si="73"/>
        <v>175.57909999999998</v>
      </c>
      <c r="AO343">
        <f t="shared" si="73"/>
        <v>263.36865</v>
      </c>
      <c r="AP343">
        <f t="shared" si="73"/>
        <v>351.15819999999997</v>
      </c>
      <c r="AQ343">
        <f t="shared" si="73"/>
        <v>614.52684999999997</v>
      </c>
      <c r="AR343">
        <f t="shared" si="73"/>
        <v>877.89549999999997</v>
      </c>
      <c r="AS343">
        <f t="shared" si="73"/>
        <v>1404.6327999999999</v>
      </c>
      <c r="AT343">
        <f t="shared" si="73"/>
        <v>2106.9492</v>
      </c>
      <c r="AU343">
        <f t="shared" si="73"/>
        <v>2984.8447000000001</v>
      </c>
      <c r="AV343">
        <f t="shared" si="73"/>
        <v>4213.8984</v>
      </c>
      <c r="AW343">
        <f t="shared" si="73"/>
        <v>5794.1103000000003</v>
      </c>
      <c r="AX343">
        <f t="shared" si="73"/>
        <v>8076.6386000000002</v>
      </c>
      <c r="AY343">
        <f t="shared" si="73"/>
        <v>14046.328</v>
      </c>
      <c r="AZ343">
        <f t="shared" si="73"/>
        <v>26336.864999999998</v>
      </c>
      <c r="BA343">
        <f t="shared" si="73"/>
        <v>43894.775000000001</v>
      </c>
      <c r="BB343">
        <f t="shared" si="73"/>
        <v>70231.64</v>
      </c>
      <c r="BC343">
        <f t="shared" si="71"/>
        <v>175579.1</v>
      </c>
      <c r="BD343">
        <f t="shared" si="71"/>
        <v>263368.65000000002</v>
      </c>
      <c r="BE343">
        <f t="shared" si="71"/>
        <v>421389.83999999997</v>
      </c>
      <c r="BF343">
        <f t="shared" si="71"/>
        <v>526737.30000000005</v>
      </c>
      <c r="BG343">
        <f t="shared" si="71"/>
        <v>1755791</v>
      </c>
      <c r="BH343">
        <f t="shared" si="71"/>
        <v>5267373</v>
      </c>
      <c r="BI343">
        <f t="shared" si="71"/>
        <v>14924223.5</v>
      </c>
      <c r="BJ343">
        <f t="shared" si="71"/>
        <v>52673730</v>
      </c>
      <c r="BK343">
        <f t="shared" si="71"/>
        <v>175579100</v>
      </c>
      <c r="BL343" s="145">
        <v>338</v>
      </c>
    </row>
    <row r="344" spans="1:64" ht="17.25" thickBot="1" x14ac:dyDescent="0.25">
      <c r="A344" s="131">
        <v>340</v>
      </c>
      <c r="B344" s="132">
        <v>53380438</v>
      </c>
      <c r="D344" s="131">
        <v>340</v>
      </c>
      <c r="E344" s="132">
        <v>17.68798</v>
      </c>
      <c r="AK344">
        <v>338</v>
      </c>
      <c r="AL344" s="24">
        <f t="shared" si="72"/>
        <v>17.601389999999999</v>
      </c>
      <c r="AM344">
        <f t="shared" si="73"/>
        <v>123.20972999999999</v>
      </c>
      <c r="AN344">
        <f t="shared" si="73"/>
        <v>176.01389999999998</v>
      </c>
      <c r="AO344">
        <f t="shared" si="73"/>
        <v>264.02085</v>
      </c>
      <c r="AP344">
        <f t="shared" si="73"/>
        <v>352.02779999999996</v>
      </c>
      <c r="AQ344">
        <f t="shared" si="73"/>
        <v>616.04864999999995</v>
      </c>
      <c r="AR344">
        <f t="shared" si="73"/>
        <v>880.06949999999995</v>
      </c>
      <c r="AS344">
        <f t="shared" si="73"/>
        <v>1408.1111999999998</v>
      </c>
      <c r="AT344">
        <f t="shared" si="73"/>
        <v>2112.1668</v>
      </c>
      <c r="AU344">
        <f t="shared" si="73"/>
        <v>2992.2362999999996</v>
      </c>
      <c r="AV344">
        <f t="shared" si="73"/>
        <v>4224.3335999999999</v>
      </c>
      <c r="AW344">
        <f t="shared" si="73"/>
        <v>5808.4586999999992</v>
      </c>
      <c r="AX344">
        <f t="shared" si="73"/>
        <v>8096.6393999999991</v>
      </c>
      <c r="AY344">
        <f t="shared" si="73"/>
        <v>14081.111999999999</v>
      </c>
      <c r="AZ344">
        <f t="shared" si="73"/>
        <v>26402.084999999999</v>
      </c>
      <c r="BA344">
        <f t="shared" si="73"/>
        <v>44003.474999999999</v>
      </c>
      <c r="BB344">
        <f t="shared" si="73"/>
        <v>70405.56</v>
      </c>
      <c r="BC344">
        <f t="shared" si="71"/>
        <v>176013.9</v>
      </c>
      <c r="BD344">
        <f t="shared" si="71"/>
        <v>264020.84999999998</v>
      </c>
      <c r="BE344">
        <f t="shared" si="71"/>
        <v>422433.36</v>
      </c>
      <c r="BF344">
        <f t="shared" si="71"/>
        <v>528041.69999999995</v>
      </c>
      <c r="BG344">
        <f t="shared" si="71"/>
        <v>1760138.9999999998</v>
      </c>
      <c r="BH344">
        <f t="shared" si="71"/>
        <v>5280417</v>
      </c>
      <c r="BI344">
        <f t="shared" si="71"/>
        <v>14961181.499999998</v>
      </c>
      <c r="BJ344">
        <f t="shared" si="71"/>
        <v>52804169.999999993</v>
      </c>
      <c r="BK344">
        <f t="shared" si="71"/>
        <v>176013900</v>
      </c>
      <c r="BL344">
        <v>339</v>
      </c>
    </row>
    <row r="345" spans="1:64" ht="17.25" thickBot="1" x14ac:dyDescent="0.25">
      <c r="A345" s="131">
        <v>341</v>
      </c>
      <c r="B345" s="132">
        <v>53615788</v>
      </c>
      <c r="D345" s="131">
        <v>341</v>
      </c>
      <c r="E345" s="132">
        <v>17.731089999999998</v>
      </c>
      <c r="AK345">
        <v>339</v>
      </c>
      <c r="AL345" s="24">
        <f t="shared" si="72"/>
        <v>17.644749999999998</v>
      </c>
      <c r="AM345">
        <f t="shared" si="73"/>
        <v>123.51324999999999</v>
      </c>
      <c r="AN345">
        <f t="shared" si="73"/>
        <v>176.44749999999999</v>
      </c>
      <c r="AO345">
        <f t="shared" si="73"/>
        <v>264.67124999999999</v>
      </c>
      <c r="AP345">
        <f t="shared" si="73"/>
        <v>352.89499999999998</v>
      </c>
      <c r="AQ345">
        <f t="shared" si="73"/>
        <v>617.56624999999997</v>
      </c>
      <c r="AR345">
        <f t="shared" si="73"/>
        <v>882.23749999999995</v>
      </c>
      <c r="AS345">
        <f t="shared" si="73"/>
        <v>1411.58</v>
      </c>
      <c r="AT345">
        <f t="shared" si="73"/>
        <v>2117.37</v>
      </c>
      <c r="AU345">
        <f t="shared" si="73"/>
        <v>2999.6074999999996</v>
      </c>
      <c r="AV345">
        <f t="shared" si="73"/>
        <v>4234.74</v>
      </c>
      <c r="AW345">
        <f t="shared" si="73"/>
        <v>5822.767499999999</v>
      </c>
      <c r="AX345">
        <f t="shared" si="73"/>
        <v>8116.5849999999991</v>
      </c>
      <c r="AY345">
        <f t="shared" si="73"/>
        <v>14115.8</v>
      </c>
      <c r="AZ345">
        <f t="shared" si="73"/>
        <v>26467.124999999996</v>
      </c>
      <c r="BA345">
        <f t="shared" si="73"/>
        <v>44111.874999999993</v>
      </c>
      <c r="BB345">
        <f t="shared" si="73"/>
        <v>70579</v>
      </c>
      <c r="BC345">
        <f t="shared" si="71"/>
        <v>176447.49999999997</v>
      </c>
      <c r="BD345">
        <f t="shared" si="71"/>
        <v>264671.25</v>
      </c>
      <c r="BE345">
        <f t="shared" si="71"/>
        <v>423473.99999999994</v>
      </c>
      <c r="BF345">
        <f t="shared" si="71"/>
        <v>529342.5</v>
      </c>
      <c r="BG345">
        <f t="shared" si="71"/>
        <v>1764474.9999999998</v>
      </c>
      <c r="BH345">
        <f t="shared" si="71"/>
        <v>5293424.9999999991</v>
      </c>
      <c r="BI345">
        <f t="shared" si="71"/>
        <v>14998037.499999998</v>
      </c>
      <c r="BJ345">
        <f t="shared" si="71"/>
        <v>52934249.999999993</v>
      </c>
      <c r="BK345">
        <f t="shared" si="71"/>
        <v>176447499.99999997</v>
      </c>
      <c r="BL345" s="145">
        <v>340</v>
      </c>
    </row>
    <row r="346" spans="1:64" ht="17.25" thickBot="1" x14ac:dyDescent="0.25">
      <c r="A346" s="131">
        <v>342</v>
      </c>
      <c r="B346" s="132">
        <v>53851483</v>
      </c>
      <c r="D346" s="131">
        <v>342</v>
      </c>
      <c r="E346" s="132">
        <v>17.774069999999998</v>
      </c>
      <c r="AK346">
        <v>340</v>
      </c>
      <c r="AL346" s="24">
        <f t="shared" si="72"/>
        <v>17.68798</v>
      </c>
      <c r="AM346">
        <f t="shared" si="73"/>
        <v>123.81586</v>
      </c>
      <c r="AN346">
        <f t="shared" si="73"/>
        <v>176.87979999999999</v>
      </c>
      <c r="AO346">
        <f t="shared" si="73"/>
        <v>265.31970000000001</v>
      </c>
      <c r="AP346">
        <f t="shared" si="73"/>
        <v>353.75959999999998</v>
      </c>
      <c r="AQ346">
        <f t="shared" si="73"/>
        <v>619.07929999999999</v>
      </c>
      <c r="AR346">
        <f t="shared" si="73"/>
        <v>884.399</v>
      </c>
      <c r="AS346">
        <f t="shared" si="73"/>
        <v>1415.0383999999999</v>
      </c>
      <c r="AT346">
        <f t="shared" si="73"/>
        <v>2122.5576000000001</v>
      </c>
      <c r="AU346">
        <f t="shared" si="73"/>
        <v>3006.9566</v>
      </c>
      <c r="AV346">
        <f t="shared" si="73"/>
        <v>4245.1152000000002</v>
      </c>
      <c r="AW346">
        <f t="shared" si="73"/>
        <v>5837.0334000000003</v>
      </c>
      <c r="AX346">
        <f t="shared" si="73"/>
        <v>8136.4708000000001</v>
      </c>
      <c r="AY346">
        <f t="shared" si="73"/>
        <v>14150.384</v>
      </c>
      <c r="AZ346">
        <f t="shared" si="73"/>
        <v>26531.97</v>
      </c>
      <c r="BA346">
        <f t="shared" si="73"/>
        <v>44219.95</v>
      </c>
      <c r="BB346">
        <f t="shared" si="73"/>
        <v>70751.92</v>
      </c>
      <c r="BC346">
        <f t="shared" si="71"/>
        <v>176879.8</v>
      </c>
      <c r="BD346">
        <f t="shared" si="71"/>
        <v>265319.7</v>
      </c>
      <c r="BE346">
        <f t="shared" si="71"/>
        <v>424511.52</v>
      </c>
      <c r="BF346">
        <f t="shared" si="71"/>
        <v>530639.4</v>
      </c>
      <c r="BG346">
        <f t="shared" si="71"/>
        <v>1768798</v>
      </c>
      <c r="BH346">
        <f t="shared" si="71"/>
        <v>5306394</v>
      </c>
      <c r="BI346">
        <f t="shared" si="71"/>
        <v>15034783</v>
      </c>
      <c r="BJ346">
        <f t="shared" si="71"/>
        <v>53063940</v>
      </c>
      <c r="BK346">
        <f t="shared" si="71"/>
        <v>176879800</v>
      </c>
      <c r="BL346">
        <v>341</v>
      </c>
    </row>
    <row r="347" spans="1:64" ht="17.25" thickBot="1" x14ac:dyDescent="0.25">
      <c r="A347" s="131">
        <v>343</v>
      </c>
      <c r="B347" s="132">
        <v>54087522</v>
      </c>
      <c r="D347" s="131">
        <v>343</v>
      </c>
      <c r="E347" s="132">
        <v>17.816929999999999</v>
      </c>
      <c r="AK347">
        <v>341</v>
      </c>
      <c r="AL347" s="24">
        <f t="shared" si="72"/>
        <v>17.731089999999998</v>
      </c>
      <c r="AM347">
        <f t="shared" si="73"/>
        <v>124.11762999999999</v>
      </c>
      <c r="AN347">
        <f t="shared" si="73"/>
        <v>177.31089999999998</v>
      </c>
      <c r="AO347">
        <f t="shared" si="73"/>
        <v>265.96634999999998</v>
      </c>
      <c r="AP347">
        <f t="shared" si="73"/>
        <v>354.62179999999995</v>
      </c>
      <c r="AQ347">
        <f t="shared" si="73"/>
        <v>620.58814999999993</v>
      </c>
      <c r="AR347">
        <f t="shared" si="73"/>
        <v>886.55449999999996</v>
      </c>
      <c r="AS347">
        <f t="shared" si="73"/>
        <v>1418.4871999999998</v>
      </c>
      <c r="AT347">
        <f t="shared" si="73"/>
        <v>2127.7307999999998</v>
      </c>
      <c r="AU347">
        <f t="shared" si="73"/>
        <v>3014.2852999999996</v>
      </c>
      <c r="AV347">
        <f t="shared" si="73"/>
        <v>4255.4615999999996</v>
      </c>
      <c r="AW347">
        <f t="shared" si="73"/>
        <v>5851.2596999999996</v>
      </c>
      <c r="AX347">
        <f t="shared" si="73"/>
        <v>8156.3013999999994</v>
      </c>
      <c r="AY347">
        <f t="shared" si="73"/>
        <v>14184.871999999999</v>
      </c>
      <c r="AZ347">
        <f t="shared" si="73"/>
        <v>26596.634999999998</v>
      </c>
      <c r="BA347">
        <f t="shared" si="73"/>
        <v>44327.724999999999</v>
      </c>
      <c r="BB347">
        <f t="shared" si="73"/>
        <v>70924.359999999986</v>
      </c>
      <c r="BC347">
        <f t="shared" si="71"/>
        <v>177310.9</v>
      </c>
      <c r="BD347">
        <f t="shared" si="71"/>
        <v>265966.34999999998</v>
      </c>
      <c r="BE347">
        <f t="shared" si="71"/>
        <v>425546.16</v>
      </c>
      <c r="BF347">
        <f t="shared" si="71"/>
        <v>531932.69999999995</v>
      </c>
      <c r="BG347">
        <f t="shared" si="71"/>
        <v>1773108.9999999998</v>
      </c>
      <c r="BH347">
        <f t="shared" si="71"/>
        <v>5319326.9999999991</v>
      </c>
      <c r="BI347">
        <f t="shared" si="71"/>
        <v>15071426.499999998</v>
      </c>
      <c r="BJ347">
        <f t="shared" si="71"/>
        <v>53193269.999999993</v>
      </c>
      <c r="BK347">
        <f t="shared" si="71"/>
        <v>177310899.99999997</v>
      </c>
      <c r="BL347" s="145">
        <v>342</v>
      </c>
    </row>
    <row r="348" spans="1:64" ht="17.25" thickBot="1" x14ac:dyDescent="0.25">
      <c r="A348" s="131">
        <v>344</v>
      </c>
      <c r="B348" s="132">
        <v>54323905</v>
      </c>
      <c r="D348" s="131">
        <v>344</v>
      </c>
      <c r="E348" s="132">
        <v>17.859670000000001</v>
      </c>
      <c r="AK348">
        <v>342</v>
      </c>
      <c r="AL348" s="24">
        <f t="shared" si="72"/>
        <v>17.774069999999998</v>
      </c>
      <c r="AM348">
        <f t="shared" si="73"/>
        <v>124.41848999999999</v>
      </c>
      <c r="AN348">
        <f t="shared" si="73"/>
        <v>177.74069999999998</v>
      </c>
      <c r="AO348">
        <f t="shared" si="73"/>
        <v>266.61104999999998</v>
      </c>
      <c r="AP348">
        <f t="shared" si="73"/>
        <v>355.48139999999995</v>
      </c>
      <c r="AQ348">
        <f t="shared" si="73"/>
        <v>622.09244999999999</v>
      </c>
      <c r="AR348">
        <f t="shared" si="73"/>
        <v>888.70349999999996</v>
      </c>
      <c r="AS348">
        <f t="shared" si="73"/>
        <v>1421.9255999999998</v>
      </c>
      <c r="AT348">
        <f t="shared" si="73"/>
        <v>2132.8883999999998</v>
      </c>
      <c r="AU348">
        <f t="shared" si="73"/>
        <v>3021.5918999999999</v>
      </c>
      <c r="AV348">
        <f t="shared" si="73"/>
        <v>4265.7767999999996</v>
      </c>
      <c r="AW348">
        <f t="shared" si="73"/>
        <v>5865.4430999999995</v>
      </c>
      <c r="AX348">
        <f t="shared" si="73"/>
        <v>8176.0721999999996</v>
      </c>
      <c r="AY348">
        <f t="shared" si="73"/>
        <v>14219.255999999999</v>
      </c>
      <c r="AZ348">
        <f t="shared" si="73"/>
        <v>26661.104999999996</v>
      </c>
      <c r="BA348">
        <f t="shared" si="73"/>
        <v>44435.174999999996</v>
      </c>
      <c r="BB348">
        <f t="shared" si="73"/>
        <v>71096.28</v>
      </c>
      <c r="BC348">
        <f t="shared" si="71"/>
        <v>177740.69999999998</v>
      </c>
      <c r="BD348">
        <f t="shared" si="71"/>
        <v>266611.05</v>
      </c>
      <c r="BE348">
        <f t="shared" si="71"/>
        <v>426577.67999999993</v>
      </c>
      <c r="BF348">
        <f t="shared" si="71"/>
        <v>533222.1</v>
      </c>
      <c r="BG348">
        <f t="shared" si="71"/>
        <v>1777406.9999999998</v>
      </c>
      <c r="BH348">
        <f t="shared" si="71"/>
        <v>5332220.9999999991</v>
      </c>
      <c r="BI348">
        <f t="shared" si="71"/>
        <v>15107959.499999998</v>
      </c>
      <c r="BJ348">
        <f t="shared" si="71"/>
        <v>53322209.999999993</v>
      </c>
      <c r="BK348">
        <f t="shared" si="71"/>
        <v>177740699.99999997</v>
      </c>
      <c r="BL348">
        <v>343</v>
      </c>
    </row>
    <row r="349" spans="1:64" ht="17.25" thickBot="1" x14ac:dyDescent="0.25">
      <c r="A349" s="131">
        <v>345</v>
      </c>
      <c r="B349" s="132">
        <v>54560633</v>
      </c>
      <c r="D349" s="131">
        <v>345</v>
      </c>
      <c r="E349" s="132">
        <v>17.902290000000001</v>
      </c>
      <c r="AK349">
        <v>343</v>
      </c>
      <c r="AL349" s="24">
        <f t="shared" si="72"/>
        <v>17.816929999999999</v>
      </c>
      <c r="AM349">
        <f t="shared" si="73"/>
        <v>124.71850999999999</v>
      </c>
      <c r="AN349">
        <f t="shared" si="73"/>
        <v>178.16929999999999</v>
      </c>
      <c r="AO349">
        <f t="shared" si="73"/>
        <v>267.25394999999997</v>
      </c>
      <c r="AP349">
        <f t="shared" si="73"/>
        <v>356.33859999999999</v>
      </c>
      <c r="AQ349">
        <f t="shared" si="73"/>
        <v>623.59254999999996</v>
      </c>
      <c r="AR349">
        <f t="shared" si="73"/>
        <v>890.84649999999999</v>
      </c>
      <c r="AS349">
        <f t="shared" si="73"/>
        <v>1425.3543999999999</v>
      </c>
      <c r="AT349">
        <f t="shared" si="73"/>
        <v>2138.0315999999998</v>
      </c>
      <c r="AU349">
        <f t="shared" si="73"/>
        <v>3028.8780999999999</v>
      </c>
      <c r="AV349">
        <f t="shared" si="73"/>
        <v>4276.0631999999996</v>
      </c>
      <c r="AW349">
        <f t="shared" si="73"/>
        <v>5879.5868999999993</v>
      </c>
      <c r="AX349">
        <f t="shared" si="73"/>
        <v>8195.7878000000001</v>
      </c>
      <c r="AY349">
        <f t="shared" si="73"/>
        <v>14253.544</v>
      </c>
      <c r="AZ349">
        <f t="shared" si="73"/>
        <v>26725.395</v>
      </c>
      <c r="BA349">
        <f t="shared" si="73"/>
        <v>44542.324999999997</v>
      </c>
      <c r="BB349">
        <f t="shared" si="73"/>
        <v>71267.72</v>
      </c>
      <c r="BC349">
        <f t="shared" si="71"/>
        <v>178169.3</v>
      </c>
      <c r="BD349">
        <f t="shared" si="71"/>
        <v>267253.95</v>
      </c>
      <c r="BE349">
        <f t="shared" si="71"/>
        <v>427606.32</v>
      </c>
      <c r="BF349">
        <f t="shared" si="71"/>
        <v>534507.9</v>
      </c>
      <c r="BG349">
        <f t="shared" si="71"/>
        <v>1781693</v>
      </c>
      <c r="BH349">
        <f t="shared" ref="BC349:BK377" si="74">BH$5*VLOOKUP($AK349,$D$2:$E$1404,2,FALSE)</f>
        <v>5345079</v>
      </c>
      <c r="BI349">
        <f t="shared" si="74"/>
        <v>15144390.5</v>
      </c>
      <c r="BJ349">
        <f t="shared" si="74"/>
        <v>53450790</v>
      </c>
      <c r="BK349">
        <f t="shared" si="74"/>
        <v>178169300</v>
      </c>
      <c r="BL349" s="145">
        <v>344</v>
      </c>
    </row>
    <row r="350" spans="1:64" ht="17.25" thickBot="1" x14ac:dyDescent="0.25">
      <c r="A350" s="131">
        <v>346</v>
      </c>
      <c r="B350" s="132">
        <v>54797699</v>
      </c>
      <c r="D350" s="131">
        <v>346</v>
      </c>
      <c r="E350" s="132">
        <v>17.944790000000001</v>
      </c>
      <c r="AK350">
        <v>344</v>
      </c>
      <c r="AL350" s="24">
        <f t="shared" si="72"/>
        <v>17.859670000000001</v>
      </c>
      <c r="AM350">
        <f t="shared" si="73"/>
        <v>125.01769000000002</v>
      </c>
      <c r="AN350">
        <f t="shared" si="73"/>
        <v>178.5967</v>
      </c>
      <c r="AO350">
        <f t="shared" si="73"/>
        <v>267.89505000000003</v>
      </c>
      <c r="AP350">
        <f t="shared" si="73"/>
        <v>357.1934</v>
      </c>
      <c r="AQ350">
        <f t="shared" si="73"/>
        <v>625.08845000000008</v>
      </c>
      <c r="AR350">
        <f t="shared" si="73"/>
        <v>892.98350000000005</v>
      </c>
      <c r="AS350">
        <f t="shared" si="73"/>
        <v>1428.7736</v>
      </c>
      <c r="AT350">
        <f t="shared" si="73"/>
        <v>2143.1604000000002</v>
      </c>
      <c r="AU350">
        <f t="shared" si="73"/>
        <v>3036.1439</v>
      </c>
      <c r="AV350">
        <f t="shared" si="73"/>
        <v>4286.3208000000004</v>
      </c>
      <c r="AW350">
        <f t="shared" si="73"/>
        <v>5893.6911</v>
      </c>
      <c r="AX350">
        <f t="shared" si="73"/>
        <v>8215.4482000000007</v>
      </c>
      <c r="AY350">
        <f t="shared" si="73"/>
        <v>14287.736000000001</v>
      </c>
      <c r="AZ350">
        <f t="shared" si="73"/>
        <v>26789.505000000001</v>
      </c>
      <c r="BA350">
        <f t="shared" si="73"/>
        <v>44649.175000000003</v>
      </c>
      <c r="BB350">
        <f t="shared" si="73"/>
        <v>71438.680000000008</v>
      </c>
      <c r="BC350">
        <f t="shared" si="74"/>
        <v>178596.7</v>
      </c>
      <c r="BD350">
        <f t="shared" si="74"/>
        <v>267895.05000000005</v>
      </c>
      <c r="BE350">
        <f t="shared" si="74"/>
        <v>428632.08</v>
      </c>
      <c r="BF350">
        <f t="shared" si="74"/>
        <v>535790.10000000009</v>
      </c>
      <c r="BG350">
        <f t="shared" si="74"/>
        <v>1785967.0000000002</v>
      </c>
      <c r="BH350">
        <f t="shared" si="74"/>
        <v>5357901</v>
      </c>
      <c r="BI350">
        <f t="shared" si="74"/>
        <v>15180719.500000002</v>
      </c>
      <c r="BJ350">
        <f t="shared" si="74"/>
        <v>53579010.000000007</v>
      </c>
      <c r="BK350">
        <f t="shared" si="74"/>
        <v>178596700</v>
      </c>
      <c r="BL350">
        <v>345</v>
      </c>
    </row>
    <row r="351" spans="1:64" ht="17.25" thickBot="1" x14ac:dyDescent="0.25">
      <c r="A351" s="131">
        <v>347</v>
      </c>
      <c r="B351" s="132">
        <v>55035111</v>
      </c>
      <c r="D351" s="131">
        <v>347</v>
      </c>
      <c r="E351" s="132">
        <v>17.987169999999999</v>
      </c>
      <c r="AK351">
        <v>345</v>
      </c>
      <c r="AL351" s="24">
        <f t="shared" si="72"/>
        <v>17.902290000000001</v>
      </c>
      <c r="AM351">
        <f t="shared" si="73"/>
        <v>125.31603000000001</v>
      </c>
      <c r="AN351">
        <f t="shared" si="73"/>
        <v>179.02289999999999</v>
      </c>
      <c r="AO351">
        <f t="shared" si="73"/>
        <v>268.53435000000002</v>
      </c>
      <c r="AP351">
        <f t="shared" si="73"/>
        <v>358.04579999999999</v>
      </c>
      <c r="AQ351">
        <f t="shared" si="73"/>
        <v>626.58015</v>
      </c>
      <c r="AR351">
        <f t="shared" si="73"/>
        <v>895.11450000000002</v>
      </c>
      <c r="AS351">
        <f t="shared" si="73"/>
        <v>1432.1831999999999</v>
      </c>
      <c r="AT351">
        <f t="shared" si="73"/>
        <v>2148.2748000000001</v>
      </c>
      <c r="AU351">
        <f t="shared" si="73"/>
        <v>3043.3893000000003</v>
      </c>
      <c r="AV351">
        <f t="shared" si="73"/>
        <v>4296.5496000000003</v>
      </c>
      <c r="AW351">
        <f t="shared" si="73"/>
        <v>5907.7557000000006</v>
      </c>
      <c r="AX351">
        <f t="shared" si="73"/>
        <v>8235.0534000000007</v>
      </c>
      <c r="AY351">
        <f t="shared" si="73"/>
        <v>14321.832</v>
      </c>
      <c r="AZ351">
        <f t="shared" si="73"/>
        <v>26853.435000000001</v>
      </c>
      <c r="BA351">
        <f t="shared" si="73"/>
        <v>44755.724999999999</v>
      </c>
      <c r="BB351">
        <f t="shared" si="73"/>
        <v>71609.16</v>
      </c>
      <c r="BC351">
        <f t="shared" si="74"/>
        <v>179022.9</v>
      </c>
      <c r="BD351">
        <f t="shared" si="74"/>
        <v>268534.35000000003</v>
      </c>
      <c r="BE351">
        <f t="shared" si="74"/>
        <v>429654.96</v>
      </c>
      <c r="BF351">
        <f t="shared" si="74"/>
        <v>537068.70000000007</v>
      </c>
      <c r="BG351">
        <f t="shared" si="74"/>
        <v>1790229</v>
      </c>
      <c r="BH351">
        <f t="shared" si="74"/>
        <v>5370687</v>
      </c>
      <c r="BI351">
        <f t="shared" si="74"/>
        <v>15216946.5</v>
      </c>
      <c r="BJ351">
        <f t="shared" si="74"/>
        <v>53706870</v>
      </c>
      <c r="BK351">
        <f t="shared" si="74"/>
        <v>179022900</v>
      </c>
      <c r="BL351" s="145">
        <v>346</v>
      </c>
    </row>
    <row r="352" spans="1:64" ht="17.25" thickBot="1" x14ac:dyDescent="0.25">
      <c r="A352" s="131">
        <v>348</v>
      </c>
      <c r="B352" s="132">
        <v>55272866</v>
      </c>
      <c r="D352" s="131">
        <v>348</v>
      </c>
      <c r="E352" s="132">
        <v>18.029430000000001</v>
      </c>
      <c r="AK352">
        <v>346</v>
      </c>
      <c r="AL352" s="24">
        <f t="shared" si="72"/>
        <v>17.944790000000001</v>
      </c>
      <c r="AM352">
        <f t="shared" si="73"/>
        <v>125.61353000000001</v>
      </c>
      <c r="AN352">
        <f t="shared" si="73"/>
        <v>179.4479</v>
      </c>
      <c r="AO352">
        <f t="shared" si="73"/>
        <v>269.17185000000001</v>
      </c>
      <c r="AP352">
        <f t="shared" si="73"/>
        <v>358.89580000000001</v>
      </c>
      <c r="AQ352">
        <f t="shared" si="73"/>
        <v>628.06765000000007</v>
      </c>
      <c r="AR352">
        <f t="shared" si="73"/>
        <v>897.23950000000002</v>
      </c>
      <c r="AS352">
        <f t="shared" si="73"/>
        <v>1435.5832</v>
      </c>
      <c r="AT352">
        <f t="shared" ref="AM352:BB368" si="75">AT$5*VLOOKUP($AK352,$D$2:$E$1404,2,FALSE)</f>
        <v>2153.3748000000001</v>
      </c>
      <c r="AU352">
        <f t="shared" si="75"/>
        <v>3050.6143000000002</v>
      </c>
      <c r="AV352">
        <f t="shared" si="75"/>
        <v>4306.7496000000001</v>
      </c>
      <c r="AW352">
        <f t="shared" si="75"/>
        <v>5921.7807000000003</v>
      </c>
      <c r="AX352">
        <f t="shared" si="75"/>
        <v>8254.6034</v>
      </c>
      <c r="AY352">
        <f t="shared" si="75"/>
        <v>14355.832</v>
      </c>
      <c r="AZ352">
        <f t="shared" si="75"/>
        <v>26917.185000000001</v>
      </c>
      <c r="BA352">
        <f t="shared" si="75"/>
        <v>44861.975000000006</v>
      </c>
      <c r="BB352">
        <f t="shared" si="75"/>
        <v>71779.16</v>
      </c>
      <c r="BC352">
        <f t="shared" si="74"/>
        <v>179447.90000000002</v>
      </c>
      <c r="BD352">
        <f t="shared" si="74"/>
        <v>269171.85000000003</v>
      </c>
      <c r="BE352">
        <f t="shared" si="74"/>
        <v>430674.96</v>
      </c>
      <c r="BF352">
        <f t="shared" si="74"/>
        <v>538343.70000000007</v>
      </c>
      <c r="BG352">
        <f t="shared" si="74"/>
        <v>1794479</v>
      </c>
      <c r="BH352">
        <f t="shared" si="74"/>
        <v>5383437</v>
      </c>
      <c r="BI352">
        <f t="shared" si="74"/>
        <v>15253071.500000002</v>
      </c>
      <c r="BJ352">
        <f t="shared" si="74"/>
        <v>53834370</v>
      </c>
      <c r="BK352">
        <f t="shared" si="74"/>
        <v>179447900</v>
      </c>
      <c r="BL352">
        <v>347</v>
      </c>
    </row>
    <row r="353" spans="1:64" ht="17.25" thickBot="1" x14ac:dyDescent="0.25">
      <c r="A353" s="131">
        <v>349</v>
      </c>
      <c r="B353" s="132">
        <v>55510961</v>
      </c>
      <c r="D353" s="131">
        <v>349</v>
      </c>
      <c r="E353" s="132">
        <v>18.085609999999999</v>
      </c>
      <c r="AK353">
        <v>347</v>
      </c>
      <c r="AL353" s="24">
        <f t="shared" si="72"/>
        <v>17.987169999999999</v>
      </c>
      <c r="AM353">
        <f t="shared" si="75"/>
        <v>125.91019</v>
      </c>
      <c r="AN353">
        <f t="shared" si="75"/>
        <v>179.87169999999998</v>
      </c>
      <c r="AO353">
        <f t="shared" si="75"/>
        <v>269.80754999999999</v>
      </c>
      <c r="AP353">
        <f t="shared" si="75"/>
        <v>359.74339999999995</v>
      </c>
      <c r="AQ353">
        <f t="shared" si="75"/>
        <v>629.55094999999994</v>
      </c>
      <c r="AR353">
        <f t="shared" si="75"/>
        <v>899.35849999999994</v>
      </c>
      <c r="AS353">
        <f t="shared" si="75"/>
        <v>1438.9735999999998</v>
      </c>
      <c r="AT353">
        <f t="shared" si="75"/>
        <v>2158.4603999999999</v>
      </c>
      <c r="AU353">
        <f t="shared" si="75"/>
        <v>3057.8188999999998</v>
      </c>
      <c r="AV353">
        <f t="shared" si="75"/>
        <v>4316.9207999999999</v>
      </c>
      <c r="AW353">
        <f t="shared" si="75"/>
        <v>5935.7660999999998</v>
      </c>
      <c r="AX353">
        <f t="shared" si="75"/>
        <v>8274.0982000000004</v>
      </c>
      <c r="AY353">
        <f t="shared" si="75"/>
        <v>14389.735999999999</v>
      </c>
      <c r="AZ353">
        <f t="shared" si="75"/>
        <v>26980.754999999997</v>
      </c>
      <c r="BA353">
        <f t="shared" si="75"/>
        <v>44967.924999999996</v>
      </c>
      <c r="BB353">
        <f t="shared" si="75"/>
        <v>71948.679999999993</v>
      </c>
      <c r="BC353">
        <f t="shared" si="74"/>
        <v>179871.69999999998</v>
      </c>
      <c r="BD353">
        <f t="shared" si="74"/>
        <v>269807.55</v>
      </c>
      <c r="BE353">
        <f t="shared" si="74"/>
        <v>431692.07999999996</v>
      </c>
      <c r="BF353">
        <f t="shared" si="74"/>
        <v>539615.1</v>
      </c>
      <c r="BG353">
        <f t="shared" si="74"/>
        <v>1798717</v>
      </c>
      <c r="BH353">
        <f t="shared" si="74"/>
        <v>5396151</v>
      </c>
      <c r="BI353">
        <f t="shared" si="74"/>
        <v>15289094.5</v>
      </c>
      <c r="BJ353">
        <f t="shared" si="74"/>
        <v>53961510</v>
      </c>
      <c r="BK353">
        <f t="shared" si="74"/>
        <v>179871700</v>
      </c>
      <c r="BL353" s="145">
        <v>348</v>
      </c>
    </row>
    <row r="354" spans="1:64" ht="17.25" thickBot="1" x14ac:dyDescent="0.25">
      <c r="A354" s="131">
        <v>350</v>
      </c>
      <c r="B354" s="132">
        <v>55749394</v>
      </c>
      <c r="D354" s="131">
        <v>350</v>
      </c>
      <c r="E354" s="132">
        <v>18.141639999999999</v>
      </c>
      <c r="AK354">
        <v>348</v>
      </c>
      <c r="AL354" s="24">
        <f t="shared" si="72"/>
        <v>18.029430000000001</v>
      </c>
      <c r="AM354">
        <f t="shared" si="75"/>
        <v>126.20601000000001</v>
      </c>
      <c r="AN354">
        <f t="shared" si="75"/>
        <v>180.29430000000002</v>
      </c>
      <c r="AO354">
        <f t="shared" si="75"/>
        <v>270.44145000000003</v>
      </c>
      <c r="AP354">
        <f t="shared" si="75"/>
        <v>360.58860000000004</v>
      </c>
      <c r="AQ354">
        <f t="shared" si="75"/>
        <v>631.03005000000007</v>
      </c>
      <c r="AR354">
        <f t="shared" si="75"/>
        <v>901.47150000000011</v>
      </c>
      <c r="AS354">
        <f t="shared" si="75"/>
        <v>1442.3544000000002</v>
      </c>
      <c r="AT354">
        <f t="shared" si="75"/>
        <v>2163.5316000000003</v>
      </c>
      <c r="AU354">
        <f t="shared" si="75"/>
        <v>3065.0031000000004</v>
      </c>
      <c r="AV354">
        <f t="shared" si="75"/>
        <v>4327.0632000000005</v>
      </c>
      <c r="AW354">
        <f t="shared" si="75"/>
        <v>5949.7119000000002</v>
      </c>
      <c r="AX354">
        <f t="shared" si="75"/>
        <v>8293.5378000000001</v>
      </c>
      <c r="AY354">
        <f t="shared" si="75"/>
        <v>14423.544000000002</v>
      </c>
      <c r="AZ354">
        <f t="shared" si="75"/>
        <v>27044.145</v>
      </c>
      <c r="BA354">
        <f t="shared" si="75"/>
        <v>45073.575000000004</v>
      </c>
      <c r="BB354">
        <f t="shared" si="75"/>
        <v>72117.72</v>
      </c>
      <c r="BC354">
        <f t="shared" si="74"/>
        <v>180294.30000000002</v>
      </c>
      <c r="BD354">
        <f t="shared" si="74"/>
        <v>270441.45</v>
      </c>
      <c r="BE354">
        <f t="shared" si="74"/>
        <v>432706.32</v>
      </c>
      <c r="BF354">
        <f t="shared" si="74"/>
        <v>540882.9</v>
      </c>
      <c r="BG354">
        <f t="shared" si="74"/>
        <v>1802943.0000000002</v>
      </c>
      <c r="BH354">
        <f t="shared" si="74"/>
        <v>5408829</v>
      </c>
      <c r="BI354">
        <f t="shared" si="74"/>
        <v>15325015.500000002</v>
      </c>
      <c r="BJ354">
        <f t="shared" si="74"/>
        <v>54088290.000000007</v>
      </c>
      <c r="BK354">
        <f t="shared" si="74"/>
        <v>180294300</v>
      </c>
      <c r="BL354">
        <v>349</v>
      </c>
    </row>
    <row r="355" spans="1:64" ht="17.25" thickBot="1" x14ac:dyDescent="0.25">
      <c r="A355" s="131">
        <v>351</v>
      </c>
      <c r="B355" s="132">
        <v>55988172</v>
      </c>
      <c r="D355" s="131">
        <v>351</v>
      </c>
      <c r="E355" s="132">
        <v>18.197510000000001</v>
      </c>
      <c r="AK355">
        <v>349</v>
      </c>
      <c r="AL355" s="24">
        <f t="shared" si="72"/>
        <v>18.085609999999999</v>
      </c>
      <c r="AM355">
        <f t="shared" si="75"/>
        <v>126.59926999999999</v>
      </c>
      <c r="AN355">
        <f t="shared" si="75"/>
        <v>180.8561</v>
      </c>
      <c r="AO355">
        <f t="shared" si="75"/>
        <v>271.28415000000001</v>
      </c>
      <c r="AP355">
        <f t="shared" si="75"/>
        <v>361.7122</v>
      </c>
      <c r="AQ355">
        <f t="shared" si="75"/>
        <v>632.99635000000001</v>
      </c>
      <c r="AR355">
        <f t="shared" si="75"/>
        <v>904.28049999999996</v>
      </c>
      <c r="AS355">
        <f t="shared" si="75"/>
        <v>1446.8488</v>
      </c>
      <c r="AT355">
        <f t="shared" si="75"/>
        <v>2170.2732000000001</v>
      </c>
      <c r="AU355">
        <f t="shared" si="75"/>
        <v>3074.5536999999999</v>
      </c>
      <c r="AV355">
        <f t="shared" si="75"/>
        <v>4340.5464000000002</v>
      </c>
      <c r="AW355">
        <f t="shared" si="75"/>
        <v>5968.2512999999999</v>
      </c>
      <c r="AX355">
        <f t="shared" si="75"/>
        <v>8319.3806000000004</v>
      </c>
      <c r="AY355">
        <f t="shared" si="75"/>
        <v>14468.487999999999</v>
      </c>
      <c r="AZ355">
        <f t="shared" si="75"/>
        <v>27128.414999999997</v>
      </c>
      <c r="BA355">
        <f t="shared" si="75"/>
        <v>45214.024999999994</v>
      </c>
      <c r="BB355">
        <f t="shared" si="75"/>
        <v>72342.44</v>
      </c>
      <c r="BC355">
        <f t="shared" si="74"/>
        <v>180856.09999999998</v>
      </c>
      <c r="BD355">
        <f t="shared" si="74"/>
        <v>271284.14999999997</v>
      </c>
      <c r="BE355">
        <f t="shared" si="74"/>
        <v>434054.63999999996</v>
      </c>
      <c r="BF355">
        <f t="shared" si="74"/>
        <v>542568.29999999993</v>
      </c>
      <c r="BG355">
        <f t="shared" si="74"/>
        <v>1808561</v>
      </c>
      <c r="BH355">
        <f t="shared" si="74"/>
        <v>5425683</v>
      </c>
      <c r="BI355">
        <f t="shared" si="74"/>
        <v>15372768.5</v>
      </c>
      <c r="BJ355">
        <f t="shared" si="74"/>
        <v>54256830</v>
      </c>
      <c r="BK355">
        <f t="shared" si="74"/>
        <v>180856100</v>
      </c>
      <c r="BL355" s="145">
        <v>350</v>
      </c>
    </row>
    <row r="356" spans="1:64" ht="17.25" thickBot="1" x14ac:dyDescent="0.25">
      <c r="A356" s="131">
        <v>352</v>
      </c>
      <c r="B356" s="132">
        <v>56227288</v>
      </c>
      <c r="D356" s="131">
        <v>352</v>
      </c>
      <c r="E356" s="132">
        <v>18.253229999999999</v>
      </c>
      <c r="AK356">
        <v>350</v>
      </c>
      <c r="AL356" s="24">
        <f t="shared" si="72"/>
        <v>18.141639999999999</v>
      </c>
      <c r="AM356">
        <f t="shared" si="75"/>
        <v>126.99148</v>
      </c>
      <c r="AN356">
        <f t="shared" si="75"/>
        <v>181.41639999999998</v>
      </c>
      <c r="AO356">
        <f t="shared" si="75"/>
        <v>272.12459999999999</v>
      </c>
      <c r="AP356">
        <f t="shared" si="75"/>
        <v>362.83279999999996</v>
      </c>
      <c r="AQ356">
        <f t="shared" si="75"/>
        <v>634.95740000000001</v>
      </c>
      <c r="AR356">
        <f t="shared" si="75"/>
        <v>907.08199999999999</v>
      </c>
      <c r="AS356">
        <f t="shared" si="75"/>
        <v>1451.3311999999999</v>
      </c>
      <c r="AT356">
        <f t="shared" si="75"/>
        <v>2176.9967999999999</v>
      </c>
      <c r="AU356">
        <f t="shared" si="75"/>
        <v>3084.0787999999998</v>
      </c>
      <c r="AV356">
        <f t="shared" si="75"/>
        <v>4353.9935999999998</v>
      </c>
      <c r="AW356">
        <f t="shared" si="75"/>
        <v>5986.7411999999995</v>
      </c>
      <c r="AX356">
        <f t="shared" si="75"/>
        <v>8345.1543999999994</v>
      </c>
      <c r="AY356">
        <f t="shared" si="75"/>
        <v>14513.312</v>
      </c>
      <c r="AZ356">
        <f t="shared" si="75"/>
        <v>27212.46</v>
      </c>
      <c r="BA356">
        <f t="shared" si="75"/>
        <v>45354.1</v>
      </c>
      <c r="BB356">
        <f t="shared" si="75"/>
        <v>72566.559999999998</v>
      </c>
      <c r="BC356">
        <f t="shared" si="74"/>
        <v>181416.4</v>
      </c>
      <c r="BD356">
        <f t="shared" si="74"/>
        <v>272124.59999999998</v>
      </c>
      <c r="BE356">
        <f t="shared" si="74"/>
        <v>435399.36</v>
      </c>
      <c r="BF356">
        <f t="shared" si="74"/>
        <v>544249.19999999995</v>
      </c>
      <c r="BG356">
        <f t="shared" si="74"/>
        <v>1814164</v>
      </c>
      <c r="BH356">
        <f t="shared" si="74"/>
        <v>5442492</v>
      </c>
      <c r="BI356">
        <f t="shared" si="74"/>
        <v>15420393.999999998</v>
      </c>
      <c r="BJ356">
        <f t="shared" si="74"/>
        <v>54424920</v>
      </c>
      <c r="BK356">
        <f t="shared" si="74"/>
        <v>181416400</v>
      </c>
      <c r="BL356">
        <v>351</v>
      </c>
    </row>
    <row r="357" spans="1:64" ht="17.25" thickBot="1" x14ac:dyDescent="0.25">
      <c r="A357" s="131">
        <v>353</v>
      </c>
      <c r="B357" s="132">
        <v>56466744</v>
      </c>
      <c r="D357" s="131">
        <v>353</v>
      </c>
      <c r="E357" s="132">
        <v>18.308789999999998</v>
      </c>
      <c r="AK357">
        <v>351</v>
      </c>
      <c r="AL357" s="24">
        <f t="shared" si="72"/>
        <v>18.197510000000001</v>
      </c>
      <c r="AM357">
        <f t="shared" si="75"/>
        <v>127.38257000000002</v>
      </c>
      <c r="AN357">
        <f t="shared" si="75"/>
        <v>181.9751</v>
      </c>
      <c r="AO357">
        <f t="shared" si="75"/>
        <v>272.96265</v>
      </c>
      <c r="AP357">
        <f t="shared" si="75"/>
        <v>363.9502</v>
      </c>
      <c r="AQ357">
        <f t="shared" si="75"/>
        <v>636.91285000000005</v>
      </c>
      <c r="AR357">
        <f t="shared" si="75"/>
        <v>909.8755000000001</v>
      </c>
      <c r="AS357">
        <f t="shared" si="75"/>
        <v>1455.8008</v>
      </c>
      <c r="AT357">
        <f t="shared" si="75"/>
        <v>2183.7012</v>
      </c>
      <c r="AU357">
        <f t="shared" si="75"/>
        <v>3093.5767000000001</v>
      </c>
      <c r="AV357">
        <f t="shared" si="75"/>
        <v>4367.4023999999999</v>
      </c>
      <c r="AW357">
        <f t="shared" si="75"/>
        <v>6005.1783000000005</v>
      </c>
      <c r="AX357">
        <f t="shared" si="75"/>
        <v>8370.8546000000006</v>
      </c>
      <c r="AY357">
        <f t="shared" si="75"/>
        <v>14558.008000000002</v>
      </c>
      <c r="AZ357">
        <f t="shared" si="75"/>
        <v>27296.265000000003</v>
      </c>
      <c r="BA357">
        <f t="shared" si="75"/>
        <v>45493.775000000001</v>
      </c>
      <c r="BB357">
        <f t="shared" si="75"/>
        <v>72790.040000000008</v>
      </c>
      <c r="BC357">
        <f t="shared" si="74"/>
        <v>181975.1</v>
      </c>
      <c r="BD357">
        <f t="shared" si="74"/>
        <v>272962.65000000002</v>
      </c>
      <c r="BE357">
        <f t="shared" si="74"/>
        <v>436740.24000000005</v>
      </c>
      <c r="BF357">
        <f t="shared" si="74"/>
        <v>545925.30000000005</v>
      </c>
      <c r="BG357">
        <f t="shared" si="74"/>
        <v>1819751.0000000002</v>
      </c>
      <c r="BH357">
        <f t="shared" si="74"/>
        <v>5459253</v>
      </c>
      <c r="BI357">
        <f t="shared" si="74"/>
        <v>15467883.500000002</v>
      </c>
      <c r="BJ357">
        <f t="shared" si="74"/>
        <v>54592530</v>
      </c>
      <c r="BK357">
        <f t="shared" si="74"/>
        <v>181975100</v>
      </c>
      <c r="BL357" s="145">
        <v>352</v>
      </c>
    </row>
    <row r="358" spans="1:64" ht="17.25" thickBot="1" x14ac:dyDescent="0.25">
      <c r="A358" s="131">
        <v>354</v>
      </c>
      <c r="B358" s="132">
        <v>56706538</v>
      </c>
      <c r="D358" s="131">
        <v>354</v>
      </c>
      <c r="E358" s="132">
        <v>18.3642</v>
      </c>
      <c r="AK358">
        <v>352</v>
      </c>
      <c r="AL358" s="24">
        <f t="shared" si="72"/>
        <v>18.253229999999999</v>
      </c>
      <c r="AM358">
        <f t="shared" si="75"/>
        <v>127.77260999999999</v>
      </c>
      <c r="AN358">
        <f t="shared" si="75"/>
        <v>182.53229999999999</v>
      </c>
      <c r="AO358">
        <f t="shared" si="75"/>
        <v>273.79845</v>
      </c>
      <c r="AP358">
        <f t="shared" si="75"/>
        <v>365.06459999999998</v>
      </c>
      <c r="AQ358">
        <f t="shared" si="75"/>
        <v>638.86304999999993</v>
      </c>
      <c r="AR358">
        <f t="shared" si="75"/>
        <v>912.66149999999993</v>
      </c>
      <c r="AS358">
        <f t="shared" si="75"/>
        <v>1460.2583999999999</v>
      </c>
      <c r="AT358">
        <f t="shared" si="75"/>
        <v>2190.3876</v>
      </c>
      <c r="AU358">
        <f t="shared" si="75"/>
        <v>3103.0490999999997</v>
      </c>
      <c r="AV358">
        <f t="shared" si="75"/>
        <v>4380.7752</v>
      </c>
      <c r="AW358">
        <f t="shared" si="75"/>
        <v>6023.5658999999996</v>
      </c>
      <c r="AX358">
        <f t="shared" si="75"/>
        <v>8396.4857999999986</v>
      </c>
      <c r="AY358">
        <f t="shared" si="75"/>
        <v>14602.583999999999</v>
      </c>
      <c r="AZ358">
        <f t="shared" si="75"/>
        <v>27379.844999999998</v>
      </c>
      <c r="BA358">
        <f t="shared" si="75"/>
        <v>45633.074999999997</v>
      </c>
      <c r="BB358">
        <f t="shared" si="75"/>
        <v>73012.92</v>
      </c>
      <c r="BC358">
        <f t="shared" si="74"/>
        <v>182532.3</v>
      </c>
      <c r="BD358">
        <f t="shared" si="74"/>
        <v>273798.44999999995</v>
      </c>
      <c r="BE358">
        <f t="shared" si="74"/>
        <v>438077.51999999996</v>
      </c>
      <c r="BF358">
        <f t="shared" si="74"/>
        <v>547596.89999999991</v>
      </c>
      <c r="BG358">
        <f t="shared" si="74"/>
        <v>1825322.9999999998</v>
      </c>
      <c r="BH358">
        <f t="shared" si="74"/>
        <v>5475969</v>
      </c>
      <c r="BI358">
        <f t="shared" si="74"/>
        <v>15515245.499999998</v>
      </c>
      <c r="BJ358">
        <f t="shared" si="74"/>
        <v>54759689.999999993</v>
      </c>
      <c r="BK358">
        <f t="shared" si="74"/>
        <v>182532300</v>
      </c>
      <c r="BL358">
        <v>353</v>
      </c>
    </row>
    <row r="359" spans="1:64" ht="17.25" thickBot="1" x14ac:dyDescent="0.25">
      <c r="A359" s="131">
        <v>355</v>
      </c>
      <c r="B359" s="132">
        <v>56946672</v>
      </c>
      <c r="D359" s="131">
        <v>355</v>
      </c>
      <c r="E359" s="132">
        <v>18.419450000000001</v>
      </c>
      <c r="AK359">
        <v>353</v>
      </c>
      <c r="AL359" s="24">
        <f t="shared" si="72"/>
        <v>18.308789999999998</v>
      </c>
      <c r="AM359">
        <f t="shared" si="75"/>
        <v>128.16153</v>
      </c>
      <c r="AN359">
        <f t="shared" si="75"/>
        <v>183.08789999999999</v>
      </c>
      <c r="AO359">
        <f t="shared" si="75"/>
        <v>274.63184999999999</v>
      </c>
      <c r="AP359">
        <f t="shared" si="75"/>
        <v>366.17579999999998</v>
      </c>
      <c r="AQ359">
        <f t="shared" si="75"/>
        <v>640.80764999999997</v>
      </c>
      <c r="AR359">
        <f t="shared" si="75"/>
        <v>915.43949999999995</v>
      </c>
      <c r="AS359">
        <f t="shared" si="75"/>
        <v>1464.7031999999999</v>
      </c>
      <c r="AT359">
        <f t="shared" si="75"/>
        <v>2197.0547999999999</v>
      </c>
      <c r="AU359">
        <f t="shared" si="75"/>
        <v>3112.4942999999998</v>
      </c>
      <c r="AV359">
        <f t="shared" si="75"/>
        <v>4394.1095999999998</v>
      </c>
      <c r="AW359">
        <f t="shared" si="75"/>
        <v>6041.9006999999992</v>
      </c>
      <c r="AX359">
        <f t="shared" si="75"/>
        <v>8422.0433999999987</v>
      </c>
      <c r="AY359">
        <f t="shared" si="75"/>
        <v>14647.031999999999</v>
      </c>
      <c r="AZ359">
        <f t="shared" si="75"/>
        <v>27463.184999999998</v>
      </c>
      <c r="BA359">
        <f t="shared" si="75"/>
        <v>45771.974999999999</v>
      </c>
      <c r="BB359">
        <f t="shared" si="75"/>
        <v>73235.159999999989</v>
      </c>
      <c r="BC359">
        <f t="shared" si="74"/>
        <v>183087.9</v>
      </c>
      <c r="BD359">
        <f t="shared" si="74"/>
        <v>274631.84999999998</v>
      </c>
      <c r="BE359">
        <f t="shared" si="74"/>
        <v>439410.95999999996</v>
      </c>
      <c r="BF359">
        <f t="shared" si="74"/>
        <v>549263.69999999995</v>
      </c>
      <c r="BG359">
        <f t="shared" si="74"/>
        <v>1830878.9999999998</v>
      </c>
      <c r="BH359">
        <f t="shared" si="74"/>
        <v>5492636.9999999991</v>
      </c>
      <c r="BI359">
        <f t="shared" si="74"/>
        <v>15562471.499999998</v>
      </c>
      <c r="BJ359">
        <f t="shared" si="74"/>
        <v>54926369.999999993</v>
      </c>
      <c r="BK359">
        <f t="shared" si="74"/>
        <v>183087899.99999997</v>
      </c>
      <c r="BL359" s="145">
        <v>354</v>
      </c>
    </row>
    <row r="360" spans="1:64" ht="17.25" thickBot="1" x14ac:dyDescent="0.25">
      <c r="A360" s="131">
        <v>356</v>
      </c>
      <c r="B360" s="132">
        <v>57187144</v>
      </c>
      <c r="D360" s="131">
        <v>356</v>
      </c>
      <c r="E360" s="132">
        <v>18.474550000000001</v>
      </c>
      <c r="AK360">
        <v>354</v>
      </c>
      <c r="AL360" s="24">
        <f t="shared" si="72"/>
        <v>18.3642</v>
      </c>
      <c r="AM360">
        <f t="shared" si="75"/>
        <v>128.54939999999999</v>
      </c>
      <c r="AN360">
        <f t="shared" si="75"/>
        <v>183.642</v>
      </c>
      <c r="AO360">
        <f t="shared" si="75"/>
        <v>275.46300000000002</v>
      </c>
      <c r="AP360">
        <f t="shared" si="75"/>
        <v>367.28399999999999</v>
      </c>
      <c r="AQ360">
        <f t="shared" si="75"/>
        <v>642.74699999999996</v>
      </c>
      <c r="AR360">
        <f t="shared" si="75"/>
        <v>918.21</v>
      </c>
      <c r="AS360">
        <f t="shared" si="75"/>
        <v>1469.136</v>
      </c>
      <c r="AT360">
        <f t="shared" si="75"/>
        <v>2203.7040000000002</v>
      </c>
      <c r="AU360">
        <f t="shared" si="75"/>
        <v>3121.9140000000002</v>
      </c>
      <c r="AV360">
        <f t="shared" si="75"/>
        <v>4407.4080000000004</v>
      </c>
      <c r="AW360">
        <f t="shared" si="75"/>
        <v>6060.1859999999997</v>
      </c>
      <c r="AX360">
        <f t="shared" si="75"/>
        <v>8447.5319999999992</v>
      </c>
      <c r="AY360">
        <f t="shared" si="75"/>
        <v>14691.36</v>
      </c>
      <c r="AZ360">
        <f t="shared" si="75"/>
        <v>27546.3</v>
      </c>
      <c r="BA360">
        <f t="shared" si="75"/>
        <v>45910.5</v>
      </c>
      <c r="BB360">
        <f t="shared" si="75"/>
        <v>73456.800000000003</v>
      </c>
      <c r="BC360">
        <f t="shared" si="74"/>
        <v>183642</v>
      </c>
      <c r="BD360">
        <f t="shared" si="74"/>
        <v>275463</v>
      </c>
      <c r="BE360">
        <f t="shared" si="74"/>
        <v>440740.8</v>
      </c>
      <c r="BF360">
        <f t="shared" si="74"/>
        <v>550926</v>
      </c>
      <c r="BG360">
        <f t="shared" si="74"/>
        <v>1836420</v>
      </c>
      <c r="BH360">
        <f t="shared" si="74"/>
        <v>5509260</v>
      </c>
      <c r="BI360">
        <f t="shared" si="74"/>
        <v>15609570</v>
      </c>
      <c r="BJ360">
        <f t="shared" si="74"/>
        <v>55092600</v>
      </c>
      <c r="BK360">
        <f t="shared" si="74"/>
        <v>183642000</v>
      </c>
      <c r="BL360">
        <v>355</v>
      </c>
    </row>
    <row r="361" spans="1:64" ht="17.25" thickBot="1" x14ac:dyDescent="0.25">
      <c r="A361" s="131">
        <v>357</v>
      </c>
      <c r="B361" s="132">
        <v>57427949</v>
      </c>
      <c r="D361" s="131">
        <v>357</v>
      </c>
      <c r="E361" s="132">
        <v>18.529499999999999</v>
      </c>
      <c r="AK361">
        <v>355</v>
      </c>
      <c r="AL361" s="24">
        <f t="shared" si="72"/>
        <v>18.419450000000001</v>
      </c>
      <c r="AM361">
        <f t="shared" si="75"/>
        <v>128.93615</v>
      </c>
      <c r="AN361">
        <f t="shared" si="75"/>
        <v>184.19450000000001</v>
      </c>
      <c r="AO361">
        <f t="shared" si="75"/>
        <v>276.29175000000004</v>
      </c>
      <c r="AP361">
        <f t="shared" si="75"/>
        <v>368.38900000000001</v>
      </c>
      <c r="AQ361">
        <f t="shared" si="75"/>
        <v>644.68074999999999</v>
      </c>
      <c r="AR361">
        <f t="shared" si="75"/>
        <v>920.97250000000008</v>
      </c>
      <c r="AS361">
        <f t="shared" si="75"/>
        <v>1473.556</v>
      </c>
      <c r="AT361">
        <f t="shared" si="75"/>
        <v>2210.3340000000003</v>
      </c>
      <c r="AU361">
        <f t="shared" si="75"/>
        <v>3131.3065000000001</v>
      </c>
      <c r="AV361">
        <f t="shared" si="75"/>
        <v>4420.6680000000006</v>
      </c>
      <c r="AW361">
        <f t="shared" si="75"/>
        <v>6078.4185000000007</v>
      </c>
      <c r="AX361">
        <f t="shared" si="75"/>
        <v>8472.9470000000001</v>
      </c>
      <c r="AY361">
        <f t="shared" si="75"/>
        <v>14735.560000000001</v>
      </c>
      <c r="AZ361">
        <f t="shared" si="75"/>
        <v>27629.175000000003</v>
      </c>
      <c r="BA361">
        <f t="shared" si="75"/>
        <v>46048.625</v>
      </c>
      <c r="BB361">
        <f t="shared" si="75"/>
        <v>73677.8</v>
      </c>
      <c r="BC361">
        <f t="shared" si="74"/>
        <v>184194.5</v>
      </c>
      <c r="BD361">
        <f t="shared" si="74"/>
        <v>276291.75</v>
      </c>
      <c r="BE361">
        <f t="shared" si="74"/>
        <v>442066.80000000005</v>
      </c>
      <c r="BF361">
        <f t="shared" si="74"/>
        <v>552583.5</v>
      </c>
      <c r="BG361">
        <f t="shared" si="74"/>
        <v>1841945.0000000002</v>
      </c>
      <c r="BH361">
        <f t="shared" si="74"/>
        <v>5525835</v>
      </c>
      <c r="BI361">
        <f t="shared" si="74"/>
        <v>15656532.500000002</v>
      </c>
      <c r="BJ361">
        <f t="shared" si="74"/>
        <v>55258350</v>
      </c>
      <c r="BK361">
        <f t="shared" si="74"/>
        <v>184194500</v>
      </c>
      <c r="BL361" s="145">
        <v>356</v>
      </c>
    </row>
    <row r="362" spans="1:64" ht="17.25" thickBot="1" x14ac:dyDescent="0.25">
      <c r="A362" s="131">
        <v>358</v>
      </c>
      <c r="B362" s="132">
        <v>57669094</v>
      </c>
      <c r="D362" s="131">
        <v>358</v>
      </c>
      <c r="E362" s="132">
        <v>18.584299999999999</v>
      </c>
      <c r="AK362">
        <v>356</v>
      </c>
      <c r="AL362" s="24">
        <f t="shared" si="72"/>
        <v>18.474550000000001</v>
      </c>
      <c r="AM362">
        <f t="shared" si="75"/>
        <v>129.32185000000001</v>
      </c>
      <c r="AN362">
        <f t="shared" si="75"/>
        <v>184.74549999999999</v>
      </c>
      <c r="AO362">
        <f t="shared" si="75"/>
        <v>277.11824999999999</v>
      </c>
      <c r="AP362">
        <f t="shared" si="75"/>
        <v>369.49099999999999</v>
      </c>
      <c r="AQ362">
        <f t="shared" si="75"/>
        <v>646.60924999999997</v>
      </c>
      <c r="AR362">
        <f t="shared" si="75"/>
        <v>923.72750000000008</v>
      </c>
      <c r="AS362">
        <f t="shared" si="75"/>
        <v>1477.9639999999999</v>
      </c>
      <c r="AT362">
        <f t="shared" si="75"/>
        <v>2216.9459999999999</v>
      </c>
      <c r="AU362">
        <f t="shared" si="75"/>
        <v>3140.6735000000003</v>
      </c>
      <c r="AV362">
        <f t="shared" si="75"/>
        <v>4433.8919999999998</v>
      </c>
      <c r="AW362">
        <f t="shared" si="75"/>
        <v>6096.6015000000007</v>
      </c>
      <c r="AX362">
        <f t="shared" si="75"/>
        <v>8498.2929999999997</v>
      </c>
      <c r="AY362">
        <f t="shared" si="75"/>
        <v>14779.640000000001</v>
      </c>
      <c r="AZ362">
        <f t="shared" si="75"/>
        <v>27711.825000000001</v>
      </c>
      <c r="BA362">
        <f t="shared" si="75"/>
        <v>46186.375</v>
      </c>
      <c r="BB362">
        <f t="shared" si="75"/>
        <v>73898.2</v>
      </c>
      <c r="BC362">
        <f t="shared" si="74"/>
        <v>184745.5</v>
      </c>
      <c r="BD362">
        <f t="shared" si="74"/>
        <v>277118.25</v>
      </c>
      <c r="BE362">
        <f t="shared" si="74"/>
        <v>443389.2</v>
      </c>
      <c r="BF362">
        <f t="shared" si="74"/>
        <v>554236.5</v>
      </c>
      <c r="BG362">
        <f t="shared" si="74"/>
        <v>1847455</v>
      </c>
      <c r="BH362">
        <f t="shared" si="74"/>
        <v>5542365</v>
      </c>
      <c r="BI362">
        <f t="shared" si="74"/>
        <v>15703367.5</v>
      </c>
      <c r="BJ362">
        <f t="shared" si="74"/>
        <v>55423650</v>
      </c>
      <c r="BK362">
        <f t="shared" si="74"/>
        <v>184745500</v>
      </c>
      <c r="BL362">
        <v>357</v>
      </c>
    </row>
    <row r="363" spans="1:64" ht="17.25" thickBot="1" x14ac:dyDescent="0.25">
      <c r="A363" s="131">
        <v>359</v>
      </c>
      <c r="B363" s="132">
        <v>57910577</v>
      </c>
      <c r="D363" s="131">
        <v>359</v>
      </c>
      <c r="E363" s="132">
        <v>18.638950000000001</v>
      </c>
      <c r="AK363">
        <v>357</v>
      </c>
      <c r="AL363" s="24">
        <f t="shared" si="72"/>
        <v>18.529499999999999</v>
      </c>
      <c r="AM363">
        <f t="shared" si="75"/>
        <v>129.70650000000001</v>
      </c>
      <c r="AN363">
        <f t="shared" si="75"/>
        <v>185.29499999999999</v>
      </c>
      <c r="AO363">
        <f t="shared" si="75"/>
        <v>277.9425</v>
      </c>
      <c r="AP363">
        <f t="shared" si="75"/>
        <v>370.59</v>
      </c>
      <c r="AQ363">
        <f t="shared" si="75"/>
        <v>648.53249999999991</v>
      </c>
      <c r="AR363">
        <f t="shared" si="75"/>
        <v>926.47499999999991</v>
      </c>
      <c r="AS363">
        <f t="shared" si="75"/>
        <v>1482.36</v>
      </c>
      <c r="AT363">
        <f t="shared" si="75"/>
        <v>2223.54</v>
      </c>
      <c r="AU363">
        <f t="shared" si="75"/>
        <v>3150.0149999999999</v>
      </c>
      <c r="AV363">
        <f t="shared" si="75"/>
        <v>4447.08</v>
      </c>
      <c r="AW363">
        <f t="shared" si="75"/>
        <v>6114.7349999999997</v>
      </c>
      <c r="AX363">
        <f t="shared" si="75"/>
        <v>8523.57</v>
      </c>
      <c r="AY363">
        <f t="shared" si="75"/>
        <v>14823.599999999999</v>
      </c>
      <c r="AZ363">
        <f t="shared" si="75"/>
        <v>27794.249999999996</v>
      </c>
      <c r="BA363">
        <f t="shared" si="75"/>
        <v>46323.75</v>
      </c>
      <c r="BB363">
        <f t="shared" si="75"/>
        <v>74118</v>
      </c>
      <c r="BC363">
        <f t="shared" si="74"/>
        <v>185295</v>
      </c>
      <c r="BD363">
        <f t="shared" si="74"/>
        <v>277942.5</v>
      </c>
      <c r="BE363">
        <f t="shared" si="74"/>
        <v>444707.99999999994</v>
      </c>
      <c r="BF363">
        <f t="shared" si="74"/>
        <v>555885</v>
      </c>
      <c r="BG363">
        <f t="shared" si="74"/>
        <v>1852949.9999999998</v>
      </c>
      <c r="BH363">
        <f t="shared" si="74"/>
        <v>5558850</v>
      </c>
      <c r="BI363">
        <f t="shared" si="74"/>
        <v>15750074.999999998</v>
      </c>
      <c r="BJ363">
        <f t="shared" si="74"/>
        <v>55588499.999999993</v>
      </c>
      <c r="BK363">
        <f t="shared" si="74"/>
        <v>185295000</v>
      </c>
      <c r="BL363" s="145">
        <v>358</v>
      </c>
    </row>
    <row r="364" spans="1:64" ht="17.25" thickBot="1" x14ac:dyDescent="0.25">
      <c r="A364" s="131">
        <v>360</v>
      </c>
      <c r="B364" s="132">
        <v>58152394</v>
      </c>
      <c r="D364" s="131">
        <v>360</v>
      </c>
      <c r="E364" s="132">
        <v>18.693449999999999</v>
      </c>
      <c r="AK364">
        <v>358</v>
      </c>
      <c r="AL364" s="24">
        <f t="shared" si="72"/>
        <v>18.584299999999999</v>
      </c>
      <c r="AM364">
        <f t="shared" si="75"/>
        <v>130.09010000000001</v>
      </c>
      <c r="AN364">
        <f t="shared" si="75"/>
        <v>185.84299999999999</v>
      </c>
      <c r="AO364">
        <f t="shared" si="75"/>
        <v>278.7645</v>
      </c>
      <c r="AP364">
        <f t="shared" si="75"/>
        <v>371.68599999999998</v>
      </c>
      <c r="AQ364">
        <f t="shared" si="75"/>
        <v>650.45049999999992</v>
      </c>
      <c r="AR364">
        <f t="shared" si="75"/>
        <v>929.21499999999992</v>
      </c>
      <c r="AS364">
        <f t="shared" si="75"/>
        <v>1486.7439999999999</v>
      </c>
      <c r="AT364">
        <f t="shared" si="75"/>
        <v>2230.116</v>
      </c>
      <c r="AU364">
        <f t="shared" si="75"/>
        <v>3159.3309999999997</v>
      </c>
      <c r="AV364">
        <f t="shared" si="75"/>
        <v>4460.232</v>
      </c>
      <c r="AW364">
        <f t="shared" si="75"/>
        <v>6132.8189999999995</v>
      </c>
      <c r="AX364">
        <f t="shared" si="75"/>
        <v>8548.7780000000002</v>
      </c>
      <c r="AY364">
        <f t="shared" si="75"/>
        <v>14867.439999999999</v>
      </c>
      <c r="AZ364">
        <f t="shared" si="75"/>
        <v>27876.449999999997</v>
      </c>
      <c r="BA364">
        <f t="shared" si="75"/>
        <v>46460.75</v>
      </c>
      <c r="BB364">
        <f t="shared" si="75"/>
        <v>74337.2</v>
      </c>
      <c r="BC364">
        <f t="shared" si="74"/>
        <v>185843</v>
      </c>
      <c r="BD364">
        <f t="shared" si="74"/>
        <v>278764.5</v>
      </c>
      <c r="BE364">
        <f t="shared" si="74"/>
        <v>446023.19999999995</v>
      </c>
      <c r="BF364">
        <f t="shared" si="74"/>
        <v>557529</v>
      </c>
      <c r="BG364">
        <f t="shared" si="74"/>
        <v>1858430</v>
      </c>
      <c r="BH364">
        <f t="shared" si="74"/>
        <v>5575290</v>
      </c>
      <c r="BI364">
        <f t="shared" si="74"/>
        <v>15796655</v>
      </c>
      <c r="BJ364">
        <f t="shared" si="74"/>
        <v>55752900</v>
      </c>
      <c r="BK364">
        <f t="shared" si="74"/>
        <v>185843000</v>
      </c>
      <c r="BL364">
        <v>359</v>
      </c>
    </row>
    <row r="365" spans="1:64" ht="17.25" thickBot="1" x14ac:dyDescent="0.25">
      <c r="A365" s="131">
        <v>361</v>
      </c>
      <c r="B365" s="132">
        <v>58394549</v>
      </c>
      <c r="D365" s="131">
        <v>361</v>
      </c>
      <c r="E365" s="132">
        <v>18.747800000000002</v>
      </c>
      <c r="AK365">
        <v>359</v>
      </c>
      <c r="AL365" s="24">
        <f t="shared" si="72"/>
        <v>18.638950000000001</v>
      </c>
      <c r="AM365">
        <f t="shared" si="75"/>
        <v>130.47265000000002</v>
      </c>
      <c r="AN365">
        <f t="shared" si="75"/>
        <v>186.3895</v>
      </c>
      <c r="AO365">
        <f t="shared" si="75"/>
        <v>279.58425</v>
      </c>
      <c r="AP365">
        <f t="shared" si="75"/>
        <v>372.779</v>
      </c>
      <c r="AQ365">
        <f t="shared" si="75"/>
        <v>652.36324999999999</v>
      </c>
      <c r="AR365">
        <f t="shared" si="75"/>
        <v>931.9475000000001</v>
      </c>
      <c r="AS365">
        <f t="shared" si="75"/>
        <v>1491.116</v>
      </c>
      <c r="AT365">
        <f t="shared" si="75"/>
        <v>2236.674</v>
      </c>
      <c r="AU365">
        <f t="shared" si="75"/>
        <v>3168.6215000000002</v>
      </c>
      <c r="AV365">
        <f t="shared" si="75"/>
        <v>4473.348</v>
      </c>
      <c r="AW365">
        <f t="shared" si="75"/>
        <v>6150.8535000000002</v>
      </c>
      <c r="AX365">
        <f t="shared" si="75"/>
        <v>8573.9170000000013</v>
      </c>
      <c r="AY365">
        <f t="shared" si="75"/>
        <v>14911.160000000002</v>
      </c>
      <c r="AZ365">
        <f t="shared" si="75"/>
        <v>27958.425000000003</v>
      </c>
      <c r="BA365">
        <f t="shared" si="75"/>
        <v>46597.375</v>
      </c>
      <c r="BB365">
        <f t="shared" si="75"/>
        <v>74555.8</v>
      </c>
      <c r="BC365">
        <f t="shared" si="74"/>
        <v>186389.5</v>
      </c>
      <c r="BD365">
        <f t="shared" si="74"/>
        <v>279584.25</v>
      </c>
      <c r="BE365">
        <f t="shared" si="74"/>
        <v>447334.80000000005</v>
      </c>
      <c r="BF365">
        <f t="shared" si="74"/>
        <v>559168.5</v>
      </c>
      <c r="BG365">
        <f t="shared" si="74"/>
        <v>1863895.0000000002</v>
      </c>
      <c r="BH365">
        <f t="shared" si="74"/>
        <v>5591685</v>
      </c>
      <c r="BI365">
        <f t="shared" si="74"/>
        <v>15843107.500000002</v>
      </c>
      <c r="BJ365">
        <f t="shared" si="74"/>
        <v>55916850</v>
      </c>
      <c r="BK365">
        <f t="shared" si="74"/>
        <v>186389500</v>
      </c>
      <c r="BL365" s="145">
        <v>360</v>
      </c>
    </row>
    <row r="366" spans="1:64" ht="17.25" thickBot="1" x14ac:dyDescent="0.25">
      <c r="A366" s="131">
        <v>362</v>
      </c>
      <c r="B366" s="132">
        <v>58637038</v>
      </c>
      <c r="D366" s="131">
        <v>362</v>
      </c>
      <c r="E366" s="132">
        <v>18.802009999999999</v>
      </c>
      <c r="AK366">
        <v>360</v>
      </c>
      <c r="AL366" s="24">
        <f t="shared" si="72"/>
        <v>18.693449999999999</v>
      </c>
      <c r="AM366">
        <f t="shared" si="75"/>
        <v>130.85415</v>
      </c>
      <c r="AN366">
        <f t="shared" si="75"/>
        <v>186.93449999999999</v>
      </c>
      <c r="AO366">
        <f t="shared" si="75"/>
        <v>280.40174999999999</v>
      </c>
      <c r="AP366">
        <f t="shared" si="75"/>
        <v>373.86899999999997</v>
      </c>
      <c r="AQ366">
        <f t="shared" si="75"/>
        <v>654.27074999999991</v>
      </c>
      <c r="AR366">
        <f t="shared" si="75"/>
        <v>934.6724999999999</v>
      </c>
      <c r="AS366">
        <f t="shared" si="75"/>
        <v>1495.4759999999999</v>
      </c>
      <c r="AT366">
        <f t="shared" si="75"/>
        <v>2243.2139999999999</v>
      </c>
      <c r="AU366">
        <f t="shared" si="75"/>
        <v>3177.8864999999996</v>
      </c>
      <c r="AV366">
        <f t="shared" si="75"/>
        <v>4486.4279999999999</v>
      </c>
      <c r="AW366">
        <f t="shared" si="75"/>
        <v>6168.8384999999998</v>
      </c>
      <c r="AX366">
        <f t="shared" si="75"/>
        <v>8598.9869999999992</v>
      </c>
      <c r="AY366">
        <f t="shared" si="75"/>
        <v>14954.759999999998</v>
      </c>
      <c r="AZ366">
        <f t="shared" si="75"/>
        <v>28040.174999999999</v>
      </c>
      <c r="BA366">
        <f t="shared" si="75"/>
        <v>46733.625</v>
      </c>
      <c r="BB366">
        <f t="shared" si="75"/>
        <v>74773.799999999988</v>
      </c>
      <c r="BC366">
        <f t="shared" si="74"/>
        <v>186934.5</v>
      </c>
      <c r="BD366">
        <f t="shared" si="74"/>
        <v>280401.75</v>
      </c>
      <c r="BE366">
        <f t="shared" si="74"/>
        <v>448642.8</v>
      </c>
      <c r="BF366">
        <f t="shared" si="74"/>
        <v>560803.5</v>
      </c>
      <c r="BG366">
        <f t="shared" si="74"/>
        <v>1869344.9999999998</v>
      </c>
      <c r="BH366">
        <f t="shared" si="74"/>
        <v>5608035</v>
      </c>
      <c r="BI366">
        <f t="shared" si="74"/>
        <v>15889432.499999998</v>
      </c>
      <c r="BJ366">
        <f t="shared" si="74"/>
        <v>56080349.999999993</v>
      </c>
      <c r="BK366">
        <f t="shared" si="74"/>
        <v>186934500</v>
      </c>
      <c r="BL366">
        <v>361</v>
      </c>
    </row>
    <row r="367" spans="1:64" ht="17.25" thickBot="1" x14ac:dyDescent="0.25">
      <c r="A367" s="131">
        <v>363</v>
      </c>
      <c r="B367" s="132">
        <v>58879861</v>
      </c>
      <c r="D367" s="131">
        <v>363</v>
      </c>
      <c r="E367" s="132">
        <v>18.856069999999999</v>
      </c>
      <c r="AK367">
        <v>361</v>
      </c>
      <c r="AL367" s="24">
        <f t="shared" si="72"/>
        <v>18.747800000000002</v>
      </c>
      <c r="AM367">
        <f t="shared" si="75"/>
        <v>131.2346</v>
      </c>
      <c r="AN367">
        <f t="shared" si="75"/>
        <v>187.47800000000001</v>
      </c>
      <c r="AO367">
        <f t="shared" si="75"/>
        <v>281.21700000000004</v>
      </c>
      <c r="AP367">
        <f t="shared" si="75"/>
        <v>374.95600000000002</v>
      </c>
      <c r="AQ367">
        <f t="shared" si="75"/>
        <v>656.173</v>
      </c>
      <c r="AR367">
        <f t="shared" si="75"/>
        <v>937.3900000000001</v>
      </c>
      <c r="AS367">
        <f t="shared" si="75"/>
        <v>1499.8240000000001</v>
      </c>
      <c r="AT367">
        <f t="shared" si="75"/>
        <v>2249.7360000000003</v>
      </c>
      <c r="AU367">
        <f t="shared" si="75"/>
        <v>3187.1260000000002</v>
      </c>
      <c r="AV367">
        <f t="shared" si="75"/>
        <v>4499.4720000000007</v>
      </c>
      <c r="AW367">
        <f t="shared" si="75"/>
        <v>6186.7740000000003</v>
      </c>
      <c r="AX367">
        <f t="shared" si="75"/>
        <v>8623.9880000000012</v>
      </c>
      <c r="AY367">
        <f t="shared" si="75"/>
        <v>14998.240000000002</v>
      </c>
      <c r="AZ367">
        <f t="shared" si="75"/>
        <v>28121.7</v>
      </c>
      <c r="BA367">
        <f t="shared" si="75"/>
        <v>46869.500000000007</v>
      </c>
      <c r="BB367">
        <f t="shared" si="75"/>
        <v>74991.200000000012</v>
      </c>
      <c r="BC367">
        <f t="shared" si="74"/>
        <v>187478.00000000003</v>
      </c>
      <c r="BD367">
        <f t="shared" si="74"/>
        <v>281217</v>
      </c>
      <c r="BE367">
        <f t="shared" si="74"/>
        <v>449947.2</v>
      </c>
      <c r="BF367">
        <f t="shared" si="74"/>
        <v>562434</v>
      </c>
      <c r="BG367">
        <f t="shared" si="74"/>
        <v>1874780.0000000002</v>
      </c>
      <c r="BH367">
        <f t="shared" si="74"/>
        <v>5624340.0000000009</v>
      </c>
      <c r="BI367">
        <f t="shared" si="74"/>
        <v>15935630.000000002</v>
      </c>
      <c r="BJ367">
        <f t="shared" si="74"/>
        <v>56243400.000000007</v>
      </c>
      <c r="BK367">
        <f t="shared" si="74"/>
        <v>187478000.00000003</v>
      </c>
      <c r="BL367" s="145">
        <v>362</v>
      </c>
    </row>
    <row r="368" spans="1:64" ht="17.25" thickBot="1" x14ac:dyDescent="0.25">
      <c r="A368" s="131">
        <v>364</v>
      </c>
      <c r="B368" s="132">
        <v>59123016</v>
      </c>
      <c r="D368" s="131">
        <v>364</v>
      </c>
      <c r="E368" s="132">
        <v>18.909980000000001</v>
      </c>
      <c r="AK368">
        <v>362</v>
      </c>
      <c r="AL368" s="24">
        <f t="shared" si="72"/>
        <v>18.802009999999999</v>
      </c>
      <c r="AM368">
        <f t="shared" si="75"/>
        <v>131.61407</v>
      </c>
      <c r="AN368">
        <f t="shared" si="75"/>
        <v>188.02009999999999</v>
      </c>
      <c r="AO368">
        <f t="shared" si="75"/>
        <v>282.03014999999999</v>
      </c>
      <c r="AP368">
        <f t="shared" si="75"/>
        <v>376.04019999999997</v>
      </c>
      <c r="AQ368">
        <f t="shared" si="75"/>
        <v>658.07034999999996</v>
      </c>
      <c r="AR368">
        <f t="shared" si="75"/>
        <v>940.10050000000001</v>
      </c>
      <c r="AS368">
        <f t="shared" ref="AM368:BB384" si="76">AS$5*VLOOKUP($AK368,$D$2:$E$1404,2,FALSE)</f>
        <v>1504.1607999999999</v>
      </c>
      <c r="AT368">
        <f t="shared" si="76"/>
        <v>2256.2411999999999</v>
      </c>
      <c r="AU368">
        <f t="shared" si="76"/>
        <v>3196.3416999999999</v>
      </c>
      <c r="AV368">
        <f t="shared" si="76"/>
        <v>4512.4823999999999</v>
      </c>
      <c r="AW368">
        <f t="shared" si="76"/>
        <v>6204.6633000000002</v>
      </c>
      <c r="AX368">
        <f t="shared" si="76"/>
        <v>8648.9246000000003</v>
      </c>
      <c r="AY368">
        <f t="shared" si="76"/>
        <v>15041.608</v>
      </c>
      <c r="AZ368">
        <f t="shared" si="76"/>
        <v>28203.014999999999</v>
      </c>
      <c r="BA368">
        <f t="shared" si="76"/>
        <v>47005.025000000001</v>
      </c>
      <c r="BB368">
        <f t="shared" si="76"/>
        <v>75208.039999999994</v>
      </c>
      <c r="BC368">
        <f t="shared" si="74"/>
        <v>188020.1</v>
      </c>
      <c r="BD368">
        <f t="shared" si="74"/>
        <v>282030.14999999997</v>
      </c>
      <c r="BE368">
        <f t="shared" si="74"/>
        <v>451248.24</v>
      </c>
      <c r="BF368">
        <f t="shared" si="74"/>
        <v>564060.29999999993</v>
      </c>
      <c r="BG368">
        <f t="shared" si="74"/>
        <v>1880201</v>
      </c>
      <c r="BH368">
        <f t="shared" si="74"/>
        <v>5640603</v>
      </c>
      <c r="BI368">
        <f t="shared" si="74"/>
        <v>15981708.5</v>
      </c>
      <c r="BJ368">
        <f t="shared" si="74"/>
        <v>56406030</v>
      </c>
      <c r="BK368">
        <f t="shared" si="74"/>
        <v>188020100</v>
      </c>
      <c r="BL368">
        <v>363</v>
      </c>
    </row>
    <row r="369" spans="1:64" ht="17.25" thickBot="1" x14ac:dyDescent="0.25">
      <c r="A369" s="131">
        <v>365</v>
      </c>
      <c r="B369" s="132">
        <v>59366505</v>
      </c>
      <c r="D369" s="131">
        <v>365</v>
      </c>
      <c r="E369" s="132">
        <v>18.963750000000001</v>
      </c>
      <c r="AK369">
        <v>363</v>
      </c>
      <c r="AL369" s="24">
        <f t="shared" si="72"/>
        <v>18.856069999999999</v>
      </c>
      <c r="AM369">
        <f t="shared" si="76"/>
        <v>131.99249</v>
      </c>
      <c r="AN369">
        <f t="shared" si="76"/>
        <v>188.5607</v>
      </c>
      <c r="AO369">
        <f t="shared" si="76"/>
        <v>282.84105</v>
      </c>
      <c r="AP369">
        <f t="shared" si="76"/>
        <v>377.12139999999999</v>
      </c>
      <c r="AQ369">
        <f t="shared" si="76"/>
        <v>659.96244999999999</v>
      </c>
      <c r="AR369">
        <f t="shared" si="76"/>
        <v>942.80349999999999</v>
      </c>
      <c r="AS369">
        <f t="shared" si="76"/>
        <v>1508.4856</v>
      </c>
      <c r="AT369">
        <f t="shared" si="76"/>
        <v>2262.7284</v>
      </c>
      <c r="AU369">
        <f t="shared" si="76"/>
        <v>3205.5319</v>
      </c>
      <c r="AV369">
        <f t="shared" si="76"/>
        <v>4525.4567999999999</v>
      </c>
      <c r="AW369">
        <f t="shared" si="76"/>
        <v>6222.5030999999999</v>
      </c>
      <c r="AX369">
        <f t="shared" si="76"/>
        <v>8673.7921999999999</v>
      </c>
      <c r="AY369">
        <f t="shared" si="76"/>
        <v>15084.856</v>
      </c>
      <c r="AZ369">
        <f t="shared" si="76"/>
        <v>28284.105</v>
      </c>
      <c r="BA369">
        <f t="shared" si="76"/>
        <v>47140.174999999996</v>
      </c>
      <c r="BB369">
        <f t="shared" si="76"/>
        <v>75424.28</v>
      </c>
      <c r="BC369">
        <f t="shared" si="74"/>
        <v>188560.69999999998</v>
      </c>
      <c r="BD369">
        <f t="shared" si="74"/>
        <v>282841.05</v>
      </c>
      <c r="BE369">
        <f t="shared" si="74"/>
        <v>452545.68</v>
      </c>
      <c r="BF369">
        <f t="shared" si="74"/>
        <v>565682.1</v>
      </c>
      <c r="BG369">
        <f t="shared" si="74"/>
        <v>1885607</v>
      </c>
      <c r="BH369">
        <f t="shared" si="74"/>
        <v>5656821</v>
      </c>
      <c r="BI369">
        <f t="shared" si="74"/>
        <v>16027659.5</v>
      </c>
      <c r="BJ369">
        <f t="shared" si="74"/>
        <v>56568210</v>
      </c>
      <c r="BK369">
        <f t="shared" si="74"/>
        <v>188560700</v>
      </c>
      <c r="BL369" s="145">
        <v>364</v>
      </c>
    </row>
    <row r="370" spans="1:64" ht="17.25" thickBot="1" x14ac:dyDescent="0.25">
      <c r="A370" s="131">
        <v>366</v>
      </c>
      <c r="B370" s="132">
        <v>59610327</v>
      </c>
      <c r="D370" s="131">
        <v>366</v>
      </c>
      <c r="E370" s="132">
        <v>19.01737</v>
      </c>
      <c r="AK370">
        <v>364</v>
      </c>
      <c r="AL370" s="24">
        <f t="shared" si="72"/>
        <v>18.909980000000001</v>
      </c>
      <c r="AM370">
        <f t="shared" si="76"/>
        <v>132.36986000000002</v>
      </c>
      <c r="AN370">
        <f t="shared" si="76"/>
        <v>189.09980000000002</v>
      </c>
      <c r="AO370">
        <f t="shared" si="76"/>
        <v>283.6497</v>
      </c>
      <c r="AP370">
        <f t="shared" si="76"/>
        <v>378.19960000000003</v>
      </c>
      <c r="AQ370">
        <f t="shared" si="76"/>
        <v>661.84930000000008</v>
      </c>
      <c r="AR370">
        <f t="shared" si="76"/>
        <v>945.49900000000002</v>
      </c>
      <c r="AS370">
        <f t="shared" si="76"/>
        <v>1512.7984000000001</v>
      </c>
      <c r="AT370">
        <f t="shared" si="76"/>
        <v>2269.1976</v>
      </c>
      <c r="AU370">
        <f t="shared" si="76"/>
        <v>3214.6966000000002</v>
      </c>
      <c r="AV370">
        <f t="shared" si="76"/>
        <v>4538.3951999999999</v>
      </c>
      <c r="AW370">
        <f t="shared" si="76"/>
        <v>6240.2934000000005</v>
      </c>
      <c r="AX370">
        <f t="shared" si="76"/>
        <v>8698.5907999999999</v>
      </c>
      <c r="AY370">
        <f t="shared" si="76"/>
        <v>15127.984</v>
      </c>
      <c r="AZ370">
        <f t="shared" si="76"/>
        <v>28364.97</v>
      </c>
      <c r="BA370">
        <f t="shared" si="76"/>
        <v>47274.950000000004</v>
      </c>
      <c r="BB370">
        <f t="shared" si="76"/>
        <v>75639.92</v>
      </c>
      <c r="BC370">
        <f t="shared" si="74"/>
        <v>189099.80000000002</v>
      </c>
      <c r="BD370">
        <f t="shared" si="74"/>
        <v>283649.7</v>
      </c>
      <c r="BE370">
        <f t="shared" si="74"/>
        <v>453839.52</v>
      </c>
      <c r="BF370">
        <f t="shared" si="74"/>
        <v>567299.4</v>
      </c>
      <c r="BG370">
        <f t="shared" si="74"/>
        <v>1890998</v>
      </c>
      <c r="BH370">
        <f t="shared" si="74"/>
        <v>5672994</v>
      </c>
      <c r="BI370">
        <f t="shared" si="74"/>
        <v>16073483</v>
      </c>
      <c r="BJ370">
        <f t="shared" si="74"/>
        <v>56729940</v>
      </c>
      <c r="BK370">
        <f t="shared" si="74"/>
        <v>189099800</v>
      </c>
      <c r="BL370">
        <v>365</v>
      </c>
    </row>
    <row r="371" spans="1:64" ht="17.25" thickBot="1" x14ac:dyDescent="0.25">
      <c r="A371" s="131">
        <v>367</v>
      </c>
      <c r="B371" s="132">
        <v>59854483</v>
      </c>
      <c r="D371" s="131">
        <v>367</v>
      </c>
      <c r="E371" s="132">
        <v>19.07085</v>
      </c>
      <c r="AK371">
        <v>365</v>
      </c>
      <c r="AL371" s="24">
        <f t="shared" si="72"/>
        <v>18.963750000000001</v>
      </c>
      <c r="AM371">
        <f t="shared" si="76"/>
        <v>132.74625</v>
      </c>
      <c r="AN371">
        <f t="shared" si="76"/>
        <v>189.63750000000002</v>
      </c>
      <c r="AO371">
        <f t="shared" si="76"/>
        <v>284.45625000000001</v>
      </c>
      <c r="AP371">
        <f t="shared" si="76"/>
        <v>379.27500000000003</v>
      </c>
      <c r="AQ371">
        <f t="shared" si="76"/>
        <v>663.73125000000005</v>
      </c>
      <c r="AR371">
        <f t="shared" si="76"/>
        <v>948.1875</v>
      </c>
      <c r="AS371">
        <f t="shared" si="76"/>
        <v>1517.1000000000001</v>
      </c>
      <c r="AT371">
        <f t="shared" si="76"/>
        <v>2275.65</v>
      </c>
      <c r="AU371">
        <f t="shared" si="76"/>
        <v>3223.8375000000001</v>
      </c>
      <c r="AV371">
        <f t="shared" si="76"/>
        <v>4551.3</v>
      </c>
      <c r="AW371">
        <f t="shared" si="76"/>
        <v>6258.0375000000004</v>
      </c>
      <c r="AX371">
        <f t="shared" si="76"/>
        <v>8723.3250000000007</v>
      </c>
      <c r="AY371">
        <f t="shared" si="76"/>
        <v>15171</v>
      </c>
      <c r="AZ371">
        <f t="shared" si="76"/>
        <v>28445.625</v>
      </c>
      <c r="BA371">
        <f t="shared" si="76"/>
        <v>47409.375</v>
      </c>
      <c r="BB371">
        <f t="shared" si="76"/>
        <v>75855</v>
      </c>
      <c r="BC371">
        <f t="shared" si="74"/>
        <v>189637.5</v>
      </c>
      <c r="BD371">
        <f t="shared" si="74"/>
        <v>284456.25</v>
      </c>
      <c r="BE371">
        <f t="shared" si="74"/>
        <v>455130</v>
      </c>
      <c r="BF371">
        <f t="shared" si="74"/>
        <v>568912.5</v>
      </c>
      <c r="BG371">
        <f t="shared" si="74"/>
        <v>1896375</v>
      </c>
      <c r="BH371">
        <f t="shared" si="74"/>
        <v>5689125</v>
      </c>
      <c r="BI371">
        <f t="shared" si="74"/>
        <v>16119187.5</v>
      </c>
      <c r="BJ371">
        <f t="shared" si="74"/>
        <v>56891250</v>
      </c>
      <c r="BK371">
        <f t="shared" si="74"/>
        <v>189637500</v>
      </c>
      <c r="BL371" s="145">
        <v>366</v>
      </c>
    </row>
    <row r="372" spans="1:64" ht="17.25" thickBot="1" x14ac:dyDescent="0.25">
      <c r="A372" s="131">
        <v>368</v>
      </c>
      <c r="B372" s="132">
        <v>60098972</v>
      </c>
      <c r="D372" s="131">
        <v>368</v>
      </c>
      <c r="E372" s="132">
        <v>19.124189999999999</v>
      </c>
      <c r="AK372">
        <v>366</v>
      </c>
      <c r="AL372" s="24">
        <f t="shared" si="72"/>
        <v>19.01737</v>
      </c>
      <c r="AM372">
        <f t="shared" si="76"/>
        <v>133.12159</v>
      </c>
      <c r="AN372">
        <f t="shared" si="76"/>
        <v>190.1737</v>
      </c>
      <c r="AO372">
        <f t="shared" si="76"/>
        <v>285.26054999999997</v>
      </c>
      <c r="AP372">
        <f t="shared" si="76"/>
        <v>380.34739999999999</v>
      </c>
      <c r="AQ372">
        <f t="shared" si="76"/>
        <v>665.60794999999996</v>
      </c>
      <c r="AR372">
        <f t="shared" si="76"/>
        <v>950.86850000000004</v>
      </c>
      <c r="AS372">
        <f t="shared" si="76"/>
        <v>1521.3896</v>
      </c>
      <c r="AT372">
        <f t="shared" si="76"/>
        <v>2282.0843999999997</v>
      </c>
      <c r="AU372">
        <f t="shared" si="76"/>
        <v>3232.9528999999998</v>
      </c>
      <c r="AV372">
        <f t="shared" si="76"/>
        <v>4564.1687999999995</v>
      </c>
      <c r="AW372">
        <f t="shared" si="76"/>
        <v>6275.7321000000002</v>
      </c>
      <c r="AX372">
        <f t="shared" si="76"/>
        <v>8747.9902000000002</v>
      </c>
      <c r="AY372">
        <f t="shared" si="76"/>
        <v>15213.896000000001</v>
      </c>
      <c r="AZ372">
        <f t="shared" si="76"/>
        <v>28526.055</v>
      </c>
      <c r="BA372">
        <f t="shared" si="76"/>
        <v>47543.424999999996</v>
      </c>
      <c r="BB372">
        <f t="shared" si="76"/>
        <v>76069.48</v>
      </c>
      <c r="BC372">
        <f t="shared" si="74"/>
        <v>190173.69999999998</v>
      </c>
      <c r="BD372">
        <f t="shared" si="74"/>
        <v>285260.55</v>
      </c>
      <c r="BE372">
        <f t="shared" si="74"/>
        <v>456416.88</v>
      </c>
      <c r="BF372">
        <f t="shared" si="74"/>
        <v>570521.1</v>
      </c>
      <c r="BG372">
        <f t="shared" si="74"/>
        <v>1901737</v>
      </c>
      <c r="BH372">
        <f t="shared" si="74"/>
        <v>5705211</v>
      </c>
      <c r="BI372">
        <f t="shared" si="74"/>
        <v>16164764.5</v>
      </c>
      <c r="BJ372">
        <f t="shared" si="74"/>
        <v>57052110</v>
      </c>
      <c r="BK372">
        <f t="shared" si="74"/>
        <v>190173700</v>
      </c>
      <c r="BL372">
        <v>367</v>
      </c>
    </row>
    <row r="373" spans="1:64" ht="17.25" thickBot="1" x14ac:dyDescent="0.25">
      <c r="A373" s="131">
        <v>369</v>
      </c>
      <c r="B373" s="132">
        <v>60343794</v>
      </c>
      <c r="D373" s="131">
        <v>369</v>
      </c>
      <c r="E373" s="132">
        <v>19.177389999999999</v>
      </c>
      <c r="AK373">
        <v>367</v>
      </c>
      <c r="AL373" s="24">
        <f t="shared" si="72"/>
        <v>19.07085</v>
      </c>
      <c r="AM373">
        <f t="shared" si="76"/>
        <v>133.49594999999999</v>
      </c>
      <c r="AN373">
        <f t="shared" si="76"/>
        <v>190.70850000000002</v>
      </c>
      <c r="AO373">
        <f t="shared" si="76"/>
        <v>286.06274999999999</v>
      </c>
      <c r="AP373">
        <f t="shared" si="76"/>
        <v>381.41700000000003</v>
      </c>
      <c r="AQ373">
        <f t="shared" si="76"/>
        <v>667.47974999999997</v>
      </c>
      <c r="AR373">
        <f t="shared" si="76"/>
        <v>953.54250000000002</v>
      </c>
      <c r="AS373">
        <f t="shared" si="76"/>
        <v>1525.6680000000001</v>
      </c>
      <c r="AT373">
        <f t="shared" si="76"/>
        <v>2288.502</v>
      </c>
      <c r="AU373">
        <f t="shared" si="76"/>
        <v>3242.0445</v>
      </c>
      <c r="AV373">
        <f t="shared" si="76"/>
        <v>4577.0039999999999</v>
      </c>
      <c r="AW373">
        <f t="shared" si="76"/>
        <v>6293.3805000000002</v>
      </c>
      <c r="AX373">
        <f t="shared" si="76"/>
        <v>8772.5910000000003</v>
      </c>
      <c r="AY373">
        <f t="shared" si="76"/>
        <v>15256.68</v>
      </c>
      <c r="AZ373">
        <f t="shared" si="76"/>
        <v>28606.275000000001</v>
      </c>
      <c r="BA373">
        <f t="shared" si="76"/>
        <v>47677.125</v>
      </c>
      <c r="BB373">
        <f t="shared" si="76"/>
        <v>76283.399999999994</v>
      </c>
      <c r="BC373">
        <f t="shared" si="74"/>
        <v>190708.5</v>
      </c>
      <c r="BD373">
        <f t="shared" si="74"/>
        <v>286062.75</v>
      </c>
      <c r="BE373">
        <f t="shared" si="74"/>
        <v>457700.4</v>
      </c>
      <c r="BF373">
        <f t="shared" si="74"/>
        <v>572125.5</v>
      </c>
      <c r="BG373">
        <f t="shared" si="74"/>
        <v>1907085</v>
      </c>
      <c r="BH373">
        <f t="shared" si="74"/>
        <v>5721255</v>
      </c>
      <c r="BI373">
        <f t="shared" si="74"/>
        <v>16210222.5</v>
      </c>
      <c r="BJ373">
        <f t="shared" si="74"/>
        <v>57212550</v>
      </c>
      <c r="BK373">
        <f t="shared" si="74"/>
        <v>190708500</v>
      </c>
      <c r="BL373" s="145">
        <v>368</v>
      </c>
    </row>
    <row r="374" spans="1:64" ht="17.25" thickBot="1" x14ac:dyDescent="0.25">
      <c r="A374" s="131">
        <v>370</v>
      </c>
      <c r="B374" s="132">
        <v>60588949</v>
      </c>
      <c r="D374" s="131">
        <v>370</v>
      </c>
      <c r="E374" s="132">
        <v>19.230450000000001</v>
      </c>
      <c r="AK374">
        <v>368</v>
      </c>
      <c r="AL374" s="24">
        <f t="shared" si="72"/>
        <v>19.124189999999999</v>
      </c>
      <c r="AM374">
        <f t="shared" si="76"/>
        <v>133.86932999999999</v>
      </c>
      <c r="AN374">
        <f t="shared" si="76"/>
        <v>191.24189999999999</v>
      </c>
      <c r="AO374">
        <f t="shared" si="76"/>
        <v>286.86284999999998</v>
      </c>
      <c r="AP374">
        <f t="shared" si="76"/>
        <v>382.48379999999997</v>
      </c>
      <c r="AQ374">
        <f t="shared" si="76"/>
        <v>669.34664999999995</v>
      </c>
      <c r="AR374">
        <f t="shared" si="76"/>
        <v>956.20949999999993</v>
      </c>
      <c r="AS374">
        <f t="shared" si="76"/>
        <v>1529.9351999999999</v>
      </c>
      <c r="AT374">
        <f t="shared" si="76"/>
        <v>2294.9027999999998</v>
      </c>
      <c r="AU374">
        <f t="shared" si="76"/>
        <v>3251.1122999999998</v>
      </c>
      <c r="AV374">
        <f t="shared" si="76"/>
        <v>4589.8055999999997</v>
      </c>
      <c r="AW374">
        <f t="shared" si="76"/>
        <v>6310.9826999999996</v>
      </c>
      <c r="AX374">
        <f t="shared" si="76"/>
        <v>8797.1273999999994</v>
      </c>
      <c r="AY374">
        <f t="shared" si="76"/>
        <v>15299.351999999999</v>
      </c>
      <c r="AZ374">
        <f t="shared" si="76"/>
        <v>28686.284999999996</v>
      </c>
      <c r="BA374">
        <f t="shared" si="76"/>
        <v>47810.474999999999</v>
      </c>
      <c r="BB374">
        <f t="shared" si="76"/>
        <v>76496.759999999995</v>
      </c>
      <c r="BC374">
        <f t="shared" si="74"/>
        <v>191241.9</v>
      </c>
      <c r="BD374">
        <f t="shared" si="74"/>
        <v>286862.84999999998</v>
      </c>
      <c r="BE374">
        <f t="shared" si="74"/>
        <v>458980.55999999994</v>
      </c>
      <c r="BF374">
        <f t="shared" si="74"/>
        <v>573725.69999999995</v>
      </c>
      <c r="BG374">
        <f t="shared" si="74"/>
        <v>1912418.9999999998</v>
      </c>
      <c r="BH374">
        <f t="shared" si="74"/>
        <v>5737257</v>
      </c>
      <c r="BI374">
        <f t="shared" si="74"/>
        <v>16255561.499999998</v>
      </c>
      <c r="BJ374">
        <f t="shared" si="74"/>
        <v>57372569.999999993</v>
      </c>
      <c r="BK374">
        <f t="shared" si="74"/>
        <v>191241900</v>
      </c>
      <c r="BL374">
        <v>369</v>
      </c>
    </row>
    <row r="375" spans="1:64" ht="17.25" thickBot="1" x14ac:dyDescent="0.25">
      <c r="A375" s="131">
        <v>371</v>
      </c>
      <c r="B375" s="132">
        <v>60834433</v>
      </c>
      <c r="D375" s="131">
        <v>371</v>
      </c>
      <c r="E375" s="132">
        <v>19.283370000000001</v>
      </c>
      <c r="AK375">
        <v>369</v>
      </c>
      <c r="AL375" s="24">
        <f t="shared" si="72"/>
        <v>19.177389999999999</v>
      </c>
      <c r="AM375">
        <f t="shared" si="76"/>
        <v>134.24172999999999</v>
      </c>
      <c r="AN375">
        <f t="shared" si="76"/>
        <v>191.7739</v>
      </c>
      <c r="AO375">
        <f t="shared" si="76"/>
        <v>287.66084999999998</v>
      </c>
      <c r="AP375">
        <f t="shared" si="76"/>
        <v>383.5478</v>
      </c>
      <c r="AQ375">
        <f t="shared" si="76"/>
        <v>671.20864999999992</v>
      </c>
      <c r="AR375">
        <f t="shared" si="76"/>
        <v>958.8694999999999</v>
      </c>
      <c r="AS375">
        <f t="shared" si="76"/>
        <v>1534.1912</v>
      </c>
      <c r="AT375">
        <f t="shared" si="76"/>
        <v>2301.2867999999999</v>
      </c>
      <c r="AU375">
        <f t="shared" si="76"/>
        <v>3260.1562999999996</v>
      </c>
      <c r="AV375">
        <f t="shared" si="76"/>
        <v>4602.5735999999997</v>
      </c>
      <c r="AW375">
        <f t="shared" si="76"/>
        <v>6328.5387000000001</v>
      </c>
      <c r="AX375">
        <f t="shared" si="76"/>
        <v>8821.5993999999992</v>
      </c>
      <c r="AY375">
        <f t="shared" si="76"/>
        <v>15341.911999999998</v>
      </c>
      <c r="AZ375">
        <f t="shared" si="76"/>
        <v>28766.084999999999</v>
      </c>
      <c r="BA375">
        <f t="shared" si="76"/>
        <v>47943.474999999999</v>
      </c>
      <c r="BB375">
        <f t="shared" si="76"/>
        <v>76709.56</v>
      </c>
      <c r="BC375">
        <f t="shared" si="74"/>
        <v>191773.9</v>
      </c>
      <c r="BD375">
        <f t="shared" si="74"/>
        <v>287660.84999999998</v>
      </c>
      <c r="BE375">
        <f t="shared" si="74"/>
        <v>460257.36</v>
      </c>
      <c r="BF375">
        <f t="shared" si="74"/>
        <v>575321.69999999995</v>
      </c>
      <c r="BG375">
        <f t="shared" si="74"/>
        <v>1917739</v>
      </c>
      <c r="BH375">
        <f t="shared" si="74"/>
        <v>5753217</v>
      </c>
      <c r="BI375">
        <f t="shared" si="74"/>
        <v>16300781.5</v>
      </c>
      <c r="BJ375">
        <f t="shared" si="74"/>
        <v>57532170</v>
      </c>
      <c r="BK375">
        <f t="shared" si="74"/>
        <v>191773900</v>
      </c>
      <c r="BL375" s="145">
        <v>370</v>
      </c>
    </row>
    <row r="376" spans="1:64" ht="17.25" thickBot="1" x14ac:dyDescent="0.25">
      <c r="A376" s="131">
        <v>372</v>
      </c>
      <c r="B376" s="132">
        <v>61080249</v>
      </c>
      <c r="D376" s="131">
        <v>372</v>
      </c>
      <c r="E376" s="132">
        <v>19.33615</v>
      </c>
      <c r="AK376">
        <v>370</v>
      </c>
      <c r="AL376" s="24">
        <f t="shared" si="72"/>
        <v>19.230450000000001</v>
      </c>
      <c r="AM376">
        <f t="shared" si="76"/>
        <v>134.61315000000002</v>
      </c>
      <c r="AN376">
        <f t="shared" si="76"/>
        <v>192.30450000000002</v>
      </c>
      <c r="AO376">
        <f t="shared" si="76"/>
        <v>288.45675</v>
      </c>
      <c r="AP376">
        <f t="shared" si="76"/>
        <v>384.60900000000004</v>
      </c>
      <c r="AQ376">
        <f t="shared" si="76"/>
        <v>673.06575000000009</v>
      </c>
      <c r="AR376">
        <f t="shared" si="76"/>
        <v>961.52250000000004</v>
      </c>
      <c r="AS376">
        <f t="shared" si="76"/>
        <v>1538.4360000000001</v>
      </c>
      <c r="AT376">
        <f t="shared" si="76"/>
        <v>2307.654</v>
      </c>
      <c r="AU376">
        <f t="shared" si="76"/>
        <v>3269.1765</v>
      </c>
      <c r="AV376">
        <f t="shared" si="76"/>
        <v>4615.308</v>
      </c>
      <c r="AW376">
        <f t="shared" si="76"/>
        <v>6346.0485000000008</v>
      </c>
      <c r="AX376">
        <f t="shared" si="76"/>
        <v>8846.0070000000014</v>
      </c>
      <c r="AY376">
        <f t="shared" si="76"/>
        <v>15384.36</v>
      </c>
      <c r="AZ376">
        <f t="shared" si="76"/>
        <v>28845.675000000003</v>
      </c>
      <c r="BA376">
        <f t="shared" si="76"/>
        <v>48076.125</v>
      </c>
      <c r="BB376">
        <f t="shared" si="76"/>
        <v>76921.8</v>
      </c>
      <c r="BC376">
        <f t="shared" si="74"/>
        <v>192304.5</v>
      </c>
      <c r="BD376">
        <f t="shared" si="74"/>
        <v>288456.75</v>
      </c>
      <c r="BE376">
        <f t="shared" si="74"/>
        <v>461530.80000000005</v>
      </c>
      <c r="BF376">
        <f t="shared" si="74"/>
        <v>576913.5</v>
      </c>
      <c r="BG376">
        <f t="shared" si="74"/>
        <v>1923045</v>
      </c>
      <c r="BH376">
        <f t="shared" si="74"/>
        <v>5769135</v>
      </c>
      <c r="BI376">
        <f t="shared" si="74"/>
        <v>16345882.500000002</v>
      </c>
      <c r="BJ376">
        <f t="shared" si="74"/>
        <v>57691350</v>
      </c>
      <c r="BK376">
        <f t="shared" si="74"/>
        <v>192304500</v>
      </c>
      <c r="BL376">
        <v>371</v>
      </c>
    </row>
    <row r="377" spans="1:64" ht="17.25" thickBot="1" x14ac:dyDescent="0.25">
      <c r="A377" s="131">
        <v>373</v>
      </c>
      <c r="B377" s="132">
        <v>61326394</v>
      </c>
      <c r="D377" s="131">
        <v>373</v>
      </c>
      <c r="E377" s="132">
        <v>19.38879</v>
      </c>
      <c r="AK377">
        <v>371</v>
      </c>
      <c r="AL377" s="24">
        <f t="shared" si="72"/>
        <v>19.283370000000001</v>
      </c>
      <c r="AM377">
        <f t="shared" si="76"/>
        <v>134.98359000000002</v>
      </c>
      <c r="AN377">
        <f t="shared" si="76"/>
        <v>192.83370000000002</v>
      </c>
      <c r="AO377">
        <f t="shared" si="76"/>
        <v>289.25055000000003</v>
      </c>
      <c r="AP377">
        <f t="shared" si="76"/>
        <v>385.66740000000004</v>
      </c>
      <c r="AQ377">
        <f t="shared" si="76"/>
        <v>674.91795000000002</v>
      </c>
      <c r="AR377">
        <f t="shared" si="76"/>
        <v>964.16850000000011</v>
      </c>
      <c r="AS377">
        <f t="shared" si="76"/>
        <v>1542.6696000000002</v>
      </c>
      <c r="AT377">
        <f t="shared" si="76"/>
        <v>2314.0044000000003</v>
      </c>
      <c r="AU377">
        <f t="shared" si="76"/>
        <v>3278.1729</v>
      </c>
      <c r="AV377">
        <f t="shared" si="76"/>
        <v>4628.0088000000005</v>
      </c>
      <c r="AW377">
        <f t="shared" si="76"/>
        <v>6363.5121000000008</v>
      </c>
      <c r="AX377">
        <f t="shared" si="76"/>
        <v>8870.3502000000008</v>
      </c>
      <c r="AY377">
        <f t="shared" si="76"/>
        <v>15426.696000000002</v>
      </c>
      <c r="AZ377">
        <f t="shared" si="76"/>
        <v>28925.055000000004</v>
      </c>
      <c r="BA377">
        <f t="shared" si="76"/>
        <v>48208.425000000003</v>
      </c>
      <c r="BB377">
        <f t="shared" si="76"/>
        <v>77133.48000000001</v>
      </c>
      <c r="BC377">
        <f t="shared" si="74"/>
        <v>192833.7</v>
      </c>
      <c r="BD377">
        <f t="shared" si="74"/>
        <v>289250.55000000005</v>
      </c>
      <c r="BE377">
        <f t="shared" si="74"/>
        <v>462800.88000000006</v>
      </c>
      <c r="BF377">
        <f t="shared" si="74"/>
        <v>578501.10000000009</v>
      </c>
      <c r="BG377">
        <f t="shared" si="74"/>
        <v>1928337.0000000002</v>
      </c>
      <c r="BH377">
        <f t="shared" si="74"/>
        <v>5785011</v>
      </c>
      <c r="BI377">
        <f t="shared" si="74"/>
        <v>16390864.500000002</v>
      </c>
      <c r="BJ377">
        <f t="shared" si="74"/>
        <v>57850110.000000007</v>
      </c>
      <c r="BK377">
        <f t="shared" ref="BC377:BK406" si="77">BK$5*VLOOKUP($AK377,$D$2:$E$1404,2,FALSE)</f>
        <v>192833700</v>
      </c>
      <c r="BL377" s="145">
        <v>372</v>
      </c>
    </row>
    <row r="378" spans="1:64" ht="17.25" thickBot="1" x14ac:dyDescent="0.25">
      <c r="A378" s="131">
        <v>374</v>
      </c>
      <c r="B378" s="132">
        <v>61572866</v>
      </c>
      <c r="D378" s="131">
        <v>374</v>
      </c>
      <c r="E378" s="132">
        <v>19.441289999999999</v>
      </c>
      <c r="AK378">
        <v>372</v>
      </c>
      <c r="AL378" s="24">
        <f t="shared" si="72"/>
        <v>19.33615</v>
      </c>
      <c r="AM378">
        <f t="shared" si="76"/>
        <v>135.35305</v>
      </c>
      <c r="AN378">
        <f t="shared" si="76"/>
        <v>193.36150000000001</v>
      </c>
      <c r="AO378">
        <f t="shared" si="76"/>
        <v>290.04225000000002</v>
      </c>
      <c r="AP378">
        <f t="shared" si="76"/>
        <v>386.72300000000001</v>
      </c>
      <c r="AQ378">
        <f t="shared" si="76"/>
        <v>676.76525000000004</v>
      </c>
      <c r="AR378">
        <f t="shared" si="76"/>
        <v>966.8075</v>
      </c>
      <c r="AS378">
        <f t="shared" si="76"/>
        <v>1546.8920000000001</v>
      </c>
      <c r="AT378">
        <f t="shared" si="76"/>
        <v>2320.3380000000002</v>
      </c>
      <c r="AU378">
        <f t="shared" si="76"/>
        <v>3287.1455000000001</v>
      </c>
      <c r="AV378">
        <f t="shared" si="76"/>
        <v>4640.6760000000004</v>
      </c>
      <c r="AW378">
        <f t="shared" si="76"/>
        <v>6380.9295000000002</v>
      </c>
      <c r="AX378">
        <f t="shared" si="76"/>
        <v>8894.6290000000008</v>
      </c>
      <c r="AY378">
        <f t="shared" si="76"/>
        <v>15468.92</v>
      </c>
      <c r="AZ378">
        <f t="shared" si="76"/>
        <v>29004.224999999999</v>
      </c>
      <c r="BA378">
        <f t="shared" si="76"/>
        <v>48340.375</v>
      </c>
      <c r="BB378">
        <f t="shared" si="76"/>
        <v>77344.600000000006</v>
      </c>
      <c r="BC378">
        <f t="shared" si="77"/>
        <v>193361.5</v>
      </c>
      <c r="BD378">
        <f t="shared" si="77"/>
        <v>290042.25</v>
      </c>
      <c r="BE378">
        <f t="shared" si="77"/>
        <v>464067.6</v>
      </c>
      <c r="BF378">
        <f t="shared" si="77"/>
        <v>580084.5</v>
      </c>
      <c r="BG378">
        <f t="shared" si="77"/>
        <v>1933615</v>
      </c>
      <c r="BH378">
        <f t="shared" si="77"/>
        <v>5800845</v>
      </c>
      <c r="BI378">
        <f t="shared" si="77"/>
        <v>16435727.5</v>
      </c>
      <c r="BJ378">
        <f t="shared" si="77"/>
        <v>58008450</v>
      </c>
      <c r="BK378">
        <f t="shared" si="77"/>
        <v>193361500</v>
      </c>
      <c r="BL378">
        <v>373</v>
      </c>
    </row>
    <row r="379" spans="1:64" ht="17.25" thickBot="1" x14ac:dyDescent="0.25">
      <c r="A379" s="131">
        <v>375</v>
      </c>
      <c r="B379" s="132">
        <v>61819672</v>
      </c>
      <c r="D379" s="131">
        <v>375</v>
      </c>
      <c r="E379" s="132">
        <v>19.493649999999999</v>
      </c>
      <c r="AK379">
        <v>373</v>
      </c>
      <c r="AL379" s="24">
        <f t="shared" si="72"/>
        <v>19.38879</v>
      </c>
      <c r="AM379">
        <f t="shared" si="76"/>
        <v>135.72153</v>
      </c>
      <c r="AN379">
        <f t="shared" si="76"/>
        <v>193.8879</v>
      </c>
      <c r="AO379">
        <f t="shared" si="76"/>
        <v>290.83185000000003</v>
      </c>
      <c r="AP379">
        <f t="shared" si="76"/>
        <v>387.7758</v>
      </c>
      <c r="AQ379">
        <f t="shared" si="76"/>
        <v>678.60765000000004</v>
      </c>
      <c r="AR379">
        <f t="shared" si="76"/>
        <v>969.43949999999995</v>
      </c>
      <c r="AS379">
        <f t="shared" si="76"/>
        <v>1551.1032</v>
      </c>
      <c r="AT379">
        <f t="shared" si="76"/>
        <v>2326.6548000000003</v>
      </c>
      <c r="AU379">
        <f t="shared" si="76"/>
        <v>3296.0943000000002</v>
      </c>
      <c r="AV379">
        <f t="shared" si="76"/>
        <v>4653.3096000000005</v>
      </c>
      <c r="AW379">
        <f t="shared" si="76"/>
        <v>6398.3006999999998</v>
      </c>
      <c r="AX379">
        <f t="shared" si="76"/>
        <v>8918.8433999999997</v>
      </c>
      <c r="AY379">
        <f t="shared" si="76"/>
        <v>15511.031999999999</v>
      </c>
      <c r="AZ379">
        <f t="shared" si="76"/>
        <v>29083.185000000001</v>
      </c>
      <c r="BA379">
        <f t="shared" si="76"/>
        <v>48471.974999999999</v>
      </c>
      <c r="BB379">
        <f t="shared" si="76"/>
        <v>77555.16</v>
      </c>
      <c r="BC379">
        <f t="shared" si="77"/>
        <v>193887.9</v>
      </c>
      <c r="BD379">
        <f t="shared" si="77"/>
        <v>290831.84999999998</v>
      </c>
      <c r="BE379">
        <f t="shared" si="77"/>
        <v>465330.96</v>
      </c>
      <c r="BF379">
        <f t="shared" si="77"/>
        <v>581663.69999999995</v>
      </c>
      <c r="BG379">
        <f t="shared" si="77"/>
        <v>1938879</v>
      </c>
      <c r="BH379">
        <f t="shared" si="77"/>
        <v>5816637</v>
      </c>
      <c r="BI379">
        <f t="shared" si="77"/>
        <v>16480471.5</v>
      </c>
      <c r="BJ379">
        <f t="shared" si="77"/>
        <v>58166370</v>
      </c>
      <c r="BK379">
        <f t="shared" si="77"/>
        <v>193887900</v>
      </c>
      <c r="BL379" s="145">
        <v>374</v>
      </c>
    </row>
    <row r="380" spans="1:64" ht="17.25" thickBot="1" x14ac:dyDescent="0.25">
      <c r="A380" s="131">
        <v>376</v>
      </c>
      <c r="B380" s="132">
        <v>62066805</v>
      </c>
      <c r="D380" s="131">
        <v>376</v>
      </c>
      <c r="E380" s="132">
        <v>19.545870000000001</v>
      </c>
      <c r="AK380">
        <v>374</v>
      </c>
      <c r="AL380" s="24">
        <f t="shared" si="72"/>
        <v>19.441289999999999</v>
      </c>
      <c r="AM380">
        <f t="shared" si="76"/>
        <v>136.08902999999998</v>
      </c>
      <c r="AN380">
        <f t="shared" si="76"/>
        <v>194.41289999999998</v>
      </c>
      <c r="AO380">
        <f t="shared" si="76"/>
        <v>291.61935</v>
      </c>
      <c r="AP380">
        <f t="shared" si="76"/>
        <v>388.82579999999996</v>
      </c>
      <c r="AQ380">
        <f t="shared" si="76"/>
        <v>680.4451499999999</v>
      </c>
      <c r="AR380">
        <f t="shared" si="76"/>
        <v>972.06449999999995</v>
      </c>
      <c r="AS380">
        <f t="shared" si="76"/>
        <v>1555.3031999999998</v>
      </c>
      <c r="AT380">
        <f t="shared" si="76"/>
        <v>2332.9548</v>
      </c>
      <c r="AU380">
        <f t="shared" si="76"/>
        <v>3305.0192999999999</v>
      </c>
      <c r="AV380">
        <f t="shared" si="76"/>
        <v>4665.9096</v>
      </c>
      <c r="AW380">
        <f t="shared" si="76"/>
        <v>6415.6256999999996</v>
      </c>
      <c r="AX380">
        <f t="shared" si="76"/>
        <v>8942.9933999999994</v>
      </c>
      <c r="AY380">
        <f t="shared" si="76"/>
        <v>15553.031999999999</v>
      </c>
      <c r="AZ380">
        <f t="shared" si="76"/>
        <v>29161.934999999998</v>
      </c>
      <c r="BA380">
        <f t="shared" si="76"/>
        <v>48603.224999999999</v>
      </c>
      <c r="BB380">
        <f t="shared" si="76"/>
        <v>77765.159999999989</v>
      </c>
      <c r="BC380">
        <f t="shared" si="77"/>
        <v>194412.9</v>
      </c>
      <c r="BD380">
        <f t="shared" si="77"/>
        <v>291619.34999999998</v>
      </c>
      <c r="BE380">
        <f t="shared" si="77"/>
        <v>466590.95999999996</v>
      </c>
      <c r="BF380">
        <f t="shared" si="77"/>
        <v>583238.69999999995</v>
      </c>
      <c r="BG380">
        <f t="shared" si="77"/>
        <v>1944128.9999999998</v>
      </c>
      <c r="BH380">
        <f t="shared" si="77"/>
        <v>5832387</v>
      </c>
      <c r="BI380">
        <f t="shared" si="77"/>
        <v>16525096.499999998</v>
      </c>
      <c r="BJ380">
        <f t="shared" si="77"/>
        <v>58323869.999999993</v>
      </c>
      <c r="BK380">
        <f t="shared" si="77"/>
        <v>194412900</v>
      </c>
      <c r="BL380">
        <v>375</v>
      </c>
    </row>
    <row r="381" spans="1:64" ht="17.25" thickBot="1" x14ac:dyDescent="0.25">
      <c r="A381" s="131">
        <v>377</v>
      </c>
      <c r="B381" s="132">
        <v>62314266</v>
      </c>
      <c r="D381" s="131">
        <v>377</v>
      </c>
      <c r="E381" s="132">
        <v>19.59796</v>
      </c>
      <c r="AK381">
        <v>375</v>
      </c>
      <c r="AL381" s="24">
        <f t="shared" si="72"/>
        <v>19.493649999999999</v>
      </c>
      <c r="AM381">
        <f t="shared" si="76"/>
        <v>136.45554999999999</v>
      </c>
      <c r="AN381">
        <f t="shared" si="76"/>
        <v>194.9365</v>
      </c>
      <c r="AO381">
        <f t="shared" si="76"/>
        <v>292.40474999999998</v>
      </c>
      <c r="AP381">
        <f t="shared" si="76"/>
        <v>389.87299999999999</v>
      </c>
      <c r="AQ381">
        <f t="shared" si="76"/>
        <v>682.27774999999997</v>
      </c>
      <c r="AR381">
        <f t="shared" si="76"/>
        <v>974.68249999999989</v>
      </c>
      <c r="AS381">
        <f t="shared" si="76"/>
        <v>1559.492</v>
      </c>
      <c r="AT381">
        <f t="shared" si="76"/>
        <v>2339.2379999999998</v>
      </c>
      <c r="AU381">
        <f t="shared" si="76"/>
        <v>3313.9204999999997</v>
      </c>
      <c r="AV381">
        <f t="shared" si="76"/>
        <v>4678.4759999999997</v>
      </c>
      <c r="AW381">
        <f t="shared" si="76"/>
        <v>6432.9044999999996</v>
      </c>
      <c r="AX381">
        <f t="shared" si="76"/>
        <v>8967.0789999999997</v>
      </c>
      <c r="AY381">
        <f t="shared" si="76"/>
        <v>15594.919999999998</v>
      </c>
      <c r="AZ381">
        <f t="shared" si="76"/>
        <v>29240.474999999999</v>
      </c>
      <c r="BA381">
        <f t="shared" si="76"/>
        <v>48734.125</v>
      </c>
      <c r="BB381">
        <f t="shared" si="76"/>
        <v>77974.599999999991</v>
      </c>
      <c r="BC381">
        <f t="shared" si="77"/>
        <v>194936.5</v>
      </c>
      <c r="BD381">
        <f t="shared" si="77"/>
        <v>292404.75</v>
      </c>
      <c r="BE381">
        <f t="shared" si="77"/>
        <v>467847.6</v>
      </c>
      <c r="BF381">
        <f t="shared" si="77"/>
        <v>584809.5</v>
      </c>
      <c r="BG381">
        <f t="shared" si="77"/>
        <v>1949364.9999999998</v>
      </c>
      <c r="BH381">
        <f t="shared" si="77"/>
        <v>5848095</v>
      </c>
      <c r="BI381">
        <f t="shared" si="77"/>
        <v>16569602.499999998</v>
      </c>
      <c r="BJ381">
        <f t="shared" si="77"/>
        <v>58480950</v>
      </c>
      <c r="BK381">
        <f t="shared" si="77"/>
        <v>194936500</v>
      </c>
      <c r="BL381" s="145">
        <v>376</v>
      </c>
    </row>
    <row r="382" spans="1:64" ht="17.25" thickBot="1" x14ac:dyDescent="0.25">
      <c r="A382" s="131">
        <v>378</v>
      </c>
      <c r="B382" s="132">
        <v>62562055</v>
      </c>
      <c r="D382" s="131">
        <v>378</v>
      </c>
      <c r="E382" s="132">
        <v>19.649909999999998</v>
      </c>
      <c r="AK382">
        <v>376</v>
      </c>
      <c r="AL382" s="24">
        <f t="shared" si="72"/>
        <v>19.545870000000001</v>
      </c>
      <c r="AM382">
        <f t="shared" si="76"/>
        <v>136.82109</v>
      </c>
      <c r="AN382">
        <f t="shared" si="76"/>
        <v>195.45870000000002</v>
      </c>
      <c r="AO382">
        <f t="shared" si="76"/>
        <v>293.18805000000003</v>
      </c>
      <c r="AP382">
        <f t="shared" si="76"/>
        <v>390.91740000000004</v>
      </c>
      <c r="AQ382">
        <f t="shared" si="76"/>
        <v>684.10545000000002</v>
      </c>
      <c r="AR382">
        <f t="shared" si="76"/>
        <v>977.29349999999999</v>
      </c>
      <c r="AS382">
        <f t="shared" si="76"/>
        <v>1563.6696000000002</v>
      </c>
      <c r="AT382">
        <f t="shared" si="76"/>
        <v>2345.5044000000003</v>
      </c>
      <c r="AU382">
        <f t="shared" si="76"/>
        <v>3322.7979</v>
      </c>
      <c r="AV382">
        <f t="shared" si="76"/>
        <v>4691.0088000000005</v>
      </c>
      <c r="AW382">
        <f t="shared" si="76"/>
        <v>6450.1370999999999</v>
      </c>
      <c r="AX382">
        <f t="shared" si="76"/>
        <v>8991.1002000000008</v>
      </c>
      <c r="AY382">
        <f t="shared" si="76"/>
        <v>15636.696</v>
      </c>
      <c r="AZ382">
        <f t="shared" si="76"/>
        <v>29318.805</v>
      </c>
      <c r="BA382">
        <f t="shared" si="76"/>
        <v>48864.675000000003</v>
      </c>
      <c r="BB382">
        <f t="shared" si="76"/>
        <v>78183.48</v>
      </c>
      <c r="BC382">
        <f t="shared" si="77"/>
        <v>195458.7</v>
      </c>
      <c r="BD382">
        <f t="shared" si="77"/>
        <v>293188.05</v>
      </c>
      <c r="BE382">
        <f t="shared" si="77"/>
        <v>469100.88</v>
      </c>
      <c r="BF382">
        <f t="shared" si="77"/>
        <v>586376.1</v>
      </c>
      <c r="BG382">
        <f t="shared" si="77"/>
        <v>1954587</v>
      </c>
      <c r="BH382">
        <f t="shared" si="77"/>
        <v>5863761</v>
      </c>
      <c r="BI382">
        <f t="shared" si="77"/>
        <v>16613989.5</v>
      </c>
      <c r="BJ382">
        <f t="shared" si="77"/>
        <v>58637610</v>
      </c>
      <c r="BK382">
        <f t="shared" si="77"/>
        <v>195458700</v>
      </c>
      <c r="BL382">
        <v>377</v>
      </c>
    </row>
    <row r="383" spans="1:64" ht="17.25" thickBot="1" x14ac:dyDescent="0.25">
      <c r="A383" s="131">
        <v>379</v>
      </c>
      <c r="B383" s="132">
        <v>62810172</v>
      </c>
      <c r="D383" s="131">
        <v>379</v>
      </c>
      <c r="E383" s="132">
        <v>19.701730000000001</v>
      </c>
      <c r="AK383">
        <v>377</v>
      </c>
      <c r="AL383" s="24">
        <f t="shared" si="72"/>
        <v>19.59796</v>
      </c>
      <c r="AM383">
        <f t="shared" si="76"/>
        <v>137.18572</v>
      </c>
      <c r="AN383">
        <f t="shared" si="76"/>
        <v>195.9796</v>
      </c>
      <c r="AO383">
        <f t="shared" si="76"/>
        <v>293.96940000000001</v>
      </c>
      <c r="AP383">
        <f t="shared" si="76"/>
        <v>391.95920000000001</v>
      </c>
      <c r="AQ383">
        <f t="shared" si="76"/>
        <v>685.92859999999996</v>
      </c>
      <c r="AR383">
        <f t="shared" si="76"/>
        <v>979.89800000000002</v>
      </c>
      <c r="AS383">
        <f t="shared" si="76"/>
        <v>1567.8368</v>
      </c>
      <c r="AT383">
        <f t="shared" si="76"/>
        <v>2351.7552000000001</v>
      </c>
      <c r="AU383">
        <f t="shared" si="76"/>
        <v>3331.6532000000002</v>
      </c>
      <c r="AV383">
        <f t="shared" si="76"/>
        <v>4703.5104000000001</v>
      </c>
      <c r="AW383">
        <f t="shared" si="76"/>
        <v>6467.3267999999998</v>
      </c>
      <c r="AX383">
        <f t="shared" si="76"/>
        <v>9015.0616000000009</v>
      </c>
      <c r="AY383">
        <f t="shared" si="76"/>
        <v>15678.368</v>
      </c>
      <c r="AZ383">
        <f t="shared" si="76"/>
        <v>29396.940000000002</v>
      </c>
      <c r="BA383">
        <f t="shared" si="76"/>
        <v>48994.9</v>
      </c>
      <c r="BB383">
        <f t="shared" si="76"/>
        <v>78391.839999999997</v>
      </c>
      <c r="BC383">
        <f t="shared" si="77"/>
        <v>195979.6</v>
      </c>
      <c r="BD383">
        <f t="shared" si="77"/>
        <v>293969.40000000002</v>
      </c>
      <c r="BE383">
        <f t="shared" si="77"/>
        <v>470351.04000000004</v>
      </c>
      <c r="BF383">
        <f t="shared" si="77"/>
        <v>587938.80000000005</v>
      </c>
      <c r="BG383">
        <f t="shared" si="77"/>
        <v>1959796</v>
      </c>
      <c r="BH383">
        <f t="shared" si="77"/>
        <v>5879388</v>
      </c>
      <c r="BI383">
        <f t="shared" si="77"/>
        <v>16658266</v>
      </c>
      <c r="BJ383">
        <f t="shared" si="77"/>
        <v>58793880</v>
      </c>
      <c r="BK383">
        <f t="shared" si="77"/>
        <v>195979600</v>
      </c>
      <c r="BL383" s="145">
        <v>378</v>
      </c>
    </row>
    <row r="384" spans="1:64" ht="17.25" thickBot="1" x14ac:dyDescent="0.25">
      <c r="A384" s="131">
        <v>380</v>
      </c>
      <c r="B384" s="132">
        <v>63058616</v>
      </c>
      <c r="D384" s="131">
        <v>380</v>
      </c>
      <c r="E384" s="132">
        <v>19.753409999999999</v>
      </c>
      <c r="AK384">
        <v>378</v>
      </c>
      <c r="AL384" s="24">
        <f t="shared" si="72"/>
        <v>19.649909999999998</v>
      </c>
      <c r="AM384">
        <f t="shared" si="76"/>
        <v>137.54936999999998</v>
      </c>
      <c r="AN384">
        <f t="shared" si="76"/>
        <v>196.4991</v>
      </c>
      <c r="AO384">
        <f t="shared" si="76"/>
        <v>294.74865</v>
      </c>
      <c r="AP384">
        <f t="shared" si="76"/>
        <v>392.9982</v>
      </c>
      <c r="AQ384">
        <f t="shared" si="76"/>
        <v>687.74684999999999</v>
      </c>
      <c r="AR384">
        <f t="shared" ref="AM384:BB400" si="78">AR$5*VLOOKUP($AK384,$D$2:$E$1404,2,FALSE)</f>
        <v>982.49549999999988</v>
      </c>
      <c r="AS384">
        <f t="shared" si="78"/>
        <v>1571.9928</v>
      </c>
      <c r="AT384">
        <f t="shared" si="78"/>
        <v>2357.9892</v>
      </c>
      <c r="AU384">
        <f t="shared" si="78"/>
        <v>3340.4846999999995</v>
      </c>
      <c r="AV384">
        <f t="shared" si="78"/>
        <v>4715.9784</v>
      </c>
      <c r="AW384">
        <f t="shared" si="78"/>
        <v>6484.470299999999</v>
      </c>
      <c r="AX384">
        <f t="shared" si="78"/>
        <v>9038.9585999999999</v>
      </c>
      <c r="AY384">
        <f t="shared" si="78"/>
        <v>15719.927999999998</v>
      </c>
      <c r="AZ384">
        <f t="shared" si="78"/>
        <v>29474.864999999998</v>
      </c>
      <c r="BA384">
        <f t="shared" si="78"/>
        <v>49124.774999999994</v>
      </c>
      <c r="BB384">
        <f t="shared" si="78"/>
        <v>78599.64</v>
      </c>
      <c r="BC384">
        <f t="shared" si="77"/>
        <v>196499.09999999998</v>
      </c>
      <c r="BD384">
        <f t="shared" si="77"/>
        <v>294748.64999999997</v>
      </c>
      <c r="BE384">
        <f t="shared" si="77"/>
        <v>471597.83999999997</v>
      </c>
      <c r="BF384">
        <f t="shared" si="77"/>
        <v>589497.29999999993</v>
      </c>
      <c r="BG384">
        <f t="shared" si="77"/>
        <v>1964990.9999999998</v>
      </c>
      <c r="BH384">
        <f t="shared" si="77"/>
        <v>5894972.9999999991</v>
      </c>
      <c r="BI384">
        <f t="shared" si="77"/>
        <v>16702423.499999998</v>
      </c>
      <c r="BJ384">
        <f t="shared" si="77"/>
        <v>58949729.999999993</v>
      </c>
      <c r="BK384">
        <f t="shared" si="77"/>
        <v>196499099.99999997</v>
      </c>
      <c r="BL384">
        <v>379</v>
      </c>
    </row>
    <row r="385" spans="1:64" ht="17.25" thickBot="1" x14ac:dyDescent="0.25">
      <c r="A385" s="131">
        <v>381</v>
      </c>
      <c r="B385" s="132">
        <v>63307388</v>
      </c>
      <c r="D385" s="131">
        <v>381</v>
      </c>
      <c r="E385" s="132">
        <v>19.804960000000001</v>
      </c>
      <c r="AK385">
        <v>379</v>
      </c>
      <c r="AL385" s="24">
        <f t="shared" si="72"/>
        <v>19.701730000000001</v>
      </c>
      <c r="AM385">
        <f t="shared" si="78"/>
        <v>137.91211000000001</v>
      </c>
      <c r="AN385">
        <f t="shared" si="78"/>
        <v>197.01730000000001</v>
      </c>
      <c r="AO385">
        <f t="shared" si="78"/>
        <v>295.52595000000002</v>
      </c>
      <c r="AP385">
        <f t="shared" si="78"/>
        <v>394.03460000000001</v>
      </c>
      <c r="AQ385">
        <f t="shared" si="78"/>
        <v>689.56055000000003</v>
      </c>
      <c r="AR385">
        <f t="shared" si="78"/>
        <v>985.08650000000011</v>
      </c>
      <c r="AS385">
        <f t="shared" si="78"/>
        <v>1576.1384</v>
      </c>
      <c r="AT385">
        <f t="shared" si="78"/>
        <v>2364.2076000000002</v>
      </c>
      <c r="AU385">
        <f t="shared" si="78"/>
        <v>3349.2941000000001</v>
      </c>
      <c r="AV385">
        <f t="shared" si="78"/>
        <v>4728.4152000000004</v>
      </c>
      <c r="AW385">
        <f t="shared" si="78"/>
        <v>6501.5709000000006</v>
      </c>
      <c r="AX385">
        <f t="shared" si="78"/>
        <v>9062.7957999999999</v>
      </c>
      <c r="AY385">
        <f t="shared" si="78"/>
        <v>15761.384000000002</v>
      </c>
      <c r="AZ385">
        <f t="shared" si="78"/>
        <v>29552.595000000001</v>
      </c>
      <c r="BA385">
        <f t="shared" si="78"/>
        <v>49254.325000000004</v>
      </c>
      <c r="BB385">
        <f t="shared" si="78"/>
        <v>78806.92</v>
      </c>
      <c r="BC385">
        <f t="shared" si="77"/>
        <v>197017.30000000002</v>
      </c>
      <c r="BD385">
        <f t="shared" si="77"/>
        <v>295525.95</v>
      </c>
      <c r="BE385">
        <f t="shared" si="77"/>
        <v>472841.52</v>
      </c>
      <c r="BF385">
        <f t="shared" si="77"/>
        <v>591051.9</v>
      </c>
      <c r="BG385">
        <f t="shared" si="77"/>
        <v>1970173.0000000002</v>
      </c>
      <c r="BH385">
        <f t="shared" si="77"/>
        <v>5910519</v>
      </c>
      <c r="BI385">
        <f t="shared" si="77"/>
        <v>16746470.500000002</v>
      </c>
      <c r="BJ385">
        <f t="shared" si="77"/>
        <v>59105190.000000007</v>
      </c>
      <c r="BK385">
        <f t="shared" si="77"/>
        <v>197017300</v>
      </c>
      <c r="BL385" s="145">
        <v>380</v>
      </c>
    </row>
    <row r="386" spans="1:64" ht="17.25" thickBot="1" x14ac:dyDescent="0.25">
      <c r="A386" s="131">
        <v>382</v>
      </c>
      <c r="B386" s="132">
        <v>63556483</v>
      </c>
      <c r="D386" s="131">
        <v>382</v>
      </c>
      <c r="E386" s="132">
        <v>19.856380000000001</v>
      </c>
      <c r="AK386">
        <v>380</v>
      </c>
      <c r="AL386" s="24">
        <f t="shared" si="72"/>
        <v>19.753409999999999</v>
      </c>
      <c r="AM386">
        <f t="shared" si="78"/>
        <v>138.27386999999999</v>
      </c>
      <c r="AN386">
        <f t="shared" si="78"/>
        <v>197.5341</v>
      </c>
      <c r="AO386">
        <f t="shared" si="78"/>
        <v>296.30115000000001</v>
      </c>
      <c r="AP386">
        <f t="shared" si="78"/>
        <v>395.06819999999999</v>
      </c>
      <c r="AQ386">
        <f t="shared" si="78"/>
        <v>691.36934999999994</v>
      </c>
      <c r="AR386">
        <f t="shared" si="78"/>
        <v>987.67049999999995</v>
      </c>
      <c r="AS386">
        <f t="shared" si="78"/>
        <v>1580.2728</v>
      </c>
      <c r="AT386">
        <f t="shared" si="78"/>
        <v>2370.4092000000001</v>
      </c>
      <c r="AU386">
        <f t="shared" si="78"/>
        <v>3358.0796999999998</v>
      </c>
      <c r="AV386">
        <f t="shared" si="78"/>
        <v>4740.8184000000001</v>
      </c>
      <c r="AW386">
        <f t="shared" si="78"/>
        <v>6518.6252999999997</v>
      </c>
      <c r="AX386">
        <f t="shared" si="78"/>
        <v>9086.5685999999987</v>
      </c>
      <c r="AY386">
        <f t="shared" si="78"/>
        <v>15802.727999999999</v>
      </c>
      <c r="AZ386">
        <f t="shared" si="78"/>
        <v>29630.114999999998</v>
      </c>
      <c r="BA386">
        <f t="shared" si="78"/>
        <v>49383.524999999994</v>
      </c>
      <c r="BB386">
        <f t="shared" si="78"/>
        <v>79013.64</v>
      </c>
      <c r="BC386">
        <f t="shared" si="77"/>
        <v>197534.09999999998</v>
      </c>
      <c r="BD386">
        <f t="shared" si="77"/>
        <v>296301.14999999997</v>
      </c>
      <c r="BE386">
        <f t="shared" si="77"/>
        <v>474081.83999999997</v>
      </c>
      <c r="BF386">
        <f t="shared" si="77"/>
        <v>592602.29999999993</v>
      </c>
      <c r="BG386">
        <f t="shared" si="77"/>
        <v>1975340.9999999998</v>
      </c>
      <c r="BH386">
        <f t="shared" si="77"/>
        <v>5926023</v>
      </c>
      <c r="BI386">
        <f t="shared" si="77"/>
        <v>16790398.5</v>
      </c>
      <c r="BJ386">
        <f t="shared" si="77"/>
        <v>59260230</v>
      </c>
      <c r="BK386">
        <f t="shared" si="77"/>
        <v>197534100</v>
      </c>
      <c r="BL386">
        <v>381</v>
      </c>
    </row>
    <row r="387" spans="1:64" ht="17.25" thickBot="1" x14ac:dyDescent="0.25">
      <c r="A387" s="131">
        <v>383</v>
      </c>
      <c r="B387" s="132">
        <v>63805905</v>
      </c>
      <c r="D387" s="131">
        <v>383</v>
      </c>
      <c r="E387" s="132">
        <v>19.90767</v>
      </c>
      <c r="AK387">
        <v>381</v>
      </c>
      <c r="AL387" s="24">
        <f t="shared" si="72"/>
        <v>19.804960000000001</v>
      </c>
      <c r="AM387">
        <f t="shared" si="78"/>
        <v>138.63472000000002</v>
      </c>
      <c r="AN387">
        <f t="shared" si="78"/>
        <v>198.0496</v>
      </c>
      <c r="AO387">
        <f t="shared" si="78"/>
        <v>297.07440000000003</v>
      </c>
      <c r="AP387">
        <f t="shared" si="78"/>
        <v>396.0992</v>
      </c>
      <c r="AQ387">
        <f t="shared" si="78"/>
        <v>693.17360000000008</v>
      </c>
      <c r="AR387">
        <f t="shared" si="78"/>
        <v>990.24800000000005</v>
      </c>
      <c r="AS387">
        <f t="shared" si="78"/>
        <v>1584.3968</v>
      </c>
      <c r="AT387">
        <f t="shared" si="78"/>
        <v>2376.5952000000002</v>
      </c>
      <c r="AU387">
        <f t="shared" si="78"/>
        <v>3366.8432000000003</v>
      </c>
      <c r="AV387">
        <f t="shared" si="78"/>
        <v>4753.1904000000004</v>
      </c>
      <c r="AW387">
        <f t="shared" si="78"/>
        <v>6535.6368000000002</v>
      </c>
      <c r="AX387">
        <f t="shared" si="78"/>
        <v>9110.2816000000003</v>
      </c>
      <c r="AY387">
        <f t="shared" si="78"/>
        <v>15843.968000000001</v>
      </c>
      <c r="AZ387">
        <f t="shared" si="78"/>
        <v>29707.440000000002</v>
      </c>
      <c r="BA387">
        <f t="shared" si="78"/>
        <v>49512.4</v>
      </c>
      <c r="BB387">
        <f t="shared" si="78"/>
        <v>79219.840000000011</v>
      </c>
      <c r="BC387">
        <f t="shared" si="77"/>
        <v>198049.6</v>
      </c>
      <c r="BD387">
        <f t="shared" si="77"/>
        <v>297074.40000000002</v>
      </c>
      <c r="BE387">
        <f t="shared" si="77"/>
        <v>475319.04000000004</v>
      </c>
      <c r="BF387">
        <f t="shared" si="77"/>
        <v>594148.80000000005</v>
      </c>
      <c r="BG387">
        <f t="shared" si="77"/>
        <v>1980496.0000000002</v>
      </c>
      <c r="BH387">
        <f t="shared" si="77"/>
        <v>5941488</v>
      </c>
      <c r="BI387">
        <f t="shared" si="77"/>
        <v>16834216</v>
      </c>
      <c r="BJ387">
        <f t="shared" si="77"/>
        <v>59414880</v>
      </c>
      <c r="BK387">
        <f t="shared" si="77"/>
        <v>198049600</v>
      </c>
      <c r="BL387" s="145">
        <v>382</v>
      </c>
    </row>
    <row r="388" spans="1:64" ht="17.25" thickBot="1" x14ac:dyDescent="0.25">
      <c r="A388" s="131">
        <v>384</v>
      </c>
      <c r="B388" s="132">
        <v>64055655</v>
      </c>
      <c r="D388" s="131">
        <v>384</v>
      </c>
      <c r="E388" s="132">
        <v>19.958829999999999</v>
      </c>
      <c r="AK388">
        <v>382</v>
      </c>
      <c r="AL388" s="24">
        <f t="shared" si="72"/>
        <v>19.856380000000001</v>
      </c>
      <c r="AM388">
        <f t="shared" si="78"/>
        <v>138.99466000000001</v>
      </c>
      <c r="AN388">
        <f t="shared" si="78"/>
        <v>198.56380000000001</v>
      </c>
      <c r="AO388">
        <f t="shared" si="78"/>
        <v>297.84570000000002</v>
      </c>
      <c r="AP388">
        <f t="shared" si="78"/>
        <v>397.12760000000003</v>
      </c>
      <c r="AQ388">
        <f t="shared" si="78"/>
        <v>694.97330000000011</v>
      </c>
      <c r="AR388">
        <f t="shared" si="78"/>
        <v>992.81900000000007</v>
      </c>
      <c r="AS388">
        <f t="shared" si="78"/>
        <v>1588.5104000000001</v>
      </c>
      <c r="AT388">
        <f t="shared" si="78"/>
        <v>2382.7656000000002</v>
      </c>
      <c r="AU388">
        <f t="shared" si="78"/>
        <v>3375.5846000000001</v>
      </c>
      <c r="AV388">
        <f t="shared" si="78"/>
        <v>4765.5312000000004</v>
      </c>
      <c r="AW388">
        <f t="shared" si="78"/>
        <v>6552.6054000000004</v>
      </c>
      <c r="AX388">
        <f t="shared" si="78"/>
        <v>9133.9348000000009</v>
      </c>
      <c r="AY388">
        <f t="shared" si="78"/>
        <v>15885.104000000001</v>
      </c>
      <c r="AZ388">
        <f t="shared" si="78"/>
        <v>29784.570000000003</v>
      </c>
      <c r="BA388">
        <f t="shared" si="78"/>
        <v>49640.950000000004</v>
      </c>
      <c r="BB388">
        <f t="shared" si="78"/>
        <v>79425.52</v>
      </c>
      <c r="BC388">
        <f t="shared" si="77"/>
        <v>198563.80000000002</v>
      </c>
      <c r="BD388">
        <f t="shared" si="77"/>
        <v>297845.7</v>
      </c>
      <c r="BE388">
        <f t="shared" si="77"/>
        <v>476553.12000000005</v>
      </c>
      <c r="BF388">
        <f t="shared" si="77"/>
        <v>595691.4</v>
      </c>
      <c r="BG388">
        <f t="shared" si="77"/>
        <v>1985638.0000000002</v>
      </c>
      <c r="BH388">
        <f t="shared" si="77"/>
        <v>5956914</v>
      </c>
      <c r="BI388">
        <f t="shared" si="77"/>
        <v>16877923</v>
      </c>
      <c r="BJ388">
        <f t="shared" si="77"/>
        <v>59569140.000000007</v>
      </c>
      <c r="BK388">
        <f t="shared" si="77"/>
        <v>198563800</v>
      </c>
      <c r="BL388">
        <v>383</v>
      </c>
    </row>
    <row r="389" spans="1:64" ht="17.25" thickBot="1" x14ac:dyDescent="0.25">
      <c r="A389" s="131">
        <v>385</v>
      </c>
      <c r="B389" s="132">
        <v>64305727</v>
      </c>
      <c r="D389" s="131">
        <v>385</v>
      </c>
      <c r="E389" s="132">
        <v>20.00986</v>
      </c>
      <c r="AK389">
        <v>383</v>
      </c>
      <c r="AL389" s="24">
        <f t="shared" si="72"/>
        <v>19.90767</v>
      </c>
      <c r="AM389">
        <f t="shared" si="78"/>
        <v>139.35369</v>
      </c>
      <c r="AN389">
        <f t="shared" si="78"/>
        <v>199.07669999999999</v>
      </c>
      <c r="AO389">
        <f t="shared" si="78"/>
        <v>298.61505</v>
      </c>
      <c r="AP389">
        <f t="shared" si="78"/>
        <v>398.15339999999998</v>
      </c>
      <c r="AQ389">
        <f t="shared" si="78"/>
        <v>696.76845000000003</v>
      </c>
      <c r="AR389">
        <f t="shared" si="78"/>
        <v>995.38350000000003</v>
      </c>
      <c r="AS389">
        <f t="shared" si="78"/>
        <v>1592.6135999999999</v>
      </c>
      <c r="AT389">
        <f t="shared" si="78"/>
        <v>2388.9204</v>
      </c>
      <c r="AU389">
        <f t="shared" si="78"/>
        <v>3384.3038999999999</v>
      </c>
      <c r="AV389">
        <f t="shared" si="78"/>
        <v>4777.8407999999999</v>
      </c>
      <c r="AW389">
        <f t="shared" si="78"/>
        <v>6569.5311000000002</v>
      </c>
      <c r="AX389">
        <f t="shared" si="78"/>
        <v>9157.5282000000007</v>
      </c>
      <c r="AY389">
        <f t="shared" si="78"/>
        <v>15926.136</v>
      </c>
      <c r="AZ389">
        <f t="shared" si="78"/>
        <v>29861.505000000001</v>
      </c>
      <c r="BA389">
        <f t="shared" si="78"/>
        <v>49769.174999999996</v>
      </c>
      <c r="BB389">
        <f t="shared" si="78"/>
        <v>79630.679999999993</v>
      </c>
      <c r="BC389">
        <f t="shared" si="77"/>
        <v>199076.69999999998</v>
      </c>
      <c r="BD389">
        <f t="shared" si="77"/>
        <v>298615.05</v>
      </c>
      <c r="BE389">
        <f t="shared" si="77"/>
        <v>477784.08</v>
      </c>
      <c r="BF389">
        <f t="shared" si="77"/>
        <v>597230.1</v>
      </c>
      <c r="BG389">
        <f t="shared" si="77"/>
        <v>1990767</v>
      </c>
      <c r="BH389">
        <f t="shared" si="77"/>
        <v>5972301</v>
      </c>
      <c r="BI389">
        <f t="shared" si="77"/>
        <v>16921519.5</v>
      </c>
      <c r="BJ389">
        <f t="shared" si="77"/>
        <v>59723010</v>
      </c>
      <c r="BK389">
        <f t="shared" si="77"/>
        <v>199076700</v>
      </c>
      <c r="BL389" s="145">
        <v>384</v>
      </c>
    </row>
    <row r="390" spans="1:64" ht="17.25" thickBot="1" x14ac:dyDescent="0.25">
      <c r="A390" s="131">
        <v>386</v>
      </c>
      <c r="B390" s="132">
        <v>64556127</v>
      </c>
      <c r="D390" s="131">
        <v>386</v>
      </c>
      <c r="E390" s="132">
        <v>20.060759999999998</v>
      </c>
      <c r="AK390">
        <v>384</v>
      </c>
      <c r="AL390" s="24">
        <f t="shared" si="72"/>
        <v>19.958829999999999</v>
      </c>
      <c r="AM390">
        <f t="shared" si="78"/>
        <v>139.71180999999999</v>
      </c>
      <c r="AN390">
        <f t="shared" si="78"/>
        <v>199.5883</v>
      </c>
      <c r="AO390">
        <f t="shared" si="78"/>
        <v>299.38245000000001</v>
      </c>
      <c r="AP390">
        <f t="shared" si="78"/>
        <v>399.17660000000001</v>
      </c>
      <c r="AQ390">
        <f t="shared" si="78"/>
        <v>698.55904999999996</v>
      </c>
      <c r="AR390">
        <f t="shared" si="78"/>
        <v>997.94149999999991</v>
      </c>
      <c r="AS390">
        <f t="shared" si="78"/>
        <v>1596.7064</v>
      </c>
      <c r="AT390">
        <f t="shared" si="78"/>
        <v>2395.0596</v>
      </c>
      <c r="AU390">
        <f t="shared" si="78"/>
        <v>3393.0011</v>
      </c>
      <c r="AV390">
        <f t="shared" si="78"/>
        <v>4790.1192000000001</v>
      </c>
      <c r="AW390">
        <f t="shared" si="78"/>
        <v>6586.4138999999996</v>
      </c>
      <c r="AX390">
        <f t="shared" si="78"/>
        <v>9181.0617999999995</v>
      </c>
      <c r="AY390">
        <f t="shared" si="78"/>
        <v>15967.063999999998</v>
      </c>
      <c r="AZ390">
        <f t="shared" si="78"/>
        <v>29938.244999999999</v>
      </c>
      <c r="BA390">
        <f t="shared" si="78"/>
        <v>49897.074999999997</v>
      </c>
      <c r="BB390">
        <f t="shared" si="78"/>
        <v>79835.319999999992</v>
      </c>
      <c r="BC390">
        <f t="shared" si="77"/>
        <v>199588.3</v>
      </c>
      <c r="BD390">
        <f t="shared" si="77"/>
        <v>299382.45</v>
      </c>
      <c r="BE390">
        <f t="shared" si="77"/>
        <v>479011.92</v>
      </c>
      <c r="BF390">
        <f t="shared" si="77"/>
        <v>598764.9</v>
      </c>
      <c r="BG390">
        <f t="shared" si="77"/>
        <v>1995883</v>
      </c>
      <c r="BH390">
        <f t="shared" si="77"/>
        <v>5987649</v>
      </c>
      <c r="BI390">
        <f t="shared" si="77"/>
        <v>16965005.5</v>
      </c>
      <c r="BJ390">
        <f t="shared" si="77"/>
        <v>59876490</v>
      </c>
      <c r="BK390">
        <f t="shared" si="77"/>
        <v>199588300</v>
      </c>
      <c r="BL390">
        <v>385</v>
      </c>
    </row>
    <row r="391" spans="1:64" ht="17.25" thickBot="1" x14ac:dyDescent="0.25">
      <c r="A391" s="131">
        <v>387</v>
      </c>
      <c r="B391" s="132">
        <v>64806849</v>
      </c>
      <c r="D391" s="131">
        <v>387</v>
      </c>
      <c r="E391" s="132">
        <v>20.111529999999998</v>
      </c>
      <c r="AK391">
        <v>385</v>
      </c>
      <c r="AL391" s="24">
        <f t="shared" si="72"/>
        <v>20.00986</v>
      </c>
      <c r="AM391">
        <f t="shared" si="78"/>
        <v>140.06901999999999</v>
      </c>
      <c r="AN391">
        <f t="shared" si="78"/>
        <v>200.0986</v>
      </c>
      <c r="AO391">
        <f t="shared" si="78"/>
        <v>300.14789999999999</v>
      </c>
      <c r="AP391">
        <f t="shared" si="78"/>
        <v>400.19720000000001</v>
      </c>
      <c r="AQ391">
        <f t="shared" si="78"/>
        <v>700.3451</v>
      </c>
      <c r="AR391">
        <f t="shared" si="78"/>
        <v>1000.4929999999999</v>
      </c>
      <c r="AS391">
        <f t="shared" si="78"/>
        <v>1600.7888</v>
      </c>
      <c r="AT391">
        <f t="shared" si="78"/>
        <v>2401.1831999999999</v>
      </c>
      <c r="AU391">
        <f t="shared" si="78"/>
        <v>3401.6761999999999</v>
      </c>
      <c r="AV391">
        <f t="shared" si="78"/>
        <v>4802.3663999999999</v>
      </c>
      <c r="AW391">
        <f t="shared" si="78"/>
        <v>6603.2537999999995</v>
      </c>
      <c r="AX391">
        <f t="shared" si="78"/>
        <v>9204.5355999999992</v>
      </c>
      <c r="AY391">
        <f t="shared" si="78"/>
        <v>16007.887999999999</v>
      </c>
      <c r="AZ391">
        <f t="shared" si="78"/>
        <v>30014.79</v>
      </c>
      <c r="BA391">
        <f t="shared" si="78"/>
        <v>50024.65</v>
      </c>
      <c r="BB391">
        <f t="shared" si="78"/>
        <v>80039.44</v>
      </c>
      <c r="BC391">
        <f t="shared" si="77"/>
        <v>200098.6</v>
      </c>
      <c r="BD391">
        <f t="shared" si="77"/>
        <v>300147.90000000002</v>
      </c>
      <c r="BE391">
        <f t="shared" si="77"/>
        <v>480236.64</v>
      </c>
      <c r="BF391">
        <f t="shared" si="77"/>
        <v>600295.80000000005</v>
      </c>
      <c r="BG391">
        <f t="shared" si="77"/>
        <v>2000986</v>
      </c>
      <c r="BH391">
        <f t="shared" si="77"/>
        <v>6002958</v>
      </c>
      <c r="BI391">
        <f t="shared" si="77"/>
        <v>17008381</v>
      </c>
      <c r="BJ391">
        <f t="shared" si="77"/>
        <v>60029580</v>
      </c>
      <c r="BK391">
        <f t="shared" si="77"/>
        <v>200098600</v>
      </c>
      <c r="BL391" s="145">
        <v>386</v>
      </c>
    </row>
    <row r="392" spans="1:64" ht="17.25" thickBot="1" x14ac:dyDescent="0.25">
      <c r="A392" s="131">
        <v>388</v>
      </c>
      <c r="B392" s="132">
        <v>65057894</v>
      </c>
      <c r="D392" s="131">
        <v>388</v>
      </c>
      <c r="E392" s="132">
        <v>20.16217</v>
      </c>
      <c r="AK392">
        <v>386</v>
      </c>
      <c r="AL392" s="24">
        <f t="shared" si="72"/>
        <v>20.060759999999998</v>
      </c>
      <c r="AM392">
        <f t="shared" si="78"/>
        <v>140.42532</v>
      </c>
      <c r="AN392">
        <f t="shared" si="78"/>
        <v>200.60759999999999</v>
      </c>
      <c r="AO392">
        <f t="shared" si="78"/>
        <v>300.91139999999996</v>
      </c>
      <c r="AP392">
        <f t="shared" si="78"/>
        <v>401.21519999999998</v>
      </c>
      <c r="AQ392">
        <f t="shared" si="78"/>
        <v>702.12659999999994</v>
      </c>
      <c r="AR392">
        <f t="shared" si="78"/>
        <v>1003.0379999999999</v>
      </c>
      <c r="AS392">
        <f t="shared" si="78"/>
        <v>1604.8607999999999</v>
      </c>
      <c r="AT392">
        <f t="shared" si="78"/>
        <v>2407.2911999999997</v>
      </c>
      <c r="AU392">
        <f t="shared" si="78"/>
        <v>3410.3291999999997</v>
      </c>
      <c r="AV392">
        <f t="shared" si="78"/>
        <v>4814.5823999999993</v>
      </c>
      <c r="AW392">
        <f t="shared" si="78"/>
        <v>6620.0507999999991</v>
      </c>
      <c r="AX392">
        <f t="shared" si="78"/>
        <v>9227.9495999999999</v>
      </c>
      <c r="AY392">
        <f t="shared" si="78"/>
        <v>16048.607999999998</v>
      </c>
      <c r="AZ392">
        <f t="shared" si="78"/>
        <v>30091.139999999996</v>
      </c>
      <c r="BA392">
        <f t="shared" si="78"/>
        <v>50151.899999999994</v>
      </c>
      <c r="BB392">
        <f t="shared" si="78"/>
        <v>80243.039999999994</v>
      </c>
      <c r="BC392">
        <f t="shared" si="77"/>
        <v>200607.59999999998</v>
      </c>
      <c r="BD392">
        <f t="shared" si="77"/>
        <v>300911.39999999997</v>
      </c>
      <c r="BE392">
        <f t="shared" si="77"/>
        <v>481458.23999999993</v>
      </c>
      <c r="BF392">
        <f t="shared" si="77"/>
        <v>601822.79999999993</v>
      </c>
      <c r="BG392">
        <f t="shared" si="77"/>
        <v>2006075.9999999998</v>
      </c>
      <c r="BH392">
        <f t="shared" si="77"/>
        <v>6018227.9999999991</v>
      </c>
      <c r="BI392">
        <f t="shared" si="77"/>
        <v>17051646</v>
      </c>
      <c r="BJ392">
        <f t="shared" si="77"/>
        <v>60182279.999999993</v>
      </c>
      <c r="BK392">
        <f t="shared" si="77"/>
        <v>200607599.99999997</v>
      </c>
      <c r="BL392">
        <v>387</v>
      </c>
    </row>
    <row r="393" spans="1:64" ht="17.25" thickBot="1" x14ac:dyDescent="0.25">
      <c r="A393" s="131">
        <v>389</v>
      </c>
      <c r="B393" s="132">
        <v>65309261</v>
      </c>
      <c r="D393" s="131">
        <v>389</v>
      </c>
      <c r="E393" s="132">
        <v>20.212679999999999</v>
      </c>
      <c r="AK393">
        <v>387</v>
      </c>
      <c r="AL393" s="24">
        <f t="shared" si="72"/>
        <v>20.111529999999998</v>
      </c>
      <c r="AM393">
        <f t="shared" si="78"/>
        <v>140.78071</v>
      </c>
      <c r="AN393">
        <f t="shared" si="78"/>
        <v>201.11529999999999</v>
      </c>
      <c r="AO393">
        <f t="shared" si="78"/>
        <v>301.67294999999996</v>
      </c>
      <c r="AP393">
        <f t="shared" si="78"/>
        <v>402.23059999999998</v>
      </c>
      <c r="AQ393">
        <f t="shared" si="78"/>
        <v>703.90355</v>
      </c>
      <c r="AR393">
        <f t="shared" si="78"/>
        <v>1005.5764999999999</v>
      </c>
      <c r="AS393">
        <f t="shared" si="78"/>
        <v>1608.9223999999999</v>
      </c>
      <c r="AT393">
        <f t="shared" si="78"/>
        <v>2413.3835999999997</v>
      </c>
      <c r="AU393">
        <f t="shared" si="78"/>
        <v>3418.9600999999998</v>
      </c>
      <c r="AV393">
        <f t="shared" si="78"/>
        <v>4826.7671999999993</v>
      </c>
      <c r="AW393">
        <f t="shared" si="78"/>
        <v>6636.8048999999992</v>
      </c>
      <c r="AX393">
        <f t="shared" si="78"/>
        <v>9251.3037999999997</v>
      </c>
      <c r="AY393">
        <f t="shared" si="78"/>
        <v>16089.223999999998</v>
      </c>
      <c r="AZ393">
        <f t="shared" si="78"/>
        <v>30167.294999999998</v>
      </c>
      <c r="BA393">
        <f t="shared" si="78"/>
        <v>50278.824999999997</v>
      </c>
      <c r="BB393">
        <f t="shared" si="78"/>
        <v>80446.12</v>
      </c>
      <c r="BC393">
        <f t="shared" si="77"/>
        <v>201115.3</v>
      </c>
      <c r="BD393">
        <f t="shared" si="77"/>
        <v>301672.94999999995</v>
      </c>
      <c r="BE393">
        <f t="shared" si="77"/>
        <v>482676.72</v>
      </c>
      <c r="BF393">
        <f t="shared" si="77"/>
        <v>603345.89999999991</v>
      </c>
      <c r="BG393">
        <f t="shared" si="77"/>
        <v>2011152.9999999998</v>
      </c>
      <c r="BH393">
        <f t="shared" si="77"/>
        <v>6033458.9999999991</v>
      </c>
      <c r="BI393">
        <f t="shared" si="77"/>
        <v>17094800.5</v>
      </c>
      <c r="BJ393">
        <f t="shared" si="77"/>
        <v>60334589.999999993</v>
      </c>
      <c r="BK393">
        <f t="shared" si="77"/>
        <v>201115299.99999997</v>
      </c>
      <c r="BL393" s="145">
        <v>388</v>
      </c>
    </row>
    <row r="394" spans="1:64" ht="17.25" thickBot="1" x14ac:dyDescent="0.25">
      <c r="A394" s="131">
        <v>390</v>
      </c>
      <c r="B394" s="132">
        <v>65560955</v>
      </c>
      <c r="D394" s="131">
        <v>390</v>
      </c>
      <c r="E394" s="132">
        <v>20.263059999999999</v>
      </c>
      <c r="AK394">
        <v>388</v>
      </c>
      <c r="AL394" s="24">
        <f t="shared" si="72"/>
        <v>20.16217</v>
      </c>
      <c r="AM394">
        <f t="shared" si="78"/>
        <v>141.13518999999999</v>
      </c>
      <c r="AN394">
        <f t="shared" si="78"/>
        <v>201.6217</v>
      </c>
      <c r="AO394">
        <f t="shared" si="78"/>
        <v>302.43254999999999</v>
      </c>
      <c r="AP394">
        <f t="shared" si="78"/>
        <v>403.24340000000001</v>
      </c>
      <c r="AQ394">
        <f t="shared" si="78"/>
        <v>705.67594999999994</v>
      </c>
      <c r="AR394">
        <f t="shared" si="78"/>
        <v>1008.1084999999999</v>
      </c>
      <c r="AS394">
        <f t="shared" si="78"/>
        <v>1612.9736</v>
      </c>
      <c r="AT394">
        <f t="shared" si="78"/>
        <v>2419.4603999999999</v>
      </c>
      <c r="AU394">
        <f t="shared" si="78"/>
        <v>3427.5688999999998</v>
      </c>
      <c r="AV394">
        <f t="shared" si="78"/>
        <v>4838.9207999999999</v>
      </c>
      <c r="AW394">
        <f t="shared" si="78"/>
        <v>6653.5160999999998</v>
      </c>
      <c r="AX394">
        <f t="shared" si="78"/>
        <v>9274.5982000000004</v>
      </c>
      <c r="AY394">
        <f t="shared" si="78"/>
        <v>16129.735999999999</v>
      </c>
      <c r="AZ394">
        <f t="shared" si="78"/>
        <v>30243.255000000001</v>
      </c>
      <c r="BA394">
        <f t="shared" si="78"/>
        <v>50405.424999999996</v>
      </c>
      <c r="BB394">
        <f t="shared" si="78"/>
        <v>80648.679999999993</v>
      </c>
      <c r="BC394">
        <f t="shared" si="77"/>
        <v>201621.69999999998</v>
      </c>
      <c r="BD394">
        <f t="shared" si="77"/>
        <v>302432.55</v>
      </c>
      <c r="BE394">
        <f t="shared" si="77"/>
        <v>483892.08</v>
      </c>
      <c r="BF394">
        <f t="shared" si="77"/>
        <v>604865.1</v>
      </c>
      <c r="BG394">
        <f t="shared" si="77"/>
        <v>2016217</v>
      </c>
      <c r="BH394">
        <f t="shared" si="77"/>
        <v>6048651</v>
      </c>
      <c r="BI394">
        <f t="shared" si="77"/>
        <v>17137844.5</v>
      </c>
      <c r="BJ394">
        <f t="shared" si="77"/>
        <v>60486510</v>
      </c>
      <c r="BK394">
        <f t="shared" si="77"/>
        <v>201621700</v>
      </c>
      <c r="BL394">
        <v>389</v>
      </c>
    </row>
    <row r="395" spans="1:64" ht="17.25" thickBot="1" x14ac:dyDescent="0.25">
      <c r="A395" s="131">
        <v>391</v>
      </c>
      <c r="B395" s="132">
        <v>65812972</v>
      </c>
      <c r="D395" s="131">
        <v>391</v>
      </c>
      <c r="E395" s="132">
        <v>20.313320000000001</v>
      </c>
      <c r="AK395">
        <v>389</v>
      </c>
      <c r="AL395" s="24">
        <f t="shared" si="72"/>
        <v>20.212679999999999</v>
      </c>
      <c r="AM395">
        <f t="shared" si="78"/>
        <v>141.48875999999998</v>
      </c>
      <c r="AN395">
        <f t="shared" si="78"/>
        <v>202.1268</v>
      </c>
      <c r="AO395">
        <f t="shared" si="78"/>
        <v>303.1902</v>
      </c>
      <c r="AP395">
        <f t="shared" si="78"/>
        <v>404.25360000000001</v>
      </c>
      <c r="AQ395">
        <f t="shared" si="78"/>
        <v>707.44380000000001</v>
      </c>
      <c r="AR395">
        <f t="shared" si="78"/>
        <v>1010.6339999999999</v>
      </c>
      <c r="AS395">
        <f t="shared" si="78"/>
        <v>1617.0144</v>
      </c>
      <c r="AT395">
        <f t="shared" si="78"/>
        <v>2425.5216</v>
      </c>
      <c r="AU395">
        <f t="shared" si="78"/>
        <v>3436.1555999999996</v>
      </c>
      <c r="AV395">
        <f t="shared" si="78"/>
        <v>4851.0432000000001</v>
      </c>
      <c r="AW395">
        <f t="shared" si="78"/>
        <v>6670.1843999999992</v>
      </c>
      <c r="AX395">
        <f t="shared" si="78"/>
        <v>9297.8328000000001</v>
      </c>
      <c r="AY395">
        <f t="shared" si="78"/>
        <v>16170.143999999998</v>
      </c>
      <c r="AZ395">
        <f t="shared" si="78"/>
        <v>30319.019999999997</v>
      </c>
      <c r="BA395">
        <f t="shared" si="78"/>
        <v>50531.7</v>
      </c>
      <c r="BB395">
        <f t="shared" si="78"/>
        <v>80850.720000000001</v>
      </c>
      <c r="BC395">
        <f t="shared" si="77"/>
        <v>202126.8</v>
      </c>
      <c r="BD395">
        <f t="shared" si="77"/>
        <v>303190.2</v>
      </c>
      <c r="BE395">
        <f t="shared" si="77"/>
        <v>485104.31999999995</v>
      </c>
      <c r="BF395">
        <f t="shared" si="77"/>
        <v>606380.4</v>
      </c>
      <c r="BG395">
        <f t="shared" si="77"/>
        <v>2021268</v>
      </c>
      <c r="BH395">
        <f t="shared" si="77"/>
        <v>6063804</v>
      </c>
      <c r="BI395">
        <f t="shared" si="77"/>
        <v>17180778</v>
      </c>
      <c r="BJ395">
        <f t="shared" si="77"/>
        <v>60638040</v>
      </c>
      <c r="BK395">
        <f t="shared" si="77"/>
        <v>202126800</v>
      </c>
      <c r="BL395" s="145">
        <v>390</v>
      </c>
    </row>
    <row r="396" spans="1:64" ht="17.25" thickBot="1" x14ac:dyDescent="0.25">
      <c r="A396" s="131">
        <v>392</v>
      </c>
      <c r="B396" s="132">
        <v>66065311</v>
      </c>
      <c r="D396" s="131">
        <v>392</v>
      </c>
      <c r="E396" s="132">
        <v>20.36345</v>
      </c>
      <c r="AK396">
        <v>390</v>
      </c>
      <c r="AL396" s="24">
        <f t="shared" si="72"/>
        <v>20.263059999999999</v>
      </c>
      <c r="AM396">
        <f t="shared" si="78"/>
        <v>141.84142</v>
      </c>
      <c r="AN396">
        <f t="shared" si="78"/>
        <v>202.63059999999999</v>
      </c>
      <c r="AO396">
        <f t="shared" si="78"/>
        <v>303.94589999999999</v>
      </c>
      <c r="AP396">
        <f t="shared" si="78"/>
        <v>405.26119999999997</v>
      </c>
      <c r="AQ396">
        <f t="shared" si="78"/>
        <v>709.20709999999997</v>
      </c>
      <c r="AR396">
        <f t="shared" si="78"/>
        <v>1013.153</v>
      </c>
      <c r="AS396">
        <f t="shared" si="78"/>
        <v>1621.0447999999999</v>
      </c>
      <c r="AT396">
        <f t="shared" si="78"/>
        <v>2431.5672</v>
      </c>
      <c r="AU396">
        <f t="shared" si="78"/>
        <v>3444.7201999999997</v>
      </c>
      <c r="AV396">
        <f t="shared" si="78"/>
        <v>4863.1343999999999</v>
      </c>
      <c r="AW396">
        <f t="shared" si="78"/>
        <v>6686.8098</v>
      </c>
      <c r="AX396">
        <f t="shared" si="78"/>
        <v>9321.007599999999</v>
      </c>
      <c r="AY396">
        <f t="shared" si="78"/>
        <v>16210.448</v>
      </c>
      <c r="AZ396">
        <f t="shared" si="78"/>
        <v>30394.59</v>
      </c>
      <c r="BA396">
        <f t="shared" si="78"/>
        <v>50657.65</v>
      </c>
      <c r="BB396">
        <f t="shared" si="78"/>
        <v>81052.239999999991</v>
      </c>
      <c r="BC396">
        <f t="shared" si="77"/>
        <v>202630.6</v>
      </c>
      <c r="BD396">
        <f t="shared" si="77"/>
        <v>303945.89999999997</v>
      </c>
      <c r="BE396">
        <f t="shared" si="77"/>
        <v>486313.44</v>
      </c>
      <c r="BF396">
        <f t="shared" si="77"/>
        <v>607891.79999999993</v>
      </c>
      <c r="BG396">
        <f t="shared" si="77"/>
        <v>2026306</v>
      </c>
      <c r="BH396">
        <f t="shared" si="77"/>
        <v>6078918</v>
      </c>
      <c r="BI396">
        <f t="shared" si="77"/>
        <v>17223601</v>
      </c>
      <c r="BJ396">
        <f t="shared" si="77"/>
        <v>60789180</v>
      </c>
      <c r="BK396">
        <f t="shared" si="77"/>
        <v>202630600</v>
      </c>
      <c r="BL396">
        <v>391</v>
      </c>
    </row>
    <row r="397" spans="1:64" ht="17.25" thickBot="1" x14ac:dyDescent="0.25">
      <c r="A397" s="131">
        <v>393</v>
      </c>
      <c r="B397" s="132">
        <v>66317966</v>
      </c>
      <c r="D397" s="131">
        <v>393</v>
      </c>
      <c r="E397" s="132">
        <v>20.413450000000001</v>
      </c>
      <c r="AK397">
        <v>391</v>
      </c>
      <c r="AL397" s="24">
        <f t="shared" si="72"/>
        <v>20.313320000000001</v>
      </c>
      <c r="AM397">
        <f t="shared" si="78"/>
        <v>142.19324</v>
      </c>
      <c r="AN397">
        <f t="shared" si="78"/>
        <v>203.13320000000002</v>
      </c>
      <c r="AO397">
        <f t="shared" si="78"/>
        <v>304.69980000000004</v>
      </c>
      <c r="AP397">
        <f t="shared" si="78"/>
        <v>406.26640000000003</v>
      </c>
      <c r="AQ397">
        <f t="shared" si="78"/>
        <v>710.96620000000007</v>
      </c>
      <c r="AR397">
        <f t="shared" si="78"/>
        <v>1015.6660000000001</v>
      </c>
      <c r="AS397">
        <f t="shared" si="78"/>
        <v>1625.0656000000001</v>
      </c>
      <c r="AT397">
        <f t="shared" si="78"/>
        <v>2437.5984000000003</v>
      </c>
      <c r="AU397">
        <f t="shared" si="78"/>
        <v>3453.2644</v>
      </c>
      <c r="AV397">
        <f t="shared" si="78"/>
        <v>4875.1968000000006</v>
      </c>
      <c r="AW397">
        <f t="shared" si="78"/>
        <v>6703.3956000000007</v>
      </c>
      <c r="AX397">
        <f t="shared" si="78"/>
        <v>9344.1272000000008</v>
      </c>
      <c r="AY397">
        <f t="shared" si="78"/>
        <v>16250.656000000001</v>
      </c>
      <c r="AZ397">
        <f t="shared" si="78"/>
        <v>30469.980000000003</v>
      </c>
      <c r="BA397">
        <f t="shared" si="78"/>
        <v>50783.3</v>
      </c>
      <c r="BB397">
        <f t="shared" si="78"/>
        <v>81253.279999999999</v>
      </c>
      <c r="BC397">
        <f t="shared" si="77"/>
        <v>203133.2</v>
      </c>
      <c r="BD397">
        <f t="shared" si="77"/>
        <v>304699.8</v>
      </c>
      <c r="BE397">
        <f t="shared" si="77"/>
        <v>487519.68000000005</v>
      </c>
      <c r="BF397">
        <f t="shared" si="77"/>
        <v>609399.6</v>
      </c>
      <c r="BG397">
        <f t="shared" si="77"/>
        <v>2031332</v>
      </c>
      <c r="BH397">
        <f t="shared" si="77"/>
        <v>6093996</v>
      </c>
      <c r="BI397">
        <f t="shared" si="77"/>
        <v>17266322</v>
      </c>
      <c r="BJ397">
        <f t="shared" si="77"/>
        <v>60939960</v>
      </c>
      <c r="BK397">
        <f t="shared" si="77"/>
        <v>203133200</v>
      </c>
      <c r="BL397" s="145">
        <v>392</v>
      </c>
    </row>
    <row r="398" spans="1:64" ht="17.25" thickBot="1" x14ac:dyDescent="0.25">
      <c r="A398" s="131">
        <v>394</v>
      </c>
      <c r="B398" s="132">
        <v>66570944</v>
      </c>
      <c r="D398" s="131">
        <v>394</v>
      </c>
      <c r="E398" s="132">
        <v>20.463329999999999</v>
      </c>
      <c r="AK398">
        <v>392</v>
      </c>
      <c r="AL398" s="24">
        <f t="shared" si="72"/>
        <v>20.36345</v>
      </c>
      <c r="AM398">
        <f t="shared" si="78"/>
        <v>142.54415</v>
      </c>
      <c r="AN398">
        <f t="shared" si="78"/>
        <v>203.6345</v>
      </c>
      <c r="AO398">
        <f t="shared" si="78"/>
        <v>305.45175</v>
      </c>
      <c r="AP398">
        <f t="shared" si="78"/>
        <v>407.26900000000001</v>
      </c>
      <c r="AQ398">
        <f t="shared" si="78"/>
        <v>712.72074999999995</v>
      </c>
      <c r="AR398">
        <f t="shared" si="78"/>
        <v>1018.1725</v>
      </c>
      <c r="AS398">
        <f t="shared" si="78"/>
        <v>1629.076</v>
      </c>
      <c r="AT398">
        <f t="shared" si="78"/>
        <v>2443.614</v>
      </c>
      <c r="AU398">
        <f t="shared" si="78"/>
        <v>3461.7865000000002</v>
      </c>
      <c r="AV398">
        <f t="shared" si="78"/>
        <v>4887.2280000000001</v>
      </c>
      <c r="AW398">
        <f t="shared" si="78"/>
        <v>6719.9385000000002</v>
      </c>
      <c r="AX398">
        <f t="shared" si="78"/>
        <v>9367.1869999999999</v>
      </c>
      <c r="AY398">
        <f t="shared" si="78"/>
        <v>16290.76</v>
      </c>
      <c r="AZ398">
        <f t="shared" si="78"/>
        <v>30545.174999999999</v>
      </c>
      <c r="BA398">
        <f t="shared" si="78"/>
        <v>50908.625</v>
      </c>
      <c r="BB398">
        <f t="shared" si="78"/>
        <v>81453.8</v>
      </c>
      <c r="BC398">
        <f t="shared" si="77"/>
        <v>203634.5</v>
      </c>
      <c r="BD398">
        <f t="shared" si="77"/>
        <v>305451.75</v>
      </c>
      <c r="BE398">
        <f t="shared" si="77"/>
        <v>488722.8</v>
      </c>
      <c r="BF398">
        <f t="shared" si="77"/>
        <v>610903.5</v>
      </c>
      <c r="BG398">
        <f t="shared" si="77"/>
        <v>2036345</v>
      </c>
      <c r="BH398">
        <f t="shared" si="77"/>
        <v>6109035</v>
      </c>
      <c r="BI398">
        <f t="shared" si="77"/>
        <v>17308932.5</v>
      </c>
      <c r="BJ398">
        <f t="shared" si="77"/>
        <v>61090350</v>
      </c>
      <c r="BK398">
        <f t="shared" si="77"/>
        <v>203634500</v>
      </c>
      <c r="BL398">
        <v>393</v>
      </c>
    </row>
    <row r="399" spans="1:64" ht="17.25" thickBot="1" x14ac:dyDescent="0.25">
      <c r="A399" s="131">
        <v>395</v>
      </c>
      <c r="B399" s="132">
        <v>66824244</v>
      </c>
      <c r="D399" s="131">
        <v>395</v>
      </c>
      <c r="E399" s="132">
        <v>20.513089999999998</v>
      </c>
      <c r="AK399">
        <v>393</v>
      </c>
      <c r="AL399" s="24">
        <f t="shared" ref="AL399:AL462" si="79">VLOOKUP(AK399,D$2:E$1404,2,FALSE)</f>
        <v>20.413450000000001</v>
      </c>
      <c r="AM399">
        <f t="shared" si="78"/>
        <v>142.89415</v>
      </c>
      <c r="AN399">
        <f t="shared" si="78"/>
        <v>204.1345</v>
      </c>
      <c r="AO399">
        <f t="shared" si="78"/>
        <v>306.20175</v>
      </c>
      <c r="AP399">
        <f t="shared" si="78"/>
        <v>408.26900000000001</v>
      </c>
      <c r="AQ399">
        <f t="shared" si="78"/>
        <v>714.47075000000007</v>
      </c>
      <c r="AR399">
        <f t="shared" si="78"/>
        <v>1020.6725</v>
      </c>
      <c r="AS399">
        <f t="shared" si="78"/>
        <v>1633.076</v>
      </c>
      <c r="AT399">
        <f t="shared" si="78"/>
        <v>2449.614</v>
      </c>
      <c r="AU399">
        <f t="shared" si="78"/>
        <v>3470.2865000000002</v>
      </c>
      <c r="AV399">
        <f t="shared" si="78"/>
        <v>4899.2280000000001</v>
      </c>
      <c r="AW399">
        <f t="shared" si="78"/>
        <v>6736.4385000000002</v>
      </c>
      <c r="AX399">
        <f t="shared" si="78"/>
        <v>9390.1869999999999</v>
      </c>
      <c r="AY399">
        <f t="shared" si="78"/>
        <v>16330.76</v>
      </c>
      <c r="AZ399">
        <f t="shared" si="78"/>
        <v>30620.175000000003</v>
      </c>
      <c r="BA399">
        <f t="shared" si="78"/>
        <v>51033.625</v>
      </c>
      <c r="BB399">
        <f t="shared" si="78"/>
        <v>81653.8</v>
      </c>
      <c r="BC399">
        <f t="shared" si="77"/>
        <v>204134.5</v>
      </c>
      <c r="BD399">
        <f t="shared" si="77"/>
        <v>306201.75</v>
      </c>
      <c r="BE399">
        <f t="shared" si="77"/>
        <v>489922.80000000005</v>
      </c>
      <c r="BF399">
        <f t="shared" si="77"/>
        <v>612403.5</v>
      </c>
      <c r="BG399">
        <f t="shared" si="77"/>
        <v>2041345</v>
      </c>
      <c r="BH399">
        <f t="shared" si="77"/>
        <v>6124035</v>
      </c>
      <c r="BI399">
        <f t="shared" si="77"/>
        <v>17351432.5</v>
      </c>
      <c r="BJ399">
        <f t="shared" si="77"/>
        <v>61240350</v>
      </c>
      <c r="BK399">
        <f t="shared" si="77"/>
        <v>204134500</v>
      </c>
      <c r="BL399" s="145">
        <v>394</v>
      </c>
    </row>
    <row r="400" spans="1:64" ht="17.25" thickBot="1" x14ac:dyDescent="0.25">
      <c r="A400" s="131">
        <v>396</v>
      </c>
      <c r="B400" s="132">
        <v>67077866</v>
      </c>
      <c r="D400" s="131">
        <v>396</v>
      </c>
      <c r="E400" s="132">
        <v>20.562719999999999</v>
      </c>
      <c r="AK400">
        <v>394</v>
      </c>
      <c r="AL400" s="24">
        <f t="shared" si="79"/>
        <v>20.463329999999999</v>
      </c>
      <c r="AM400">
        <f t="shared" si="78"/>
        <v>143.24331000000001</v>
      </c>
      <c r="AN400">
        <f t="shared" si="78"/>
        <v>204.63329999999999</v>
      </c>
      <c r="AO400">
        <f t="shared" si="78"/>
        <v>306.94995</v>
      </c>
      <c r="AP400">
        <f t="shared" si="78"/>
        <v>409.26659999999998</v>
      </c>
      <c r="AQ400">
        <f t="shared" ref="AM400:BB416" si="80">AQ$5*VLOOKUP($AK400,$D$2:$E$1404,2,FALSE)</f>
        <v>716.21654999999998</v>
      </c>
      <c r="AR400">
        <f t="shared" si="80"/>
        <v>1023.1664999999999</v>
      </c>
      <c r="AS400">
        <f t="shared" si="80"/>
        <v>1637.0663999999999</v>
      </c>
      <c r="AT400">
        <f t="shared" si="80"/>
        <v>2455.5996</v>
      </c>
      <c r="AU400">
        <f t="shared" si="80"/>
        <v>3478.7660999999998</v>
      </c>
      <c r="AV400">
        <f t="shared" si="80"/>
        <v>4911.1992</v>
      </c>
      <c r="AW400">
        <f t="shared" si="80"/>
        <v>6752.8989000000001</v>
      </c>
      <c r="AX400">
        <f t="shared" si="80"/>
        <v>9413.1317999999992</v>
      </c>
      <c r="AY400">
        <f t="shared" si="80"/>
        <v>16370.663999999999</v>
      </c>
      <c r="AZ400">
        <f t="shared" si="80"/>
        <v>30694.994999999999</v>
      </c>
      <c r="BA400">
        <f t="shared" si="80"/>
        <v>51158.324999999997</v>
      </c>
      <c r="BB400">
        <f t="shared" si="80"/>
        <v>81853.319999999992</v>
      </c>
      <c r="BC400">
        <f t="shared" si="77"/>
        <v>204633.3</v>
      </c>
      <c r="BD400">
        <f t="shared" si="77"/>
        <v>306949.95</v>
      </c>
      <c r="BE400">
        <f t="shared" si="77"/>
        <v>491119.92</v>
      </c>
      <c r="BF400">
        <f t="shared" si="77"/>
        <v>613899.9</v>
      </c>
      <c r="BG400">
        <f t="shared" si="77"/>
        <v>2046333</v>
      </c>
      <c r="BH400">
        <f t="shared" si="77"/>
        <v>6138999</v>
      </c>
      <c r="BI400">
        <f t="shared" si="77"/>
        <v>17393830.5</v>
      </c>
      <c r="BJ400">
        <f t="shared" si="77"/>
        <v>61389990</v>
      </c>
      <c r="BK400">
        <f t="shared" si="77"/>
        <v>204633300</v>
      </c>
      <c r="BL400">
        <v>395</v>
      </c>
    </row>
    <row r="401" spans="1:64" ht="17.25" thickBot="1" x14ac:dyDescent="0.25">
      <c r="A401" s="131">
        <v>397</v>
      </c>
      <c r="B401" s="132">
        <v>67331805</v>
      </c>
      <c r="D401" s="131">
        <v>397</v>
      </c>
      <c r="E401" s="132">
        <v>20.61223</v>
      </c>
      <c r="AK401">
        <v>395</v>
      </c>
      <c r="AL401" s="24">
        <f t="shared" si="79"/>
        <v>20.513089999999998</v>
      </c>
      <c r="AM401">
        <f t="shared" si="80"/>
        <v>143.59162999999998</v>
      </c>
      <c r="AN401">
        <f t="shared" si="80"/>
        <v>205.1309</v>
      </c>
      <c r="AO401">
        <f t="shared" si="80"/>
        <v>307.69635</v>
      </c>
      <c r="AP401">
        <f t="shared" si="80"/>
        <v>410.26179999999999</v>
      </c>
      <c r="AQ401">
        <f t="shared" si="80"/>
        <v>717.95814999999993</v>
      </c>
      <c r="AR401">
        <f t="shared" si="80"/>
        <v>1025.6544999999999</v>
      </c>
      <c r="AS401">
        <f t="shared" si="80"/>
        <v>1641.0472</v>
      </c>
      <c r="AT401">
        <f t="shared" si="80"/>
        <v>2461.5708</v>
      </c>
      <c r="AU401">
        <f t="shared" si="80"/>
        <v>3487.2252999999996</v>
      </c>
      <c r="AV401">
        <f t="shared" si="80"/>
        <v>4923.1415999999999</v>
      </c>
      <c r="AW401">
        <f t="shared" si="80"/>
        <v>6769.3196999999991</v>
      </c>
      <c r="AX401">
        <f t="shared" si="80"/>
        <v>9436.0213999999996</v>
      </c>
      <c r="AY401">
        <f t="shared" si="80"/>
        <v>16410.471999999998</v>
      </c>
      <c r="AZ401">
        <f t="shared" si="80"/>
        <v>30769.634999999998</v>
      </c>
      <c r="BA401">
        <f t="shared" si="80"/>
        <v>51282.724999999999</v>
      </c>
      <c r="BB401">
        <f t="shared" si="80"/>
        <v>82052.359999999986</v>
      </c>
      <c r="BC401">
        <f t="shared" si="77"/>
        <v>205130.9</v>
      </c>
      <c r="BD401">
        <f t="shared" si="77"/>
        <v>307696.34999999998</v>
      </c>
      <c r="BE401">
        <f t="shared" si="77"/>
        <v>492314.16</v>
      </c>
      <c r="BF401">
        <f t="shared" si="77"/>
        <v>615392.69999999995</v>
      </c>
      <c r="BG401">
        <f t="shared" si="77"/>
        <v>2051308.9999999998</v>
      </c>
      <c r="BH401">
        <f t="shared" si="77"/>
        <v>6153926.9999999991</v>
      </c>
      <c r="BI401">
        <f t="shared" si="77"/>
        <v>17436126.5</v>
      </c>
      <c r="BJ401">
        <f t="shared" si="77"/>
        <v>61539269.999999993</v>
      </c>
      <c r="BK401">
        <f t="shared" si="77"/>
        <v>205130899.99999997</v>
      </c>
      <c r="BL401" s="145">
        <v>396</v>
      </c>
    </row>
    <row r="402" spans="1:64" ht="17.25" thickBot="1" x14ac:dyDescent="0.25">
      <c r="A402" s="131">
        <v>398</v>
      </c>
      <c r="B402" s="132">
        <v>67586066</v>
      </c>
      <c r="D402" s="131">
        <v>398</v>
      </c>
      <c r="E402" s="132">
        <v>20.661619999999999</v>
      </c>
      <c r="AK402">
        <v>396</v>
      </c>
      <c r="AL402" s="24">
        <f t="shared" si="79"/>
        <v>20.562719999999999</v>
      </c>
      <c r="AM402">
        <f t="shared" si="80"/>
        <v>143.93903999999998</v>
      </c>
      <c r="AN402">
        <f t="shared" si="80"/>
        <v>205.62719999999999</v>
      </c>
      <c r="AO402">
        <f t="shared" si="80"/>
        <v>308.44079999999997</v>
      </c>
      <c r="AP402">
        <f t="shared" si="80"/>
        <v>411.25439999999998</v>
      </c>
      <c r="AQ402">
        <f t="shared" si="80"/>
        <v>719.6952</v>
      </c>
      <c r="AR402">
        <f t="shared" si="80"/>
        <v>1028.136</v>
      </c>
      <c r="AS402">
        <f t="shared" si="80"/>
        <v>1645.0175999999999</v>
      </c>
      <c r="AT402">
        <f t="shared" si="80"/>
        <v>2467.5263999999997</v>
      </c>
      <c r="AU402">
        <f t="shared" si="80"/>
        <v>3495.6623999999997</v>
      </c>
      <c r="AV402">
        <f t="shared" si="80"/>
        <v>4935.0527999999995</v>
      </c>
      <c r="AW402">
        <f t="shared" si="80"/>
        <v>6785.6975999999995</v>
      </c>
      <c r="AX402">
        <f t="shared" si="80"/>
        <v>9458.8511999999992</v>
      </c>
      <c r="AY402">
        <f t="shared" si="80"/>
        <v>16450.175999999999</v>
      </c>
      <c r="AZ402">
        <f t="shared" si="80"/>
        <v>30844.079999999998</v>
      </c>
      <c r="BA402">
        <f t="shared" si="80"/>
        <v>51406.799999999996</v>
      </c>
      <c r="BB402">
        <f t="shared" si="80"/>
        <v>82250.87999999999</v>
      </c>
      <c r="BC402">
        <f t="shared" si="77"/>
        <v>205627.19999999998</v>
      </c>
      <c r="BD402">
        <f t="shared" si="77"/>
        <v>308440.8</v>
      </c>
      <c r="BE402">
        <f t="shared" si="77"/>
        <v>493505.27999999997</v>
      </c>
      <c r="BF402">
        <f t="shared" si="77"/>
        <v>616881.6</v>
      </c>
      <c r="BG402">
        <f t="shared" si="77"/>
        <v>2056271.9999999998</v>
      </c>
      <c r="BH402">
        <f t="shared" si="77"/>
        <v>6168816</v>
      </c>
      <c r="BI402">
        <f t="shared" si="77"/>
        <v>17478312</v>
      </c>
      <c r="BJ402">
        <f t="shared" si="77"/>
        <v>61688160</v>
      </c>
      <c r="BK402">
        <f t="shared" si="77"/>
        <v>205627200</v>
      </c>
      <c r="BL402">
        <v>397</v>
      </c>
    </row>
    <row r="403" spans="1:64" ht="17.25" thickBot="1" x14ac:dyDescent="0.25">
      <c r="A403" s="131">
        <v>399</v>
      </c>
      <c r="B403" s="132">
        <v>67840644</v>
      </c>
      <c r="D403" s="131">
        <v>399</v>
      </c>
      <c r="E403" s="132">
        <v>20.710889999999999</v>
      </c>
      <c r="AK403">
        <v>397</v>
      </c>
      <c r="AL403" s="24">
        <f t="shared" si="79"/>
        <v>20.61223</v>
      </c>
      <c r="AM403">
        <f t="shared" si="80"/>
        <v>144.28560999999999</v>
      </c>
      <c r="AN403">
        <f t="shared" si="80"/>
        <v>206.1223</v>
      </c>
      <c r="AO403">
        <f t="shared" si="80"/>
        <v>309.18344999999999</v>
      </c>
      <c r="AP403">
        <f t="shared" si="80"/>
        <v>412.24459999999999</v>
      </c>
      <c r="AQ403">
        <f t="shared" si="80"/>
        <v>721.42804999999998</v>
      </c>
      <c r="AR403">
        <f t="shared" si="80"/>
        <v>1030.6115</v>
      </c>
      <c r="AS403">
        <f t="shared" si="80"/>
        <v>1648.9784</v>
      </c>
      <c r="AT403">
        <f t="shared" si="80"/>
        <v>2473.4675999999999</v>
      </c>
      <c r="AU403">
        <f t="shared" si="80"/>
        <v>3504.0790999999999</v>
      </c>
      <c r="AV403">
        <f t="shared" si="80"/>
        <v>4946.9351999999999</v>
      </c>
      <c r="AW403">
        <f t="shared" si="80"/>
        <v>6802.0358999999999</v>
      </c>
      <c r="AX403">
        <f t="shared" si="80"/>
        <v>9481.6257999999998</v>
      </c>
      <c r="AY403">
        <f t="shared" si="80"/>
        <v>16489.784</v>
      </c>
      <c r="AZ403">
        <f t="shared" si="80"/>
        <v>30918.345000000001</v>
      </c>
      <c r="BA403">
        <f t="shared" si="80"/>
        <v>51530.574999999997</v>
      </c>
      <c r="BB403">
        <f t="shared" si="80"/>
        <v>82448.92</v>
      </c>
      <c r="BC403">
        <f t="shared" si="77"/>
        <v>206122.3</v>
      </c>
      <c r="BD403">
        <f t="shared" si="77"/>
        <v>309183.45</v>
      </c>
      <c r="BE403">
        <f t="shared" si="77"/>
        <v>494693.52</v>
      </c>
      <c r="BF403">
        <f t="shared" si="77"/>
        <v>618366.9</v>
      </c>
      <c r="BG403">
        <f t="shared" si="77"/>
        <v>2061223</v>
      </c>
      <c r="BH403">
        <f t="shared" si="77"/>
        <v>6183669</v>
      </c>
      <c r="BI403">
        <f t="shared" si="77"/>
        <v>17520395.5</v>
      </c>
      <c r="BJ403">
        <f t="shared" si="77"/>
        <v>61836690</v>
      </c>
      <c r="BK403">
        <f t="shared" si="77"/>
        <v>206122300</v>
      </c>
      <c r="BL403" s="145">
        <v>398</v>
      </c>
    </row>
    <row r="404" spans="1:64" ht="17.25" thickBot="1" x14ac:dyDescent="0.25">
      <c r="A404" s="131">
        <v>400</v>
      </c>
      <c r="B404" s="132">
        <v>68095544</v>
      </c>
      <c r="D404" s="131">
        <v>400</v>
      </c>
      <c r="E404" s="132">
        <v>20.76004</v>
      </c>
      <c r="AK404">
        <v>398</v>
      </c>
      <c r="AL404" s="24">
        <f t="shared" si="79"/>
        <v>20.661619999999999</v>
      </c>
      <c r="AM404">
        <f t="shared" si="80"/>
        <v>144.63133999999999</v>
      </c>
      <c r="AN404">
        <f t="shared" si="80"/>
        <v>206.61619999999999</v>
      </c>
      <c r="AO404">
        <f t="shared" si="80"/>
        <v>309.92430000000002</v>
      </c>
      <c r="AP404">
        <f t="shared" si="80"/>
        <v>413.23239999999998</v>
      </c>
      <c r="AQ404">
        <f t="shared" si="80"/>
        <v>723.1567</v>
      </c>
      <c r="AR404">
        <f t="shared" si="80"/>
        <v>1033.0809999999999</v>
      </c>
      <c r="AS404">
        <f t="shared" si="80"/>
        <v>1652.9295999999999</v>
      </c>
      <c r="AT404">
        <f t="shared" si="80"/>
        <v>2479.3944000000001</v>
      </c>
      <c r="AU404">
        <f t="shared" si="80"/>
        <v>3512.4753999999998</v>
      </c>
      <c r="AV404">
        <f t="shared" si="80"/>
        <v>4958.7888000000003</v>
      </c>
      <c r="AW404">
        <f t="shared" si="80"/>
        <v>6818.3346000000001</v>
      </c>
      <c r="AX404">
        <f t="shared" si="80"/>
        <v>9504.3451999999997</v>
      </c>
      <c r="AY404">
        <f t="shared" si="80"/>
        <v>16529.295999999998</v>
      </c>
      <c r="AZ404">
        <f t="shared" si="80"/>
        <v>30992.43</v>
      </c>
      <c r="BA404">
        <f t="shared" si="80"/>
        <v>51654.049999999996</v>
      </c>
      <c r="BB404">
        <f t="shared" si="80"/>
        <v>82646.48</v>
      </c>
      <c r="BC404">
        <f t="shared" si="77"/>
        <v>206616.19999999998</v>
      </c>
      <c r="BD404">
        <f t="shared" si="77"/>
        <v>309924.3</v>
      </c>
      <c r="BE404">
        <f t="shared" si="77"/>
        <v>495878.88</v>
      </c>
      <c r="BF404">
        <f t="shared" si="77"/>
        <v>619848.6</v>
      </c>
      <c r="BG404">
        <f t="shared" si="77"/>
        <v>2066162</v>
      </c>
      <c r="BH404">
        <f t="shared" si="77"/>
        <v>6198486</v>
      </c>
      <c r="BI404">
        <f t="shared" si="77"/>
        <v>17562377</v>
      </c>
      <c r="BJ404">
        <f t="shared" si="77"/>
        <v>61984860</v>
      </c>
      <c r="BK404">
        <f t="shared" si="77"/>
        <v>206616200</v>
      </c>
      <c r="BL404">
        <v>399</v>
      </c>
    </row>
    <row r="405" spans="1:64" ht="17.25" thickBot="1" x14ac:dyDescent="0.25">
      <c r="A405" s="131">
        <v>401</v>
      </c>
      <c r="B405" s="132">
        <v>68350761</v>
      </c>
      <c r="D405" s="131">
        <v>401</v>
      </c>
      <c r="E405" s="132">
        <v>20.809059999999999</v>
      </c>
      <c r="AK405">
        <v>399</v>
      </c>
      <c r="AL405" s="24">
        <f t="shared" si="79"/>
        <v>20.710889999999999</v>
      </c>
      <c r="AM405">
        <f t="shared" si="80"/>
        <v>144.97622999999999</v>
      </c>
      <c r="AN405">
        <f t="shared" si="80"/>
        <v>207.10890000000001</v>
      </c>
      <c r="AO405">
        <f t="shared" si="80"/>
        <v>310.66334999999998</v>
      </c>
      <c r="AP405">
        <f t="shared" si="80"/>
        <v>414.21780000000001</v>
      </c>
      <c r="AQ405">
        <f t="shared" si="80"/>
        <v>724.88114999999993</v>
      </c>
      <c r="AR405">
        <f t="shared" si="80"/>
        <v>1035.5445</v>
      </c>
      <c r="AS405">
        <f t="shared" si="80"/>
        <v>1656.8712</v>
      </c>
      <c r="AT405">
        <f t="shared" si="80"/>
        <v>2485.3067999999998</v>
      </c>
      <c r="AU405">
        <f t="shared" si="80"/>
        <v>3520.8512999999998</v>
      </c>
      <c r="AV405">
        <f t="shared" si="80"/>
        <v>4970.6135999999997</v>
      </c>
      <c r="AW405">
        <f t="shared" si="80"/>
        <v>6834.5936999999994</v>
      </c>
      <c r="AX405">
        <f t="shared" si="80"/>
        <v>9527.009399999999</v>
      </c>
      <c r="AY405">
        <f t="shared" si="80"/>
        <v>16568.712</v>
      </c>
      <c r="AZ405">
        <f t="shared" si="80"/>
        <v>31066.334999999999</v>
      </c>
      <c r="BA405">
        <f t="shared" si="80"/>
        <v>51777.224999999999</v>
      </c>
      <c r="BB405">
        <f t="shared" si="80"/>
        <v>82843.56</v>
      </c>
      <c r="BC405">
        <f t="shared" si="77"/>
        <v>207108.9</v>
      </c>
      <c r="BD405">
        <f t="shared" si="77"/>
        <v>310663.34999999998</v>
      </c>
      <c r="BE405">
        <f t="shared" si="77"/>
        <v>497061.36</v>
      </c>
      <c r="BF405">
        <f t="shared" si="77"/>
        <v>621326.69999999995</v>
      </c>
      <c r="BG405">
        <f t="shared" si="77"/>
        <v>2071089</v>
      </c>
      <c r="BH405">
        <f t="shared" si="77"/>
        <v>6213267</v>
      </c>
      <c r="BI405">
        <f t="shared" si="77"/>
        <v>17604256.5</v>
      </c>
      <c r="BJ405">
        <f t="shared" si="77"/>
        <v>62132670</v>
      </c>
      <c r="BK405">
        <f t="shared" si="77"/>
        <v>207108900</v>
      </c>
      <c r="BL405" s="145">
        <v>400</v>
      </c>
    </row>
    <row r="406" spans="1:64" ht="17.25" thickBot="1" x14ac:dyDescent="0.25">
      <c r="A406" s="131">
        <v>402</v>
      </c>
      <c r="B406" s="132">
        <v>68606294</v>
      </c>
      <c r="D406" s="131">
        <v>402</v>
      </c>
      <c r="E406" s="132">
        <v>20.857959999999999</v>
      </c>
      <c r="AK406">
        <v>400</v>
      </c>
      <c r="AL406" s="24">
        <f t="shared" si="79"/>
        <v>20.76004</v>
      </c>
      <c r="AM406">
        <f t="shared" si="80"/>
        <v>145.32028</v>
      </c>
      <c r="AN406">
        <f t="shared" si="80"/>
        <v>207.60040000000001</v>
      </c>
      <c r="AO406">
        <f t="shared" si="80"/>
        <v>311.4006</v>
      </c>
      <c r="AP406">
        <f t="shared" si="80"/>
        <v>415.20080000000002</v>
      </c>
      <c r="AQ406">
        <f t="shared" si="80"/>
        <v>726.60140000000001</v>
      </c>
      <c r="AR406">
        <f t="shared" si="80"/>
        <v>1038.002</v>
      </c>
      <c r="AS406">
        <f t="shared" si="80"/>
        <v>1660.8032000000001</v>
      </c>
      <c r="AT406">
        <f t="shared" si="80"/>
        <v>2491.2048</v>
      </c>
      <c r="AU406">
        <f t="shared" si="80"/>
        <v>3529.2067999999999</v>
      </c>
      <c r="AV406">
        <f t="shared" si="80"/>
        <v>4982.4096</v>
      </c>
      <c r="AW406">
        <f t="shared" si="80"/>
        <v>6850.8131999999996</v>
      </c>
      <c r="AX406">
        <f t="shared" si="80"/>
        <v>9549.6183999999994</v>
      </c>
      <c r="AY406">
        <f t="shared" si="80"/>
        <v>16608.031999999999</v>
      </c>
      <c r="AZ406">
        <f t="shared" si="80"/>
        <v>31140.06</v>
      </c>
      <c r="BA406">
        <f t="shared" si="80"/>
        <v>51900.1</v>
      </c>
      <c r="BB406">
        <f t="shared" si="80"/>
        <v>83040.160000000003</v>
      </c>
      <c r="BC406">
        <f t="shared" si="77"/>
        <v>207600.4</v>
      </c>
      <c r="BD406">
        <f t="shared" si="77"/>
        <v>311400.59999999998</v>
      </c>
      <c r="BE406">
        <f t="shared" ref="BC406:BK434" si="81">BE$5*VLOOKUP($AK406,$D$2:$E$1404,2,FALSE)</f>
        <v>498240.96</v>
      </c>
      <c r="BF406">
        <f t="shared" si="81"/>
        <v>622801.19999999995</v>
      </c>
      <c r="BG406">
        <f t="shared" si="81"/>
        <v>2076004</v>
      </c>
      <c r="BH406">
        <f t="shared" si="81"/>
        <v>6228012</v>
      </c>
      <c r="BI406">
        <f t="shared" si="81"/>
        <v>17646034</v>
      </c>
      <c r="BJ406">
        <f t="shared" si="81"/>
        <v>62280120</v>
      </c>
      <c r="BK406">
        <f t="shared" si="81"/>
        <v>207600400</v>
      </c>
      <c r="BL406">
        <v>401</v>
      </c>
    </row>
    <row r="407" spans="1:64" ht="17.25" thickBot="1" x14ac:dyDescent="0.25">
      <c r="A407" s="131">
        <v>403</v>
      </c>
      <c r="B407" s="132">
        <v>68862144</v>
      </c>
      <c r="D407" s="131">
        <v>403</v>
      </c>
      <c r="E407" s="132">
        <v>20.906749999999999</v>
      </c>
      <c r="AK407">
        <v>401</v>
      </c>
      <c r="AL407" s="24">
        <f t="shared" si="79"/>
        <v>20.809059999999999</v>
      </c>
      <c r="AM407">
        <f t="shared" si="80"/>
        <v>145.66342</v>
      </c>
      <c r="AN407">
        <f t="shared" si="80"/>
        <v>208.09059999999999</v>
      </c>
      <c r="AO407">
        <f t="shared" si="80"/>
        <v>312.13589999999999</v>
      </c>
      <c r="AP407">
        <f t="shared" si="80"/>
        <v>416.18119999999999</v>
      </c>
      <c r="AQ407">
        <f t="shared" si="80"/>
        <v>728.31709999999998</v>
      </c>
      <c r="AR407">
        <f t="shared" si="80"/>
        <v>1040.453</v>
      </c>
      <c r="AS407">
        <f t="shared" si="80"/>
        <v>1664.7248</v>
      </c>
      <c r="AT407">
        <f t="shared" si="80"/>
        <v>2497.0871999999999</v>
      </c>
      <c r="AU407">
        <f t="shared" si="80"/>
        <v>3537.5401999999999</v>
      </c>
      <c r="AV407">
        <f t="shared" si="80"/>
        <v>4994.1743999999999</v>
      </c>
      <c r="AW407">
        <f t="shared" si="80"/>
        <v>6866.9897999999994</v>
      </c>
      <c r="AX407">
        <f t="shared" si="80"/>
        <v>9572.1675999999989</v>
      </c>
      <c r="AY407">
        <f t="shared" si="80"/>
        <v>16647.248</v>
      </c>
      <c r="AZ407">
        <f t="shared" si="80"/>
        <v>31213.589999999997</v>
      </c>
      <c r="BA407">
        <f t="shared" si="80"/>
        <v>52022.649999999994</v>
      </c>
      <c r="BB407">
        <f t="shared" si="80"/>
        <v>83236.239999999991</v>
      </c>
      <c r="BC407">
        <f t="shared" si="81"/>
        <v>208090.59999999998</v>
      </c>
      <c r="BD407">
        <f t="shared" si="81"/>
        <v>312135.89999999997</v>
      </c>
      <c r="BE407">
        <f t="shared" si="81"/>
        <v>499417.43999999994</v>
      </c>
      <c r="BF407">
        <f t="shared" si="81"/>
        <v>624271.79999999993</v>
      </c>
      <c r="BG407">
        <f t="shared" si="81"/>
        <v>2080905.9999999998</v>
      </c>
      <c r="BH407">
        <f t="shared" si="81"/>
        <v>6242718</v>
      </c>
      <c r="BI407">
        <f t="shared" si="81"/>
        <v>17687701</v>
      </c>
      <c r="BJ407">
        <f t="shared" si="81"/>
        <v>62427180</v>
      </c>
      <c r="BK407">
        <f t="shared" si="81"/>
        <v>208090600</v>
      </c>
      <c r="BL407" s="145">
        <v>402</v>
      </c>
    </row>
    <row r="408" spans="1:64" ht="17.25" thickBot="1" x14ac:dyDescent="0.25">
      <c r="A408" s="131">
        <v>404</v>
      </c>
      <c r="B408" s="132">
        <v>69118316</v>
      </c>
      <c r="D408" s="131">
        <v>404</v>
      </c>
      <c r="E408" s="132">
        <v>20.95542</v>
      </c>
      <c r="AK408">
        <v>402</v>
      </c>
      <c r="AL408" s="24">
        <f t="shared" si="79"/>
        <v>20.857959999999999</v>
      </c>
      <c r="AM408">
        <f t="shared" si="80"/>
        <v>146.00572</v>
      </c>
      <c r="AN408">
        <f t="shared" si="80"/>
        <v>208.57959999999997</v>
      </c>
      <c r="AO408">
        <f t="shared" si="80"/>
        <v>312.86939999999998</v>
      </c>
      <c r="AP408">
        <f t="shared" si="80"/>
        <v>417.15919999999994</v>
      </c>
      <c r="AQ408">
        <f t="shared" si="80"/>
        <v>730.02859999999998</v>
      </c>
      <c r="AR408">
        <f t="shared" si="80"/>
        <v>1042.8979999999999</v>
      </c>
      <c r="AS408">
        <f t="shared" si="80"/>
        <v>1668.6367999999998</v>
      </c>
      <c r="AT408">
        <f t="shared" si="80"/>
        <v>2502.9551999999999</v>
      </c>
      <c r="AU408">
        <f t="shared" si="80"/>
        <v>3545.8531999999996</v>
      </c>
      <c r="AV408">
        <f t="shared" si="80"/>
        <v>5005.9103999999998</v>
      </c>
      <c r="AW408">
        <f t="shared" si="80"/>
        <v>6883.1267999999991</v>
      </c>
      <c r="AX408">
        <f t="shared" si="80"/>
        <v>9594.6615999999995</v>
      </c>
      <c r="AY408">
        <f t="shared" si="80"/>
        <v>16686.367999999999</v>
      </c>
      <c r="AZ408">
        <f t="shared" si="80"/>
        <v>31286.94</v>
      </c>
      <c r="BA408">
        <f t="shared" si="80"/>
        <v>52144.899999999994</v>
      </c>
      <c r="BB408">
        <f t="shared" si="80"/>
        <v>83431.839999999997</v>
      </c>
      <c r="BC408">
        <f t="shared" si="81"/>
        <v>208579.59999999998</v>
      </c>
      <c r="BD408">
        <f t="shared" si="81"/>
        <v>312869.39999999997</v>
      </c>
      <c r="BE408">
        <f t="shared" si="81"/>
        <v>500591.04</v>
      </c>
      <c r="BF408">
        <f t="shared" si="81"/>
        <v>625738.79999999993</v>
      </c>
      <c r="BG408">
        <f t="shared" si="81"/>
        <v>2085795.9999999998</v>
      </c>
      <c r="BH408">
        <f t="shared" si="81"/>
        <v>6257388</v>
      </c>
      <c r="BI408">
        <f t="shared" si="81"/>
        <v>17729266</v>
      </c>
      <c r="BJ408">
        <f t="shared" si="81"/>
        <v>62573879.999999993</v>
      </c>
      <c r="BK408">
        <f t="shared" si="81"/>
        <v>208579599.99999997</v>
      </c>
      <c r="BL408">
        <v>403</v>
      </c>
    </row>
    <row r="409" spans="1:64" ht="17.25" thickBot="1" x14ac:dyDescent="0.25">
      <c r="A409" s="131">
        <v>405</v>
      </c>
      <c r="B409" s="132">
        <v>69374805</v>
      </c>
      <c r="D409" s="131">
        <v>405</v>
      </c>
      <c r="E409" s="132">
        <v>21.003969999999999</v>
      </c>
      <c r="AK409">
        <v>403</v>
      </c>
      <c r="AL409" s="24">
        <f t="shared" si="79"/>
        <v>20.906749999999999</v>
      </c>
      <c r="AM409">
        <f t="shared" si="80"/>
        <v>146.34725</v>
      </c>
      <c r="AN409">
        <f t="shared" si="80"/>
        <v>209.0675</v>
      </c>
      <c r="AO409">
        <f t="shared" si="80"/>
        <v>313.60124999999999</v>
      </c>
      <c r="AP409">
        <f t="shared" si="80"/>
        <v>418.13499999999999</v>
      </c>
      <c r="AQ409">
        <f t="shared" si="80"/>
        <v>731.73624999999993</v>
      </c>
      <c r="AR409">
        <f t="shared" si="80"/>
        <v>1045.3374999999999</v>
      </c>
      <c r="AS409">
        <f t="shared" si="80"/>
        <v>1672.54</v>
      </c>
      <c r="AT409">
        <f t="shared" si="80"/>
        <v>2508.81</v>
      </c>
      <c r="AU409">
        <f t="shared" si="80"/>
        <v>3554.1474999999996</v>
      </c>
      <c r="AV409">
        <f t="shared" si="80"/>
        <v>5017.62</v>
      </c>
      <c r="AW409">
        <f t="shared" si="80"/>
        <v>6899.2275</v>
      </c>
      <c r="AX409">
        <f t="shared" si="80"/>
        <v>9617.1049999999996</v>
      </c>
      <c r="AY409">
        <f t="shared" si="80"/>
        <v>16725.399999999998</v>
      </c>
      <c r="AZ409">
        <f t="shared" si="80"/>
        <v>31360.125</v>
      </c>
      <c r="BA409">
        <f t="shared" si="80"/>
        <v>52266.875</v>
      </c>
      <c r="BB409">
        <f t="shared" si="80"/>
        <v>83627</v>
      </c>
      <c r="BC409">
        <f t="shared" si="81"/>
        <v>209067.5</v>
      </c>
      <c r="BD409">
        <f t="shared" si="81"/>
        <v>313601.25</v>
      </c>
      <c r="BE409">
        <f t="shared" si="81"/>
        <v>501762</v>
      </c>
      <c r="BF409">
        <f t="shared" si="81"/>
        <v>627202.5</v>
      </c>
      <c r="BG409">
        <f t="shared" si="81"/>
        <v>2090674.9999999998</v>
      </c>
      <c r="BH409">
        <f t="shared" si="81"/>
        <v>6272025</v>
      </c>
      <c r="BI409">
        <f t="shared" si="81"/>
        <v>17770737.5</v>
      </c>
      <c r="BJ409">
        <f t="shared" si="81"/>
        <v>62720250</v>
      </c>
      <c r="BK409">
        <f t="shared" si="81"/>
        <v>209067500</v>
      </c>
      <c r="BL409" s="145">
        <v>404</v>
      </c>
    </row>
    <row r="410" spans="1:64" ht="17.25" thickBot="1" x14ac:dyDescent="0.25">
      <c r="A410" s="131">
        <v>406</v>
      </c>
      <c r="B410" s="132">
        <v>69631611</v>
      </c>
      <c r="D410" s="131">
        <v>406</v>
      </c>
      <c r="E410" s="132">
        <v>21.052399999999999</v>
      </c>
      <c r="AK410">
        <v>404</v>
      </c>
      <c r="AL410" s="24">
        <f t="shared" si="79"/>
        <v>20.95542</v>
      </c>
      <c r="AM410">
        <f t="shared" si="80"/>
        <v>146.68794</v>
      </c>
      <c r="AN410">
        <f t="shared" si="80"/>
        <v>209.55420000000001</v>
      </c>
      <c r="AO410">
        <f t="shared" si="80"/>
        <v>314.3313</v>
      </c>
      <c r="AP410">
        <f t="shared" si="80"/>
        <v>419.10840000000002</v>
      </c>
      <c r="AQ410">
        <f t="shared" si="80"/>
        <v>733.43970000000002</v>
      </c>
      <c r="AR410">
        <f t="shared" si="80"/>
        <v>1047.771</v>
      </c>
      <c r="AS410">
        <f t="shared" si="80"/>
        <v>1676.4336000000001</v>
      </c>
      <c r="AT410">
        <f t="shared" si="80"/>
        <v>2514.6504</v>
      </c>
      <c r="AU410">
        <f t="shared" si="80"/>
        <v>3562.4214000000002</v>
      </c>
      <c r="AV410">
        <f t="shared" si="80"/>
        <v>5029.3008</v>
      </c>
      <c r="AW410">
        <f t="shared" si="80"/>
        <v>6915.2885999999999</v>
      </c>
      <c r="AX410">
        <f t="shared" si="80"/>
        <v>9639.4932000000008</v>
      </c>
      <c r="AY410">
        <f t="shared" si="80"/>
        <v>16764.335999999999</v>
      </c>
      <c r="AZ410">
        <f t="shared" si="80"/>
        <v>31433.13</v>
      </c>
      <c r="BA410">
        <f t="shared" si="80"/>
        <v>52388.55</v>
      </c>
      <c r="BB410">
        <f t="shared" si="80"/>
        <v>83821.680000000008</v>
      </c>
      <c r="BC410">
        <f t="shared" si="81"/>
        <v>209554.2</v>
      </c>
      <c r="BD410">
        <f t="shared" si="81"/>
        <v>314331.3</v>
      </c>
      <c r="BE410">
        <f t="shared" si="81"/>
        <v>502930.08</v>
      </c>
      <c r="BF410">
        <f t="shared" si="81"/>
        <v>628662.6</v>
      </c>
      <c r="BG410">
        <f t="shared" si="81"/>
        <v>2095542</v>
      </c>
      <c r="BH410">
        <f t="shared" si="81"/>
        <v>6286626</v>
      </c>
      <c r="BI410">
        <f t="shared" si="81"/>
        <v>17812107</v>
      </c>
      <c r="BJ410">
        <f t="shared" si="81"/>
        <v>62866260</v>
      </c>
      <c r="BK410">
        <f t="shared" si="81"/>
        <v>209554200</v>
      </c>
      <c r="BL410">
        <v>405</v>
      </c>
    </row>
    <row r="411" spans="1:64" ht="17.25" thickBot="1" x14ac:dyDescent="0.25">
      <c r="A411" s="131">
        <v>407</v>
      </c>
      <c r="B411" s="132">
        <v>69888727</v>
      </c>
      <c r="D411" s="131">
        <v>407</v>
      </c>
      <c r="E411" s="132">
        <v>21.100709999999999</v>
      </c>
      <c r="AK411">
        <v>405</v>
      </c>
      <c r="AL411" s="24">
        <f t="shared" si="79"/>
        <v>21.003969999999999</v>
      </c>
      <c r="AM411">
        <f t="shared" si="80"/>
        <v>147.02778999999998</v>
      </c>
      <c r="AN411">
        <f t="shared" si="80"/>
        <v>210.03969999999998</v>
      </c>
      <c r="AO411">
        <f t="shared" si="80"/>
        <v>315.05955</v>
      </c>
      <c r="AP411">
        <f t="shared" si="80"/>
        <v>420.07939999999996</v>
      </c>
      <c r="AQ411">
        <f t="shared" si="80"/>
        <v>735.13894999999991</v>
      </c>
      <c r="AR411">
        <f t="shared" si="80"/>
        <v>1050.1985</v>
      </c>
      <c r="AS411">
        <f t="shared" si="80"/>
        <v>1680.3175999999999</v>
      </c>
      <c r="AT411">
        <f t="shared" si="80"/>
        <v>2520.4764</v>
      </c>
      <c r="AU411">
        <f t="shared" si="80"/>
        <v>3570.6749</v>
      </c>
      <c r="AV411">
        <f t="shared" si="80"/>
        <v>5040.9528</v>
      </c>
      <c r="AW411">
        <f t="shared" si="80"/>
        <v>6931.3100999999997</v>
      </c>
      <c r="AX411">
        <f t="shared" si="80"/>
        <v>9661.8261999999995</v>
      </c>
      <c r="AY411">
        <f t="shared" si="80"/>
        <v>16803.175999999999</v>
      </c>
      <c r="AZ411">
        <f t="shared" si="80"/>
        <v>31505.954999999998</v>
      </c>
      <c r="BA411">
        <f t="shared" si="80"/>
        <v>52509.924999999996</v>
      </c>
      <c r="BB411">
        <f t="shared" si="80"/>
        <v>84015.87999999999</v>
      </c>
      <c r="BC411">
        <f t="shared" si="81"/>
        <v>210039.69999999998</v>
      </c>
      <c r="BD411">
        <f t="shared" si="81"/>
        <v>315059.55</v>
      </c>
      <c r="BE411">
        <f t="shared" si="81"/>
        <v>504095.27999999997</v>
      </c>
      <c r="BF411">
        <f t="shared" si="81"/>
        <v>630119.1</v>
      </c>
      <c r="BG411">
        <f t="shared" si="81"/>
        <v>2100397</v>
      </c>
      <c r="BH411">
        <f t="shared" si="81"/>
        <v>6301191</v>
      </c>
      <c r="BI411">
        <f t="shared" si="81"/>
        <v>17853374.5</v>
      </c>
      <c r="BJ411">
        <f t="shared" si="81"/>
        <v>63011910</v>
      </c>
      <c r="BK411">
        <f t="shared" si="81"/>
        <v>210039700</v>
      </c>
      <c r="BL411" s="145">
        <v>406</v>
      </c>
    </row>
    <row r="412" spans="1:64" ht="17.25" thickBot="1" x14ac:dyDescent="0.25">
      <c r="A412" s="131">
        <v>408</v>
      </c>
      <c r="B412" s="132">
        <v>70146161</v>
      </c>
      <c r="D412" s="131">
        <v>408</v>
      </c>
      <c r="E412" s="132">
        <v>21.148910000000001</v>
      </c>
      <c r="AK412">
        <v>406</v>
      </c>
      <c r="AL412" s="24">
        <f t="shared" si="79"/>
        <v>21.052399999999999</v>
      </c>
      <c r="AM412">
        <f t="shared" si="80"/>
        <v>147.36679999999998</v>
      </c>
      <c r="AN412">
        <f t="shared" si="80"/>
        <v>210.524</v>
      </c>
      <c r="AO412">
        <f t="shared" si="80"/>
        <v>315.786</v>
      </c>
      <c r="AP412">
        <f t="shared" si="80"/>
        <v>421.048</v>
      </c>
      <c r="AQ412">
        <f t="shared" si="80"/>
        <v>736.83399999999995</v>
      </c>
      <c r="AR412">
        <f t="shared" si="80"/>
        <v>1052.6199999999999</v>
      </c>
      <c r="AS412">
        <f t="shared" si="80"/>
        <v>1684.192</v>
      </c>
      <c r="AT412">
        <f t="shared" si="80"/>
        <v>2526.288</v>
      </c>
      <c r="AU412">
        <f t="shared" si="80"/>
        <v>3578.9079999999999</v>
      </c>
      <c r="AV412">
        <f t="shared" si="80"/>
        <v>5052.576</v>
      </c>
      <c r="AW412">
        <f t="shared" si="80"/>
        <v>6947.2919999999995</v>
      </c>
      <c r="AX412">
        <f t="shared" si="80"/>
        <v>9684.1039999999994</v>
      </c>
      <c r="AY412">
        <f t="shared" si="80"/>
        <v>16841.919999999998</v>
      </c>
      <c r="AZ412">
        <f t="shared" si="80"/>
        <v>31578.6</v>
      </c>
      <c r="BA412">
        <f t="shared" si="80"/>
        <v>52631</v>
      </c>
      <c r="BB412">
        <f t="shared" si="80"/>
        <v>84209.599999999991</v>
      </c>
      <c r="BC412">
        <f t="shared" si="81"/>
        <v>210524</v>
      </c>
      <c r="BD412">
        <f t="shared" si="81"/>
        <v>315786</v>
      </c>
      <c r="BE412">
        <f t="shared" si="81"/>
        <v>505257.6</v>
      </c>
      <c r="BF412">
        <f t="shared" si="81"/>
        <v>631572</v>
      </c>
      <c r="BG412">
        <f t="shared" si="81"/>
        <v>2105240</v>
      </c>
      <c r="BH412">
        <f t="shared" si="81"/>
        <v>6315720</v>
      </c>
      <c r="BI412">
        <f t="shared" si="81"/>
        <v>17894540</v>
      </c>
      <c r="BJ412">
        <f t="shared" si="81"/>
        <v>63157199.999999993</v>
      </c>
      <c r="BK412">
        <f t="shared" si="81"/>
        <v>210524000</v>
      </c>
      <c r="BL412">
        <v>407</v>
      </c>
    </row>
    <row r="413" spans="1:64" ht="17.25" thickBot="1" x14ac:dyDescent="0.25">
      <c r="A413" s="131">
        <v>409</v>
      </c>
      <c r="B413" s="132">
        <v>70403911</v>
      </c>
      <c r="D413" s="131">
        <v>409</v>
      </c>
      <c r="E413" s="132">
        <v>21.19699</v>
      </c>
      <c r="AK413">
        <v>407</v>
      </c>
      <c r="AL413" s="24">
        <f t="shared" si="79"/>
        <v>21.100709999999999</v>
      </c>
      <c r="AM413">
        <f t="shared" si="80"/>
        <v>147.70497</v>
      </c>
      <c r="AN413">
        <f t="shared" si="80"/>
        <v>211.00709999999998</v>
      </c>
      <c r="AO413">
        <f t="shared" si="80"/>
        <v>316.51065</v>
      </c>
      <c r="AP413">
        <f t="shared" si="80"/>
        <v>422.01419999999996</v>
      </c>
      <c r="AQ413">
        <f t="shared" si="80"/>
        <v>738.52485000000001</v>
      </c>
      <c r="AR413">
        <f t="shared" si="80"/>
        <v>1055.0355</v>
      </c>
      <c r="AS413">
        <f t="shared" si="80"/>
        <v>1688.0567999999998</v>
      </c>
      <c r="AT413">
        <f t="shared" si="80"/>
        <v>2532.0852</v>
      </c>
      <c r="AU413">
        <f t="shared" si="80"/>
        <v>3587.1206999999999</v>
      </c>
      <c r="AV413">
        <f t="shared" si="80"/>
        <v>5064.1704</v>
      </c>
      <c r="AW413">
        <f t="shared" si="80"/>
        <v>6963.2343000000001</v>
      </c>
      <c r="AX413">
        <f t="shared" si="80"/>
        <v>9706.3266000000003</v>
      </c>
      <c r="AY413">
        <f t="shared" si="80"/>
        <v>16880.567999999999</v>
      </c>
      <c r="AZ413">
        <f t="shared" si="80"/>
        <v>31651.064999999999</v>
      </c>
      <c r="BA413">
        <f t="shared" si="80"/>
        <v>52751.775000000001</v>
      </c>
      <c r="BB413">
        <f t="shared" si="80"/>
        <v>84402.84</v>
      </c>
      <c r="BC413">
        <f t="shared" si="81"/>
        <v>211007.1</v>
      </c>
      <c r="BD413">
        <f t="shared" si="81"/>
        <v>316510.64999999997</v>
      </c>
      <c r="BE413">
        <f t="shared" si="81"/>
        <v>506417.04</v>
      </c>
      <c r="BF413">
        <f t="shared" si="81"/>
        <v>633021.29999999993</v>
      </c>
      <c r="BG413">
        <f t="shared" si="81"/>
        <v>2110071</v>
      </c>
      <c r="BH413">
        <f t="shared" si="81"/>
        <v>6330213</v>
      </c>
      <c r="BI413">
        <f t="shared" si="81"/>
        <v>17935603.5</v>
      </c>
      <c r="BJ413">
        <f t="shared" si="81"/>
        <v>63302130</v>
      </c>
      <c r="BK413">
        <f t="shared" si="81"/>
        <v>211007100</v>
      </c>
      <c r="BL413" s="145">
        <v>408</v>
      </c>
    </row>
    <row r="414" spans="1:64" ht="17.25" thickBot="1" x14ac:dyDescent="0.25">
      <c r="A414" s="131">
        <v>410</v>
      </c>
      <c r="B414" s="132">
        <v>70661977</v>
      </c>
      <c r="D414" s="131">
        <v>410</v>
      </c>
      <c r="E414" s="132">
        <v>21.244959999999999</v>
      </c>
      <c r="AK414">
        <v>408</v>
      </c>
      <c r="AL414" s="24">
        <f t="shared" si="79"/>
        <v>21.148910000000001</v>
      </c>
      <c r="AM414">
        <f t="shared" si="80"/>
        <v>148.04237000000001</v>
      </c>
      <c r="AN414">
        <f t="shared" si="80"/>
        <v>211.48910000000001</v>
      </c>
      <c r="AO414">
        <f t="shared" si="80"/>
        <v>317.23365000000001</v>
      </c>
      <c r="AP414">
        <f t="shared" si="80"/>
        <v>422.97820000000002</v>
      </c>
      <c r="AQ414">
        <f t="shared" si="80"/>
        <v>740.21185000000003</v>
      </c>
      <c r="AR414">
        <f t="shared" si="80"/>
        <v>1057.4455</v>
      </c>
      <c r="AS414">
        <f t="shared" si="80"/>
        <v>1691.9128000000001</v>
      </c>
      <c r="AT414">
        <f t="shared" si="80"/>
        <v>2537.8692000000001</v>
      </c>
      <c r="AU414">
        <f t="shared" si="80"/>
        <v>3595.3146999999999</v>
      </c>
      <c r="AV414">
        <f t="shared" si="80"/>
        <v>5075.7384000000002</v>
      </c>
      <c r="AW414">
        <f t="shared" si="80"/>
        <v>6979.1403</v>
      </c>
      <c r="AX414">
        <f t="shared" si="80"/>
        <v>9728.4986000000008</v>
      </c>
      <c r="AY414">
        <f t="shared" si="80"/>
        <v>16919.128000000001</v>
      </c>
      <c r="AZ414">
        <f t="shared" si="80"/>
        <v>31723.365000000002</v>
      </c>
      <c r="BA414">
        <f t="shared" si="80"/>
        <v>52872.275000000001</v>
      </c>
      <c r="BB414">
        <f t="shared" si="80"/>
        <v>84595.64</v>
      </c>
      <c r="BC414">
        <f t="shared" si="81"/>
        <v>211489.1</v>
      </c>
      <c r="BD414">
        <f t="shared" si="81"/>
        <v>317233.65000000002</v>
      </c>
      <c r="BE414">
        <f t="shared" si="81"/>
        <v>507573.84</v>
      </c>
      <c r="BF414">
        <f t="shared" si="81"/>
        <v>634467.30000000005</v>
      </c>
      <c r="BG414">
        <f t="shared" si="81"/>
        <v>2114891</v>
      </c>
      <c r="BH414">
        <f t="shared" si="81"/>
        <v>6344673</v>
      </c>
      <c r="BI414">
        <f t="shared" si="81"/>
        <v>17976573.5</v>
      </c>
      <c r="BJ414">
        <f t="shared" si="81"/>
        <v>63446730</v>
      </c>
      <c r="BK414">
        <f t="shared" si="81"/>
        <v>211489100</v>
      </c>
      <c r="BL414">
        <v>409</v>
      </c>
    </row>
    <row r="415" spans="1:64" ht="17.25" thickBot="1" x14ac:dyDescent="0.25">
      <c r="A415" s="131">
        <v>411</v>
      </c>
      <c r="B415" s="132">
        <v>70920355</v>
      </c>
      <c r="D415" s="131">
        <v>411</v>
      </c>
      <c r="E415" s="132">
        <v>21.292809999999999</v>
      </c>
      <c r="AK415">
        <v>409</v>
      </c>
      <c r="AL415" s="24">
        <f t="shared" si="79"/>
        <v>21.19699</v>
      </c>
      <c r="AM415">
        <f t="shared" si="80"/>
        <v>148.37893</v>
      </c>
      <c r="AN415">
        <f t="shared" si="80"/>
        <v>211.9699</v>
      </c>
      <c r="AO415">
        <f t="shared" si="80"/>
        <v>317.95484999999996</v>
      </c>
      <c r="AP415">
        <f t="shared" si="80"/>
        <v>423.93979999999999</v>
      </c>
      <c r="AQ415">
        <f t="shared" si="80"/>
        <v>741.89464999999996</v>
      </c>
      <c r="AR415">
        <f t="shared" si="80"/>
        <v>1059.8495</v>
      </c>
      <c r="AS415">
        <f t="shared" si="80"/>
        <v>1695.7592</v>
      </c>
      <c r="AT415">
        <f t="shared" si="80"/>
        <v>2543.6387999999997</v>
      </c>
      <c r="AU415">
        <f t="shared" si="80"/>
        <v>3603.4883</v>
      </c>
      <c r="AV415">
        <f t="shared" si="80"/>
        <v>5087.2775999999994</v>
      </c>
      <c r="AW415">
        <f t="shared" si="80"/>
        <v>6995.0066999999999</v>
      </c>
      <c r="AX415">
        <f t="shared" si="80"/>
        <v>9750.6154000000006</v>
      </c>
      <c r="AY415">
        <f t="shared" si="80"/>
        <v>16957.592000000001</v>
      </c>
      <c r="AZ415">
        <f t="shared" si="80"/>
        <v>31795.485000000001</v>
      </c>
      <c r="BA415">
        <f t="shared" si="80"/>
        <v>52992.474999999999</v>
      </c>
      <c r="BB415">
        <f t="shared" si="80"/>
        <v>84787.959999999992</v>
      </c>
      <c r="BC415">
        <f t="shared" si="81"/>
        <v>211969.9</v>
      </c>
      <c r="BD415">
        <f t="shared" si="81"/>
        <v>317954.84999999998</v>
      </c>
      <c r="BE415">
        <f t="shared" si="81"/>
        <v>508727.76</v>
      </c>
      <c r="BF415">
        <f t="shared" si="81"/>
        <v>635909.69999999995</v>
      </c>
      <c r="BG415">
        <f t="shared" si="81"/>
        <v>2119699</v>
      </c>
      <c r="BH415">
        <f t="shared" si="81"/>
        <v>6359097</v>
      </c>
      <c r="BI415">
        <f t="shared" si="81"/>
        <v>18017441.5</v>
      </c>
      <c r="BJ415">
        <f t="shared" si="81"/>
        <v>63590970</v>
      </c>
      <c r="BK415">
        <f t="shared" si="81"/>
        <v>211969900</v>
      </c>
      <c r="BL415" s="145">
        <v>410</v>
      </c>
    </row>
    <row r="416" spans="1:64" ht="17.25" thickBot="1" x14ac:dyDescent="0.25">
      <c r="A416" s="131">
        <v>412</v>
      </c>
      <c r="B416" s="132">
        <v>71179049</v>
      </c>
      <c r="D416" s="131">
        <v>412</v>
      </c>
      <c r="E416" s="132">
        <v>21.34055</v>
      </c>
      <c r="AK416">
        <v>410</v>
      </c>
      <c r="AL416" s="24">
        <f t="shared" si="79"/>
        <v>21.244959999999999</v>
      </c>
      <c r="AM416">
        <f t="shared" si="80"/>
        <v>148.71472</v>
      </c>
      <c r="AN416">
        <f t="shared" si="80"/>
        <v>212.44959999999998</v>
      </c>
      <c r="AO416">
        <f t="shared" si="80"/>
        <v>318.67439999999999</v>
      </c>
      <c r="AP416">
        <f t="shared" ref="AM416:BB432" si="82">AP$5*VLOOKUP($AK416,$D$2:$E$1404,2,FALSE)</f>
        <v>424.89919999999995</v>
      </c>
      <c r="AQ416">
        <f t="shared" si="82"/>
        <v>743.57359999999994</v>
      </c>
      <c r="AR416">
        <f t="shared" si="82"/>
        <v>1062.248</v>
      </c>
      <c r="AS416">
        <f t="shared" si="82"/>
        <v>1699.5967999999998</v>
      </c>
      <c r="AT416">
        <f t="shared" si="82"/>
        <v>2549.3951999999999</v>
      </c>
      <c r="AU416">
        <f t="shared" si="82"/>
        <v>3611.6432</v>
      </c>
      <c r="AV416">
        <f t="shared" si="82"/>
        <v>5098.7903999999999</v>
      </c>
      <c r="AW416">
        <f t="shared" si="82"/>
        <v>7010.8368</v>
      </c>
      <c r="AX416">
        <f t="shared" si="82"/>
        <v>9772.6815999999999</v>
      </c>
      <c r="AY416">
        <f t="shared" si="82"/>
        <v>16995.968000000001</v>
      </c>
      <c r="AZ416">
        <f t="shared" si="82"/>
        <v>31867.439999999999</v>
      </c>
      <c r="BA416">
        <f t="shared" si="82"/>
        <v>53112.399999999994</v>
      </c>
      <c r="BB416">
        <f t="shared" si="82"/>
        <v>84979.839999999997</v>
      </c>
      <c r="BC416">
        <f t="shared" si="81"/>
        <v>212449.59999999998</v>
      </c>
      <c r="BD416">
        <f t="shared" si="81"/>
        <v>318674.39999999997</v>
      </c>
      <c r="BE416">
        <f t="shared" si="81"/>
        <v>509879.03999999998</v>
      </c>
      <c r="BF416">
        <f t="shared" si="81"/>
        <v>637348.79999999993</v>
      </c>
      <c r="BG416">
        <f t="shared" si="81"/>
        <v>2124496</v>
      </c>
      <c r="BH416">
        <f t="shared" si="81"/>
        <v>6373488</v>
      </c>
      <c r="BI416">
        <f t="shared" si="81"/>
        <v>18058216</v>
      </c>
      <c r="BJ416">
        <f t="shared" si="81"/>
        <v>63734880</v>
      </c>
      <c r="BK416">
        <f t="shared" si="81"/>
        <v>212449600</v>
      </c>
      <c r="BL416">
        <v>411</v>
      </c>
    </row>
    <row r="417" spans="1:64" ht="17.25" thickBot="1" x14ac:dyDescent="0.25">
      <c r="A417" s="131">
        <v>413</v>
      </c>
      <c r="B417" s="132">
        <v>71438055</v>
      </c>
      <c r="D417" s="131">
        <v>413</v>
      </c>
      <c r="E417" s="132">
        <v>21.388169999999999</v>
      </c>
      <c r="AK417">
        <v>411</v>
      </c>
      <c r="AL417" s="24">
        <f t="shared" si="79"/>
        <v>21.292809999999999</v>
      </c>
      <c r="AM417">
        <f t="shared" si="82"/>
        <v>149.04966999999999</v>
      </c>
      <c r="AN417">
        <f t="shared" si="82"/>
        <v>212.9281</v>
      </c>
      <c r="AO417">
        <f t="shared" si="82"/>
        <v>319.39215000000002</v>
      </c>
      <c r="AP417">
        <f t="shared" si="82"/>
        <v>425.8562</v>
      </c>
      <c r="AQ417">
        <f t="shared" si="82"/>
        <v>745.24834999999996</v>
      </c>
      <c r="AR417">
        <f t="shared" si="82"/>
        <v>1064.6405</v>
      </c>
      <c r="AS417">
        <f t="shared" si="82"/>
        <v>1703.4248</v>
      </c>
      <c r="AT417">
        <f t="shared" si="82"/>
        <v>2555.1372000000001</v>
      </c>
      <c r="AU417">
        <f t="shared" si="82"/>
        <v>3619.7777000000001</v>
      </c>
      <c r="AV417">
        <f t="shared" si="82"/>
        <v>5110.2744000000002</v>
      </c>
      <c r="AW417">
        <f t="shared" si="82"/>
        <v>7026.6273000000001</v>
      </c>
      <c r="AX417">
        <f t="shared" si="82"/>
        <v>9794.6926000000003</v>
      </c>
      <c r="AY417">
        <f t="shared" si="82"/>
        <v>17034.248</v>
      </c>
      <c r="AZ417">
        <f t="shared" si="82"/>
        <v>31939.215</v>
      </c>
      <c r="BA417">
        <f t="shared" si="82"/>
        <v>53232.025000000001</v>
      </c>
      <c r="BB417">
        <f t="shared" si="82"/>
        <v>85171.239999999991</v>
      </c>
      <c r="BC417">
        <f t="shared" si="81"/>
        <v>212928.1</v>
      </c>
      <c r="BD417">
        <f t="shared" si="81"/>
        <v>319392.14999999997</v>
      </c>
      <c r="BE417">
        <f t="shared" si="81"/>
        <v>511027.44</v>
      </c>
      <c r="BF417">
        <f t="shared" si="81"/>
        <v>638784.29999999993</v>
      </c>
      <c r="BG417">
        <f t="shared" si="81"/>
        <v>2129281</v>
      </c>
      <c r="BH417">
        <f t="shared" si="81"/>
        <v>6387843</v>
      </c>
      <c r="BI417">
        <f t="shared" si="81"/>
        <v>18098888.5</v>
      </c>
      <c r="BJ417">
        <f t="shared" si="81"/>
        <v>63878430</v>
      </c>
      <c r="BK417">
        <f t="shared" si="81"/>
        <v>212928100</v>
      </c>
      <c r="BL417" s="145">
        <v>412</v>
      </c>
    </row>
    <row r="418" spans="1:64" ht="17.25" thickBot="1" x14ac:dyDescent="0.25">
      <c r="A418" s="131">
        <v>414</v>
      </c>
      <c r="B418" s="132">
        <v>71697377</v>
      </c>
      <c r="D418" s="131">
        <v>414</v>
      </c>
      <c r="E418" s="132">
        <v>21.435680000000001</v>
      </c>
      <c r="AK418">
        <v>412</v>
      </c>
      <c r="AL418" s="24">
        <f t="shared" si="79"/>
        <v>21.34055</v>
      </c>
      <c r="AM418">
        <f t="shared" si="82"/>
        <v>149.38385</v>
      </c>
      <c r="AN418">
        <f t="shared" si="82"/>
        <v>213.40550000000002</v>
      </c>
      <c r="AO418">
        <f t="shared" si="82"/>
        <v>320.10825</v>
      </c>
      <c r="AP418">
        <f t="shared" si="82"/>
        <v>426.81100000000004</v>
      </c>
      <c r="AQ418">
        <f t="shared" si="82"/>
        <v>746.91925000000003</v>
      </c>
      <c r="AR418">
        <f t="shared" si="82"/>
        <v>1067.0274999999999</v>
      </c>
      <c r="AS418">
        <f t="shared" si="82"/>
        <v>1707.2440000000001</v>
      </c>
      <c r="AT418">
        <f t="shared" si="82"/>
        <v>2560.866</v>
      </c>
      <c r="AU418">
        <f t="shared" si="82"/>
        <v>3627.8935000000001</v>
      </c>
      <c r="AV418">
        <f t="shared" si="82"/>
        <v>5121.732</v>
      </c>
      <c r="AW418">
        <f t="shared" si="82"/>
        <v>7042.3815000000004</v>
      </c>
      <c r="AX418">
        <f t="shared" si="82"/>
        <v>9816.6530000000002</v>
      </c>
      <c r="AY418">
        <f t="shared" si="82"/>
        <v>17072.439999999999</v>
      </c>
      <c r="AZ418">
        <f t="shared" si="82"/>
        <v>32010.825000000001</v>
      </c>
      <c r="BA418">
        <f t="shared" si="82"/>
        <v>53351.375</v>
      </c>
      <c r="BB418">
        <f t="shared" si="82"/>
        <v>85362.2</v>
      </c>
      <c r="BC418">
        <f t="shared" si="81"/>
        <v>213405.5</v>
      </c>
      <c r="BD418">
        <f t="shared" si="81"/>
        <v>320108.25</v>
      </c>
      <c r="BE418">
        <f t="shared" si="81"/>
        <v>512173.2</v>
      </c>
      <c r="BF418">
        <f t="shared" si="81"/>
        <v>640216.5</v>
      </c>
      <c r="BG418">
        <f t="shared" si="81"/>
        <v>2134055</v>
      </c>
      <c r="BH418">
        <f t="shared" si="81"/>
        <v>6402165</v>
      </c>
      <c r="BI418">
        <f t="shared" si="81"/>
        <v>18139467.5</v>
      </c>
      <c r="BJ418">
        <f t="shared" si="81"/>
        <v>64021650</v>
      </c>
      <c r="BK418">
        <f t="shared" si="81"/>
        <v>213405500</v>
      </c>
      <c r="BL418">
        <v>413</v>
      </c>
    </row>
    <row r="419" spans="1:64" ht="17.25" thickBot="1" x14ac:dyDescent="0.25">
      <c r="A419" s="131">
        <v>415</v>
      </c>
      <c r="B419" s="132">
        <v>71957011</v>
      </c>
      <c r="D419" s="131">
        <v>415</v>
      </c>
      <c r="E419" s="132">
        <v>21.483080000000001</v>
      </c>
      <c r="AK419">
        <v>413</v>
      </c>
      <c r="AL419" s="24">
        <f t="shared" si="79"/>
        <v>21.388169999999999</v>
      </c>
      <c r="AM419">
        <f t="shared" si="82"/>
        <v>149.71718999999999</v>
      </c>
      <c r="AN419">
        <f t="shared" si="82"/>
        <v>213.8817</v>
      </c>
      <c r="AO419">
        <f t="shared" si="82"/>
        <v>320.82254999999998</v>
      </c>
      <c r="AP419">
        <f t="shared" si="82"/>
        <v>427.76339999999999</v>
      </c>
      <c r="AQ419">
        <f t="shared" si="82"/>
        <v>748.58594999999991</v>
      </c>
      <c r="AR419">
        <f t="shared" si="82"/>
        <v>1069.4085</v>
      </c>
      <c r="AS419">
        <f t="shared" si="82"/>
        <v>1711.0536</v>
      </c>
      <c r="AT419">
        <f t="shared" si="82"/>
        <v>2566.5803999999998</v>
      </c>
      <c r="AU419">
        <f t="shared" si="82"/>
        <v>3635.9888999999998</v>
      </c>
      <c r="AV419">
        <f t="shared" si="82"/>
        <v>5133.1607999999997</v>
      </c>
      <c r="AW419">
        <f t="shared" si="82"/>
        <v>7058.0960999999998</v>
      </c>
      <c r="AX419">
        <f t="shared" si="82"/>
        <v>9838.5581999999995</v>
      </c>
      <c r="AY419">
        <f t="shared" si="82"/>
        <v>17110.536</v>
      </c>
      <c r="AZ419">
        <f t="shared" si="82"/>
        <v>32082.254999999997</v>
      </c>
      <c r="BA419">
        <f t="shared" si="82"/>
        <v>53470.424999999996</v>
      </c>
      <c r="BB419">
        <f t="shared" si="82"/>
        <v>85552.68</v>
      </c>
      <c r="BC419">
        <f t="shared" si="81"/>
        <v>213881.69999999998</v>
      </c>
      <c r="BD419">
        <f t="shared" si="81"/>
        <v>320822.55</v>
      </c>
      <c r="BE419">
        <f t="shared" si="81"/>
        <v>513316.07999999996</v>
      </c>
      <c r="BF419">
        <f t="shared" si="81"/>
        <v>641645.1</v>
      </c>
      <c r="BG419">
        <f t="shared" si="81"/>
        <v>2138817</v>
      </c>
      <c r="BH419">
        <f t="shared" si="81"/>
        <v>6416451</v>
      </c>
      <c r="BI419">
        <f t="shared" si="81"/>
        <v>18179944.5</v>
      </c>
      <c r="BJ419">
        <f t="shared" si="81"/>
        <v>64164510</v>
      </c>
      <c r="BK419">
        <f t="shared" si="81"/>
        <v>213881700</v>
      </c>
      <c r="BL419" s="145">
        <v>414</v>
      </c>
    </row>
    <row r="420" spans="1:64" ht="17.25" thickBot="1" x14ac:dyDescent="0.25">
      <c r="A420" s="131">
        <v>416</v>
      </c>
      <c r="B420" s="132">
        <v>72216955</v>
      </c>
      <c r="D420" s="131">
        <v>416</v>
      </c>
      <c r="E420" s="132">
        <v>21.530370000000001</v>
      </c>
      <c r="AK420">
        <v>414</v>
      </c>
      <c r="AL420" s="24">
        <f t="shared" si="79"/>
        <v>21.435680000000001</v>
      </c>
      <c r="AM420">
        <f t="shared" si="82"/>
        <v>150.04976000000002</v>
      </c>
      <c r="AN420">
        <f t="shared" si="82"/>
        <v>214.35680000000002</v>
      </c>
      <c r="AO420">
        <f t="shared" si="82"/>
        <v>321.53520000000003</v>
      </c>
      <c r="AP420">
        <f t="shared" si="82"/>
        <v>428.71360000000004</v>
      </c>
      <c r="AQ420">
        <f t="shared" si="82"/>
        <v>750.24880000000007</v>
      </c>
      <c r="AR420">
        <f t="shared" si="82"/>
        <v>1071.7840000000001</v>
      </c>
      <c r="AS420">
        <f t="shared" si="82"/>
        <v>1714.8544000000002</v>
      </c>
      <c r="AT420">
        <f t="shared" si="82"/>
        <v>2572.2816000000003</v>
      </c>
      <c r="AU420">
        <f t="shared" si="82"/>
        <v>3644.0656000000004</v>
      </c>
      <c r="AV420">
        <f t="shared" si="82"/>
        <v>5144.5632000000005</v>
      </c>
      <c r="AW420">
        <f t="shared" si="82"/>
        <v>7073.7744000000002</v>
      </c>
      <c r="AX420">
        <f t="shared" si="82"/>
        <v>9860.4128000000001</v>
      </c>
      <c r="AY420">
        <f t="shared" si="82"/>
        <v>17148.544000000002</v>
      </c>
      <c r="AZ420">
        <f t="shared" si="82"/>
        <v>32153.52</v>
      </c>
      <c r="BA420">
        <f t="shared" si="82"/>
        <v>53589.200000000004</v>
      </c>
      <c r="BB420">
        <f t="shared" si="82"/>
        <v>85742.720000000001</v>
      </c>
      <c r="BC420">
        <f t="shared" si="81"/>
        <v>214356.80000000002</v>
      </c>
      <c r="BD420">
        <f t="shared" si="81"/>
        <v>321535.2</v>
      </c>
      <c r="BE420">
        <f t="shared" si="81"/>
        <v>514456.32000000001</v>
      </c>
      <c r="BF420">
        <f t="shared" si="81"/>
        <v>643070.4</v>
      </c>
      <c r="BG420">
        <f t="shared" si="81"/>
        <v>2143568</v>
      </c>
      <c r="BH420">
        <f t="shared" si="81"/>
        <v>6430704</v>
      </c>
      <c r="BI420">
        <f t="shared" si="81"/>
        <v>18220328</v>
      </c>
      <c r="BJ420">
        <f t="shared" si="81"/>
        <v>64307040.000000007</v>
      </c>
      <c r="BK420">
        <f t="shared" si="81"/>
        <v>214356800</v>
      </c>
      <c r="BL420">
        <v>415</v>
      </c>
    </row>
    <row r="421" spans="1:64" ht="17.25" thickBot="1" x14ac:dyDescent="0.25">
      <c r="A421" s="131">
        <v>417</v>
      </c>
      <c r="B421" s="132">
        <v>72477216</v>
      </c>
      <c r="D421" s="131">
        <v>417</v>
      </c>
      <c r="E421" s="132">
        <v>21.577539999999999</v>
      </c>
      <c r="AK421">
        <v>415</v>
      </c>
      <c r="AL421" s="24">
        <f t="shared" si="79"/>
        <v>21.483080000000001</v>
      </c>
      <c r="AM421">
        <f t="shared" si="82"/>
        <v>150.38156000000001</v>
      </c>
      <c r="AN421">
        <f t="shared" si="82"/>
        <v>214.83080000000001</v>
      </c>
      <c r="AO421">
        <f t="shared" si="82"/>
        <v>322.24620000000004</v>
      </c>
      <c r="AP421">
        <f t="shared" si="82"/>
        <v>429.66160000000002</v>
      </c>
      <c r="AQ421">
        <f t="shared" si="82"/>
        <v>751.90780000000007</v>
      </c>
      <c r="AR421">
        <f t="shared" si="82"/>
        <v>1074.154</v>
      </c>
      <c r="AS421">
        <f t="shared" si="82"/>
        <v>1718.6464000000001</v>
      </c>
      <c r="AT421">
        <f t="shared" si="82"/>
        <v>2577.9696000000004</v>
      </c>
      <c r="AU421">
        <f t="shared" si="82"/>
        <v>3652.1236000000004</v>
      </c>
      <c r="AV421">
        <f t="shared" si="82"/>
        <v>5155.9392000000007</v>
      </c>
      <c r="AW421">
        <f t="shared" si="82"/>
        <v>7089.4164000000001</v>
      </c>
      <c r="AX421">
        <f t="shared" si="82"/>
        <v>9882.2168000000001</v>
      </c>
      <c r="AY421">
        <f t="shared" si="82"/>
        <v>17186.464</v>
      </c>
      <c r="AZ421">
        <f t="shared" si="82"/>
        <v>32224.620000000003</v>
      </c>
      <c r="BA421">
        <f t="shared" si="82"/>
        <v>53707.700000000004</v>
      </c>
      <c r="BB421">
        <f t="shared" si="82"/>
        <v>85932.32</v>
      </c>
      <c r="BC421">
        <f t="shared" si="81"/>
        <v>214830.80000000002</v>
      </c>
      <c r="BD421">
        <f t="shared" si="81"/>
        <v>322246.2</v>
      </c>
      <c r="BE421">
        <f t="shared" si="81"/>
        <v>515593.92000000004</v>
      </c>
      <c r="BF421">
        <f t="shared" si="81"/>
        <v>644492.4</v>
      </c>
      <c r="BG421">
        <f t="shared" si="81"/>
        <v>2148308</v>
      </c>
      <c r="BH421">
        <f t="shared" si="81"/>
        <v>6444924</v>
      </c>
      <c r="BI421">
        <f t="shared" si="81"/>
        <v>18260618</v>
      </c>
      <c r="BJ421">
        <f t="shared" si="81"/>
        <v>64449240</v>
      </c>
      <c r="BK421">
        <f t="shared" si="81"/>
        <v>214830800</v>
      </c>
      <c r="BL421" s="145">
        <v>416</v>
      </c>
    </row>
    <row r="422" spans="1:64" ht="17.25" thickBot="1" x14ac:dyDescent="0.25">
      <c r="A422" s="131">
        <v>418</v>
      </c>
      <c r="B422" s="132">
        <v>72737788</v>
      </c>
      <c r="D422" s="131">
        <v>418</v>
      </c>
      <c r="E422" s="132">
        <v>21.624600000000001</v>
      </c>
      <c r="AK422">
        <v>416</v>
      </c>
      <c r="AL422" s="24">
        <f t="shared" si="79"/>
        <v>21.530370000000001</v>
      </c>
      <c r="AM422">
        <f t="shared" si="82"/>
        <v>150.71259000000001</v>
      </c>
      <c r="AN422">
        <f t="shared" si="82"/>
        <v>215.30370000000002</v>
      </c>
      <c r="AO422">
        <f t="shared" si="82"/>
        <v>322.95555000000002</v>
      </c>
      <c r="AP422">
        <f t="shared" si="82"/>
        <v>430.60740000000004</v>
      </c>
      <c r="AQ422">
        <f t="shared" si="82"/>
        <v>753.56295</v>
      </c>
      <c r="AR422">
        <f t="shared" si="82"/>
        <v>1076.5185000000001</v>
      </c>
      <c r="AS422">
        <f t="shared" si="82"/>
        <v>1722.4296000000002</v>
      </c>
      <c r="AT422">
        <f t="shared" si="82"/>
        <v>2583.6444000000001</v>
      </c>
      <c r="AU422">
        <f t="shared" si="82"/>
        <v>3660.1629000000003</v>
      </c>
      <c r="AV422">
        <f t="shared" si="82"/>
        <v>5167.2888000000003</v>
      </c>
      <c r="AW422">
        <f t="shared" si="82"/>
        <v>7105.0221000000001</v>
      </c>
      <c r="AX422">
        <f t="shared" si="82"/>
        <v>9903.9701999999997</v>
      </c>
      <c r="AY422">
        <f t="shared" si="82"/>
        <v>17224.296000000002</v>
      </c>
      <c r="AZ422">
        <f t="shared" si="82"/>
        <v>32295.555</v>
      </c>
      <c r="BA422">
        <f t="shared" si="82"/>
        <v>53825.925000000003</v>
      </c>
      <c r="BB422">
        <f t="shared" si="82"/>
        <v>86121.48000000001</v>
      </c>
      <c r="BC422">
        <f t="shared" si="81"/>
        <v>215303.7</v>
      </c>
      <c r="BD422">
        <f t="shared" si="81"/>
        <v>322955.55000000005</v>
      </c>
      <c r="BE422">
        <f t="shared" si="81"/>
        <v>516728.88</v>
      </c>
      <c r="BF422">
        <f t="shared" si="81"/>
        <v>645911.10000000009</v>
      </c>
      <c r="BG422">
        <f t="shared" si="81"/>
        <v>2153037</v>
      </c>
      <c r="BH422">
        <f t="shared" si="81"/>
        <v>6459111</v>
      </c>
      <c r="BI422">
        <f t="shared" si="81"/>
        <v>18300814.5</v>
      </c>
      <c r="BJ422">
        <f t="shared" si="81"/>
        <v>64591110.000000007</v>
      </c>
      <c r="BK422">
        <f t="shared" si="81"/>
        <v>215303700</v>
      </c>
      <c r="BL422" s="145">
        <v>417</v>
      </c>
    </row>
    <row r="423" spans="1:64" ht="17.25" thickBot="1" x14ac:dyDescent="0.25">
      <c r="A423" s="131">
        <v>419</v>
      </c>
      <c r="B423" s="132">
        <v>72998672</v>
      </c>
      <c r="D423" s="131">
        <v>419</v>
      </c>
      <c r="E423" s="132">
        <v>21.67155</v>
      </c>
      <c r="AK423">
        <v>417</v>
      </c>
      <c r="AL423" s="24">
        <f t="shared" si="79"/>
        <v>21.577539999999999</v>
      </c>
      <c r="AM423">
        <f t="shared" si="82"/>
        <v>151.04277999999999</v>
      </c>
      <c r="AN423">
        <f t="shared" si="82"/>
        <v>215.77539999999999</v>
      </c>
      <c r="AO423">
        <f t="shared" si="82"/>
        <v>323.66309999999999</v>
      </c>
      <c r="AP423">
        <f t="shared" si="82"/>
        <v>431.55079999999998</v>
      </c>
      <c r="AQ423">
        <f t="shared" si="82"/>
        <v>755.21389999999997</v>
      </c>
      <c r="AR423">
        <f t="shared" si="82"/>
        <v>1078.877</v>
      </c>
      <c r="AS423">
        <f t="shared" si="82"/>
        <v>1726.2031999999999</v>
      </c>
      <c r="AT423">
        <f t="shared" si="82"/>
        <v>2589.3047999999999</v>
      </c>
      <c r="AU423">
        <f t="shared" si="82"/>
        <v>3668.1817999999998</v>
      </c>
      <c r="AV423">
        <f t="shared" si="82"/>
        <v>5178.6095999999998</v>
      </c>
      <c r="AW423">
        <f t="shared" si="82"/>
        <v>7120.5882000000001</v>
      </c>
      <c r="AX423">
        <f t="shared" si="82"/>
        <v>9925.6683999999987</v>
      </c>
      <c r="AY423">
        <f t="shared" si="82"/>
        <v>17262.031999999999</v>
      </c>
      <c r="AZ423">
        <f t="shared" si="82"/>
        <v>32366.309999999998</v>
      </c>
      <c r="BA423">
        <f t="shared" si="82"/>
        <v>53943.85</v>
      </c>
      <c r="BB423">
        <f t="shared" si="82"/>
        <v>86310.16</v>
      </c>
      <c r="BC423">
        <f t="shared" si="81"/>
        <v>215775.4</v>
      </c>
      <c r="BD423">
        <f t="shared" si="81"/>
        <v>323663.09999999998</v>
      </c>
      <c r="BE423">
        <f t="shared" si="81"/>
        <v>517860.95999999996</v>
      </c>
      <c r="BF423">
        <f t="shared" si="81"/>
        <v>647326.19999999995</v>
      </c>
      <c r="BG423">
        <f t="shared" si="81"/>
        <v>2157754</v>
      </c>
      <c r="BH423">
        <f t="shared" si="81"/>
        <v>6473262</v>
      </c>
      <c r="BI423">
        <f t="shared" si="81"/>
        <v>18340909</v>
      </c>
      <c r="BJ423">
        <f t="shared" si="81"/>
        <v>64732620</v>
      </c>
      <c r="BK423">
        <f t="shared" si="81"/>
        <v>215775400</v>
      </c>
      <c r="BL423">
        <v>418</v>
      </c>
    </row>
    <row r="424" spans="1:64" ht="17.25" thickBot="1" x14ac:dyDescent="0.25">
      <c r="A424" s="131">
        <v>420</v>
      </c>
      <c r="B424" s="132">
        <v>73259866</v>
      </c>
      <c r="D424" s="131">
        <v>420</v>
      </c>
      <c r="E424" s="132">
        <v>21.718389999999999</v>
      </c>
      <c r="AK424">
        <v>418</v>
      </c>
      <c r="AL424" s="24">
        <f t="shared" si="79"/>
        <v>21.624600000000001</v>
      </c>
      <c r="AM424">
        <f t="shared" si="82"/>
        <v>151.37220000000002</v>
      </c>
      <c r="AN424">
        <f t="shared" si="82"/>
        <v>216.24600000000001</v>
      </c>
      <c r="AO424">
        <f t="shared" si="82"/>
        <v>324.36900000000003</v>
      </c>
      <c r="AP424">
        <f t="shared" si="82"/>
        <v>432.49200000000002</v>
      </c>
      <c r="AQ424">
        <f t="shared" si="82"/>
        <v>756.86099999999999</v>
      </c>
      <c r="AR424">
        <f t="shared" si="82"/>
        <v>1081.23</v>
      </c>
      <c r="AS424">
        <f t="shared" si="82"/>
        <v>1729.9680000000001</v>
      </c>
      <c r="AT424">
        <f t="shared" si="82"/>
        <v>2594.9520000000002</v>
      </c>
      <c r="AU424">
        <f t="shared" si="82"/>
        <v>3676.1820000000002</v>
      </c>
      <c r="AV424">
        <f t="shared" si="82"/>
        <v>5189.9040000000005</v>
      </c>
      <c r="AW424">
        <f t="shared" si="82"/>
        <v>7136.1180000000004</v>
      </c>
      <c r="AX424">
        <f t="shared" si="82"/>
        <v>9947.3160000000007</v>
      </c>
      <c r="AY424">
        <f t="shared" si="82"/>
        <v>17299.68</v>
      </c>
      <c r="AZ424">
        <f t="shared" si="82"/>
        <v>32436.9</v>
      </c>
      <c r="BA424">
        <f t="shared" si="82"/>
        <v>54061.5</v>
      </c>
      <c r="BB424">
        <f t="shared" si="82"/>
        <v>86498.400000000009</v>
      </c>
      <c r="BC424">
        <f t="shared" si="81"/>
        <v>216246</v>
      </c>
      <c r="BD424">
        <f t="shared" si="81"/>
        <v>324369</v>
      </c>
      <c r="BE424">
        <f t="shared" si="81"/>
        <v>518990.4</v>
      </c>
      <c r="BF424">
        <f t="shared" si="81"/>
        <v>648738</v>
      </c>
      <c r="BG424">
        <f t="shared" si="81"/>
        <v>2162460</v>
      </c>
      <c r="BH424">
        <f t="shared" si="81"/>
        <v>6487380</v>
      </c>
      <c r="BI424">
        <f t="shared" si="81"/>
        <v>18380910</v>
      </c>
      <c r="BJ424">
        <f t="shared" si="81"/>
        <v>64873800</v>
      </c>
      <c r="BK424">
        <f t="shared" si="81"/>
        <v>216246000</v>
      </c>
      <c r="BL424" s="145">
        <v>419</v>
      </c>
    </row>
    <row r="425" spans="1:64" ht="17.25" thickBot="1" x14ac:dyDescent="0.25">
      <c r="A425" s="131">
        <v>421</v>
      </c>
      <c r="B425" s="132">
        <v>73521372</v>
      </c>
      <c r="D425" s="131">
        <v>421</v>
      </c>
      <c r="E425" s="132">
        <v>21.76512</v>
      </c>
      <c r="AK425">
        <v>419</v>
      </c>
      <c r="AL425" s="24">
        <f t="shared" si="79"/>
        <v>21.67155</v>
      </c>
      <c r="AM425">
        <f t="shared" si="82"/>
        <v>151.70085</v>
      </c>
      <c r="AN425">
        <f t="shared" si="82"/>
        <v>216.71549999999999</v>
      </c>
      <c r="AO425">
        <f t="shared" si="82"/>
        <v>325.07324999999997</v>
      </c>
      <c r="AP425">
        <f t="shared" si="82"/>
        <v>433.43099999999998</v>
      </c>
      <c r="AQ425">
        <f t="shared" si="82"/>
        <v>758.50424999999996</v>
      </c>
      <c r="AR425">
        <f t="shared" si="82"/>
        <v>1083.5775000000001</v>
      </c>
      <c r="AS425">
        <f t="shared" si="82"/>
        <v>1733.7239999999999</v>
      </c>
      <c r="AT425">
        <f t="shared" si="82"/>
        <v>2600.5859999999998</v>
      </c>
      <c r="AU425">
        <f t="shared" si="82"/>
        <v>3684.1635000000001</v>
      </c>
      <c r="AV425">
        <f t="shared" si="82"/>
        <v>5201.1719999999996</v>
      </c>
      <c r="AW425">
        <f t="shared" si="82"/>
        <v>7151.6115</v>
      </c>
      <c r="AX425">
        <f t="shared" si="82"/>
        <v>9968.9130000000005</v>
      </c>
      <c r="AY425">
        <f t="shared" si="82"/>
        <v>17337.240000000002</v>
      </c>
      <c r="AZ425">
        <f t="shared" si="82"/>
        <v>32507.325000000001</v>
      </c>
      <c r="BA425">
        <f t="shared" si="82"/>
        <v>54178.875</v>
      </c>
      <c r="BB425">
        <f t="shared" si="82"/>
        <v>86686.2</v>
      </c>
      <c r="BC425">
        <f t="shared" si="81"/>
        <v>216715.5</v>
      </c>
      <c r="BD425">
        <f t="shared" si="81"/>
        <v>325073.25</v>
      </c>
      <c r="BE425">
        <f t="shared" si="81"/>
        <v>520117.2</v>
      </c>
      <c r="BF425">
        <f t="shared" si="81"/>
        <v>650146.5</v>
      </c>
      <c r="BG425">
        <f t="shared" si="81"/>
        <v>2167155</v>
      </c>
      <c r="BH425">
        <f t="shared" si="81"/>
        <v>6501465</v>
      </c>
      <c r="BI425">
        <f t="shared" si="81"/>
        <v>18420817.5</v>
      </c>
      <c r="BJ425">
        <f t="shared" si="81"/>
        <v>65014650</v>
      </c>
      <c r="BK425">
        <f t="shared" si="81"/>
        <v>216715500</v>
      </c>
      <c r="BL425">
        <v>420</v>
      </c>
    </row>
    <row r="426" spans="1:64" ht="17.25" thickBot="1" x14ac:dyDescent="0.25">
      <c r="A426" s="131">
        <v>422</v>
      </c>
      <c r="B426" s="132">
        <v>73783188</v>
      </c>
      <c r="D426" s="131">
        <v>422</v>
      </c>
      <c r="E426" s="132">
        <v>21.81175</v>
      </c>
      <c r="AK426">
        <v>420</v>
      </c>
      <c r="AL426" s="24">
        <f t="shared" si="79"/>
        <v>21.718389999999999</v>
      </c>
      <c r="AM426">
        <f t="shared" si="82"/>
        <v>152.02873</v>
      </c>
      <c r="AN426">
        <f t="shared" si="82"/>
        <v>217.18389999999999</v>
      </c>
      <c r="AO426">
        <f t="shared" si="82"/>
        <v>325.77584999999999</v>
      </c>
      <c r="AP426">
        <f t="shared" si="82"/>
        <v>434.36779999999999</v>
      </c>
      <c r="AQ426">
        <f t="shared" si="82"/>
        <v>760.14364999999998</v>
      </c>
      <c r="AR426">
        <f t="shared" si="82"/>
        <v>1085.9195</v>
      </c>
      <c r="AS426">
        <f t="shared" si="82"/>
        <v>1737.4712</v>
      </c>
      <c r="AT426">
        <f t="shared" si="82"/>
        <v>2606.2067999999999</v>
      </c>
      <c r="AU426">
        <f t="shared" si="82"/>
        <v>3692.1262999999999</v>
      </c>
      <c r="AV426">
        <f t="shared" si="82"/>
        <v>5212.4135999999999</v>
      </c>
      <c r="AW426">
        <f t="shared" si="82"/>
        <v>7167.0686999999998</v>
      </c>
      <c r="AX426">
        <f t="shared" si="82"/>
        <v>9990.4593999999997</v>
      </c>
      <c r="AY426">
        <f t="shared" si="82"/>
        <v>17374.712</v>
      </c>
      <c r="AZ426">
        <f t="shared" si="82"/>
        <v>32577.584999999999</v>
      </c>
      <c r="BA426">
        <f t="shared" si="82"/>
        <v>54295.974999999999</v>
      </c>
      <c r="BB426">
        <f t="shared" si="82"/>
        <v>86873.56</v>
      </c>
      <c r="BC426">
        <f t="shared" si="81"/>
        <v>217183.9</v>
      </c>
      <c r="BD426">
        <f t="shared" si="81"/>
        <v>325775.84999999998</v>
      </c>
      <c r="BE426">
        <f t="shared" si="81"/>
        <v>521241.36</v>
      </c>
      <c r="BF426">
        <f t="shared" si="81"/>
        <v>651551.69999999995</v>
      </c>
      <c r="BG426">
        <f t="shared" si="81"/>
        <v>2171839</v>
      </c>
      <c r="BH426">
        <f t="shared" si="81"/>
        <v>6515517</v>
      </c>
      <c r="BI426">
        <f t="shared" si="81"/>
        <v>18460631.5</v>
      </c>
      <c r="BJ426">
        <f t="shared" si="81"/>
        <v>65155170</v>
      </c>
      <c r="BK426">
        <f t="shared" si="81"/>
        <v>217183900</v>
      </c>
      <c r="BL426" s="145">
        <v>421</v>
      </c>
    </row>
    <row r="427" spans="1:64" ht="17.25" thickBot="1" x14ac:dyDescent="0.25">
      <c r="A427" s="131">
        <v>423</v>
      </c>
      <c r="B427" s="132">
        <v>74045311</v>
      </c>
      <c r="D427" s="131">
        <v>423</v>
      </c>
      <c r="E427" s="132">
        <v>21.858270000000001</v>
      </c>
      <c r="AK427">
        <v>421</v>
      </c>
      <c r="AL427" s="24">
        <f t="shared" si="79"/>
        <v>21.76512</v>
      </c>
      <c r="AM427">
        <f t="shared" si="82"/>
        <v>152.35584</v>
      </c>
      <c r="AN427">
        <f t="shared" si="82"/>
        <v>217.65119999999999</v>
      </c>
      <c r="AO427">
        <f t="shared" si="82"/>
        <v>326.47679999999997</v>
      </c>
      <c r="AP427">
        <f t="shared" si="82"/>
        <v>435.30239999999998</v>
      </c>
      <c r="AQ427">
        <f t="shared" si="82"/>
        <v>761.77919999999995</v>
      </c>
      <c r="AR427">
        <f t="shared" si="82"/>
        <v>1088.2560000000001</v>
      </c>
      <c r="AS427">
        <f t="shared" si="82"/>
        <v>1741.2095999999999</v>
      </c>
      <c r="AT427">
        <f t="shared" si="82"/>
        <v>2611.8143999999998</v>
      </c>
      <c r="AU427">
        <f t="shared" si="82"/>
        <v>3700.0704000000001</v>
      </c>
      <c r="AV427">
        <f t="shared" si="82"/>
        <v>5223.6287999999995</v>
      </c>
      <c r="AW427">
        <f t="shared" si="82"/>
        <v>7182.4895999999999</v>
      </c>
      <c r="AX427">
        <f t="shared" si="82"/>
        <v>10011.9552</v>
      </c>
      <c r="AY427">
        <f t="shared" si="82"/>
        <v>17412.096000000001</v>
      </c>
      <c r="AZ427">
        <f t="shared" si="82"/>
        <v>32647.68</v>
      </c>
      <c r="BA427">
        <f t="shared" si="82"/>
        <v>54412.799999999996</v>
      </c>
      <c r="BB427">
        <f t="shared" si="82"/>
        <v>87060.479999999996</v>
      </c>
      <c r="BC427">
        <f t="shared" si="81"/>
        <v>217651.19999999998</v>
      </c>
      <c r="BD427">
        <f t="shared" si="81"/>
        <v>326476.79999999999</v>
      </c>
      <c r="BE427">
        <f t="shared" si="81"/>
        <v>522362.88</v>
      </c>
      <c r="BF427">
        <f t="shared" si="81"/>
        <v>652953.59999999998</v>
      </c>
      <c r="BG427">
        <f t="shared" si="81"/>
        <v>2176512</v>
      </c>
      <c r="BH427">
        <f t="shared" si="81"/>
        <v>6529536</v>
      </c>
      <c r="BI427">
        <f t="shared" si="81"/>
        <v>18500352</v>
      </c>
      <c r="BJ427">
        <f t="shared" si="81"/>
        <v>65295360</v>
      </c>
      <c r="BK427">
        <f t="shared" si="81"/>
        <v>217651200</v>
      </c>
      <c r="BL427">
        <v>422</v>
      </c>
    </row>
    <row r="428" spans="1:64" ht="17.25" thickBot="1" x14ac:dyDescent="0.25">
      <c r="A428" s="131">
        <v>424</v>
      </c>
      <c r="B428" s="132">
        <v>74307744</v>
      </c>
      <c r="D428" s="131">
        <v>424</v>
      </c>
      <c r="E428" s="132">
        <v>21.904679999999999</v>
      </c>
      <c r="AK428">
        <v>422</v>
      </c>
      <c r="AL428" s="24">
        <f t="shared" si="79"/>
        <v>21.81175</v>
      </c>
      <c r="AM428">
        <f t="shared" si="82"/>
        <v>152.68225000000001</v>
      </c>
      <c r="AN428">
        <f t="shared" si="82"/>
        <v>218.11750000000001</v>
      </c>
      <c r="AO428">
        <f t="shared" si="82"/>
        <v>327.17624999999998</v>
      </c>
      <c r="AP428">
        <f t="shared" si="82"/>
        <v>436.23500000000001</v>
      </c>
      <c r="AQ428">
        <f t="shared" si="82"/>
        <v>763.41125</v>
      </c>
      <c r="AR428">
        <f t="shared" si="82"/>
        <v>1090.5875000000001</v>
      </c>
      <c r="AS428">
        <f t="shared" si="82"/>
        <v>1744.94</v>
      </c>
      <c r="AT428">
        <f t="shared" si="82"/>
        <v>2617.41</v>
      </c>
      <c r="AU428">
        <f t="shared" si="82"/>
        <v>3707.9974999999999</v>
      </c>
      <c r="AV428">
        <f t="shared" si="82"/>
        <v>5234.82</v>
      </c>
      <c r="AW428">
        <f t="shared" si="82"/>
        <v>7197.8774999999996</v>
      </c>
      <c r="AX428">
        <f t="shared" si="82"/>
        <v>10033.405000000001</v>
      </c>
      <c r="AY428">
        <f t="shared" si="82"/>
        <v>17449.400000000001</v>
      </c>
      <c r="AZ428">
        <f t="shared" si="82"/>
        <v>32717.625</v>
      </c>
      <c r="BA428">
        <f t="shared" si="82"/>
        <v>54529.375</v>
      </c>
      <c r="BB428">
        <f t="shared" si="82"/>
        <v>87247</v>
      </c>
      <c r="BC428">
        <f t="shared" si="81"/>
        <v>218117.5</v>
      </c>
      <c r="BD428">
        <f t="shared" si="81"/>
        <v>327176.25</v>
      </c>
      <c r="BE428">
        <f t="shared" si="81"/>
        <v>523482</v>
      </c>
      <c r="BF428">
        <f t="shared" si="81"/>
        <v>654352.5</v>
      </c>
      <c r="BG428">
        <f t="shared" si="81"/>
        <v>2181175</v>
      </c>
      <c r="BH428">
        <f t="shared" si="81"/>
        <v>6543525</v>
      </c>
      <c r="BI428">
        <f t="shared" si="81"/>
        <v>18539987.5</v>
      </c>
      <c r="BJ428">
        <f t="shared" si="81"/>
        <v>65435250</v>
      </c>
      <c r="BK428">
        <f t="shared" si="81"/>
        <v>218117500</v>
      </c>
      <c r="BL428" s="145">
        <v>423</v>
      </c>
    </row>
    <row r="429" spans="1:64" ht="17.25" thickBot="1" x14ac:dyDescent="0.25">
      <c r="A429" s="131">
        <v>425</v>
      </c>
      <c r="B429" s="132">
        <v>74570488</v>
      </c>
      <c r="D429" s="131">
        <v>425</v>
      </c>
      <c r="E429" s="132">
        <v>21.950980000000001</v>
      </c>
      <c r="AK429">
        <v>423</v>
      </c>
      <c r="AL429" s="24">
        <f t="shared" si="79"/>
        <v>21.858270000000001</v>
      </c>
      <c r="AM429">
        <f t="shared" si="82"/>
        <v>153.00789</v>
      </c>
      <c r="AN429">
        <f t="shared" si="82"/>
        <v>218.58270000000002</v>
      </c>
      <c r="AO429">
        <f t="shared" si="82"/>
        <v>327.87405000000001</v>
      </c>
      <c r="AP429">
        <f t="shared" si="82"/>
        <v>437.16540000000003</v>
      </c>
      <c r="AQ429">
        <f t="shared" si="82"/>
        <v>765.03944999999999</v>
      </c>
      <c r="AR429">
        <f t="shared" si="82"/>
        <v>1092.9135000000001</v>
      </c>
      <c r="AS429">
        <f t="shared" si="82"/>
        <v>1748.6616000000001</v>
      </c>
      <c r="AT429">
        <f t="shared" si="82"/>
        <v>2622.9924000000001</v>
      </c>
      <c r="AU429">
        <f t="shared" si="82"/>
        <v>3715.9059000000002</v>
      </c>
      <c r="AV429">
        <f t="shared" si="82"/>
        <v>5245.9848000000002</v>
      </c>
      <c r="AW429">
        <f t="shared" si="82"/>
        <v>7213.2291000000005</v>
      </c>
      <c r="AX429">
        <f t="shared" si="82"/>
        <v>10054.8042</v>
      </c>
      <c r="AY429">
        <f t="shared" si="82"/>
        <v>17486.616000000002</v>
      </c>
      <c r="AZ429">
        <f t="shared" si="82"/>
        <v>32787.404999999999</v>
      </c>
      <c r="BA429">
        <f t="shared" si="82"/>
        <v>54645.675000000003</v>
      </c>
      <c r="BB429">
        <f t="shared" si="82"/>
        <v>87433.08</v>
      </c>
      <c r="BC429">
        <f t="shared" si="81"/>
        <v>218582.7</v>
      </c>
      <c r="BD429">
        <f t="shared" si="81"/>
        <v>327874.05</v>
      </c>
      <c r="BE429">
        <f t="shared" si="81"/>
        <v>524598.48</v>
      </c>
      <c r="BF429">
        <f t="shared" si="81"/>
        <v>655748.1</v>
      </c>
      <c r="BG429">
        <f t="shared" si="81"/>
        <v>2185827</v>
      </c>
      <c r="BH429">
        <f t="shared" si="81"/>
        <v>6557481</v>
      </c>
      <c r="BI429">
        <f t="shared" si="81"/>
        <v>18579529.5</v>
      </c>
      <c r="BJ429">
        <f t="shared" si="81"/>
        <v>65574810</v>
      </c>
      <c r="BK429">
        <f t="shared" si="81"/>
        <v>218582700</v>
      </c>
      <c r="BL429">
        <v>424</v>
      </c>
    </row>
    <row r="430" spans="1:64" ht="17.25" thickBot="1" x14ac:dyDescent="0.25">
      <c r="A430" s="131">
        <v>426</v>
      </c>
      <c r="B430" s="132">
        <v>74833538</v>
      </c>
      <c r="D430" s="131">
        <v>426</v>
      </c>
      <c r="E430" s="132">
        <v>21.997170000000001</v>
      </c>
      <c r="AK430">
        <v>424</v>
      </c>
      <c r="AL430" s="24">
        <f t="shared" si="79"/>
        <v>21.904679999999999</v>
      </c>
      <c r="AM430">
        <f t="shared" si="82"/>
        <v>153.33276000000001</v>
      </c>
      <c r="AN430">
        <f t="shared" si="82"/>
        <v>219.04679999999999</v>
      </c>
      <c r="AO430">
        <f t="shared" si="82"/>
        <v>328.5702</v>
      </c>
      <c r="AP430">
        <f t="shared" si="82"/>
        <v>438.09359999999998</v>
      </c>
      <c r="AQ430">
        <f t="shared" si="82"/>
        <v>766.66379999999992</v>
      </c>
      <c r="AR430">
        <f t="shared" si="82"/>
        <v>1095.2339999999999</v>
      </c>
      <c r="AS430">
        <f t="shared" si="82"/>
        <v>1752.3743999999999</v>
      </c>
      <c r="AT430">
        <f t="shared" si="82"/>
        <v>2628.5616</v>
      </c>
      <c r="AU430">
        <f t="shared" si="82"/>
        <v>3723.7955999999999</v>
      </c>
      <c r="AV430">
        <f t="shared" si="82"/>
        <v>5257.1232</v>
      </c>
      <c r="AW430">
        <f t="shared" si="82"/>
        <v>7228.5443999999998</v>
      </c>
      <c r="AX430">
        <f t="shared" si="82"/>
        <v>10076.1528</v>
      </c>
      <c r="AY430">
        <f t="shared" si="82"/>
        <v>17523.743999999999</v>
      </c>
      <c r="AZ430">
        <f t="shared" si="82"/>
        <v>32857.019999999997</v>
      </c>
      <c r="BA430">
        <f t="shared" si="82"/>
        <v>54761.7</v>
      </c>
      <c r="BB430">
        <f t="shared" si="82"/>
        <v>87618.72</v>
      </c>
      <c r="BC430">
        <f t="shared" si="81"/>
        <v>219046.8</v>
      </c>
      <c r="BD430">
        <f t="shared" si="81"/>
        <v>328570.2</v>
      </c>
      <c r="BE430">
        <f t="shared" si="81"/>
        <v>525712.31999999995</v>
      </c>
      <c r="BF430">
        <f t="shared" si="81"/>
        <v>657140.4</v>
      </c>
      <c r="BG430">
        <f t="shared" si="81"/>
        <v>2190468</v>
      </c>
      <c r="BH430">
        <f t="shared" si="81"/>
        <v>6571404</v>
      </c>
      <c r="BI430">
        <f t="shared" si="81"/>
        <v>18618978</v>
      </c>
      <c r="BJ430">
        <f t="shared" si="81"/>
        <v>65714040</v>
      </c>
      <c r="BK430">
        <f t="shared" si="81"/>
        <v>219046800</v>
      </c>
      <c r="BL430" s="145">
        <v>425</v>
      </c>
    </row>
    <row r="431" spans="1:64" ht="17.25" thickBot="1" x14ac:dyDescent="0.25">
      <c r="A431" s="131">
        <v>427</v>
      </c>
      <c r="B431" s="132">
        <v>75096899</v>
      </c>
      <c r="D431" s="131">
        <v>427</v>
      </c>
      <c r="E431" s="132">
        <v>22.04326</v>
      </c>
      <c r="AK431">
        <v>425</v>
      </c>
      <c r="AL431" s="24">
        <f t="shared" si="79"/>
        <v>21.950980000000001</v>
      </c>
      <c r="AM431">
        <f t="shared" si="82"/>
        <v>153.65685999999999</v>
      </c>
      <c r="AN431">
        <f t="shared" si="82"/>
        <v>219.50980000000001</v>
      </c>
      <c r="AO431">
        <f t="shared" si="82"/>
        <v>329.2647</v>
      </c>
      <c r="AP431">
        <f t="shared" si="82"/>
        <v>439.01960000000003</v>
      </c>
      <c r="AQ431">
        <f t="shared" si="82"/>
        <v>768.28430000000003</v>
      </c>
      <c r="AR431">
        <f t="shared" si="82"/>
        <v>1097.549</v>
      </c>
      <c r="AS431">
        <f t="shared" si="82"/>
        <v>1756.0784000000001</v>
      </c>
      <c r="AT431">
        <f t="shared" si="82"/>
        <v>2634.1176</v>
      </c>
      <c r="AU431">
        <f t="shared" si="82"/>
        <v>3731.6666</v>
      </c>
      <c r="AV431">
        <f t="shared" si="82"/>
        <v>5268.2352000000001</v>
      </c>
      <c r="AW431">
        <f t="shared" si="82"/>
        <v>7243.8234000000002</v>
      </c>
      <c r="AX431">
        <f t="shared" si="82"/>
        <v>10097.450800000001</v>
      </c>
      <c r="AY431">
        <f t="shared" si="82"/>
        <v>17560.784</v>
      </c>
      <c r="AZ431">
        <f t="shared" si="82"/>
        <v>32926.47</v>
      </c>
      <c r="BA431">
        <f t="shared" si="82"/>
        <v>54877.450000000004</v>
      </c>
      <c r="BB431">
        <f t="shared" si="82"/>
        <v>87803.92</v>
      </c>
      <c r="BC431">
        <f t="shared" si="81"/>
        <v>219509.80000000002</v>
      </c>
      <c r="BD431">
        <f t="shared" si="81"/>
        <v>329264.7</v>
      </c>
      <c r="BE431">
        <f t="shared" si="81"/>
        <v>526823.52</v>
      </c>
      <c r="BF431">
        <f t="shared" si="81"/>
        <v>658529.4</v>
      </c>
      <c r="BG431">
        <f t="shared" si="81"/>
        <v>2195098</v>
      </c>
      <c r="BH431">
        <f t="shared" si="81"/>
        <v>6585294</v>
      </c>
      <c r="BI431">
        <f t="shared" si="81"/>
        <v>18658333</v>
      </c>
      <c r="BJ431">
        <f t="shared" si="81"/>
        <v>65852940.000000007</v>
      </c>
      <c r="BK431">
        <f t="shared" si="81"/>
        <v>219509800</v>
      </c>
      <c r="BL431">
        <v>426</v>
      </c>
    </row>
    <row r="432" spans="1:64" ht="17.25" thickBot="1" x14ac:dyDescent="0.25">
      <c r="A432" s="131">
        <v>428</v>
      </c>
      <c r="B432" s="132">
        <v>75360566</v>
      </c>
      <c r="D432" s="131">
        <v>428</v>
      </c>
      <c r="E432" s="132">
        <v>22.08924</v>
      </c>
      <c r="AK432">
        <v>426</v>
      </c>
      <c r="AL432" s="24">
        <f t="shared" si="79"/>
        <v>21.997170000000001</v>
      </c>
      <c r="AM432">
        <f t="shared" si="82"/>
        <v>153.98018999999999</v>
      </c>
      <c r="AN432">
        <f t="shared" si="82"/>
        <v>219.9717</v>
      </c>
      <c r="AO432">
        <f t="shared" ref="AM432:BB448" si="83">AO$5*VLOOKUP($AK432,$D$2:$E$1404,2,FALSE)</f>
        <v>329.95755000000003</v>
      </c>
      <c r="AP432">
        <f t="shared" si="83"/>
        <v>439.9434</v>
      </c>
      <c r="AQ432">
        <f t="shared" si="83"/>
        <v>769.90094999999997</v>
      </c>
      <c r="AR432">
        <f t="shared" si="83"/>
        <v>1099.8585</v>
      </c>
      <c r="AS432">
        <f t="shared" si="83"/>
        <v>1759.7736</v>
      </c>
      <c r="AT432">
        <f t="shared" si="83"/>
        <v>2639.6604000000002</v>
      </c>
      <c r="AU432">
        <f t="shared" si="83"/>
        <v>3739.5189</v>
      </c>
      <c r="AV432">
        <f t="shared" si="83"/>
        <v>5279.3208000000004</v>
      </c>
      <c r="AW432">
        <f t="shared" si="83"/>
        <v>7259.0661</v>
      </c>
      <c r="AX432">
        <f t="shared" si="83"/>
        <v>10118.698200000001</v>
      </c>
      <c r="AY432">
        <f t="shared" si="83"/>
        <v>17597.736000000001</v>
      </c>
      <c r="AZ432">
        <f t="shared" si="83"/>
        <v>32995.754999999997</v>
      </c>
      <c r="BA432">
        <f t="shared" si="83"/>
        <v>54992.925000000003</v>
      </c>
      <c r="BB432">
        <f t="shared" si="83"/>
        <v>87988.680000000008</v>
      </c>
      <c r="BC432">
        <f t="shared" si="81"/>
        <v>219971.7</v>
      </c>
      <c r="BD432">
        <f t="shared" si="81"/>
        <v>329957.55</v>
      </c>
      <c r="BE432">
        <f t="shared" si="81"/>
        <v>527932.07999999996</v>
      </c>
      <c r="BF432">
        <f t="shared" si="81"/>
        <v>659915.1</v>
      </c>
      <c r="BG432">
        <f t="shared" si="81"/>
        <v>2199717</v>
      </c>
      <c r="BH432">
        <f t="shared" si="81"/>
        <v>6599151</v>
      </c>
      <c r="BI432">
        <f t="shared" si="81"/>
        <v>18697594.5</v>
      </c>
      <c r="BJ432">
        <f t="shared" si="81"/>
        <v>65991510</v>
      </c>
      <c r="BK432">
        <f t="shared" si="81"/>
        <v>219971700</v>
      </c>
      <c r="BL432" s="145">
        <v>427</v>
      </c>
    </row>
    <row r="433" spans="1:64" ht="17.25" thickBot="1" x14ac:dyDescent="0.25">
      <c r="A433" s="131">
        <v>429</v>
      </c>
      <c r="B433" s="132">
        <v>75624544</v>
      </c>
      <c r="D433" s="131">
        <v>429</v>
      </c>
      <c r="E433" s="132">
        <v>22.135120000000001</v>
      </c>
      <c r="AK433">
        <v>427</v>
      </c>
      <c r="AL433" s="24">
        <f t="shared" si="79"/>
        <v>22.04326</v>
      </c>
      <c r="AM433">
        <f t="shared" si="83"/>
        <v>154.30282</v>
      </c>
      <c r="AN433">
        <f t="shared" si="83"/>
        <v>220.43260000000001</v>
      </c>
      <c r="AO433">
        <f t="shared" si="83"/>
        <v>330.64890000000003</v>
      </c>
      <c r="AP433">
        <f t="shared" si="83"/>
        <v>440.86520000000002</v>
      </c>
      <c r="AQ433">
        <f t="shared" si="83"/>
        <v>771.51409999999998</v>
      </c>
      <c r="AR433">
        <f t="shared" si="83"/>
        <v>1102.163</v>
      </c>
      <c r="AS433">
        <f t="shared" si="83"/>
        <v>1763.4608000000001</v>
      </c>
      <c r="AT433">
        <f t="shared" si="83"/>
        <v>2645.1912000000002</v>
      </c>
      <c r="AU433">
        <f t="shared" si="83"/>
        <v>3747.3542000000002</v>
      </c>
      <c r="AV433">
        <f t="shared" si="83"/>
        <v>5290.3824000000004</v>
      </c>
      <c r="AW433">
        <f t="shared" si="83"/>
        <v>7274.2758000000003</v>
      </c>
      <c r="AX433">
        <f t="shared" si="83"/>
        <v>10139.899600000001</v>
      </c>
      <c r="AY433">
        <f t="shared" si="83"/>
        <v>17634.608</v>
      </c>
      <c r="AZ433">
        <f t="shared" si="83"/>
        <v>33064.89</v>
      </c>
      <c r="BA433">
        <f t="shared" si="83"/>
        <v>55108.15</v>
      </c>
      <c r="BB433">
        <f t="shared" si="83"/>
        <v>88173.04</v>
      </c>
      <c r="BC433">
        <f t="shared" si="81"/>
        <v>220432.6</v>
      </c>
      <c r="BD433">
        <f t="shared" si="81"/>
        <v>330648.90000000002</v>
      </c>
      <c r="BE433">
        <f t="shared" si="81"/>
        <v>529038.24</v>
      </c>
      <c r="BF433">
        <f t="shared" si="81"/>
        <v>661297.80000000005</v>
      </c>
      <c r="BG433">
        <f t="shared" si="81"/>
        <v>2204326</v>
      </c>
      <c r="BH433">
        <f t="shared" si="81"/>
        <v>6612978</v>
      </c>
      <c r="BI433">
        <f t="shared" si="81"/>
        <v>18736771</v>
      </c>
      <c r="BJ433">
        <f t="shared" si="81"/>
        <v>66129780</v>
      </c>
      <c r="BK433">
        <f t="shared" si="81"/>
        <v>220432600</v>
      </c>
      <c r="BL433">
        <v>428</v>
      </c>
    </row>
    <row r="434" spans="1:64" ht="17.25" thickBot="1" x14ac:dyDescent="0.25">
      <c r="A434" s="131">
        <v>430</v>
      </c>
      <c r="B434" s="132">
        <v>75888827</v>
      </c>
      <c r="D434" s="131">
        <v>430</v>
      </c>
      <c r="E434" s="132">
        <v>22.180890000000002</v>
      </c>
      <c r="AK434">
        <v>428</v>
      </c>
      <c r="AL434" s="24">
        <f t="shared" si="79"/>
        <v>22.08924</v>
      </c>
      <c r="AM434">
        <f t="shared" si="83"/>
        <v>154.62468000000001</v>
      </c>
      <c r="AN434">
        <f t="shared" si="83"/>
        <v>220.89240000000001</v>
      </c>
      <c r="AO434">
        <f t="shared" si="83"/>
        <v>331.33859999999999</v>
      </c>
      <c r="AP434">
        <f t="shared" si="83"/>
        <v>441.78480000000002</v>
      </c>
      <c r="AQ434">
        <f t="shared" si="83"/>
        <v>773.12340000000006</v>
      </c>
      <c r="AR434">
        <f t="shared" si="83"/>
        <v>1104.462</v>
      </c>
      <c r="AS434">
        <f t="shared" si="83"/>
        <v>1767.1392000000001</v>
      </c>
      <c r="AT434">
        <f t="shared" si="83"/>
        <v>2650.7087999999999</v>
      </c>
      <c r="AU434">
        <f t="shared" si="83"/>
        <v>3755.1707999999999</v>
      </c>
      <c r="AV434">
        <f t="shared" si="83"/>
        <v>5301.4175999999998</v>
      </c>
      <c r="AW434">
        <f t="shared" si="83"/>
        <v>7289.4492</v>
      </c>
      <c r="AX434">
        <f t="shared" si="83"/>
        <v>10161.0504</v>
      </c>
      <c r="AY434">
        <f t="shared" si="83"/>
        <v>17671.392</v>
      </c>
      <c r="AZ434">
        <f t="shared" si="83"/>
        <v>33133.86</v>
      </c>
      <c r="BA434">
        <f t="shared" si="83"/>
        <v>55223.1</v>
      </c>
      <c r="BB434">
        <f t="shared" si="83"/>
        <v>88356.96</v>
      </c>
      <c r="BC434">
        <f t="shared" si="81"/>
        <v>220892.4</v>
      </c>
      <c r="BD434">
        <f t="shared" si="81"/>
        <v>331338.59999999998</v>
      </c>
      <c r="BE434">
        <f t="shared" si="81"/>
        <v>530141.76</v>
      </c>
      <c r="BF434">
        <f t="shared" si="81"/>
        <v>662677.19999999995</v>
      </c>
      <c r="BG434">
        <f t="shared" si="81"/>
        <v>2208924</v>
      </c>
      <c r="BH434">
        <f t="shared" ref="BC434:BK462" si="84">BH$5*VLOOKUP($AK434,$D$2:$E$1404,2,FALSE)</f>
        <v>6626772</v>
      </c>
      <c r="BI434">
        <f t="shared" si="84"/>
        <v>18775854</v>
      </c>
      <c r="BJ434">
        <f t="shared" si="84"/>
        <v>66267720</v>
      </c>
      <c r="BK434">
        <f t="shared" si="84"/>
        <v>220892400</v>
      </c>
      <c r="BL434" s="145">
        <v>429</v>
      </c>
    </row>
    <row r="435" spans="1:64" ht="17.25" thickBot="1" x14ac:dyDescent="0.25">
      <c r="A435" s="131">
        <v>431</v>
      </c>
      <c r="B435" s="132">
        <v>76153416</v>
      </c>
      <c r="D435" s="131">
        <v>431</v>
      </c>
      <c r="E435" s="132">
        <v>22.226559999999999</v>
      </c>
      <c r="AK435">
        <v>429</v>
      </c>
      <c r="AL435" s="24">
        <f t="shared" si="79"/>
        <v>22.135120000000001</v>
      </c>
      <c r="AM435">
        <f t="shared" si="83"/>
        <v>154.94584</v>
      </c>
      <c r="AN435">
        <f t="shared" si="83"/>
        <v>221.35120000000001</v>
      </c>
      <c r="AO435">
        <f t="shared" si="83"/>
        <v>332.02679999999998</v>
      </c>
      <c r="AP435">
        <f t="shared" si="83"/>
        <v>442.70240000000001</v>
      </c>
      <c r="AQ435">
        <f t="shared" si="83"/>
        <v>774.72919999999999</v>
      </c>
      <c r="AR435">
        <f t="shared" si="83"/>
        <v>1106.7560000000001</v>
      </c>
      <c r="AS435">
        <f t="shared" si="83"/>
        <v>1770.8096</v>
      </c>
      <c r="AT435">
        <f t="shared" si="83"/>
        <v>2656.2143999999998</v>
      </c>
      <c r="AU435">
        <f t="shared" si="83"/>
        <v>3762.9704000000002</v>
      </c>
      <c r="AV435">
        <f t="shared" si="83"/>
        <v>5312.4287999999997</v>
      </c>
      <c r="AW435">
        <f t="shared" si="83"/>
        <v>7304.5896000000002</v>
      </c>
      <c r="AX435">
        <f t="shared" si="83"/>
        <v>10182.155200000001</v>
      </c>
      <c r="AY435">
        <f t="shared" si="83"/>
        <v>17708.096000000001</v>
      </c>
      <c r="AZ435">
        <f t="shared" si="83"/>
        <v>33202.68</v>
      </c>
      <c r="BA435">
        <f t="shared" si="83"/>
        <v>55337.8</v>
      </c>
      <c r="BB435">
        <f t="shared" si="83"/>
        <v>88540.479999999996</v>
      </c>
      <c r="BC435">
        <f t="shared" si="84"/>
        <v>221351.2</v>
      </c>
      <c r="BD435">
        <f t="shared" si="84"/>
        <v>332026.8</v>
      </c>
      <c r="BE435">
        <f t="shared" si="84"/>
        <v>531242.88</v>
      </c>
      <c r="BF435">
        <f t="shared" si="84"/>
        <v>664053.6</v>
      </c>
      <c r="BG435">
        <f t="shared" si="84"/>
        <v>2213512</v>
      </c>
      <c r="BH435">
        <f t="shared" si="84"/>
        <v>6640536</v>
      </c>
      <c r="BI435">
        <f t="shared" si="84"/>
        <v>18814852</v>
      </c>
      <c r="BJ435">
        <f t="shared" si="84"/>
        <v>66405360</v>
      </c>
      <c r="BK435">
        <f t="shared" si="84"/>
        <v>221351200</v>
      </c>
      <c r="BL435">
        <v>430</v>
      </c>
    </row>
    <row r="436" spans="1:64" ht="17.25" thickBot="1" x14ac:dyDescent="0.25">
      <c r="A436" s="131">
        <v>432</v>
      </c>
      <c r="B436" s="132">
        <v>76418316</v>
      </c>
      <c r="D436" s="131">
        <v>432</v>
      </c>
      <c r="E436" s="132">
        <v>22.272120000000001</v>
      </c>
      <c r="AK436">
        <v>430</v>
      </c>
      <c r="AL436" s="24">
        <f t="shared" si="79"/>
        <v>22.180890000000002</v>
      </c>
      <c r="AM436">
        <f t="shared" si="83"/>
        <v>155.26623000000001</v>
      </c>
      <c r="AN436">
        <f t="shared" si="83"/>
        <v>221.80890000000002</v>
      </c>
      <c r="AO436">
        <f t="shared" si="83"/>
        <v>332.71335000000005</v>
      </c>
      <c r="AP436">
        <f t="shared" si="83"/>
        <v>443.61780000000005</v>
      </c>
      <c r="AQ436">
        <f t="shared" si="83"/>
        <v>776.33115000000009</v>
      </c>
      <c r="AR436">
        <f t="shared" si="83"/>
        <v>1109.0445</v>
      </c>
      <c r="AS436">
        <f t="shared" si="83"/>
        <v>1774.4712000000002</v>
      </c>
      <c r="AT436">
        <f t="shared" si="83"/>
        <v>2661.7068000000004</v>
      </c>
      <c r="AU436">
        <f t="shared" si="83"/>
        <v>3770.7513000000004</v>
      </c>
      <c r="AV436">
        <f t="shared" si="83"/>
        <v>5323.4136000000008</v>
      </c>
      <c r="AW436">
        <f t="shared" si="83"/>
        <v>7319.6937000000007</v>
      </c>
      <c r="AX436">
        <f t="shared" si="83"/>
        <v>10203.209400000002</v>
      </c>
      <c r="AY436">
        <f t="shared" si="83"/>
        <v>17744.712</v>
      </c>
      <c r="AZ436">
        <f t="shared" si="83"/>
        <v>33271.334999999999</v>
      </c>
      <c r="BA436">
        <f t="shared" si="83"/>
        <v>55452.225000000006</v>
      </c>
      <c r="BB436">
        <f t="shared" si="83"/>
        <v>88723.560000000012</v>
      </c>
      <c r="BC436">
        <f t="shared" si="84"/>
        <v>221808.90000000002</v>
      </c>
      <c r="BD436">
        <f t="shared" si="84"/>
        <v>332713.35000000003</v>
      </c>
      <c r="BE436">
        <f t="shared" si="84"/>
        <v>532341.36</v>
      </c>
      <c r="BF436">
        <f t="shared" si="84"/>
        <v>665426.70000000007</v>
      </c>
      <c r="BG436">
        <f t="shared" si="84"/>
        <v>2218089</v>
      </c>
      <c r="BH436">
        <f t="shared" si="84"/>
        <v>6654267</v>
      </c>
      <c r="BI436">
        <f t="shared" si="84"/>
        <v>18853756.5</v>
      </c>
      <c r="BJ436">
        <f t="shared" si="84"/>
        <v>66542670.000000007</v>
      </c>
      <c r="BK436">
        <f t="shared" si="84"/>
        <v>221808900.00000003</v>
      </c>
      <c r="BL436" s="145">
        <v>431</v>
      </c>
    </row>
    <row r="437" spans="1:64" ht="17.25" thickBot="1" x14ac:dyDescent="0.25">
      <c r="A437" s="131">
        <v>433</v>
      </c>
      <c r="B437" s="132">
        <v>76683522</v>
      </c>
      <c r="D437" s="131">
        <v>433</v>
      </c>
      <c r="E437" s="132">
        <v>22.31758</v>
      </c>
      <c r="AK437">
        <v>431</v>
      </c>
      <c r="AL437" s="24">
        <f t="shared" si="79"/>
        <v>22.226559999999999</v>
      </c>
      <c r="AM437">
        <f t="shared" si="83"/>
        <v>155.58591999999999</v>
      </c>
      <c r="AN437">
        <f t="shared" si="83"/>
        <v>222.26560000000001</v>
      </c>
      <c r="AO437">
        <f t="shared" si="83"/>
        <v>333.39839999999998</v>
      </c>
      <c r="AP437">
        <f t="shared" si="83"/>
        <v>444.53120000000001</v>
      </c>
      <c r="AQ437">
        <f t="shared" si="83"/>
        <v>777.92959999999994</v>
      </c>
      <c r="AR437">
        <f t="shared" si="83"/>
        <v>1111.328</v>
      </c>
      <c r="AS437">
        <f t="shared" si="83"/>
        <v>1778.1248000000001</v>
      </c>
      <c r="AT437">
        <f t="shared" si="83"/>
        <v>2667.1871999999998</v>
      </c>
      <c r="AU437">
        <f t="shared" si="83"/>
        <v>3778.5151999999998</v>
      </c>
      <c r="AV437">
        <f t="shared" si="83"/>
        <v>5334.3743999999997</v>
      </c>
      <c r="AW437">
        <f t="shared" si="83"/>
        <v>7334.7647999999999</v>
      </c>
      <c r="AX437">
        <f t="shared" si="83"/>
        <v>10224.2176</v>
      </c>
      <c r="AY437">
        <f t="shared" si="83"/>
        <v>17781.248</v>
      </c>
      <c r="AZ437">
        <f t="shared" si="83"/>
        <v>33339.839999999997</v>
      </c>
      <c r="BA437">
        <f t="shared" si="83"/>
        <v>55566.400000000001</v>
      </c>
      <c r="BB437">
        <f t="shared" si="83"/>
        <v>88906.239999999991</v>
      </c>
      <c r="BC437">
        <f t="shared" si="84"/>
        <v>222265.60000000001</v>
      </c>
      <c r="BD437">
        <f t="shared" si="84"/>
        <v>333398.39999999997</v>
      </c>
      <c r="BE437">
        <f t="shared" si="84"/>
        <v>533437.43999999994</v>
      </c>
      <c r="BF437">
        <f t="shared" si="84"/>
        <v>666796.79999999993</v>
      </c>
      <c r="BG437">
        <f t="shared" si="84"/>
        <v>2222656</v>
      </c>
      <c r="BH437">
        <f t="shared" si="84"/>
        <v>6667968</v>
      </c>
      <c r="BI437">
        <f t="shared" si="84"/>
        <v>18892576</v>
      </c>
      <c r="BJ437">
        <f t="shared" si="84"/>
        <v>66679680</v>
      </c>
      <c r="BK437">
        <f t="shared" si="84"/>
        <v>222265600</v>
      </c>
      <c r="BL437" s="145">
        <v>432</v>
      </c>
    </row>
    <row r="438" spans="1:64" ht="17.25" thickBot="1" x14ac:dyDescent="0.25">
      <c r="A438" s="131">
        <v>434</v>
      </c>
      <c r="B438" s="132">
        <v>76949033</v>
      </c>
      <c r="D438" s="131">
        <v>434</v>
      </c>
      <c r="E438" s="132">
        <v>22.362939999999998</v>
      </c>
      <c r="AK438">
        <v>432</v>
      </c>
      <c r="AL438" s="24">
        <f t="shared" si="79"/>
        <v>22.272120000000001</v>
      </c>
      <c r="AM438">
        <f t="shared" si="83"/>
        <v>155.90484000000001</v>
      </c>
      <c r="AN438">
        <f t="shared" si="83"/>
        <v>222.72120000000001</v>
      </c>
      <c r="AO438">
        <f t="shared" si="83"/>
        <v>334.08180000000004</v>
      </c>
      <c r="AP438">
        <f t="shared" si="83"/>
        <v>445.44240000000002</v>
      </c>
      <c r="AQ438">
        <f t="shared" si="83"/>
        <v>779.52420000000006</v>
      </c>
      <c r="AR438">
        <f t="shared" si="83"/>
        <v>1113.606</v>
      </c>
      <c r="AS438">
        <f t="shared" si="83"/>
        <v>1781.7696000000001</v>
      </c>
      <c r="AT438">
        <f t="shared" si="83"/>
        <v>2672.6544000000004</v>
      </c>
      <c r="AU438">
        <f t="shared" si="83"/>
        <v>3786.2604000000001</v>
      </c>
      <c r="AV438">
        <f t="shared" si="83"/>
        <v>5345.3088000000007</v>
      </c>
      <c r="AW438">
        <f t="shared" si="83"/>
        <v>7349.7996000000003</v>
      </c>
      <c r="AX438">
        <f t="shared" si="83"/>
        <v>10245.1752</v>
      </c>
      <c r="AY438">
        <f t="shared" si="83"/>
        <v>17817.696</v>
      </c>
      <c r="AZ438">
        <f t="shared" si="83"/>
        <v>33408.18</v>
      </c>
      <c r="BA438">
        <f t="shared" si="83"/>
        <v>55680.3</v>
      </c>
      <c r="BB438">
        <f t="shared" si="83"/>
        <v>89088.48000000001</v>
      </c>
      <c r="BC438">
        <f t="shared" si="84"/>
        <v>222721.2</v>
      </c>
      <c r="BD438">
        <f t="shared" si="84"/>
        <v>334081.8</v>
      </c>
      <c r="BE438">
        <f t="shared" si="84"/>
        <v>534530.88</v>
      </c>
      <c r="BF438">
        <f t="shared" si="84"/>
        <v>668163.6</v>
      </c>
      <c r="BG438">
        <f t="shared" si="84"/>
        <v>2227212</v>
      </c>
      <c r="BH438">
        <f t="shared" si="84"/>
        <v>6681636</v>
      </c>
      <c r="BI438">
        <f t="shared" si="84"/>
        <v>18931302</v>
      </c>
      <c r="BJ438">
        <f t="shared" si="84"/>
        <v>66816360</v>
      </c>
      <c r="BK438">
        <f t="shared" si="84"/>
        <v>222721200</v>
      </c>
      <c r="BL438">
        <v>433</v>
      </c>
    </row>
    <row r="439" spans="1:64" ht="17.25" thickBot="1" x14ac:dyDescent="0.25">
      <c r="A439" s="131">
        <v>435</v>
      </c>
      <c r="B439" s="132">
        <v>77214849</v>
      </c>
      <c r="D439" s="131">
        <v>435</v>
      </c>
      <c r="E439" s="132">
        <v>22.408190000000001</v>
      </c>
      <c r="AK439">
        <v>433</v>
      </c>
      <c r="AL439" s="24">
        <f t="shared" si="79"/>
        <v>22.31758</v>
      </c>
      <c r="AM439">
        <f t="shared" si="83"/>
        <v>156.22306</v>
      </c>
      <c r="AN439">
        <f t="shared" si="83"/>
        <v>223.17579999999998</v>
      </c>
      <c r="AO439">
        <f t="shared" si="83"/>
        <v>334.76369999999997</v>
      </c>
      <c r="AP439">
        <f t="shared" si="83"/>
        <v>446.35159999999996</v>
      </c>
      <c r="AQ439">
        <f t="shared" si="83"/>
        <v>781.11529999999993</v>
      </c>
      <c r="AR439">
        <f t="shared" si="83"/>
        <v>1115.8789999999999</v>
      </c>
      <c r="AS439">
        <f t="shared" si="83"/>
        <v>1785.4063999999998</v>
      </c>
      <c r="AT439">
        <f t="shared" si="83"/>
        <v>2678.1095999999998</v>
      </c>
      <c r="AU439">
        <f t="shared" si="83"/>
        <v>3793.9886000000001</v>
      </c>
      <c r="AV439">
        <f t="shared" si="83"/>
        <v>5356.2191999999995</v>
      </c>
      <c r="AW439">
        <f t="shared" si="83"/>
        <v>7364.8014000000003</v>
      </c>
      <c r="AX439">
        <f t="shared" si="83"/>
        <v>10266.086799999999</v>
      </c>
      <c r="AY439">
        <f t="shared" si="83"/>
        <v>17854.063999999998</v>
      </c>
      <c r="AZ439">
        <f t="shared" si="83"/>
        <v>33476.370000000003</v>
      </c>
      <c r="BA439">
        <f t="shared" si="83"/>
        <v>55793.95</v>
      </c>
      <c r="BB439">
        <f t="shared" si="83"/>
        <v>89270.319999999992</v>
      </c>
      <c r="BC439">
        <f t="shared" si="84"/>
        <v>223175.8</v>
      </c>
      <c r="BD439">
        <f t="shared" si="84"/>
        <v>334763.7</v>
      </c>
      <c r="BE439">
        <f t="shared" si="84"/>
        <v>535621.92000000004</v>
      </c>
      <c r="BF439">
        <f t="shared" si="84"/>
        <v>669527.4</v>
      </c>
      <c r="BG439">
        <f t="shared" si="84"/>
        <v>2231758</v>
      </c>
      <c r="BH439">
        <f t="shared" si="84"/>
        <v>6695274</v>
      </c>
      <c r="BI439">
        <f t="shared" si="84"/>
        <v>18969943</v>
      </c>
      <c r="BJ439">
        <f t="shared" si="84"/>
        <v>66952740</v>
      </c>
      <c r="BK439">
        <f t="shared" si="84"/>
        <v>223175800</v>
      </c>
      <c r="BL439" s="145">
        <v>434</v>
      </c>
    </row>
    <row r="440" spans="1:64" ht="17.25" thickBot="1" x14ac:dyDescent="0.25">
      <c r="A440" s="131">
        <v>436</v>
      </c>
      <c r="B440" s="132">
        <v>77480972</v>
      </c>
      <c r="D440" s="131">
        <v>436</v>
      </c>
      <c r="E440" s="132">
        <v>22.453340000000001</v>
      </c>
      <c r="AK440">
        <v>434</v>
      </c>
      <c r="AL440" s="24">
        <f t="shared" si="79"/>
        <v>22.362939999999998</v>
      </c>
      <c r="AM440">
        <f t="shared" si="83"/>
        <v>156.54057999999998</v>
      </c>
      <c r="AN440">
        <f t="shared" si="83"/>
        <v>223.62939999999998</v>
      </c>
      <c r="AO440">
        <f t="shared" si="83"/>
        <v>335.44409999999999</v>
      </c>
      <c r="AP440">
        <f t="shared" si="83"/>
        <v>447.25879999999995</v>
      </c>
      <c r="AQ440">
        <f t="shared" si="83"/>
        <v>782.70289999999989</v>
      </c>
      <c r="AR440">
        <f t="shared" si="83"/>
        <v>1118.1469999999999</v>
      </c>
      <c r="AS440">
        <f t="shared" si="83"/>
        <v>1789.0351999999998</v>
      </c>
      <c r="AT440">
        <f t="shared" si="83"/>
        <v>2683.5527999999999</v>
      </c>
      <c r="AU440">
        <f t="shared" si="83"/>
        <v>3801.6997999999999</v>
      </c>
      <c r="AV440">
        <f t="shared" si="83"/>
        <v>5367.1055999999999</v>
      </c>
      <c r="AW440">
        <f t="shared" si="83"/>
        <v>7379.770199999999</v>
      </c>
      <c r="AX440">
        <f t="shared" si="83"/>
        <v>10286.952399999998</v>
      </c>
      <c r="AY440">
        <f t="shared" si="83"/>
        <v>17890.351999999999</v>
      </c>
      <c r="AZ440">
        <f t="shared" si="83"/>
        <v>33544.409999999996</v>
      </c>
      <c r="BA440">
        <f t="shared" si="83"/>
        <v>55907.35</v>
      </c>
      <c r="BB440">
        <f t="shared" si="83"/>
        <v>89451.76</v>
      </c>
      <c r="BC440">
        <f t="shared" si="84"/>
        <v>223629.4</v>
      </c>
      <c r="BD440">
        <f t="shared" si="84"/>
        <v>335444.09999999998</v>
      </c>
      <c r="BE440">
        <f t="shared" si="84"/>
        <v>536710.55999999994</v>
      </c>
      <c r="BF440">
        <f t="shared" si="84"/>
        <v>670888.19999999995</v>
      </c>
      <c r="BG440">
        <f t="shared" si="84"/>
        <v>2236294</v>
      </c>
      <c r="BH440">
        <f t="shared" si="84"/>
        <v>6708881.9999999991</v>
      </c>
      <c r="BI440">
        <f t="shared" si="84"/>
        <v>19008499</v>
      </c>
      <c r="BJ440">
        <f t="shared" si="84"/>
        <v>67088819.999999993</v>
      </c>
      <c r="BK440">
        <f t="shared" si="84"/>
        <v>223629399.99999997</v>
      </c>
      <c r="BL440">
        <v>435</v>
      </c>
    </row>
    <row r="441" spans="1:64" ht="17.25" thickBot="1" x14ac:dyDescent="0.25">
      <c r="A441" s="131">
        <v>437</v>
      </c>
      <c r="B441" s="132">
        <v>77747399</v>
      </c>
      <c r="D441" s="131">
        <v>437</v>
      </c>
      <c r="E441" s="132">
        <v>22.498390000000001</v>
      </c>
      <c r="AK441">
        <v>435</v>
      </c>
      <c r="AL441" s="24">
        <f t="shared" si="79"/>
        <v>22.408190000000001</v>
      </c>
      <c r="AM441">
        <f t="shared" si="83"/>
        <v>156.85733000000002</v>
      </c>
      <c r="AN441">
        <f t="shared" si="83"/>
        <v>224.08190000000002</v>
      </c>
      <c r="AO441">
        <f t="shared" si="83"/>
        <v>336.12285000000003</v>
      </c>
      <c r="AP441">
        <f t="shared" si="83"/>
        <v>448.16380000000004</v>
      </c>
      <c r="AQ441">
        <f t="shared" si="83"/>
        <v>784.28665000000001</v>
      </c>
      <c r="AR441">
        <f t="shared" si="83"/>
        <v>1120.4095</v>
      </c>
      <c r="AS441">
        <f t="shared" si="83"/>
        <v>1792.6552000000001</v>
      </c>
      <c r="AT441">
        <f t="shared" si="83"/>
        <v>2688.9828000000002</v>
      </c>
      <c r="AU441">
        <f t="shared" si="83"/>
        <v>3809.3923</v>
      </c>
      <c r="AV441">
        <f t="shared" si="83"/>
        <v>5377.9656000000004</v>
      </c>
      <c r="AW441">
        <f t="shared" si="83"/>
        <v>7394.7027000000007</v>
      </c>
      <c r="AX441">
        <f t="shared" si="83"/>
        <v>10307.767400000001</v>
      </c>
      <c r="AY441">
        <f t="shared" si="83"/>
        <v>17926.552</v>
      </c>
      <c r="AZ441">
        <f t="shared" si="83"/>
        <v>33612.285000000003</v>
      </c>
      <c r="BA441">
        <f t="shared" si="83"/>
        <v>56020.475000000006</v>
      </c>
      <c r="BB441">
        <f t="shared" si="83"/>
        <v>89632.760000000009</v>
      </c>
      <c r="BC441">
        <f t="shared" si="84"/>
        <v>224081.90000000002</v>
      </c>
      <c r="BD441">
        <f t="shared" si="84"/>
        <v>336122.85000000003</v>
      </c>
      <c r="BE441">
        <f t="shared" si="84"/>
        <v>537796.56000000006</v>
      </c>
      <c r="BF441">
        <f t="shared" si="84"/>
        <v>672245.70000000007</v>
      </c>
      <c r="BG441">
        <f t="shared" si="84"/>
        <v>2240819</v>
      </c>
      <c r="BH441">
        <f t="shared" si="84"/>
        <v>6722457</v>
      </c>
      <c r="BI441">
        <f t="shared" si="84"/>
        <v>19046961.5</v>
      </c>
      <c r="BJ441">
        <f t="shared" si="84"/>
        <v>67224570</v>
      </c>
      <c r="BK441">
        <f t="shared" si="84"/>
        <v>224081900</v>
      </c>
      <c r="BL441" s="145">
        <v>436</v>
      </c>
    </row>
    <row r="442" spans="1:64" ht="17.25" thickBot="1" x14ac:dyDescent="0.25">
      <c r="A442" s="131">
        <v>438</v>
      </c>
      <c r="B442" s="132">
        <v>78014133</v>
      </c>
      <c r="D442" s="131">
        <v>438</v>
      </c>
      <c r="E442" s="132">
        <v>22.543340000000001</v>
      </c>
      <c r="AK442">
        <v>436</v>
      </c>
      <c r="AL442" s="24">
        <f t="shared" si="79"/>
        <v>22.453340000000001</v>
      </c>
      <c r="AM442">
        <f t="shared" si="83"/>
        <v>157.17338000000001</v>
      </c>
      <c r="AN442">
        <f t="shared" si="83"/>
        <v>224.5334</v>
      </c>
      <c r="AO442">
        <f t="shared" si="83"/>
        <v>336.80009999999999</v>
      </c>
      <c r="AP442">
        <f t="shared" si="83"/>
        <v>449.0668</v>
      </c>
      <c r="AQ442">
        <f t="shared" si="83"/>
        <v>785.86689999999999</v>
      </c>
      <c r="AR442">
        <f t="shared" si="83"/>
        <v>1122.6670000000001</v>
      </c>
      <c r="AS442">
        <f t="shared" si="83"/>
        <v>1796.2672</v>
      </c>
      <c r="AT442">
        <f t="shared" si="83"/>
        <v>2694.4007999999999</v>
      </c>
      <c r="AU442">
        <f t="shared" si="83"/>
        <v>3817.0678000000003</v>
      </c>
      <c r="AV442">
        <f t="shared" si="83"/>
        <v>5388.8015999999998</v>
      </c>
      <c r="AW442">
        <f t="shared" si="83"/>
        <v>7409.6022000000003</v>
      </c>
      <c r="AX442">
        <f t="shared" si="83"/>
        <v>10328.536400000001</v>
      </c>
      <c r="AY442">
        <f t="shared" si="83"/>
        <v>17962.672000000002</v>
      </c>
      <c r="AZ442">
        <f t="shared" si="83"/>
        <v>33680.01</v>
      </c>
      <c r="BA442">
        <f t="shared" si="83"/>
        <v>56133.35</v>
      </c>
      <c r="BB442">
        <f t="shared" si="83"/>
        <v>89813.36</v>
      </c>
      <c r="BC442">
        <f t="shared" si="84"/>
        <v>224533.4</v>
      </c>
      <c r="BD442">
        <f t="shared" si="84"/>
        <v>336800.10000000003</v>
      </c>
      <c r="BE442">
        <f t="shared" si="84"/>
        <v>538880.16</v>
      </c>
      <c r="BF442">
        <f t="shared" si="84"/>
        <v>673600.20000000007</v>
      </c>
      <c r="BG442">
        <f t="shared" si="84"/>
        <v>2245334</v>
      </c>
      <c r="BH442">
        <f t="shared" si="84"/>
        <v>6736002</v>
      </c>
      <c r="BI442">
        <f t="shared" si="84"/>
        <v>19085339</v>
      </c>
      <c r="BJ442">
        <f t="shared" si="84"/>
        <v>67360020</v>
      </c>
      <c r="BK442">
        <f t="shared" si="84"/>
        <v>224533400</v>
      </c>
      <c r="BL442">
        <v>437</v>
      </c>
    </row>
    <row r="443" spans="1:64" ht="17.25" thickBot="1" x14ac:dyDescent="0.25">
      <c r="A443" s="131">
        <v>439</v>
      </c>
      <c r="B443" s="132">
        <v>78281166</v>
      </c>
      <c r="D443" s="131">
        <v>439</v>
      </c>
      <c r="E443" s="132">
        <v>22.588190000000001</v>
      </c>
      <c r="AK443">
        <v>437</v>
      </c>
      <c r="AL443" s="24">
        <f t="shared" si="79"/>
        <v>22.498390000000001</v>
      </c>
      <c r="AM443">
        <f t="shared" si="83"/>
        <v>157.48873</v>
      </c>
      <c r="AN443">
        <f t="shared" si="83"/>
        <v>224.98390000000001</v>
      </c>
      <c r="AO443">
        <f t="shared" si="83"/>
        <v>337.47585000000004</v>
      </c>
      <c r="AP443">
        <f t="shared" si="83"/>
        <v>449.96780000000001</v>
      </c>
      <c r="AQ443">
        <f t="shared" si="83"/>
        <v>787.44365000000005</v>
      </c>
      <c r="AR443">
        <f t="shared" si="83"/>
        <v>1124.9195</v>
      </c>
      <c r="AS443">
        <f t="shared" si="83"/>
        <v>1799.8712</v>
      </c>
      <c r="AT443">
        <f t="shared" si="83"/>
        <v>2699.8068000000003</v>
      </c>
      <c r="AU443">
        <f t="shared" si="83"/>
        <v>3824.7263000000003</v>
      </c>
      <c r="AV443">
        <f t="shared" si="83"/>
        <v>5399.6136000000006</v>
      </c>
      <c r="AW443">
        <f t="shared" si="83"/>
        <v>7424.4687000000004</v>
      </c>
      <c r="AX443">
        <f t="shared" si="83"/>
        <v>10349.259400000001</v>
      </c>
      <c r="AY443">
        <f t="shared" si="83"/>
        <v>17998.712</v>
      </c>
      <c r="AZ443">
        <f t="shared" si="83"/>
        <v>33747.584999999999</v>
      </c>
      <c r="BA443">
        <f t="shared" si="83"/>
        <v>56245.974999999999</v>
      </c>
      <c r="BB443">
        <f t="shared" si="83"/>
        <v>89993.56</v>
      </c>
      <c r="BC443">
        <f t="shared" si="84"/>
        <v>224983.9</v>
      </c>
      <c r="BD443">
        <f t="shared" si="84"/>
        <v>337475.85000000003</v>
      </c>
      <c r="BE443">
        <f t="shared" si="84"/>
        <v>539961.36</v>
      </c>
      <c r="BF443">
        <f t="shared" si="84"/>
        <v>674951.70000000007</v>
      </c>
      <c r="BG443">
        <f t="shared" si="84"/>
        <v>2249839</v>
      </c>
      <c r="BH443">
        <f t="shared" si="84"/>
        <v>6749517</v>
      </c>
      <c r="BI443">
        <f t="shared" si="84"/>
        <v>19123631.5</v>
      </c>
      <c r="BJ443">
        <f t="shared" si="84"/>
        <v>67495170</v>
      </c>
      <c r="BK443">
        <f t="shared" si="84"/>
        <v>224983900</v>
      </c>
      <c r="BL443" s="145">
        <v>438</v>
      </c>
    </row>
    <row r="444" spans="1:64" ht="17.25" thickBot="1" x14ac:dyDescent="0.25">
      <c r="A444" s="131">
        <v>440</v>
      </c>
      <c r="B444" s="132">
        <v>78548505</v>
      </c>
      <c r="D444" s="131">
        <v>440</v>
      </c>
      <c r="E444" s="132">
        <v>22.632940000000001</v>
      </c>
      <c r="AK444">
        <v>438</v>
      </c>
      <c r="AL444" s="24">
        <f t="shared" si="79"/>
        <v>22.543340000000001</v>
      </c>
      <c r="AM444">
        <f t="shared" si="83"/>
        <v>157.80338</v>
      </c>
      <c r="AN444">
        <f t="shared" si="83"/>
        <v>225.43340000000001</v>
      </c>
      <c r="AO444">
        <f t="shared" si="83"/>
        <v>338.15010000000001</v>
      </c>
      <c r="AP444">
        <f t="shared" si="83"/>
        <v>450.86680000000001</v>
      </c>
      <c r="AQ444">
        <f t="shared" si="83"/>
        <v>789.01690000000008</v>
      </c>
      <c r="AR444">
        <f t="shared" si="83"/>
        <v>1127.1669999999999</v>
      </c>
      <c r="AS444">
        <f t="shared" si="83"/>
        <v>1803.4672</v>
      </c>
      <c r="AT444">
        <f t="shared" si="83"/>
        <v>2705.2008000000001</v>
      </c>
      <c r="AU444">
        <f t="shared" si="83"/>
        <v>3832.3678</v>
      </c>
      <c r="AV444">
        <f t="shared" si="83"/>
        <v>5410.4016000000001</v>
      </c>
      <c r="AW444">
        <f t="shared" si="83"/>
        <v>7439.3022000000001</v>
      </c>
      <c r="AX444">
        <f t="shared" si="83"/>
        <v>10369.936400000001</v>
      </c>
      <c r="AY444">
        <f t="shared" si="83"/>
        <v>18034.671999999999</v>
      </c>
      <c r="AZ444">
        <f t="shared" si="83"/>
        <v>33815.01</v>
      </c>
      <c r="BA444">
        <f t="shared" si="83"/>
        <v>56358.35</v>
      </c>
      <c r="BB444">
        <f t="shared" si="83"/>
        <v>90173.36</v>
      </c>
      <c r="BC444">
        <f t="shared" si="84"/>
        <v>225433.4</v>
      </c>
      <c r="BD444">
        <f t="shared" si="84"/>
        <v>338150.10000000003</v>
      </c>
      <c r="BE444">
        <f t="shared" si="84"/>
        <v>541040.16</v>
      </c>
      <c r="BF444">
        <f t="shared" si="84"/>
        <v>676300.20000000007</v>
      </c>
      <c r="BG444">
        <f t="shared" si="84"/>
        <v>2254334</v>
      </c>
      <c r="BH444">
        <f t="shared" si="84"/>
        <v>6763002</v>
      </c>
      <c r="BI444">
        <f t="shared" si="84"/>
        <v>19161839</v>
      </c>
      <c r="BJ444">
        <f t="shared" si="84"/>
        <v>67630020</v>
      </c>
      <c r="BK444">
        <f t="shared" si="84"/>
        <v>225433400</v>
      </c>
      <c r="BL444">
        <v>439</v>
      </c>
    </row>
    <row r="445" spans="1:64" ht="17.25" thickBot="1" x14ac:dyDescent="0.25">
      <c r="A445" s="131">
        <v>441</v>
      </c>
      <c r="B445" s="132">
        <v>78816149</v>
      </c>
      <c r="D445" s="131">
        <v>441</v>
      </c>
      <c r="E445" s="132">
        <v>22.677589999999999</v>
      </c>
      <c r="AK445">
        <v>439</v>
      </c>
      <c r="AL445" s="24">
        <f t="shared" si="79"/>
        <v>22.588190000000001</v>
      </c>
      <c r="AM445">
        <f t="shared" si="83"/>
        <v>158.11733000000001</v>
      </c>
      <c r="AN445">
        <f t="shared" si="83"/>
        <v>225.8819</v>
      </c>
      <c r="AO445">
        <f t="shared" si="83"/>
        <v>338.82285000000002</v>
      </c>
      <c r="AP445">
        <f t="shared" si="83"/>
        <v>451.7638</v>
      </c>
      <c r="AQ445">
        <f t="shared" si="83"/>
        <v>790.58665000000008</v>
      </c>
      <c r="AR445">
        <f t="shared" si="83"/>
        <v>1129.4095</v>
      </c>
      <c r="AS445">
        <f t="shared" si="83"/>
        <v>1807.0552</v>
      </c>
      <c r="AT445">
        <f t="shared" si="83"/>
        <v>2710.5828000000001</v>
      </c>
      <c r="AU445">
        <f t="shared" si="83"/>
        <v>3839.9923000000003</v>
      </c>
      <c r="AV445">
        <f t="shared" si="83"/>
        <v>5421.1656000000003</v>
      </c>
      <c r="AW445">
        <f t="shared" si="83"/>
        <v>7454.1027000000004</v>
      </c>
      <c r="AX445">
        <f t="shared" si="83"/>
        <v>10390.5674</v>
      </c>
      <c r="AY445">
        <f t="shared" si="83"/>
        <v>18070.552</v>
      </c>
      <c r="AZ445">
        <f t="shared" si="83"/>
        <v>33882.285000000003</v>
      </c>
      <c r="BA445">
        <f t="shared" si="83"/>
        <v>56470.475000000006</v>
      </c>
      <c r="BB445">
        <f t="shared" si="83"/>
        <v>90352.760000000009</v>
      </c>
      <c r="BC445">
        <f t="shared" si="84"/>
        <v>225881.90000000002</v>
      </c>
      <c r="BD445">
        <f t="shared" si="84"/>
        <v>338822.85000000003</v>
      </c>
      <c r="BE445">
        <f t="shared" si="84"/>
        <v>542116.56000000006</v>
      </c>
      <c r="BF445">
        <f t="shared" si="84"/>
        <v>677645.70000000007</v>
      </c>
      <c r="BG445">
        <f t="shared" si="84"/>
        <v>2258819</v>
      </c>
      <c r="BH445">
        <f t="shared" si="84"/>
        <v>6776457</v>
      </c>
      <c r="BI445">
        <f t="shared" si="84"/>
        <v>19199961.5</v>
      </c>
      <c r="BJ445">
        <f t="shared" si="84"/>
        <v>67764570</v>
      </c>
      <c r="BK445">
        <f t="shared" si="84"/>
        <v>225881900</v>
      </c>
      <c r="BL445" s="145">
        <v>440</v>
      </c>
    </row>
    <row r="446" spans="1:64" ht="17.25" thickBot="1" x14ac:dyDescent="0.25">
      <c r="A446" s="131">
        <v>442</v>
      </c>
      <c r="B446" s="132">
        <v>79084094</v>
      </c>
      <c r="D446" s="131">
        <v>442</v>
      </c>
      <c r="E446" s="132">
        <v>22.72214</v>
      </c>
      <c r="AK446">
        <v>440</v>
      </c>
      <c r="AL446" s="24">
        <f t="shared" si="79"/>
        <v>22.632940000000001</v>
      </c>
      <c r="AM446">
        <f t="shared" si="83"/>
        <v>158.43058000000002</v>
      </c>
      <c r="AN446">
        <f t="shared" si="83"/>
        <v>226.32940000000002</v>
      </c>
      <c r="AO446">
        <f t="shared" si="83"/>
        <v>339.4941</v>
      </c>
      <c r="AP446">
        <f t="shared" si="83"/>
        <v>452.65880000000004</v>
      </c>
      <c r="AQ446">
        <f t="shared" si="83"/>
        <v>792.15290000000005</v>
      </c>
      <c r="AR446">
        <f t="shared" si="83"/>
        <v>1131.6470000000002</v>
      </c>
      <c r="AS446">
        <f t="shared" si="83"/>
        <v>1810.6352000000002</v>
      </c>
      <c r="AT446">
        <f t="shared" si="83"/>
        <v>2715.9528</v>
      </c>
      <c r="AU446">
        <f t="shared" si="83"/>
        <v>3847.5998000000004</v>
      </c>
      <c r="AV446">
        <f t="shared" si="83"/>
        <v>5431.9056</v>
      </c>
      <c r="AW446">
        <f t="shared" si="83"/>
        <v>7468.8702000000003</v>
      </c>
      <c r="AX446">
        <f t="shared" si="83"/>
        <v>10411.152400000001</v>
      </c>
      <c r="AY446">
        <f t="shared" si="83"/>
        <v>18106.352000000003</v>
      </c>
      <c r="AZ446">
        <f t="shared" si="83"/>
        <v>33949.410000000003</v>
      </c>
      <c r="BA446">
        <f t="shared" si="83"/>
        <v>56582.350000000006</v>
      </c>
      <c r="BB446">
        <f t="shared" si="83"/>
        <v>90531.760000000009</v>
      </c>
      <c r="BC446">
        <f t="shared" si="84"/>
        <v>226329.40000000002</v>
      </c>
      <c r="BD446">
        <f t="shared" si="84"/>
        <v>339494.10000000003</v>
      </c>
      <c r="BE446">
        <f t="shared" si="84"/>
        <v>543190.56000000006</v>
      </c>
      <c r="BF446">
        <f t="shared" si="84"/>
        <v>678988.20000000007</v>
      </c>
      <c r="BG446">
        <f t="shared" si="84"/>
        <v>2263294</v>
      </c>
      <c r="BH446">
        <f t="shared" si="84"/>
        <v>6789882</v>
      </c>
      <c r="BI446">
        <f t="shared" si="84"/>
        <v>19237999</v>
      </c>
      <c r="BJ446">
        <f t="shared" si="84"/>
        <v>67898820</v>
      </c>
      <c r="BK446">
        <f t="shared" si="84"/>
        <v>226329400</v>
      </c>
      <c r="BL446">
        <v>441</v>
      </c>
    </row>
    <row r="447" spans="1:64" ht="17.25" thickBot="1" x14ac:dyDescent="0.25">
      <c r="A447" s="131">
        <v>443</v>
      </c>
      <c r="B447" s="132">
        <v>79352344</v>
      </c>
      <c r="D447" s="131">
        <v>443</v>
      </c>
      <c r="E447" s="132">
        <v>22.766590000000001</v>
      </c>
      <c r="AK447">
        <v>441</v>
      </c>
      <c r="AL447" s="24">
        <f t="shared" si="79"/>
        <v>22.677589999999999</v>
      </c>
      <c r="AM447">
        <f t="shared" si="83"/>
        <v>158.74312999999998</v>
      </c>
      <c r="AN447">
        <f t="shared" si="83"/>
        <v>226.77589999999998</v>
      </c>
      <c r="AO447">
        <f t="shared" si="83"/>
        <v>340.16384999999997</v>
      </c>
      <c r="AP447">
        <f t="shared" si="83"/>
        <v>453.55179999999996</v>
      </c>
      <c r="AQ447">
        <f t="shared" si="83"/>
        <v>793.71564999999998</v>
      </c>
      <c r="AR447">
        <f t="shared" si="83"/>
        <v>1133.8795</v>
      </c>
      <c r="AS447">
        <f t="shared" si="83"/>
        <v>1814.2071999999998</v>
      </c>
      <c r="AT447">
        <f t="shared" si="83"/>
        <v>2721.3107999999997</v>
      </c>
      <c r="AU447">
        <f t="shared" si="83"/>
        <v>3855.1902999999998</v>
      </c>
      <c r="AV447">
        <f t="shared" si="83"/>
        <v>5442.6215999999995</v>
      </c>
      <c r="AW447">
        <f t="shared" si="83"/>
        <v>7483.6046999999999</v>
      </c>
      <c r="AX447">
        <f t="shared" si="83"/>
        <v>10431.6914</v>
      </c>
      <c r="AY447">
        <f t="shared" si="83"/>
        <v>18142.072</v>
      </c>
      <c r="AZ447">
        <f t="shared" si="83"/>
        <v>34016.384999999995</v>
      </c>
      <c r="BA447">
        <f t="shared" si="83"/>
        <v>56693.974999999999</v>
      </c>
      <c r="BB447">
        <f t="shared" si="83"/>
        <v>90710.36</v>
      </c>
      <c r="BC447">
        <f t="shared" si="84"/>
        <v>226775.9</v>
      </c>
      <c r="BD447">
        <f t="shared" si="84"/>
        <v>340163.85</v>
      </c>
      <c r="BE447">
        <f t="shared" si="84"/>
        <v>544262.15999999992</v>
      </c>
      <c r="BF447">
        <f t="shared" si="84"/>
        <v>680327.7</v>
      </c>
      <c r="BG447">
        <f t="shared" si="84"/>
        <v>2267759</v>
      </c>
      <c r="BH447">
        <f t="shared" si="84"/>
        <v>6803277</v>
      </c>
      <c r="BI447">
        <f t="shared" si="84"/>
        <v>19275951.5</v>
      </c>
      <c r="BJ447">
        <f t="shared" si="84"/>
        <v>68032770</v>
      </c>
      <c r="BK447">
        <f t="shared" si="84"/>
        <v>226775900</v>
      </c>
      <c r="BL447" s="145">
        <v>442</v>
      </c>
    </row>
    <row r="448" spans="1:64" ht="17.25" thickBot="1" x14ac:dyDescent="0.25">
      <c r="A448" s="131">
        <v>444</v>
      </c>
      <c r="B448" s="132">
        <v>79620894</v>
      </c>
      <c r="D448" s="131">
        <v>444</v>
      </c>
      <c r="E448" s="132">
        <v>22.810939999999999</v>
      </c>
      <c r="AK448">
        <v>442</v>
      </c>
      <c r="AL448" s="24">
        <f t="shared" si="79"/>
        <v>22.72214</v>
      </c>
      <c r="AM448">
        <f t="shared" si="83"/>
        <v>159.05498</v>
      </c>
      <c r="AN448">
        <f t="shared" ref="AM448:BB463" si="85">AN$5*VLOOKUP($AK448,$D$2:$E$1404,2,FALSE)</f>
        <v>227.22139999999999</v>
      </c>
      <c r="AO448">
        <f t="shared" si="85"/>
        <v>340.83209999999997</v>
      </c>
      <c r="AP448">
        <f t="shared" si="85"/>
        <v>454.44279999999998</v>
      </c>
      <c r="AQ448">
        <f t="shared" si="85"/>
        <v>795.2749</v>
      </c>
      <c r="AR448">
        <f t="shared" si="85"/>
        <v>1136.107</v>
      </c>
      <c r="AS448">
        <f t="shared" si="85"/>
        <v>1817.7711999999999</v>
      </c>
      <c r="AT448">
        <f t="shared" si="85"/>
        <v>2726.6567999999997</v>
      </c>
      <c r="AU448">
        <f t="shared" si="85"/>
        <v>3862.7637999999997</v>
      </c>
      <c r="AV448">
        <f t="shared" si="85"/>
        <v>5453.3135999999995</v>
      </c>
      <c r="AW448">
        <f t="shared" si="85"/>
        <v>7498.3062</v>
      </c>
      <c r="AX448">
        <f t="shared" si="85"/>
        <v>10452.1844</v>
      </c>
      <c r="AY448">
        <f t="shared" si="85"/>
        <v>18177.712</v>
      </c>
      <c r="AZ448">
        <f t="shared" si="85"/>
        <v>34083.21</v>
      </c>
      <c r="BA448">
        <f t="shared" si="85"/>
        <v>56805.35</v>
      </c>
      <c r="BB448">
        <f t="shared" si="85"/>
        <v>90888.56</v>
      </c>
      <c r="BC448">
        <f t="shared" si="84"/>
        <v>227221.4</v>
      </c>
      <c r="BD448">
        <f t="shared" si="84"/>
        <v>340832.1</v>
      </c>
      <c r="BE448">
        <f t="shared" si="84"/>
        <v>545331.36</v>
      </c>
      <c r="BF448">
        <f t="shared" si="84"/>
        <v>681664.2</v>
      </c>
      <c r="BG448">
        <f t="shared" si="84"/>
        <v>2272214</v>
      </c>
      <c r="BH448">
        <f t="shared" si="84"/>
        <v>6816642</v>
      </c>
      <c r="BI448">
        <f t="shared" si="84"/>
        <v>19313819</v>
      </c>
      <c r="BJ448">
        <f t="shared" si="84"/>
        <v>68166420</v>
      </c>
      <c r="BK448">
        <f t="shared" si="84"/>
        <v>227221400</v>
      </c>
      <c r="BL448">
        <v>443</v>
      </c>
    </row>
    <row r="449" spans="1:64" ht="17.25" thickBot="1" x14ac:dyDescent="0.25">
      <c r="A449" s="131">
        <v>445</v>
      </c>
      <c r="B449" s="132">
        <v>79889749</v>
      </c>
      <c r="D449" s="131">
        <v>445</v>
      </c>
      <c r="E449" s="132">
        <v>22.85519</v>
      </c>
      <c r="AK449">
        <v>443</v>
      </c>
      <c r="AL449" s="24">
        <f t="shared" si="79"/>
        <v>22.766590000000001</v>
      </c>
      <c r="AM449">
        <f t="shared" si="85"/>
        <v>159.36613</v>
      </c>
      <c r="AN449">
        <f t="shared" si="85"/>
        <v>227.66590000000002</v>
      </c>
      <c r="AO449">
        <f t="shared" si="85"/>
        <v>341.49885</v>
      </c>
      <c r="AP449">
        <f t="shared" si="85"/>
        <v>455.33180000000004</v>
      </c>
      <c r="AQ449">
        <f t="shared" si="85"/>
        <v>796.83064999999999</v>
      </c>
      <c r="AR449">
        <f t="shared" si="85"/>
        <v>1138.3295000000001</v>
      </c>
      <c r="AS449">
        <f t="shared" si="85"/>
        <v>1821.3272000000002</v>
      </c>
      <c r="AT449">
        <f t="shared" si="85"/>
        <v>2731.9908</v>
      </c>
      <c r="AU449">
        <f t="shared" si="85"/>
        <v>3870.3203000000003</v>
      </c>
      <c r="AV449">
        <f t="shared" si="85"/>
        <v>5463.9816000000001</v>
      </c>
      <c r="AW449">
        <f t="shared" si="85"/>
        <v>7512.9747000000007</v>
      </c>
      <c r="AX449">
        <f t="shared" si="85"/>
        <v>10472.6314</v>
      </c>
      <c r="AY449">
        <f t="shared" si="85"/>
        <v>18213.272000000001</v>
      </c>
      <c r="AZ449">
        <f t="shared" si="85"/>
        <v>34149.885000000002</v>
      </c>
      <c r="BA449">
        <f t="shared" si="85"/>
        <v>56916.474999999999</v>
      </c>
      <c r="BB449">
        <f t="shared" si="85"/>
        <v>91066.36</v>
      </c>
      <c r="BC449">
        <f t="shared" si="84"/>
        <v>227665.9</v>
      </c>
      <c r="BD449">
        <f t="shared" si="84"/>
        <v>341498.85000000003</v>
      </c>
      <c r="BE449">
        <f t="shared" si="84"/>
        <v>546398.16</v>
      </c>
      <c r="BF449">
        <f t="shared" si="84"/>
        <v>682997.70000000007</v>
      </c>
      <c r="BG449">
        <f t="shared" si="84"/>
        <v>2276659</v>
      </c>
      <c r="BH449">
        <f t="shared" si="84"/>
        <v>6829977</v>
      </c>
      <c r="BI449">
        <f t="shared" si="84"/>
        <v>19351601.5</v>
      </c>
      <c r="BJ449">
        <f t="shared" si="84"/>
        <v>68299770</v>
      </c>
      <c r="BK449">
        <f t="shared" si="84"/>
        <v>227665900</v>
      </c>
      <c r="BL449" s="145">
        <v>444</v>
      </c>
    </row>
    <row r="450" spans="1:64" ht="17.25" thickBot="1" x14ac:dyDescent="0.25">
      <c r="A450" s="131">
        <v>446</v>
      </c>
      <c r="B450" s="132">
        <v>80158905</v>
      </c>
      <c r="D450" s="131">
        <v>446</v>
      </c>
      <c r="E450" s="132">
        <v>22.899349999999998</v>
      </c>
      <c r="AK450">
        <v>444</v>
      </c>
      <c r="AL450" s="24">
        <f t="shared" si="79"/>
        <v>22.810939999999999</v>
      </c>
      <c r="AM450">
        <f t="shared" si="85"/>
        <v>159.67658</v>
      </c>
      <c r="AN450">
        <f t="shared" si="85"/>
        <v>228.10939999999999</v>
      </c>
      <c r="AO450">
        <f t="shared" si="85"/>
        <v>342.16409999999996</v>
      </c>
      <c r="AP450">
        <f t="shared" si="85"/>
        <v>456.21879999999999</v>
      </c>
      <c r="AQ450">
        <f t="shared" si="85"/>
        <v>798.38289999999995</v>
      </c>
      <c r="AR450">
        <f t="shared" si="85"/>
        <v>1140.547</v>
      </c>
      <c r="AS450">
        <f t="shared" si="85"/>
        <v>1824.8751999999999</v>
      </c>
      <c r="AT450">
        <f t="shared" si="85"/>
        <v>2737.3127999999997</v>
      </c>
      <c r="AU450">
        <f t="shared" si="85"/>
        <v>3877.8597999999997</v>
      </c>
      <c r="AV450">
        <f t="shared" si="85"/>
        <v>5474.6255999999994</v>
      </c>
      <c r="AW450">
        <f t="shared" si="85"/>
        <v>7527.6101999999992</v>
      </c>
      <c r="AX450">
        <f t="shared" si="85"/>
        <v>10493.0324</v>
      </c>
      <c r="AY450">
        <f t="shared" si="85"/>
        <v>18248.752</v>
      </c>
      <c r="AZ450">
        <f t="shared" si="85"/>
        <v>34216.409999999996</v>
      </c>
      <c r="BA450">
        <f t="shared" si="85"/>
        <v>57027.35</v>
      </c>
      <c r="BB450">
        <f t="shared" si="85"/>
        <v>91243.76</v>
      </c>
      <c r="BC450">
        <f t="shared" si="84"/>
        <v>228109.4</v>
      </c>
      <c r="BD450">
        <f t="shared" si="84"/>
        <v>342164.1</v>
      </c>
      <c r="BE450">
        <f t="shared" si="84"/>
        <v>547462.55999999994</v>
      </c>
      <c r="BF450">
        <f t="shared" si="84"/>
        <v>684328.2</v>
      </c>
      <c r="BG450">
        <f t="shared" si="84"/>
        <v>2281094</v>
      </c>
      <c r="BH450">
        <f t="shared" si="84"/>
        <v>6843282</v>
      </c>
      <c r="BI450">
        <f t="shared" si="84"/>
        <v>19389299</v>
      </c>
      <c r="BJ450">
        <f t="shared" si="84"/>
        <v>68432820</v>
      </c>
      <c r="BK450">
        <f t="shared" si="84"/>
        <v>228109400</v>
      </c>
      <c r="BL450">
        <v>445</v>
      </c>
    </row>
    <row r="451" spans="1:64" ht="17.25" thickBot="1" x14ac:dyDescent="0.25">
      <c r="A451" s="131">
        <v>447</v>
      </c>
      <c r="B451" s="132">
        <v>80428361</v>
      </c>
      <c r="D451" s="131">
        <v>447</v>
      </c>
      <c r="E451" s="132">
        <v>22.94341</v>
      </c>
      <c r="AK451">
        <v>445</v>
      </c>
      <c r="AL451" s="24">
        <f t="shared" si="79"/>
        <v>22.85519</v>
      </c>
      <c r="AM451">
        <f t="shared" si="85"/>
        <v>159.98633000000001</v>
      </c>
      <c r="AN451">
        <f t="shared" si="85"/>
        <v>228.55189999999999</v>
      </c>
      <c r="AO451">
        <f t="shared" si="85"/>
        <v>342.82785000000001</v>
      </c>
      <c r="AP451">
        <f t="shared" si="85"/>
        <v>457.10379999999998</v>
      </c>
      <c r="AQ451">
        <f t="shared" si="85"/>
        <v>799.93164999999999</v>
      </c>
      <c r="AR451">
        <f t="shared" si="85"/>
        <v>1142.7595000000001</v>
      </c>
      <c r="AS451">
        <f t="shared" si="85"/>
        <v>1828.4151999999999</v>
      </c>
      <c r="AT451">
        <f t="shared" si="85"/>
        <v>2742.6228000000001</v>
      </c>
      <c r="AU451">
        <f t="shared" si="85"/>
        <v>3885.3823000000002</v>
      </c>
      <c r="AV451">
        <f t="shared" si="85"/>
        <v>5485.2456000000002</v>
      </c>
      <c r="AW451">
        <f t="shared" si="85"/>
        <v>7542.2127</v>
      </c>
      <c r="AX451">
        <f t="shared" si="85"/>
        <v>10513.3874</v>
      </c>
      <c r="AY451">
        <f t="shared" si="85"/>
        <v>18284.152000000002</v>
      </c>
      <c r="AZ451">
        <f t="shared" si="85"/>
        <v>34282.785000000003</v>
      </c>
      <c r="BA451">
        <f t="shared" si="85"/>
        <v>57137.974999999999</v>
      </c>
      <c r="BB451">
        <f t="shared" si="85"/>
        <v>91420.76</v>
      </c>
      <c r="BC451">
        <f t="shared" si="84"/>
        <v>228551.9</v>
      </c>
      <c r="BD451">
        <f t="shared" si="84"/>
        <v>342827.85</v>
      </c>
      <c r="BE451">
        <f t="shared" si="84"/>
        <v>548524.56000000006</v>
      </c>
      <c r="BF451">
        <f t="shared" si="84"/>
        <v>685655.7</v>
      </c>
      <c r="BG451">
        <f t="shared" si="84"/>
        <v>2285519</v>
      </c>
      <c r="BH451">
        <f t="shared" si="84"/>
        <v>6856557</v>
      </c>
      <c r="BI451">
        <f t="shared" si="84"/>
        <v>19426911.5</v>
      </c>
      <c r="BJ451">
        <f t="shared" si="84"/>
        <v>68565570</v>
      </c>
      <c r="BK451">
        <f t="shared" si="84"/>
        <v>228551900</v>
      </c>
      <c r="BL451" s="145">
        <v>446</v>
      </c>
    </row>
    <row r="452" spans="1:64" ht="17.25" thickBot="1" x14ac:dyDescent="0.25">
      <c r="A452" s="131">
        <v>448</v>
      </c>
      <c r="B452" s="132">
        <v>80698122</v>
      </c>
      <c r="D452" s="131">
        <v>448</v>
      </c>
      <c r="E452" s="132">
        <v>22.987369999999999</v>
      </c>
      <c r="AK452">
        <v>446</v>
      </c>
      <c r="AL452" s="24">
        <f t="shared" si="79"/>
        <v>22.899349999999998</v>
      </c>
      <c r="AM452">
        <f t="shared" si="85"/>
        <v>160.29544999999999</v>
      </c>
      <c r="AN452">
        <f t="shared" si="85"/>
        <v>228.99349999999998</v>
      </c>
      <c r="AO452">
        <f t="shared" si="85"/>
        <v>343.49024999999995</v>
      </c>
      <c r="AP452">
        <f t="shared" si="85"/>
        <v>457.98699999999997</v>
      </c>
      <c r="AQ452">
        <f t="shared" si="85"/>
        <v>801.47724999999991</v>
      </c>
      <c r="AR452">
        <f t="shared" si="85"/>
        <v>1144.9675</v>
      </c>
      <c r="AS452">
        <f t="shared" si="85"/>
        <v>1831.9479999999999</v>
      </c>
      <c r="AT452">
        <f t="shared" si="85"/>
        <v>2747.9219999999996</v>
      </c>
      <c r="AU452">
        <f t="shared" si="85"/>
        <v>3892.8894999999998</v>
      </c>
      <c r="AV452">
        <f t="shared" si="85"/>
        <v>5495.8439999999991</v>
      </c>
      <c r="AW452">
        <f t="shared" si="85"/>
        <v>7556.785499999999</v>
      </c>
      <c r="AX452">
        <f t="shared" si="85"/>
        <v>10533.700999999999</v>
      </c>
      <c r="AY452">
        <f t="shared" si="85"/>
        <v>18319.48</v>
      </c>
      <c r="AZ452">
        <f t="shared" si="85"/>
        <v>34349.024999999994</v>
      </c>
      <c r="BA452">
        <f t="shared" si="85"/>
        <v>57248.374999999993</v>
      </c>
      <c r="BB452">
        <f t="shared" si="85"/>
        <v>91597.4</v>
      </c>
      <c r="BC452">
        <f t="shared" si="84"/>
        <v>228993.49999999997</v>
      </c>
      <c r="BD452">
        <f t="shared" si="84"/>
        <v>343490.25</v>
      </c>
      <c r="BE452">
        <f t="shared" si="84"/>
        <v>549584.39999999991</v>
      </c>
      <c r="BF452">
        <f t="shared" si="84"/>
        <v>686980.5</v>
      </c>
      <c r="BG452">
        <f t="shared" si="84"/>
        <v>2289935</v>
      </c>
      <c r="BH452">
        <f t="shared" si="84"/>
        <v>6869804.9999999991</v>
      </c>
      <c r="BI452">
        <f t="shared" si="84"/>
        <v>19464447.5</v>
      </c>
      <c r="BJ452">
        <f t="shared" si="84"/>
        <v>68698050</v>
      </c>
      <c r="BK452">
        <f t="shared" si="84"/>
        <v>228993499.99999997</v>
      </c>
      <c r="BL452">
        <v>447</v>
      </c>
    </row>
    <row r="453" spans="1:64" ht="17.25" thickBot="1" x14ac:dyDescent="0.25">
      <c r="A453" s="131">
        <v>449</v>
      </c>
      <c r="B453" s="132">
        <v>80968183</v>
      </c>
      <c r="D453" s="131">
        <v>449</v>
      </c>
      <c r="E453" s="132">
        <v>23.042200000000001</v>
      </c>
      <c r="AK453">
        <v>447</v>
      </c>
      <c r="AL453" s="24">
        <f t="shared" si="79"/>
        <v>22.94341</v>
      </c>
      <c r="AM453">
        <f t="shared" si="85"/>
        <v>160.60387</v>
      </c>
      <c r="AN453">
        <f t="shared" si="85"/>
        <v>229.4341</v>
      </c>
      <c r="AO453">
        <f t="shared" si="85"/>
        <v>344.15115000000003</v>
      </c>
      <c r="AP453">
        <f t="shared" si="85"/>
        <v>458.8682</v>
      </c>
      <c r="AQ453">
        <f t="shared" si="85"/>
        <v>803.01935000000003</v>
      </c>
      <c r="AR453">
        <f t="shared" si="85"/>
        <v>1147.1704999999999</v>
      </c>
      <c r="AS453">
        <f t="shared" si="85"/>
        <v>1835.4728</v>
      </c>
      <c r="AT453">
        <f t="shared" si="85"/>
        <v>2753.2092000000002</v>
      </c>
      <c r="AU453">
        <f t="shared" si="85"/>
        <v>3900.3797</v>
      </c>
      <c r="AV453">
        <f t="shared" si="85"/>
        <v>5506.4184000000005</v>
      </c>
      <c r="AW453">
        <f t="shared" si="85"/>
        <v>7571.3253000000004</v>
      </c>
      <c r="AX453">
        <f t="shared" si="85"/>
        <v>10553.9686</v>
      </c>
      <c r="AY453">
        <f t="shared" si="85"/>
        <v>18354.727999999999</v>
      </c>
      <c r="AZ453">
        <f t="shared" si="85"/>
        <v>34415.114999999998</v>
      </c>
      <c r="BA453">
        <f t="shared" si="85"/>
        <v>57358.525000000001</v>
      </c>
      <c r="BB453">
        <f t="shared" si="85"/>
        <v>91773.64</v>
      </c>
      <c r="BC453">
        <f t="shared" si="84"/>
        <v>229434.1</v>
      </c>
      <c r="BD453">
        <f t="shared" si="84"/>
        <v>344151.15</v>
      </c>
      <c r="BE453">
        <f t="shared" si="84"/>
        <v>550641.84</v>
      </c>
      <c r="BF453">
        <f t="shared" si="84"/>
        <v>688302.3</v>
      </c>
      <c r="BG453">
        <f t="shared" si="84"/>
        <v>2294341</v>
      </c>
      <c r="BH453">
        <f t="shared" si="84"/>
        <v>6883023</v>
      </c>
      <c r="BI453">
        <f t="shared" si="84"/>
        <v>19501898.5</v>
      </c>
      <c r="BJ453">
        <f t="shared" si="84"/>
        <v>68830230</v>
      </c>
      <c r="BK453">
        <f t="shared" si="84"/>
        <v>229434100</v>
      </c>
      <c r="BL453" s="145">
        <v>448</v>
      </c>
    </row>
    <row r="454" spans="1:64" ht="17.25" thickBot="1" x14ac:dyDescent="0.25">
      <c r="A454" s="131">
        <v>450</v>
      </c>
      <c r="B454" s="132">
        <v>81238544</v>
      </c>
      <c r="D454" s="131">
        <v>450</v>
      </c>
      <c r="E454" s="132">
        <v>23.096910000000001</v>
      </c>
      <c r="AK454">
        <v>448</v>
      </c>
      <c r="AL454" s="24">
        <f t="shared" si="79"/>
        <v>22.987369999999999</v>
      </c>
      <c r="AM454">
        <f t="shared" si="85"/>
        <v>160.91158999999999</v>
      </c>
      <c r="AN454">
        <f t="shared" si="85"/>
        <v>229.87369999999999</v>
      </c>
      <c r="AO454">
        <f t="shared" si="85"/>
        <v>344.81054999999998</v>
      </c>
      <c r="AP454">
        <f t="shared" si="85"/>
        <v>459.74739999999997</v>
      </c>
      <c r="AQ454">
        <f t="shared" si="85"/>
        <v>804.55794999999989</v>
      </c>
      <c r="AR454">
        <f t="shared" si="85"/>
        <v>1149.3685</v>
      </c>
      <c r="AS454">
        <f t="shared" si="85"/>
        <v>1838.9895999999999</v>
      </c>
      <c r="AT454">
        <f t="shared" si="85"/>
        <v>2758.4843999999998</v>
      </c>
      <c r="AU454">
        <f t="shared" si="85"/>
        <v>3907.8528999999999</v>
      </c>
      <c r="AV454">
        <f t="shared" si="85"/>
        <v>5516.9687999999996</v>
      </c>
      <c r="AW454">
        <f t="shared" si="85"/>
        <v>7585.8320999999996</v>
      </c>
      <c r="AX454">
        <f t="shared" si="85"/>
        <v>10574.190199999999</v>
      </c>
      <c r="AY454">
        <f t="shared" si="85"/>
        <v>18389.896000000001</v>
      </c>
      <c r="AZ454">
        <f t="shared" si="85"/>
        <v>34481.055</v>
      </c>
      <c r="BA454">
        <f t="shared" si="85"/>
        <v>57468.424999999996</v>
      </c>
      <c r="BB454">
        <f t="shared" si="85"/>
        <v>91949.48</v>
      </c>
      <c r="BC454">
        <f t="shared" si="84"/>
        <v>229873.69999999998</v>
      </c>
      <c r="BD454">
        <f t="shared" si="84"/>
        <v>344810.55</v>
      </c>
      <c r="BE454">
        <f t="shared" si="84"/>
        <v>551696.88</v>
      </c>
      <c r="BF454">
        <f t="shared" si="84"/>
        <v>689621.1</v>
      </c>
      <c r="BG454">
        <f t="shared" si="84"/>
        <v>2298737</v>
      </c>
      <c r="BH454">
        <f t="shared" si="84"/>
        <v>6896211</v>
      </c>
      <c r="BI454">
        <f t="shared" si="84"/>
        <v>19539264.5</v>
      </c>
      <c r="BJ454">
        <f t="shared" si="84"/>
        <v>68962110</v>
      </c>
      <c r="BK454">
        <f t="shared" si="84"/>
        <v>229873700</v>
      </c>
      <c r="BL454">
        <v>449</v>
      </c>
    </row>
    <row r="455" spans="1:64" ht="17.25" thickBot="1" x14ac:dyDescent="0.25">
      <c r="A455" s="131">
        <v>451</v>
      </c>
      <c r="B455" s="132">
        <v>81509205</v>
      </c>
      <c r="D455" s="131">
        <v>451</v>
      </c>
      <c r="E455" s="132">
        <v>23.151499999999999</v>
      </c>
      <c r="AK455">
        <v>449</v>
      </c>
      <c r="AL455" s="24">
        <f t="shared" si="79"/>
        <v>23.042200000000001</v>
      </c>
      <c r="AM455">
        <f t="shared" si="85"/>
        <v>161.2954</v>
      </c>
      <c r="AN455">
        <f t="shared" si="85"/>
        <v>230.42200000000003</v>
      </c>
      <c r="AO455">
        <f t="shared" si="85"/>
        <v>345.63300000000004</v>
      </c>
      <c r="AP455">
        <f t="shared" si="85"/>
        <v>460.84400000000005</v>
      </c>
      <c r="AQ455">
        <f t="shared" si="85"/>
        <v>806.47700000000009</v>
      </c>
      <c r="AR455">
        <f t="shared" si="85"/>
        <v>1152.1100000000001</v>
      </c>
      <c r="AS455">
        <f t="shared" si="85"/>
        <v>1843.3760000000002</v>
      </c>
      <c r="AT455">
        <f t="shared" si="85"/>
        <v>2765.0640000000003</v>
      </c>
      <c r="AU455">
        <f t="shared" si="85"/>
        <v>3917.174</v>
      </c>
      <c r="AV455">
        <f t="shared" si="85"/>
        <v>5530.1280000000006</v>
      </c>
      <c r="AW455">
        <f t="shared" si="85"/>
        <v>7603.9260000000004</v>
      </c>
      <c r="AX455">
        <f t="shared" si="85"/>
        <v>10599.412</v>
      </c>
      <c r="AY455">
        <f t="shared" si="85"/>
        <v>18433.760000000002</v>
      </c>
      <c r="AZ455">
        <f t="shared" si="85"/>
        <v>34563.300000000003</v>
      </c>
      <c r="BA455">
        <f t="shared" si="85"/>
        <v>57605.5</v>
      </c>
      <c r="BB455">
        <f t="shared" si="85"/>
        <v>92168.8</v>
      </c>
      <c r="BC455">
        <f t="shared" si="84"/>
        <v>230422</v>
      </c>
      <c r="BD455">
        <f t="shared" si="84"/>
        <v>345633</v>
      </c>
      <c r="BE455">
        <f t="shared" si="84"/>
        <v>553012.80000000005</v>
      </c>
      <c r="BF455">
        <f t="shared" si="84"/>
        <v>691266</v>
      </c>
      <c r="BG455">
        <f t="shared" si="84"/>
        <v>2304220</v>
      </c>
      <c r="BH455">
        <f t="shared" si="84"/>
        <v>6912660</v>
      </c>
      <c r="BI455">
        <f t="shared" si="84"/>
        <v>19585870</v>
      </c>
      <c r="BJ455">
        <f t="shared" si="84"/>
        <v>69126600</v>
      </c>
      <c r="BK455">
        <f t="shared" si="84"/>
        <v>230422000</v>
      </c>
      <c r="BL455" s="145">
        <v>450</v>
      </c>
    </row>
    <row r="456" spans="1:64" ht="17.25" thickBot="1" x14ac:dyDescent="0.25">
      <c r="A456" s="131">
        <v>452</v>
      </c>
      <c r="B456" s="132">
        <v>81780166</v>
      </c>
      <c r="D456" s="131">
        <v>452</v>
      </c>
      <c r="E456" s="132">
        <v>23.205970000000001</v>
      </c>
      <c r="AK456">
        <v>450</v>
      </c>
      <c r="AL456" s="24">
        <f t="shared" si="79"/>
        <v>23.096910000000001</v>
      </c>
      <c r="AM456">
        <f t="shared" si="85"/>
        <v>161.67837</v>
      </c>
      <c r="AN456">
        <f t="shared" si="85"/>
        <v>230.96910000000003</v>
      </c>
      <c r="AO456">
        <f t="shared" si="85"/>
        <v>346.45365000000004</v>
      </c>
      <c r="AP456">
        <f t="shared" si="85"/>
        <v>461.93820000000005</v>
      </c>
      <c r="AQ456">
        <f t="shared" si="85"/>
        <v>808.39185000000009</v>
      </c>
      <c r="AR456">
        <f t="shared" si="85"/>
        <v>1154.8455000000001</v>
      </c>
      <c r="AS456">
        <f t="shared" si="85"/>
        <v>1847.7528000000002</v>
      </c>
      <c r="AT456">
        <f t="shared" si="85"/>
        <v>2771.6292000000003</v>
      </c>
      <c r="AU456">
        <f t="shared" si="85"/>
        <v>3926.4747000000002</v>
      </c>
      <c r="AV456">
        <f t="shared" si="85"/>
        <v>5543.2584000000006</v>
      </c>
      <c r="AW456">
        <f t="shared" si="85"/>
        <v>7621.9803000000002</v>
      </c>
      <c r="AX456">
        <f t="shared" si="85"/>
        <v>10624.578600000001</v>
      </c>
      <c r="AY456">
        <f t="shared" si="85"/>
        <v>18477.528000000002</v>
      </c>
      <c r="AZ456">
        <f t="shared" si="85"/>
        <v>34645.365000000005</v>
      </c>
      <c r="BA456">
        <f t="shared" si="85"/>
        <v>57742.275000000001</v>
      </c>
      <c r="BB456">
        <f t="shared" si="85"/>
        <v>92387.64</v>
      </c>
      <c r="BC456">
        <f t="shared" si="84"/>
        <v>230969.1</v>
      </c>
      <c r="BD456">
        <f t="shared" si="84"/>
        <v>346453.65</v>
      </c>
      <c r="BE456">
        <f t="shared" si="84"/>
        <v>554325.84000000008</v>
      </c>
      <c r="BF456">
        <f t="shared" si="84"/>
        <v>692907.3</v>
      </c>
      <c r="BG456">
        <f t="shared" si="84"/>
        <v>2309691</v>
      </c>
      <c r="BH456">
        <f t="shared" si="84"/>
        <v>6929073</v>
      </c>
      <c r="BI456">
        <f t="shared" si="84"/>
        <v>19632373.5</v>
      </c>
      <c r="BJ456">
        <f t="shared" si="84"/>
        <v>69290730</v>
      </c>
      <c r="BK456">
        <f t="shared" si="84"/>
        <v>230969100</v>
      </c>
      <c r="BL456">
        <v>451</v>
      </c>
    </row>
    <row r="457" spans="1:64" ht="17.25" thickBot="1" x14ac:dyDescent="0.25">
      <c r="A457" s="131">
        <v>453</v>
      </c>
      <c r="B457" s="132">
        <v>82051427</v>
      </c>
      <c r="D457" s="131">
        <v>453</v>
      </c>
      <c r="E457" s="132">
        <v>23.26032</v>
      </c>
      <c r="AK457">
        <v>451</v>
      </c>
      <c r="AL457" s="24">
        <f t="shared" si="79"/>
        <v>23.151499999999999</v>
      </c>
      <c r="AM457">
        <f t="shared" si="85"/>
        <v>162.06049999999999</v>
      </c>
      <c r="AN457">
        <f t="shared" si="85"/>
        <v>231.51499999999999</v>
      </c>
      <c r="AO457">
        <f t="shared" si="85"/>
        <v>347.27249999999998</v>
      </c>
      <c r="AP457">
        <f t="shared" si="85"/>
        <v>463.03</v>
      </c>
      <c r="AQ457">
        <f t="shared" si="85"/>
        <v>810.30250000000001</v>
      </c>
      <c r="AR457">
        <f t="shared" si="85"/>
        <v>1157.5749999999998</v>
      </c>
      <c r="AS457">
        <f t="shared" si="85"/>
        <v>1852.12</v>
      </c>
      <c r="AT457">
        <f t="shared" si="85"/>
        <v>2778.18</v>
      </c>
      <c r="AU457">
        <f t="shared" si="85"/>
        <v>3935.7549999999997</v>
      </c>
      <c r="AV457">
        <f t="shared" si="85"/>
        <v>5556.36</v>
      </c>
      <c r="AW457">
        <f t="shared" si="85"/>
        <v>7639.9949999999999</v>
      </c>
      <c r="AX457">
        <f t="shared" si="85"/>
        <v>10649.689999999999</v>
      </c>
      <c r="AY457">
        <f t="shared" si="85"/>
        <v>18521.199999999997</v>
      </c>
      <c r="AZ457">
        <f t="shared" si="85"/>
        <v>34727.25</v>
      </c>
      <c r="BA457">
        <f t="shared" si="85"/>
        <v>57878.75</v>
      </c>
      <c r="BB457">
        <f t="shared" si="85"/>
        <v>92606</v>
      </c>
      <c r="BC457">
        <f t="shared" si="84"/>
        <v>231515</v>
      </c>
      <c r="BD457">
        <f t="shared" si="84"/>
        <v>347272.5</v>
      </c>
      <c r="BE457">
        <f t="shared" si="84"/>
        <v>555636</v>
      </c>
      <c r="BF457">
        <f t="shared" si="84"/>
        <v>694545</v>
      </c>
      <c r="BG457">
        <f t="shared" si="84"/>
        <v>2315150</v>
      </c>
      <c r="BH457">
        <f t="shared" si="84"/>
        <v>6945450</v>
      </c>
      <c r="BI457">
        <f t="shared" si="84"/>
        <v>19678775</v>
      </c>
      <c r="BJ457">
        <f t="shared" si="84"/>
        <v>69454500</v>
      </c>
      <c r="BK457">
        <f t="shared" si="84"/>
        <v>231515000</v>
      </c>
      <c r="BL457" s="145">
        <v>452</v>
      </c>
    </row>
    <row r="458" spans="1:64" ht="17.25" thickBot="1" x14ac:dyDescent="0.25">
      <c r="A458" s="131">
        <v>454</v>
      </c>
      <c r="B458" s="132">
        <v>82322988</v>
      </c>
      <c r="D458" s="131">
        <v>454</v>
      </c>
      <c r="E458" s="132">
        <v>23.314550000000001</v>
      </c>
      <c r="AK458">
        <v>452</v>
      </c>
      <c r="AL458" s="24">
        <f t="shared" si="79"/>
        <v>23.205970000000001</v>
      </c>
      <c r="AM458">
        <f t="shared" si="85"/>
        <v>162.44179</v>
      </c>
      <c r="AN458">
        <f t="shared" si="85"/>
        <v>232.05970000000002</v>
      </c>
      <c r="AO458">
        <f t="shared" si="85"/>
        <v>348.08955000000003</v>
      </c>
      <c r="AP458">
        <f t="shared" si="85"/>
        <v>464.11940000000004</v>
      </c>
      <c r="AQ458">
        <f t="shared" si="85"/>
        <v>812.20895000000007</v>
      </c>
      <c r="AR458">
        <f t="shared" si="85"/>
        <v>1160.2985000000001</v>
      </c>
      <c r="AS458">
        <f t="shared" si="85"/>
        <v>1856.4776000000002</v>
      </c>
      <c r="AT458">
        <f t="shared" si="85"/>
        <v>2784.7164000000002</v>
      </c>
      <c r="AU458">
        <f t="shared" si="85"/>
        <v>3945.0149000000001</v>
      </c>
      <c r="AV458">
        <f t="shared" si="85"/>
        <v>5569.4328000000005</v>
      </c>
      <c r="AW458">
        <f t="shared" si="85"/>
        <v>7657.9701000000005</v>
      </c>
      <c r="AX458">
        <f t="shared" si="85"/>
        <v>10674.7462</v>
      </c>
      <c r="AY458">
        <f t="shared" si="85"/>
        <v>18564.776000000002</v>
      </c>
      <c r="AZ458">
        <f t="shared" si="85"/>
        <v>34808.955000000002</v>
      </c>
      <c r="BA458">
        <f t="shared" si="85"/>
        <v>58014.925000000003</v>
      </c>
      <c r="BB458">
        <f t="shared" si="85"/>
        <v>92823.88</v>
      </c>
      <c r="BC458">
        <f t="shared" si="84"/>
        <v>232059.7</v>
      </c>
      <c r="BD458">
        <f t="shared" si="84"/>
        <v>348089.55</v>
      </c>
      <c r="BE458">
        <f t="shared" si="84"/>
        <v>556943.28</v>
      </c>
      <c r="BF458">
        <f t="shared" si="84"/>
        <v>696179.1</v>
      </c>
      <c r="BG458">
        <f t="shared" si="84"/>
        <v>2320597</v>
      </c>
      <c r="BH458">
        <f t="shared" si="84"/>
        <v>6961791</v>
      </c>
      <c r="BI458">
        <f t="shared" si="84"/>
        <v>19725074.5</v>
      </c>
      <c r="BJ458">
        <f t="shared" si="84"/>
        <v>69617910</v>
      </c>
      <c r="BK458">
        <f t="shared" si="84"/>
        <v>232059700</v>
      </c>
      <c r="BL458">
        <v>453</v>
      </c>
    </row>
    <row r="459" spans="1:64" ht="17.25" thickBot="1" x14ac:dyDescent="0.25">
      <c r="A459" s="131">
        <v>455</v>
      </c>
      <c r="B459" s="132">
        <v>82594844</v>
      </c>
      <c r="D459" s="131">
        <v>455</v>
      </c>
      <c r="E459" s="132">
        <v>23.368670000000002</v>
      </c>
      <c r="AK459">
        <v>453</v>
      </c>
      <c r="AL459" s="24">
        <f t="shared" si="79"/>
        <v>23.26032</v>
      </c>
      <c r="AM459">
        <f t="shared" si="85"/>
        <v>162.82223999999999</v>
      </c>
      <c r="AN459">
        <f t="shared" si="85"/>
        <v>232.60320000000002</v>
      </c>
      <c r="AO459">
        <f t="shared" si="85"/>
        <v>348.90480000000002</v>
      </c>
      <c r="AP459">
        <f t="shared" si="85"/>
        <v>465.20640000000003</v>
      </c>
      <c r="AQ459">
        <f t="shared" si="85"/>
        <v>814.11120000000005</v>
      </c>
      <c r="AR459">
        <f t="shared" si="85"/>
        <v>1163.0160000000001</v>
      </c>
      <c r="AS459">
        <f t="shared" si="85"/>
        <v>1860.8256000000001</v>
      </c>
      <c r="AT459">
        <f t="shared" si="85"/>
        <v>2791.2384000000002</v>
      </c>
      <c r="AU459">
        <f t="shared" si="85"/>
        <v>3954.2543999999998</v>
      </c>
      <c r="AV459">
        <f t="shared" si="85"/>
        <v>5582.4768000000004</v>
      </c>
      <c r="AW459">
        <f t="shared" si="85"/>
        <v>7675.9056</v>
      </c>
      <c r="AX459">
        <f t="shared" si="85"/>
        <v>10699.7472</v>
      </c>
      <c r="AY459">
        <f t="shared" si="85"/>
        <v>18608.256000000001</v>
      </c>
      <c r="AZ459">
        <f t="shared" si="85"/>
        <v>34890.480000000003</v>
      </c>
      <c r="BA459">
        <f t="shared" si="85"/>
        <v>58150.8</v>
      </c>
      <c r="BB459">
        <f t="shared" si="85"/>
        <v>93041.279999999999</v>
      </c>
      <c r="BC459">
        <f t="shared" si="84"/>
        <v>232603.2</v>
      </c>
      <c r="BD459">
        <f t="shared" si="84"/>
        <v>348904.8</v>
      </c>
      <c r="BE459">
        <f t="shared" si="84"/>
        <v>558247.68000000005</v>
      </c>
      <c r="BF459">
        <f t="shared" si="84"/>
        <v>697809.6</v>
      </c>
      <c r="BG459">
        <f t="shared" si="84"/>
        <v>2326032</v>
      </c>
      <c r="BH459">
        <f t="shared" si="84"/>
        <v>6978096</v>
      </c>
      <c r="BI459">
        <f t="shared" si="84"/>
        <v>19771272</v>
      </c>
      <c r="BJ459">
        <f t="shared" si="84"/>
        <v>69780960</v>
      </c>
      <c r="BK459">
        <f t="shared" si="84"/>
        <v>232603200</v>
      </c>
      <c r="BL459" s="145">
        <v>454</v>
      </c>
    </row>
    <row r="460" spans="1:64" ht="17.25" thickBot="1" x14ac:dyDescent="0.25">
      <c r="A460" s="131">
        <v>456</v>
      </c>
      <c r="B460" s="132">
        <v>82866999</v>
      </c>
      <c r="D460" s="131">
        <v>456</v>
      </c>
      <c r="E460" s="132">
        <v>23.42267</v>
      </c>
      <c r="AK460">
        <v>454</v>
      </c>
      <c r="AL460" s="24">
        <f t="shared" si="79"/>
        <v>23.314550000000001</v>
      </c>
      <c r="AM460">
        <f t="shared" si="85"/>
        <v>163.20185000000001</v>
      </c>
      <c r="AN460">
        <f t="shared" si="85"/>
        <v>233.1455</v>
      </c>
      <c r="AO460">
        <f t="shared" si="85"/>
        <v>349.71825000000001</v>
      </c>
      <c r="AP460">
        <f t="shared" si="85"/>
        <v>466.291</v>
      </c>
      <c r="AQ460">
        <f t="shared" si="85"/>
        <v>816.00925000000007</v>
      </c>
      <c r="AR460">
        <f t="shared" si="85"/>
        <v>1165.7275</v>
      </c>
      <c r="AS460">
        <f t="shared" si="85"/>
        <v>1865.164</v>
      </c>
      <c r="AT460">
        <f t="shared" si="85"/>
        <v>2797.7460000000001</v>
      </c>
      <c r="AU460">
        <f t="shared" si="85"/>
        <v>3963.4735000000001</v>
      </c>
      <c r="AV460">
        <f t="shared" si="85"/>
        <v>5595.4920000000002</v>
      </c>
      <c r="AW460">
        <f t="shared" si="85"/>
        <v>7693.8015000000005</v>
      </c>
      <c r="AX460">
        <f t="shared" si="85"/>
        <v>10724.693000000001</v>
      </c>
      <c r="AY460">
        <f t="shared" si="85"/>
        <v>18651.64</v>
      </c>
      <c r="AZ460">
        <f t="shared" si="85"/>
        <v>34971.825000000004</v>
      </c>
      <c r="BA460">
        <f t="shared" si="85"/>
        <v>58286.375</v>
      </c>
      <c r="BB460">
        <f t="shared" si="85"/>
        <v>93258.2</v>
      </c>
      <c r="BC460">
        <f t="shared" si="84"/>
        <v>233145.5</v>
      </c>
      <c r="BD460">
        <f t="shared" si="84"/>
        <v>349718.25</v>
      </c>
      <c r="BE460">
        <f t="shared" si="84"/>
        <v>559549.20000000007</v>
      </c>
      <c r="BF460">
        <f t="shared" si="84"/>
        <v>699436.5</v>
      </c>
      <c r="BG460">
        <f t="shared" si="84"/>
        <v>2331455</v>
      </c>
      <c r="BH460">
        <f t="shared" si="84"/>
        <v>6994365</v>
      </c>
      <c r="BI460">
        <f t="shared" si="84"/>
        <v>19817367.5</v>
      </c>
      <c r="BJ460">
        <f t="shared" si="84"/>
        <v>69943650</v>
      </c>
      <c r="BK460">
        <f t="shared" si="84"/>
        <v>233145500</v>
      </c>
      <c r="BL460">
        <v>455</v>
      </c>
    </row>
    <row r="461" spans="1:64" ht="17.25" thickBot="1" x14ac:dyDescent="0.25">
      <c r="A461" s="131">
        <v>457</v>
      </c>
      <c r="B461" s="132">
        <v>83139455</v>
      </c>
      <c r="D461" s="131">
        <v>457</v>
      </c>
      <c r="E461" s="132">
        <v>23.47655</v>
      </c>
      <c r="AK461">
        <v>455</v>
      </c>
      <c r="AL461" s="24">
        <f t="shared" si="79"/>
        <v>23.368670000000002</v>
      </c>
      <c r="AM461">
        <f t="shared" si="85"/>
        <v>163.58069</v>
      </c>
      <c r="AN461">
        <f t="shared" si="85"/>
        <v>233.68670000000003</v>
      </c>
      <c r="AO461">
        <f t="shared" si="85"/>
        <v>350.53005000000002</v>
      </c>
      <c r="AP461">
        <f t="shared" si="85"/>
        <v>467.37340000000006</v>
      </c>
      <c r="AQ461">
        <f t="shared" si="85"/>
        <v>817.90345000000002</v>
      </c>
      <c r="AR461">
        <f t="shared" si="85"/>
        <v>1168.4335000000001</v>
      </c>
      <c r="AS461">
        <f t="shared" si="85"/>
        <v>1869.4936000000002</v>
      </c>
      <c r="AT461">
        <f t="shared" si="85"/>
        <v>2804.2404000000001</v>
      </c>
      <c r="AU461">
        <f t="shared" si="85"/>
        <v>3972.6739000000002</v>
      </c>
      <c r="AV461">
        <f t="shared" si="85"/>
        <v>5608.4808000000003</v>
      </c>
      <c r="AW461">
        <f t="shared" si="85"/>
        <v>7711.6611000000003</v>
      </c>
      <c r="AX461">
        <f t="shared" si="85"/>
        <v>10749.5882</v>
      </c>
      <c r="AY461">
        <f t="shared" si="85"/>
        <v>18694.936000000002</v>
      </c>
      <c r="AZ461">
        <f t="shared" si="85"/>
        <v>35053.005000000005</v>
      </c>
      <c r="BA461">
        <f t="shared" si="85"/>
        <v>58421.675000000003</v>
      </c>
      <c r="BB461">
        <f t="shared" si="85"/>
        <v>93474.680000000008</v>
      </c>
      <c r="BC461">
        <f t="shared" si="84"/>
        <v>233686.7</v>
      </c>
      <c r="BD461">
        <f t="shared" si="84"/>
        <v>350530.05000000005</v>
      </c>
      <c r="BE461">
        <f t="shared" si="84"/>
        <v>560848.08000000007</v>
      </c>
      <c r="BF461">
        <f t="shared" si="84"/>
        <v>701060.10000000009</v>
      </c>
      <c r="BG461">
        <f t="shared" si="84"/>
        <v>2336867</v>
      </c>
      <c r="BH461">
        <f t="shared" si="84"/>
        <v>7010601.0000000009</v>
      </c>
      <c r="BI461">
        <f t="shared" si="84"/>
        <v>19863369.5</v>
      </c>
      <c r="BJ461">
        <f t="shared" si="84"/>
        <v>70106010</v>
      </c>
      <c r="BK461">
        <f t="shared" si="84"/>
        <v>233686700.00000003</v>
      </c>
      <c r="BL461" s="145">
        <v>456</v>
      </c>
    </row>
    <row r="462" spans="1:64" ht="17.25" thickBot="1" x14ac:dyDescent="0.25">
      <c r="A462" s="131">
        <v>458</v>
      </c>
      <c r="B462" s="132">
        <v>83412211</v>
      </c>
      <c r="D462" s="131">
        <v>458</v>
      </c>
      <c r="E462" s="132">
        <v>23.53032</v>
      </c>
      <c r="AK462">
        <v>456</v>
      </c>
      <c r="AL462" s="24">
        <f t="shared" si="79"/>
        <v>23.42267</v>
      </c>
      <c r="AM462">
        <f t="shared" si="85"/>
        <v>163.95868999999999</v>
      </c>
      <c r="AN462">
        <f t="shared" si="85"/>
        <v>234.22669999999999</v>
      </c>
      <c r="AO462">
        <f t="shared" si="85"/>
        <v>351.34005000000002</v>
      </c>
      <c r="AP462">
        <f t="shared" si="85"/>
        <v>468.45339999999999</v>
      </c>
      <c r="AQ462">
        <f t="shared" si="85"/>
        <v>819.79345000000001</v>
      </c>
      <c r="AR462">
        <f t="shared" si="85"/>
        <v>1171.1334999999999</v>
      </c>
      <c r="AS462">
        <f t="shared" si="85"/>
        <v>1873.8136</v>
      </c>
      <c r="AT462">
        <f t="shared" si="85"/>
        <v>2810.7204000000002</v>
      </c>
      <c r="AU462">
        <f t="shared" si="85"/>
        <v>3981.8539000000001</v>
      </c>
      <c r="AV462">
        <f t="shared" si="85"/>
        <v>5621.4408000000003</v>
      </c>
      <c r="AW462">
        <f t="shared" si="85"/>
        <v>7729.4811</v>
      </c>
      <c r="AX462">
        <f t="shared" si="85"/>
        <v>10774.4282</v>
      </c>
      <c r="AY462">
        <f t="shared" si="85"/>
        <v>18738.135999999999</v>
      </c>
      <c r="AZ462">
        <f t="shared" si="85"/>
        <v>35134.004999999997</v>
      </c>
      <c r="BA462">
        <f t="shared" si="85"/>
        <v>58556.675000000003</v>
      </c>
      <c r="BB462">
        <f t="shared" si="85"/>
        <v>93690.680000000008</v>
      </c>
      <c r="BC462">
        <f t="shared" si="84"/>
        <v>234226.7</v>
      </c>
      <c r="BD462">
        <f t="shared" si="84"/>
        <v>351340.05</v>
      </c>
      <c r="BE462">
        <f t="shared" si="84"/>
        <v>562144.07999999996</v>
      </c>
      <c r="BF462">
        <f t="shared" si="84"/>
        <v>702680.1</v>
      </c>
      <c r="BG462">
        <f t="shared" si="84"/>
        <v>2342267</v>
      </c>
      <c r="BH462">
        <f t="shared" si="84"/>
        <v>7026801</v>
      </c>
      <c r="BI462">
        <f t="shared" si="84"/>
        <v>19909269.5</v>
      </c>
      <c r="BJ462">
        <f t="shared" si="84"/>
        <v>70268010</v>
      </c>
      <c r="BK462">
        <f t="shared" ref="BC462:BK491" si="86">BK$5*VLOOKUP($AK462,$D$2:$E$1404,2,FALSE)</f>
        <v>234226700</v>
      </c>
      <c r="BL462">
        <v>457</v>
      </c>
    </row>
    <row r="463" spans="1:64" ht="17.25" thickBot="1" x14ac:dyDescent="0.25">
      <c r="A463" s="131">
        <v>459</v>
      </c>
      <c r="B463" s="132">
        <v>83685261</v>
      </c>
      <c r="D463" s="131">
        <v>459</v>
      </c>
      <c r="E463" s="132">
        <v>23.583970000000001</v>
      </c>
      <c r="AK463">
        <v>457</v>
      </c>
      <c r="AL463" s="24">
        <f t="shared" ref="AL463:AL526" si="87">VLOOKUP(AK463,D$2:E$1404,2,FALSE)</f>
        <v>23.47655</v>
      </c>
      <c r="AM463">
        <f t="shared" si="85"/>
        <v>164.33584999999999</v>
      </c>
      <c r="AN463">
        <f t="shared" si="85"/>
        <v>234.7655</v>
      </c>
      <c r="AO463">
        <f t="shared" si="85"/>
        <v>352.14825000000002</v>
      </c>
      <c r="AP463">
        <f t="shared" si="85"/>
        <v>469.53100000000001</v>
      </c>
      <c r="AQ463">
        <f t="shared" si="85"/>
        <v>821.67925000000002</v>
      </c>
      <c r="AR463">
        <f t="shared" si="85"/>
        <v>1173.8274999999999</v>
      </c>
      <c r="AS463">
        <f t="shared" si="85"/>
        <v>1878.124</v>
      </c>
      <c r="AT463">
        <f t="shared" si="85"/>
        <v>2817.1860000000001</v>
      </c>
      <c r="AU463">
        <f t="shared" si="85"/>
        <v>3991.0135</v>
      </c>
      <c r="AV463">
        <f t="shared" si="85"/>
        <v>5634.3720000000003</v>
      </c>
      <c r="AW463">
        <f t="shared" si="85"/>
        <v>7747.2614999999996</v>
      </c>
      <c r="AX463">
        <f t="shared" si="85"/>
        <v>10799.213</v>
      </c>
      <c r="AY463">
        <f t="shared" si="85"/>
        <v>18781.239999999998</v>
      </c>
      <c r="AZ463">
        <f t="shared" si="85"/>
        <v>35214.824999999997</v>
      </c>
      <c r="BA463">
        <f t="shared" si="85"/>
        <v>58691.375</v>
      </c>
      <c r="BB463">
        <f t="shared" si="85"/>
        <v>93906.2</v>
      </c>
      <c r="BC463">
        <f t="shared" si="86"/>
        <v>234765.5</v>
      </c>
      <c r="BD463">
        <f t="shared" si="86"/>
        <v>352148.25</v>
      </c>
      <c r="BE463">
        <f t="shared" si="86"/>
        <v>563437.19999999995</v>
      </c>
      <c r="BF463">
        <f t="shared" si="86"/>
        <v>704296.5</v>
      </c>
      <c r="BG463">
        <f t="shared" si="86"/>
        <v>2347655</v>
      </c>
      <c r="BH463">
        <f t="shared" si="86"/>
        <v>7042965</v>
      </c>
      <c r="BI463">
        <f t="shared" si="86"/>
        <v>19955067.5</v>
      </c>
      <c r="BJ463">
        <f t="shared" si="86"/>
        <v>70429650</v>
      </c>
      <c r="BK463">
        <f t="shared" si="86"/>
        <v>234765500</v>
      </c>
      <c r="BL463" s="145">
        <v>458</v>
      </c>
    </row>
    <row r="464" spans="1:64" ht="17.25" thickBot="1" x14ac:dyDescent="0.25">
      <c r="A464" s="131">
        <v>460</v>
      </c>
      <c r="B464" s="132">
        <v>83958611</v>
      </c>
      <c r="D464" s="131">
        <v>460</v>
      </c>
      <c r="E464" s="132">
        <v>23.637509999999999</v>
      </c>
      <c r="AK464">
        <v>458</v>
      </c>
      <c r="AL464" s="24">
        <f t="shared" si="87"/>
        <v>23.53032</v>
      </c>
      <c r="AM464">
        <f t="shared" ref="AM464:BB479" si="88">AM$5*VLOOKUP($AK464,$D$2:$E$1404,2,FALSE)</f>
        <v>164.71224000000001</v>
      </c>
      <c r="AN464">
        <f t="shared" si="88"/>
        <v>235.3032</v>
      </c>
      <c r="AO464">
        <f t="shared" si="88"/>
        <v>352.95479999999998</v>
      </c>
      <c r="AP464">
        <f t="shared" si="88"/>
        <v>470.60640000000001</v>
      </c>
      <c r="AQ464">
        <f t="shared" si="88"/>
        <v>823.56119999999999</v>
      </c>
      <c r="AR464">
        <f t="shared" si="88"/>
        <v>1176.5160000000001</v>
      </c>
      <c r="AS464">
        <f t="shared" si="88"/>
        <v>1882.4256</v>
      </c>
      <c r="AT464">
        <f t="shared" si="88"/>
        <v>2823.6383999999998</v>
      </c>
      <c r="AU464">
        <f t="shared" si="88"/>
        <v>4000.1543999999999</v>
      </c>
      <c r="AV464">
        <f t="shared" si="88"/>
        <v>5647.2767999999996</v>
      </c>
      <c r="AW464">
        <f t="shared" si="88"/>
        <v>7765.0055999999995</v>
      </c>
      <c r="AX464">
        <f t="shared" si="88"/>
        <v>10823.947200000001</v>
      </c>
      <c r="AY464">
        <f t="shared" si="88"/>
        <v>18824.256000000001</v>
      </c>
      <c r="AZ464">
        <f t="shared" si="88"/>
        <v>35295.479999999996</v>
      </c>
      <c r="BA464">
        <f t="shared" si="88"/>
        <v>58825.799999999996</v>
      </c>
      <c r="BB464">
        <f t="shared" si="88"/>
        <v>94121.279999999999</v>
      </c>
      <c r="BC464">
        <f t="shared" si="86"/>
        <v>235303.19999999998</v>
      </c>
      <c r="BD464">
        <f t="shared" si="86"/>
        <v>352954.8</v>
      </c>
      <c r="BE464">
        <f t="shared" si="86"/>
        <v>564727.67999999993</v>
      </c>
      <c r="BF464">
        <f t="shared" si="86"/>
        <v>705909.6</v>
      </c>
      <c r="BG464">
        <f t="shared" si="86"/>
        <v>2353032</v>
      </c>
      <c r="BH464">
        <f t="shared" si="86"/>
        <v>7059096</v>
      </c>
      <c r="BI464">
        <f t="shared" si="86"/>
        <v>20000772</v>
      </c>
      <c r="BJ464">
        <f t="shared" si="86"/>
        <v>70590960</v>
      </c>
      <c r="BK464">
        <f t="shared" si="86"/>
        <v>235303200</v>
      </c>
      <c r="BL464">
        <v>459</v>
      </c>
    </row>
    <row r="465" spans="1:64" ht="17.25" thickBot="1" x14ac:dyDescent="0.25">
      <c r="A465" s="131">
        <v>461</v>
      </c>
      <c r="B465" s="132">
        <v>84232255</v>
      </c>
      <c r="D465" s="131">
        <v>461</v>
      </c>
      <c r="E465" s="132">
        <v>23.690930000000002</v>
      </c>
      <c r="AK465">
        <v>459</v>
      </c>
      <c r="AL465" s="24">
        <f t="shared" si="87"/>
        <v>23.583970000000001</v>
      </c>
      <c r="AM465">
        <f t="shared" si="88"/>
        <v>165.08779000000001</v>
      </c>
      <c r="AN465">
        <f t="shared" si="88"/>
        <v>235.83969999999999</v>
      </c>
      <c r="AO465">
        <f t="shared" si="88"/>
        <v>353.75954999999999</v>
      </c>
      <c r="AP465">
        <f t="shared" si="88"/>
        <v>471.67939999999999</v>
      </c>
      <c r="AQ465">
        <f t="shared" si="88"/>
        <v>825.43894999999998</v>
      </c>
      <c r="AR465">
        <f t="shared" si="88"/>
        <v>1179.1985</v>
      </c>
      <c r="AS465">
        <f t="shared" si="88"/>
        <v>1886.7175999999999</v>
      </c>
      <c r="AT465">
        <f t="shared" si="88"/>
        <v>2830.0763999999999</v>
      </c>
      <c r="AU465">
        <f t="shared" si="88"/>
        <v>4009.2749000000003</v>
      </c>
      <c r="AV465">
        <f t="shared" si="88"/>
        <v>5660.1527999999998</v>
      </c>
      <c r="AW465">
        <f t="shared" si="88"/>
        <v>7782.7101000000002</v>
      </c>
      <c r="AX465">
        <f t="shared" si="88"/>
        <v>10848.626200000001</v>
      </c>
      <c r="AY465">
        <f t="shared" si="88"/>
        <v>18867.175999999999</v>
      </c>
      <c r="AZ465">
        <f t="shared" si="88"/>
        <v>35375.955000000002</v>
      </c>
      <c r="BA465">
        <f t="shared" si="88"/>
        <v>58959.925000000003</v>
      </c>
      <c r="BB465">
        <f t="shared" si="88"/>
        <v>94335.88</v>
      </c>
      <c r="BC465">
        <f t="shared" si="86"/>
        <v>235839.7</v>
      </c>
      <c r="BD465">
        <f t="shared" si="86"/>
        <v>353759.55</v>
      </c>
      <c r="BE465">
        <f t="shared" si="86"/>
        <v>566015.28</v>
      </c>
      <c r="BF465">
        <f t="shared" si="86"/>
        <v>707519.1</v>
      </c>
      <c r="BG465">
        <f t="shared" si="86"/>
        <v>2358397</v>
      </c>
      <c r="BH465">
        <f t="shared" si="86"/>
        <v>7075191</v>
      </c>
      <c r="BI465">
        <f t="shared" si="86"/>
        <v>20046374.5</v>
      </c>
      <c r="BJ465">
        <f t="shared" si="86"/>
        <v>70751910</v>
      </c>
      <c r="BK465">
        <f t="shared" si="86"/>
        <v>235839700</v>
      </c>
      <c r="BL465" s="145">
        <v>460</v>
      </c>
    </row>
    <row r="466" spans="1:64" ht="17.25" thickBot="1" x14ac:dyDescent="0.25">
      <c r="A466" s="131">
        <v>462</v>
      </c>
      <c r="B466" s="132">
        <v>84506194</v>
      </c>
      <c r="D466" s="131">
        <v>462</v>
      </c>
      <c r="E466" s="132">
        <v>23.744240000000001</v>
      </c>
      <c r="AK466">
        <v>460</v>
      </c>
      <c r="AL466" s="24">
        <f t="shared" si="87"/>
        <v>23.637509999999999</v>
      </c>
      <c r="AM466">
        <f t="shared" si="88"/>
        <v>165.46257</v>
      </c>
      <c r="AN466">
        <f t="shared" si="88"/>
        <v>236.37509999999997</v>
      </c>
      <c r="AO466">
        <f t="shared" si="88"/>
        <v>354.56264999999996</v>
      </c>
      <c r="AP466">
        <f t="shared" si="88"/>
        <v>472.75019999999995</v>
      </c>
      <c r="AQ466">
        <f t="shared" si="88"/>
        <v>827.31284999999991</v>
      </c>
      <c r="AR466">
        <f t="shared" si="88"/>
        <v>1181.8754999999999</v>
      </c>
      <c r="AS466">
        <f t="shared" si="88"/>
        <v>1891.0007999999998</v>
      </c>
      <c r="AT466">
        <f t="shared" si="88"/>
        <v>2836.5011999999997</v>
      </c>
      <c r="AU466">
        <f t="shared" si="88"/>
        <v>4018.3766999999998</v>
      </c>
      <c r="AV466">
        <f t="shared" si="88"/>
        <v>5673.0023999999994</v>
      </c>
      <c r="AW466">
        <f t="shared" si="88"/>
        <v>7800.3782999999994</v>
      </c>
      <c r="AX466">
        <f t="shared" si="88"/>
        <v>10873.2546</v>
      </c>
      <c r="AY466">
        <f t="shared" si="88"/>
        <v>18910.007999999998</v>
      </c>
      <c r="AZ466">
        <f t="shared" si="88"/>
        <v>35456.264999999999</v>
      </c>
      <c r="BA466">
        <f t="shared" si="88"/>
        <v>59093.774999999994</v>
      </c>
      <c r="BB466">
        <f t="shared" si="88"/>
        <v>94550.04</v>
      </c>
      <c r="BC466">
        <f t="shared" si="86"/>
        <v>236375.09999999998</v>
      </c>
      <c r="BD466">
        <f t="shared" si="86"/>
        <v>354562.64999999997</v>
      </c>
      <c r="BE466">
        <f t="shared" si="86"/>
        <v>567300.24</v>
      </c>
      <c r="BF466">
        <f t="shared" si="86"/>
        <v>709125.29999999993</v>
      </c>
      <c r="BG466">
        <f t="shared" si="86"/>
        <v>2363751</v>
      </c>
      <c r="BH466">
        <f t="shared" si="86"/>
        <v>7091253</v>
      </c>
      <c r="BI466">
        <f t="shared" si="86"/>
        <v>20091883.5</v>
      </c>
      <c r="BJ466">
        <f t="shared" si="86"/>
        <v>70912530</v>
      </c>
      <c r="BK466">
        <f t="shared" si="86"/>
        <v>236375100</v>
      </c>
      <c r="BL466">
        <v>461</v>
      </c>
    </row>
    <row r="467" spans="1:64" ht="17.25" thickBot="1" x14ac:dyDescent="0.25">
      <c r="A467" s="131">
        <v>463</v>
      </c>
      <c r="B467" s="132">
        <v>84780433</v>
      </c>
      <c r="D467" s="131">
        <v>463</v>
      </c>
      <c r="E467" s="132">
        <v>23.797440000000002</v>
      </c>
      <c r="AK467">
        <v>461</v>
      </c>
      <c r="AL467" s="24">
        <f t="shared" si="87"/>
        <v>23.690930000000002</v>
      </c>
      <c r="AM467">
        <f t="shared" si="88"/>
        <v>165.83651</v>
      </c>
      <c r="AN467">
        <f t="shared" si="88"/>
        <v>236.90930000000003</v>
      </c>
      <c r="AO467">
        <f t="shared" si="88"/>
        <v>355.36395000000005</v>
      </c>
      <c r="AP467">
        <f t="shared" si="88"/>
        <v>473.81860000000006</v>
      </c>
      <c r="AQ467">
        <f t="shared" si="88"/>
        <v>829.18255000000011</v>
      </c>
      <c r="AR467">
        <f t="shared" si="88"/>
        <v>1184.5465000000002</v>
      </c>
      <c r="AS467">
        <f t="shared" si="88"/>
        <v>1895.2744000000002</v>
      </c>
      <c r="AT467">
        <f t="shared" si="88"/>
        <v>2842.9116000000004</v>
      </c>
      <c r="AU467">
        <f t="shared" si="88"/>
        <v>4027.4581000000003</v>
      </c>
      <c r="AV467">
        <f t="shared" si="88"/>
        <v>5685.8232000000007</v>
      </c>
      <c r="AW467">
        <f t="shared" si="88"/>
        <v>7818.0069000000003</v>
      </c>
      <c r="AX467">
        <f t="shared" si="88"/>
        <v>10897.827800000001</v>
      </c>
      <c r="AY467">
        <f t="shared" si="88"/>
        <v>18952.744000000002</v>
      </c>
      <c r="AZ467">
        <f t="shared" si="88"/>
        <v>35536.395000000004</v>
      </c>
      <c r="BA467">
        <f t="shared" si="88"/>
        <v>59227.325000000004</v>
      </c>
      <c r="BB467">
        <f t="shared" si="88"/>
        <v>94763.72</v>
      </c>
      <c r="BC467">
        <f t="shared" si="86"/>
        <v>236909.30000000002</v>
      </c>
      <c r="BD467">
        <f t="shared" si="86"/>
        <v>355363.95</v>
      </c>
      <c r="BE467">
        <f t="shared" si="86"/>
        <v>568582.32000000007</v>
      </c>
      <c r="BF467">
        <f t="shared" si="86"/>
        <v>710727.9</v>
      </c>
      <c r="BG467">
        <f t="shared" si="86"/>
        <v>2369093</v>
      </c>
      <c r="BH467">
        <f t="shared" si="86"/>
        <v>7107279.0000000009</v>
      </c>
      <c r="BI467">
        <f t="shared" si="86"/>
        <v>20137290.5</v>
      </c>
      <c r="BJ467">
        <f t="shared" si="86"/>
        <v>71072790</v>
      </c>
      <c r="BK467">
        <f t="shared" si="86"/>
        <v>236909300.00000003</v>
      </c>
      <c r="BL467" s="145">
        <v>462</v>
      </c>
    </row>
    <row r="468" spans="1:64" ht="17.25" thickBot="1" x14ac:dyDescent="0.25">
      <c r="A468" s="131">
        <v>464</v>
      </c>
      <c r="B468" s="132">
        <v>85054966</v>
      </c>
      <c r="D468" s="131">
        <v>464</v>
      </c>
      <c r="E468" s="132">
        <v>23.850519999999999</v>
      </c>
      <c r="AK468">
        <v>462</v>
      </c>
      <c r="AL468" s="24">
        <f t="shared" si="87"/>
        <v>23.744240000000001</v>
      </c>
      <c r="AM468">
        <f t="shared" si="88"/>
        <v>166.20968000000002</v>
      </c>
      <c r="AN468">
        <f t="shared" si="88"/>
        <v>237.44240000000002</v>
      </c>
      <c r="AO468">
        <f t="shared" si="88"/>
        <v>356.16360000000003</v>
      </c>
      <c r="AP468">
        <f t="shared" si="88"/>
        <v>474.88480000000004</v>
      </c>
      <c r="AQ468">
        <f t="shared" si="88"/>
        <v>831.04840000000002</v>
      </c>
      <c r="AR468">
        <f t="shared" si="88"/>
        <v>1187.212</v>
      </c>
      <c r="AS468">
        <f t="shared" si="88"/>
        <v>1899.5392000000002</v>
      </c>
      <c r="AT468">
        <f t="shared" si="88"/>
        <v>2849.3088000000002</v>
      </c>
      <c r="AU468">
        <f t="shared" si="88"/>
        <v>4036.5208000000002</v>
      </c>
      <c r="AV468">
        <f t="shared" si="88"/>
        <v>5698.6176000000005</v>
      </c>
      <c r="AW468">
        <f t="shared" si="88"/>
        <v>7835.5992000000006</v>
      </c>
      <c r="AX468">
        <f t="shared" si="88"/>
        <v>10922.350400000001</v>
      </c>
      <c r="AY468">
        <f t="shared" si="88"/>
        <v>18995.392</v>
      </c>
      <c r="AZ468">
        <f t="shared" si="88"/>
        <v>35616.36</v>
      </c>
      <c r="BA468">
        <f t="shared" si="88"/>
        <v>59360.600000000006</v>
      </c>
      <c r="BB468">
        <f t="shared" si="88"/>
        <v>94976.960000000006</v>
      </c>
      <c r="BC468">
        <f t="shared" si="86"/>
        <v>237442.40000000002</v>
      </c>
      <c r="BD468">
        <f t="shared" si="86"/>
        <v>356163.60000000003</v>
      </c>
      <c r="BE468">
        <f t="shared" si="86"/>
        <v>569861.76</v>
      </c>
      <c r="BF468">
        <f t="shared" si="86"/>
        <v>712327.20000000007</v>
      </c>
      <c r="BG468">
        <f t="shared" si="86"/>
        <v>2374424</v>
      </c>
      <c r="BH468">
        <f t="shared" si="86"/>
        <v>7123272</v>
      </c>
      <c r="BI468">
        <f t="shared" si="86"/>
        <v>20182604</v>
      </c>
      <c r="BJ468">
        <f t="shared" si="86"/>
        <v>71232720</v>
      </c>
      <c r="BK468">
        <f t="shared" si="86"/>
        <v>237442400</v>
      </c>
      <c r="BL468">
        <v>463</v>
      </c>
    </row>
    <row r="469" spans="1:64" ht="17.25" thickBot="1" x14ac:dyDescent="0.25">
      <c r="A469" s="131">
        <v>465</v>
      </c>
      <c r="B469" s="132">
        <v>85329794</v>
      </c>
      <c r="D469" s="131">
        <v>465</v>
      </c>
      <c r="E469" s="132">
        <v>23.903490000000001</v>
      </c>
      <c r="AK469">
        <v>463</v>
      </c>
      <c r="AL469" s="24">
        <f t="shared" si="87"/>
        <v>23.797440000000002</v>
      </c>
      <c r="AM469">
        <f t="shared" si="88"/>
        <v>166.58208000000002</v>
      </c>
      <c r="AN469">
        <f t="shared" si="88"/>
        <v>237.9744</v>
      </c>
      <c r="AO469">
        <f t="shared" si="88"/>
        <v>356.96160000000003</v>
      </c>
      <c r="AP469">
        <f t="shared" si="88"/>
        <v>475.94880000000001</v>
      </c>
      <c r="AQ469">
        <f t="shared" si="88"/>
        <v>832.9104000000001</v>
      </c>
      <c r="AR469">
        <f t="shared" si="88"/>
        <v>1189.8720000000001</v>
      </c>
      <c r="AS469">
        <f t="shared" si="88"/>
        <v>1903.7952</v>
      </c>
      <c r="AT469">
        <f t="shared" si="88"/>
        <v>2855.6928000000003</v>
      </c>
      <c r="AU469">
        <f t="shared" si="88"/>
        <v>4045.5648000000001</v>
      </c>
      <c r="AV469">
        <f t="shared" si="88"/>
        <v>5711.3856000000005</v>
      </c>
      <c r="AW469">
        <f t="shared" si="88"/>
        <v>7853.1552000000001</v>
      </c>
      <c r="AX469">
        <f t="shared" si="88"/>
        <v>10946.822400000001</v>
      </c>
      <c r="AY469">
        <f t="shared" si="88"/>
        <v>19037.952000000001</v>
      </c>
      <c r="AZ469">
        <f t="shared" si="88"/>
        <v>35696.160000000003</v>
      </c>
      <c r="BA469">
        <f t="shared" si="88"/>
        <v>59493.600000000006</v>
      </c>
      <c r="BB469">
        <f t="shared" si="88"/>
        <v>95189.760000000009</v>
      </c>
      <c r="BC469">
        <f t="shared" si="86"/>
        <v>237974.40000000002</v>
      </c>
      <c r="BD469">
        <f t="shared" si="86"/>
        <v>356961.60000000003</v>
      </c>
      <c r="BE469">
        <f t="shared" si="86"/>
        <v>571138.56000000006</v>
      </c>
      <c r="BF469">
        <f t="shared" si="86"/>
        <v>713923.20000000007</v>
      </c>
      <c r="BG469">
        <f t="shared" si="86"/>
        <v>2379744</v>
      </c>
      <c r="BH469">
        <f t="shared" si="86"/>
        <v>7139232.0000000009</v>
      </c>
      <c r="BI469">
        <f t="shared" si="86"/>
        <v>20227824</v>
      </c>
      <c r="BJ469">
        <f t="shared" si="86"/>
        <v>71392320</v>
      </c>
      <c r="BK469">
        <f t="shared" si="86"/>
        <v>237974400.00000003</v>
      </c>
      <c r="BL469" s="145">
        <v>464</v>
      </c>
    </row>
    <row r="470" spans="1:64" ht="17.25" thickBot="1" x14ac:dyDescent="0.25">
      <c r="A470" s="131">
        <v>466</v>
      </c>
      <c r="B470" s="132">
        <v>85604916</v>
      </c>
      <c r="D470" s="131">
        <v>466</v>
      </c>
      <c r="E470" s="132">
        <v>23.95635</v>
      </c>
      <c r="AK470">
        <v>464</v>
      </c>
      <c r="AL470" s="24">
        <f t="shared" si="87"/>
        <v>23.850519999999999</v>
      </c>
      <c r="AM470">
        <f t="shared" si="88"/>
        <v>166.95364000000001</v>
      </c>
      <c r="AN470">
        <f t="shared" si="88"/>
        <v>238.5052</v>
      </c>
      <c r="AO470">
        <f t="shared" si="88"/>
        <v>357.75779999999997</v>
      </c>
      <c r="AP470">
        <f t="shared" si="88"/>
        <v>477.0104</v>
      </c>
      <c r="AQ470">
        <f t="shared" si="88"/>
        <v>834.76819999999998</v>
      </c>
      <c r="AR470">
        <f t="shared" si="88"/>
        <v>1192.5260000000001</v>
      </c>
      <c r="AS470">
        <f t="shared" si="88"/>
        <v>1908.0416</v>
      </c>
      <c r="AT470">
        <f t="shared" si="88"/>
        <v>2862.0623999999998</v>
      </c>
      <c r="AU470">
        <f t="shared" si="88"/>
        <v>4054.5884000000001</v>
      </c>
      <c r="AV470">
        <f t="shared" si="88"/>
        <v>5724.1247999999996</v>
      </c>
      <c r="AW470">
        <f t="shared" si="88"/>
        <v>7870.6715999999997</v>
      </c>
      <c r="AX470">
        <f t="shared" si="88"/>
        <v>10971.2392</v>
      </c>
      <c r="AY470">
        <f t="shared" si="88"/>
        <v>19080.416000000001</v>
      </c>
      <c r="AZ470">
        <f t="shared" si="88"/>
        <v>35775.78</v>
      </c>
      <c r="BA470">
        <f t="shared" si="88"/>
        <v>59626.299999999996</v>
      </c>
      <c r="BB470">
        <f t="shared" si="88"/>
        <v>95402.08</v>
      </c>
      <c r="BC470">
        <f t="shared" si="86"/>
        <v>238505.19999999998</v>
      </c>
      <c r="BD470">
        <f t="shared" si="86"/>
        <v>357757.8</v>
      </c>
      <c r="BE470">
        <f t="shared" si="86"/>
        <v>572412.48</v>
      </c>
      <c r="BF470">
        <f t="shared" si="86"/>
        <v>715515.6</v>
      </c>
      <c r="BG470">
        <f t="shared" si="86"/>
        <v>2385052</v>
      </c>
      <c r="BH470">
        <f t="shared" si="86"/>
        <v>7155156</v>
      </c>
      <c r="BI470">
        <f t="shared" si="86"/>
        <v>20272942</v>
      </c>
      <c r="BJ470">
        <f t="shared" si="86"/>
        <v>71551560</v>
      </c>
      <c r="BK470">
        <f t="shared" si="86"/>
        <v>238505200</v>
      </c>
      <c r="BL470">
        <v>465</v>
      </c>
    </row>
    <row r="471" spans="1:64" ht="17.25" thickBot="1" x14ac:dyDescent="0.25">
      <c r="A471" s="131">
        <v>467</v>
      </c>
      <c r="B471" s="132">
        <v>85880338</v>
      </c>
      <c r="D471" s="131">
        <v>467</v>
      </c>
      <c r="E471" s="132">
        <v>24.0091</v>
      </c>
      <c r="AK471">
        <v>465</v>
      </c>
      <c r="AL471" s="24">
        <f t="shared" si="87"/>
        <v>23.903490000000001</v>
      </c>
      <c r="AM471">
        <f t="shared" si="88"/>
        <v>167.32443000000001</v>
      </c>
      <c r="AN471">
        <f t="shared" si="88"/>
        <v>239.03490000000002</v>
      </c>
      <c r="AO471">
        <f t="shared" si="88"/>
        <v>358.55235000000005</v>
      </c>
      <c r="AP471">
        <f t="shared" si="88"/>
        <v>478.06980000000004</v>
      </c>
      <c r="AQ471">
        <f t="shared" si="88"/>
        <v>836.62215000000003</v>
      </c>
      <c r="AR471">
        <f t="shared" si="88"/>
        <v>1195.1745000000001</v>
      </c>
      <c r="AS471">
        <f t="shared" si="88"/>
        <v>1912.2792000000002</v>
      </c>
      <c r="AT471">
        <f t="shared" si="88"/>
        <v>2868.4188000000004</v>
      </c>
      <c r="AU471">
        <f t="shared" si="88"/>
        <v>4063.5933000000005</v>
      </c>
      <c r="AV471">
        <f t="shared" si="88"/>
        <v>5736.8376000000007</v>
      </c>
      <c r="AW471">
        <f t="shared" si="88"/>
        <v>7888.1517000000003</v>
      </c>
      <c r="AX471">
        <f t="shared" si="88"/>
        <v>10995.6054</v>
      </c>
      <c r="AY471">
        <f t="shared" si="88"/>
        <v>19122.792000000001</v>
      </c>
      <c r="AZ471">
        <f t="shared" si="88"/>
        <v>35855.235000000001</v>
      </c>
      <c r="BA471">
        <f t="shared" si="88"/>
        <v>59758.725000000006</v>
      </c>
      <c r="BB471">
        <f t="shared" si="88"/>
        <v>95613.96</v>
      </c>
      <c r="BC471">
        <f t="shared" si="86"/>
        <v>239034.90000000002</v>
      </c>
      <c r="BD471">
        <f t="shared" si="86"/>
        <v>358552.35000000003</v>
      </c>
      <c r="BE471">
        <f t="shared" si="86"/>
        <v>573683.76</v>
      </c>
      <c r="BF471">
        <f t="shared" si="86"/>
        <v>717104.70000000007</v>
      </c>
      <c r="BG471">
        <f t="shared" si="86"/>
        <v>2390349</v>
      </c>
      <c r="BH471">
        <f t="shared" si="86"/>
        <v>7171047</v>
      </c>
      <c r="BI471">
        <f t="shared" si="86"/>
        <v>20317966.5</v>
      </c>
      <c r="BJ471">
        <f t="shared" si="86"/>
        <v>71710470</v>
      </c>
      <c r="BK471">
        <f t="shared" si="86"/>
        <v>239034900</v>
      </c>
      <c r="BL471" s="145">
        <v>466</v>
      </c>
    </row>
    <row r="472" spans="1:64" ht="17.25" thickBot="1" x14ac:dyDescent="0.25">
      <c r="A472" s="131">
        <v>468</v>
      </c>
      <c r="B472" s="132">
        <v>86156055</v>
      </c>
      <c r="D472" s="131">
        <v>468</v>
      </c>
      <c r="E472" s="132">
        <v>24.06174</v>
      </c>
      <c r="AK472">
        <v>466</v>
      </c>
      <c r="AL472" s="24">
        <f t="shared" si="87"/>
        <v>23.95635</v>
      </c>
      <c r="AM472">
        <f t="shared" si="88"/>
        <v>167.69445000000002</v>
      </c>
      <c r="AN472">
        <f t="shared" si="88"/>
        <v>239.5635</v>
      </c>
      <c r="AO472">
        <f t="shared" si="88"/>
        <v>359.34525000000002</v>
      </c>
      <c r="AP472">
        <f t="shared" si="88"/>
        <v>479.12700000000001</v>
      </c>
      <c r="AQ472">
        <f t="shared" si="88"/>
        <v>838.47225000000003</v>
      </c>
      <c r="AR472">
        <f t="shared" si="88"/>
        <v>1197.8175000000001</v>
      </c>
      <c r="AS472">
        <f t="shared" si="88"/>
        <v>1916.508</v>
      </c>
      <c r="AT472">
        <f t="shared" si="88"/>
        <v>2874.7620000000002</v>
      </c>
      <c r="AU472">
        <f t="shared" si="88"/>
        <v>4072.5795000000003</v>
      </c>
      <c r="AV472">
        <f t="shared" si="88"/>
        <v>5749.5240000000003</v>
      </c>
      <c r="AW472">
        <f t="shared" si="88"/>
        <v>7905.5955000000004</v>
      </c>
      <c r="AX472">
        <f t="shared" si="88"/>
        <v>11019.921</v>
      </c>
      <c r="AY472">
        <f t="shared" si="88"/>
        <v>19165.080000000002</v>
      </c>
      <c r="AZ472">
        <f t="shared" si="88"/>
        <v>35934.525000000001</v>
      </c>
      <c r="BA472">
        <f t="shared" si="88"/>
        <v>59890.875</v>
      </c>
      <c r="BB472">
        <f t="shared" si="88"/>
        <v>95825.400000000009</v>
      </c>
      <c r="BC472">
        <f t="shared" si="86"/>
        <v>239563.5</v>
      </c>
      <c r="BD472">
        <f t="shared" si="86"/>
        <v>359345.25</v>
      </c>
      <c r="BE472">
        <f t="shared" si="86"/>
        <v>574952.4</v>
      </c>
      <c r="BF472">
        <f t="shared" si="86"/>
        <v>718690.5</v>
      </c>
      <c r="BG472">
        <f t="shared" si="86"/>
        <v>2395635</v>
      </c>
      <c r="BH472">
        <f t="shared" si="86"/>
        <v>7186905</v>
      </c>
      <c r="BI472">
        <f t="shared" si="86"/>
        <v>20362897.5</v>
      </c>
      <c r="BJ472">
        <f t="shared" si="86"/>
        <v>71869050</v>
      </c>
      <c r="BK472">
        <f t="shared" si="86"/>
        <v>239563500</v>
      </c>
      <c r="BL472">
        <v>467</v>
      </c>
    </row>
    <row r="473" spans="1:64" ht="17.25" thickBot="1" x14ac:dyDescent="0.25">
      <c r="A473" s="131">
        <v>469</v>
      </c>
      <c r="B473" s="132">
        <v>86432066</v>
      </c>
      <c r="D473" s="131">
        <v>469</v>
      </c>
      <c r="E473" s="132">
        <v>24.114270000000001</v>
      </c>
      <c r="AK473">
        <v>467</v>
      </c>
      <c r="AL473" s="24">
        <f t="shared" si="87"/>
        <v>24.0091</v>
      </c>
      <c r="AM473">
        <f t="shared" si="88"/>
        <v>168.06370000000001</v>
      </c>
      <c r="AN473">
        <f t="shared" si="88"/>
        <v>240.09100000000001</v>
      </c>
      <c r="AO473">
        <f t="shared" si="88"/>
        <v>360.13650000000001</v>
      </c>
      <c r="AP473">
        <f t="shared" si="88"/>
        <v>480.18200000000002</v>
      </c>
      <c r="AQ473">
        <f t="shared" si="88"/>
        <v>840.31849999999997</v>
      </c>
      <c r="AR473">
        <f t="shared" si="88"/>
        <v>1200.4549999999999</v>
      </c>
      <c r="AS473">
        <f t="shared" si="88"/>
        <v>1920.7280000000001</v>
      </c>
      <c r="AT473">
        <f t="shared" si="88"/>
        <v>2881.0920000000001</v>
      </c>
      <c r="AU473">
        <f t="shared" si="88"/>
        <v>4081.547</v>
      </c>
      <c r="AV473">
        <f t="shared" si="88"/>
        <v>5762.1840000000002</v>
      </c>
      <c r="AW473">
        <f t="shared" si="88"/>
        <v>7923.0029999999997</v>
      </c>
      <c r="AX473">
        <f t="shared" si="88"/>
        <v>11044.186</v>
      </c>
      <c r="AY473">
        <f t="shared" si="88"/>
        <v>19207.28</v>
      </c>
      <c r="AZ473">
        <f t="shared" si="88"/>
        <v>36013.65</v>
      </c>
      <c r="BA473">
        <f t="shared" si="88"/>
        <v>60022.75</v>
      </c>
      <c r="BB473">
        <f t="shared" si="88"/>
        <v>96036.4</v>
      </c>
      <c r="BC473">
        <f t="shared" si="86"/>
        <v>240091</v>
      </c>
      <c r="BD473">
        <f t="shared" si="86"/>
        <v>360136.5</v>
      </c>
      <c r="BE473">
        <f t="shared" si="86"/>
        <v>576218.4</v>
      </c>
      <c r="BF473">
        <f t="shared" si="86"/>
        <v>720273</v>
      </c>
      <c r="BG473">
        <f t="shared" si="86"/>
        <v>2400910</v>
      </c>
      <c r="BH473">
        <f t="shared" si="86"/>
        <v>7202730</v>
      </c>
      <c r="BI473">
        <f t="shared" si="86"/>
        <v>20407735</v>
      </c>
      <c r="BJ473">
        <f t="shared" si="86"/>
        <v>72027300</v>
      </c>
      <c r="BK473">
        <f t="shared" si="86"/>
        <v>240091000</v>
      </c>
      <c r="BL473" s="145">
        <v>468</v>
      </c>
    </row>
    <row r="474" spans="1:64" ht="17.25" thickBot="1" x14ac:dyDescent="0.25">
      <c r="A474" s="131">
        <v>470</v>
      </c>
      <c r="B474" s="132">
        <v>86708372</v>
      </c>
      <c r="D474" s="131">
        <v>470</v>
      </c>
      <c r="E474" s="132">
        <v>24.166689999999999</v>
      </c>
      <c r="AK474">
        <v>468</v>
      </c>
      <c r="AL474" s="24">
        <f t="shared" si="87"/>
        <v>24.06174</v>
      </c>
      <c r="AM474">
        <f t="shared" si="88"/>
        <v>168.43218000000002</v>
      </c>
      <c r="AN474">
        <f t="shared" si="88"/>
        <v>240.6174</v>
      </c>
      <c r="AO474">
        <f t="shared" si="88"/>
        <v>360.92610000000002</v>
      </c>
      <c r="AP474">
        <f t="shared" si="88"/>
        <v>481.23480000000001</v>
      </c>
      <c r="AQ474">
        <f t="shared" si="88"/>
        <v>842.16089999999997</v>
      </c>
      <c r="AR474">
        <f t="shared" si="88"/>
        <v>1203.087</v>
      </c>
      <c r="AS474">
        <f t="shared" si="88"/>
        <v>1924.9392</v>
      </c>
      <c r="AT474">
        <f t="shared" si="88"/>
        <v>2887.4088000000002</v>
      </c>
      <c r="AU474">
        <f t="shared" si="88"/>
        <v>4090.4958000000001</v>
      </c>
      <c r="AV474">
        <f t="shared" si="88"/>
        <v>5774.8176000000003</v>
      </c>
      <c r="AW474">
        <f t="shared" si="88"/>
        <v>7940.3742000000002</v>
      </c>
      <c r="AX474">
        <f t="shared" si="88"/>
        <v>11068.4004</v>
      </c>
      <c r="AY474">
        <f t="shared" si="88"/>
        <v>19249.392</v>
      </c>
      <c r="AZ474">
        <f t="shared" si="88"/>
        <v>36092.61</v>
      </c>
      <c r="BA474">
        <f t="shared" si="88"/>
        <v>60154.35</v>
      </c>
      <c r="BB474">
        <f t="shared" si="88"/>
        <v>96246.96</v>
      </c>
      <c r="BC474">
        <f t="shared" si="86"/>
        <v>240617.4</v>
      </c>
      <c r="BD474">
        <f t="shared" si="86"/>
        <v>360926.1</v>
      </c>
      <c r="BE474">
        <f t="shared" si="86"/>
        <v>577481.76</v>
      </c>
      <c r="BF474">
        <f t="shared" si="86"/>
        <v>721852.2</v>
      </c>
      <c r="BG474">
        <f t="shared" si="86"/>
        <v>2406174</v>
      </c>
      <c r="BH474">
        <f t="shared" si="86"/>
        <v>7218522</v>
      </c>
      <c r="BI474">
        <f t="shared" si="86"/>
        <v>20452479</v>
      </c>
      <c r="BJ474">
        <f t="shared" si="86"/>
        <v>72185220</v>
      </c>
      <c r="BK474">
        <f t="shared" si="86"/>
        <v>240617400</v>
      </c>
      <c r="BL474">
        <v>469</v>
      </c>
    </row>
    <row r="475" spans="1:64" ht="17.25" thickBot="1" x14ac:dyDescent="0.25">
      <c r="A475" s="131">
        <v>471</v>
      </c>
      <c r="B475" s="132">
        <v>86984966</v>
      </c>
      <c r="D475" s="131">
        <v>471</v>
      </c>
      <c r="E475" s="132">
        <v>24.219000000000001</v>
      </c>
      <c r="AK475">
        <v>469</v>
      </c>
      <c r="AL475" s="24">
        <f t="shared" si="87"/>
        <v>24.114270000000001</v>
      </c>
      <c r="AM475">
        <f t="shared" si="88"/>
        <v>168.79989</v>
      </c>
      <c r="AN475">
        <f t="shared" si="88"/>
        <v>241.14270000000002</v>
      </c>
      <c r="AO475">
        <f t="shared" si="88"/>
        <v>361.71405000000004</v>
      </c>
      <c r="AP475">
        <f t="shared" si="88"/>
        <v>482.28540000000004</v>
      </c>
      <c r="AQ475">
        <f t="shared" si="88"/>
        <v>843.99945000000002</v>
      </c>
      <c r="AR475">
        <f t="shared" si="88"/>
        <v>1205.7135000000001</v>
      </c>
      <c r="AS475">
        <f t="shared" si="88"/>
        <v>1929.1416000000002</v>
      </c>
      <c r="AT475">
        <f t="shared" si="88"/>
        <v>2893.7124000000003</v>
      </c>
      <c r="AU475">
        <f t="shared" si="88"/>
        <v>4099.4259000000002</v>
      </c>
      <c r="AV475">
        <f t="shared" si="88"/>
        <v>5787.4248000000007</v>
      </c>
      <c r="AW475">
        <f t="shared" si="88"/>
        <v>7957.7091</v>
      </c>
      <c r="AX475">
        <f t="shared" si="88"/>
        <v>11092.564200000001</v>
      </c>
      <c r="AY475">
        <f t="shared" si="88"/>
        <v>19291.416000000001</v>
      </c>
      <c r="AZ475">
        <f t="shared" si="88"/>
        <v>36171.404999999999</v>
      </c>
      <c r="BA475">
        <f t="shared" si="88"/>
        <v>60285.675000000003</v>
      </c>
      <c r="BB475">
        <f t="shared" si="88"/>
        <v>96457.08</v>
      </c>
      <c r="BC475">
        <f t="shared" si="86"/>
        <v>241142.7</v>
      </c>
      <c r="BD475">
        <f t="shared" si="86"/>
        <v>361714.05000000005</v>
      </c>
      <c r="BE475">
        <f t="shared" si="86"/>
        <v>578742.48</v>
      </c>
      <c r="BF475">
        <f t="shared" si="86"/>
        <v>723428.10000000009</v>
      </c>
      <c r="BG475">
        <f t="shared" si="86"/>
        <v>2411427</v>
      </c>
      <c r="BH475">
        <f t="shared" si="86"/>
        <v>7234281</v>
      </c>
      <c r="BI475">
        <f t="shared" si="86"/>
        <v>20497129.5</v>
      </c>
      <c r="BJ475">
        <f t="shared" si="86"/>
        <v>72342810</v>
      </c>
      <c r="BK475">
        <f t="shared" si="86"/>
        <v>241142700</v>
      </c>
      <c r="BL475" s="145">
        <v>470</v>
      </c>
    </row>
    <row r="476" spans="1:64" ht="17.25" thickBot="1" x14ac:dyDescent="0.25">
      <c r="A476" s="131">
        <v>472</v>
      </c>
      <c r="B476" s="132">
        <v>87261855</v>
      </c>
      <c r="D476" s="131">
        <v>472</v>
      </c>
      <c r="E476" s="132">
        <v>24.2712</v>
      </c>
      <c r="AK476">
        <v>470</v>
      </c>
      <c r="AL476" s="24">
        <f t="shared" si="87"/>
        <v>24.166689999999999</v>
      </c>
      <c r="AM476">
        <f t="shared" si="88"/>
        <v>169.16683</v>
      </c>
      <c r="AN476">
        <f t="shared" si="88"/>
        <v>241.6669</v>
      </c>
      <c r="AO476">
        <f t="shared" si="88"/>
        <v>362.50034999999997</v>
      </c>
      <c r="AP476">
        <f t="shared" si="88"/>
        <v>483.3338</v>
      </c>
      <c r="AQ476">
        <f t="shared" si="88"/>
        <v>845.83415000000002</v>
      </c>
      <c r="AR476">
        <f t="shared" si="88"/>
        <v>1208.3344999999999</v>
      </c>
      <c r="AS476">
        <f t="shared" si="88"/>
        <v>1933.3352</v>
      </c>
      <c r="AT476">
        <f t="shared" si="88"/>
        <v>2900.0027999999998</v>
      </c>
      <c r="AU476">
        <f t="shared" si="88"/>
        <v>4108.3373000000001</v>
      </c>
      <c r="AV476">
        <f t="shared" si="88"/>
        <v>5800.0055999999995</v>
      </c>
      <c r="AW476">
        <f t="shared" si="88"/>
        <v>7975.0077000000001</v>
      </c>
      <c r="AX476">
        <f t="shared" si="88"/>
        <v>11116.6774</v>
      </c>
      <c r="AY476">
        <f t="shared" si="88"/>
        <v>19333.351999999999</v>
      </c>
      <c r="AZ476">
        <f t="shared" si="88"/>
        <v>36250.034999999996</v>
      </c>
      <c r="BA476">
        <f t="shared" si="88"/>
        <v>60416.724999999999</v>
      </c>
      <c r="BB476">
        <f t="shared" si="88"/>
        <v>96666.76</v>
      </c>
      <c r="BC476">
        <f t="shared" si="86"/>
        <v>241666.9</v>
      </c>
      <c r="BD476">
        <f t="shared" si="86"/>
        <v>362500.35</v>
      </c>
      <c r="BE476">
        <f t="shared" si="86"/>
        <v>580000.55999999994</v>
      </c>
      <c r="BF476">
        <f t="shared" si="86"/>
        <v>725000.7</v>
      </c>
      <c r="BG476">
        <f t="shared" si="86"/>
        <v>2416669</v>
      </c>
      <c r="BH476">
        <f t="shared" si="86"/>
        <v>7250007</v>
      </c>
      <c r="BI476">
        <f t="shared" si="86"/>
        <v>20541686.5</v>
      </c>
      <c r="BJ476">
        <f t="shared" si="86"/>
        <v>72500070</v>
      </c>
      <c r="BK476">
        <f t="shared" si="86"/>
        <v>241666900</v>
      </c>
      <c r="BL476">
        <v>471</v>
      </c>
    </row>
    <row r="477" spans="1:64" ht="17.25" thickBot="1" x14ac:dyDescent="0.25">
      <c r="A477" s="131">
        <v>473</v>
      </c>
      <c r="B477" s="132">
        <v>87539038</v>
      </c>
      <c r="D477" s="131">
        <v>473</v>
      </c>
      <c r="E477" s="132">
        <v>24.32329</v>
      </c>
      <c r="AK477">
        <v>471</v>
      </c>
      <c r="AL477" s="24">
        <f t="shared" si="87"/>
        <v>24.219000000000001</v>
      </c>
      <c r="AM477">
        <f t="shared" si="88"/>
        <v>169.53300000000002</v>
      </c>
      <c r="AN477">
        <f t="shared" si="88"/>
        <v>242.19</v>
      </c>
      <c r="AO477">
        <f t="shared" si="88"/>
        <v>363.28500000000003</v>
      </c>
      <c r="AP477">
        <f t="shared" si="88"/>
        <v>484.38</v>
      </c>
      <c r="AQ477">
        <f t="shared" si="88"/>
        <v>847.66500000000008</v>
      </c>
      <c r="AR477">
        <f t="shared" si="88"/>
        <v>1210.95</v>
      </c>
      <c r="AS477">
        <f t="shared" si="88"/>
        <v>1937.52</v>
      </c>
      <c r="AT477">
        <f t="shared" si="88"/>
        <v>2906.28</v>
      </c>
      <c r="AU477">
        <f t="shared" si="88"/>
        <v>4117.2300000000005</v>
      </c>
      <c r="AV477">
        <f t="shared" si="88"/>
        <v>5812.56</v>
      </c>
      <c r="AW477">
        <f t="shared" si="88"/>
        <v>7992.27</v>
      </c>
      <c r="AX477">
        <f t="shared" si="88"/>
        <v>11140.74</v>
      </c>
      <c r="AY477">
        <f t="shared" si="88"/>
        <v>19375.2</v>
      </c>
      <c r="AZ477">
        <f t="shared" si="88"/>
        <v>36328.5</v>
      </c>
      <c r="BA477">
        <f t="shared" si="88"/>
        <v>60547.5</v>
      </c>
      <c r="BB477">
        <f t="shared" si="88"/>
        <v>96876</v>
      </c>
      <c r="BC477">
        <f t="shared" si="86"/>
        <v>242190</v>
      </c>
      <c r="BD477">
        <f t="shared" si="86"/>
        <v>363285</v>
      </c>
      <c r="BE477">
        <f t="shared" si="86"/>
        <v>581256</v>
      </c>
      <c r="BF477">
        <f t="shared" si="86"/>
        <v>726570</v>
      </c>
      <c r="BG477">
        <f t="shared" si="86"/>
        <v>2421900</v>
      </c>
      <c r="BH477">
        <f t="shared" si="86"/>
        <v>7265700</v>
      </c>
      <c r="BI477">
        <f t="shared" si="86"/>
        <v>20586150</v>
      </c>
      <c r="BJ477">
        <f t="shared" si="86"/>
        <v>72657000</v>
      </c>
      <c r="BK477">
        <f t="shared" si="86"/>
        <v>242190000</v>
      </c>
      <c r="BL477" s="145">
        <v>472</v>
      </c>
    </row>
    <row r="478" spans="1:64" ht="17.25" thickBot="1" x14ac:dyDescent="0.25">
      <c r="A478" s="131">
        <v>474</v>
      </c>
      <c r="B478" s="132">
        <v>87816516</v>
      </c>
      <c r="D478" s="131">
        <v>474</v>
      </c>
      <c r="E478" s="132">
        <v>24.37527</v>
      </c>
      <c r="AK478">
        <v>472</v>
      </c>
      <c r="AL478" s="24">
        <f t="shared" si="87"/>
        <v>24.2712</v>
      </c>
      <c r="AM478">
        <f t="shared" si="88"/>
        <v>169.89840000000001</v>
      </c>
      <c r="AN478">
        <f t="shared" si="88"/>
        <v>242.71199999999999</v>
      </c>
      <c r="AO478">
        <f t="shared" si="88"/>
        <v>364.06799999999998</v>
      </c>
      <c r="AP478">
        <f t="shared" si="88"/>
        <v>485.42399999999998</v>
      </c>
      <c r="AQ478">
        <f t="shared" si="88"/>
        <v>849.49199999999996</v>
      </c>
      <c r="AR478">
        <f t="shared" si="88"/>
        <v>1213.56</v>
      </c>
      <c r="AS478">
        <f t="shared" si="88"/>
        <v>1941.6959999999999</v>
      </c>
      <c r="AT478">
        <f t="shared" si="88"/>
        <v>2912.5439999999999</v>
      </c>
      <c r="AU478">
        <f t="shared" si="88"/>
        <v>4126.1040000000003</v>
      </c>
      <c r="AV478">
        <f t="shared" si="88"/>
        <v>5825.0879999999997</v>
      </c>
      <c r="AW478">
        <f t="shared" si="88"/>
        <v>8009.4960000000001</v>
      </c>
      <c r="AX478">
        <f t="shared" si="88"/>
        <v>11164.752</v>
      </c>
      <c r="AY478">
        <f t="shared" si="88"/>
        <v>19416.96</v>
      </c>
      <c r="AZ478">
        <f t="shared" si="88"/>
        <v>36406.800000000003</v>
      </c>
      <c r="BA478">
        <f t="shared" si="88"/>
        <v>60678</v>
      </c>
      <c r="BB478">
        <f t="shared" si="88"/>
        <v>97084.800000000003</v>
      </c>
      <c r="BC478">
        <f t="shared" si="86"/>
        <v>242712</v>
      </c>
      <c r="BD478">
        <f t="shared" si="86"/>
        <v>364068</v>
      </c>
      <c r="BE478">
        <f t="shared" si="86"/>
        <v>582508.80000000005</v>
      </c>
      <c r="BF478">
        <f t="shared" si="86"/>
        <v>728136</v>
      </c>
      <c r="BG478">
        <f t="shared" si="86"/>
        <v>2427120</v>
      </c>
      <c r="BH478">
        <f t="shared" si="86"/>
        <v>7281360</v>
      </c>
      <c r="BI478">
        <f t="shared" si="86"/>
        <v>20630520</v>
      </c>
      <c r="BJ478">
        <f t="shared" si="86"/>
        <v>72813600</v>
      </c>
      <c r="BK478">
        <f t="shared" si="86"/>
        <v>242712000</v>
      </c>
      <c r="BL478">
        <v>473</v>
      </c>
    </row>
    <row r="479" spans="1:64" ht="17.25" thickBot="1" x14ac:dyDescent="0.25">
      <c r="A479" s="131">
        <v>475</v>
      </c>
      <c r="B479" s="132">
        <v>88094283</v>
      </c>
      <c r="D479" s="131">
        <v>475</v>
      </c>
      <c r="E479" s="132">
        <v>24.427140000000001</v>
      </c>
      <c r="AK479">
        <v>473</v>
      </c>
      <c r="AL479" s="24">
        <f t="shared" si="87"/>
        <v>24.32329</v>
      </c>
      <c r="AM479">
        <f t="shared" si="88"/>
        <v>170.26303000000001</v>
      </c>
      <c r="AN479">
        <f t="shared" si="88"/>
        <v>243.2329</v>
      </c>
      <c r="AO479">
        <f t="shared" si="88"/>
        <v>364.84935000000002</v>
      </c>
      <c r="AP479">
        <f t="shared" si="88"/>
        <v>486.4658</v>
      </c>
      <c r="AQ479">
        <f t="shared" si="88"/>
        <v>851.31515000000002</v>
      </c>
      <c r="AR479">
        <f t="shared" si="88"/>
        <v>1216.1645000000001</v>
      </c>
      <c r="AS479">
        <f t="shared" si="88"/>
        <v>1945.8632</v>
      </c>
      <c r="AT479">
        <f t="shared" si="88"/>
        <v>2918.7948000000001</v>
      </c>
      <c r="AU479">
        <f t="shared" si="88"/>
        <v>4134.9593000000004</v>
      </c>
      <c r="AV479">
        <f t="shared" si="88"/>
        <v>5837.5896000000002</v>
      </c>
      <c r="AW479">
        <f t="shared" si="88"/>
        <v>8026.6857</v>
      </c>
      <c r="AX479">
        <f t="shared" si="88"/>
        <v>11188.713400000001</v>
      </c>
      <c r="AY479">
        <f t="shared" si="88"/>
        <v>19458.632000000001</v>
      </c>
      <c r="AZ479">
        <f t="shared" si="88"/>
        <v>36484.934999999998</v>
      </c>
      <c r="BA479">
        <f t="shared" si="88"/>
        <v>60808.224999999999</v>
      </c>
      <c r="BB479">
        <f t="shared" ref="AM479:BB495" si="89">BB$5*VLOOKUP($AK479,$D$2:$E$1404,2,FALSE)</f>
        <v>97293.16</v>
      </c>
      <c r="BC479">
        <f t="shared" si="86"/>
        <v>243232.9</v>
      </c>
      <c r="BD479">
        <f t="shared" si="86"/>
        <v>364849.35</v>
      </c>
      <c r="BE479">
        <f t="shared" si="86"/>
        <v>583758.96</v>
      </c>
      <c r="BF479">
        <f t="shared" si="86"/>
        <v>729698.7</v>
      </c>
      <c r="BG479">
        <f t="shared" si="86"/>
        <v>2432329</v>
      </c>
      <c r="BH479">
        <f t="shared" si="86"/>
        <v>7296987</v>
      </c>
      <c r="BI479">
        <f t="shared" si="86"/>
        <v>20674796.5</v>
      </c>
      <c r="BJ479">
        <f t="shared" si="86"/>
        <v>72969870</v>
      </c>
      <c r="BK479">
        <f t="shared" si="86"/>
        <v>243232900</v>
      </c>
      <c r="BL479" s="145">
        <v>474</v>
      </c>
    </row>
    <row r="480" spans="1:64" ht="17.25" thickBot="1" x14ac:dyDescent="0.25">
      <c r="A480" s="131">
        <v>476</v>
      </c>
      <c r="B480" s="132">
        <v>88372344</v>
      </c>
      <c r="D480" s="131">
        <v>476</v>
      </c>
      <c r="E480" s="132">
        <v>24.478899999999999</v>
      </c>
      <c r="AK480">
        <v>474</v>
      </c>
      <c r="AL480" s="24">
        <f t="shared" si="87"/>
        <v>24.37527</v>
      </c>
      <c r="AM480">
        <f t="shared" si="89"/>
        <v>170.62689</v>
      </c>
      <c r="AN480">
        <f t="shared" si="89"/>
        <v>243.7527</v>
      </c>
      <c r="AO480">
        <f t="shared" si="89"/>
        <v>365.62905000000001</v>
      </c>
      <c r="AP480">
        <f t="shared" si="89"/>
        <v>487.50540000000001</v>
      </c>
      <c r="AQ480">
        <f t="shared" si="89"/>
        <v>853.13445000000002</v>
      </c>
      <c r="AR480">
        <f t="shared" si="89"/>
        <v>1218.7635</v>
      </c>
      <c r="AS480">
        <f t="shared" si="89"/>
        <v>1950.0216</v>
      </c>
      <c r="AT480">
        <f t="shared" si="89"/>
        <v>2925.0324000000001</v>
      </c>
      <c r="AU480">
        <f t="shared" si="89"/>
        <v>4143.7959000000001</v>
      </c>
      <c r="AV480">
        <f t="shared" si="89"/>
        <v>5850.0648000000001</v>
      </c>
      <c r="AW480">
        <f t="shared" si="89"/>
        <v>8043.8391000000001</v>
      </c>
      <c r="AX480">
        <f t="shared" si="89"/>
        <v>11212.6242</v>
      </c>
      <c r="AY480">
        <f t="shared" si="89"/>
        <v>19500.216</v>
      </c>
      <c r="AZ480">
        <f t="shared" si="89"/>
        <v>36562.904999999999</v>
      </c>
      <c r="BA480">
        <f t="shared" si="89"/>
        <v>60938.175000000003</v>
      </c>
      <c r="BB480">
        <f t="shared" si="89"/>
        <v>97501.08</v>
      </c>
      <c r="BC480">
        <f t="shared" si="86"/>
        <v>243752.7</v>
      </c>
      <c r="BD480">
        <f t="shared" si="86"/>
        <v>365629.05</v>
      </c>
      <c r="BE480">
        <f t="shared" si="86"/>
        <v>585006.48</v>
      </c>
      <c r="BF480">
        <f t="shared" si="86"/>
        <v>731258.1</v>
      </c>
      <c r="BG480">
        <f t="shared" si="86"/>
        <v>2437527</v>
      </c>
      <c r="BH480">
        <f t="shared" si="86"/>
        <v>7312581</v>
      </c>
      <c r="BI480">
        <f t="shared" si="86"/>
        <v>20718979.5</v>
      </c>
      <c r="BJ480">
        <f t="shared" si="86"/>
        <v>73125810</v>
      </c>
      <c r="BK480">
        <f t="shared" si="86"/>
        <v>243752700</v>
      </c>
      <c r="BL480">
        <v>475</v>
      </c>
    </row>
    <row r="481" spans="1:64" ht="17.25" thickBot="1" x14ac:dyDescent="0.25">
      <c r="A481" s="131">
        <v>477</v>
      </c>
      <c r="B481" s="132">
        <v>88650699</v>
      </c>
      <c r="D481" s="131">
        <v>477</v>
      </c>
      <c r="E481" s="132">
        <v>24.530560000000001</v>
      </c>
      <c r="AK481">
        <v>475</v>
      </c>
      <c r="AL481" s="24">
        <f t="shared" si="87"/>
        <v>24.427140000000001</v>
      </c>
      <c r="AM481">
        <f t="shared" si="89"/>
        <v>170.98998</v>
      </c>
      <c r="AN481">
        <f t="shared" si="89"/>
        <v>244.27140000000003</v>
      </c>
      <c r="AO481">
        <f t="shared" si="89"/>
        <v>366.40710000000001</v>
      </c>
      <c r="AP481">
        <f t="shared" si="89"/>
        <v>488.54280000000006</v>
      </c>
      <c r="AQ481">
        <f t="shared" si="89"/>
        <v>854.94990000000007</v>
      </c>
      <c r="AR481">
        <f t="shared" si="89"/>
        <v>1221.357</v>
      </c>
      <c r="AS481">
        <f t="shared" si="89"/>
        <v>1954.1712000000002</v>
      </c>
      <c r="AT481">
        <f t="shared" si="89"/>
        <v>2931.2568000000001</v>
      </c>
      <c r="AU481">
        <f t="shared" si="89"/>
        <v>4152.6138000000001</v>
      </c>
      <c r="AV481">
        <f t="shared" si="89"/>
        <v>5862.5136000000002</v>
      </c>
      <c r="AW481">
        <f t="shared" si="89"/>
        <v>8060.9562000000005</v>
      </c>
      <c r="AX481">
        <f t="shared" si="89"/>
        <v>11236.484400000001</v>
      </c>
      <c r="AY481">
        <f t="shared" si="89"/>
        <v>19541.712</v>
      </c>
      <c r="AZ481">
        <f t="shared" si="89"/>
        <v>36640.71</v>
      </c>
      <c r="BA481">
        <f t="shared" si="89"/>
        <v>61067.850000000006</v>
      </c>
      <c r="BB481">
        <f t="shared" si="89"/>
        <v>97708.560000000012</v>
      </c>
      <c r="BC481">
        <f t="shared" si="86"/>
        <v>244271.40000000002</v>
      </c>
      <c r="BD481">
        <f t="shared" si="86"/>
        <v>366407.10000000003</v>
      </c>
      <c r="BE481">
        <f t="shared" si="86"/>
        <v>586251.36</v>
      </c>
      <c r="BF481">
        <f t="shared" si="86"/>
        <v>732814.20000000007</v>
      </c>
      <c r="BG481">
        <f t="shared" si="86"/>
        <v>2442714</v>
      </c>
      <c r="BH481">
        <f t="shared" si="86"/>
        <v>7328142</v>
      </c>
      <c r="BI481">
        <f t="shared" si="86"/>
        <v>20763069</v>
      </c>
      <c r="BJ481">
        <f t="shared" si="86"/>
        <v>73281420</v>
      </c>
      <c r="BK481">
        <f t="shared" si="86"/>
        <v>244271400</v>
      </c>
      <c r="BL481" s="145">
        <v>476</v>
      </c>
    </row>
    <row r="482" spans="1:64" ht="17.25" thickBot="1" x14ac:dyDescent="0.25">
      <c r="A482" s="131">
        <v>478</v>
      </c>
      <c r="B482" s="132">
        <v>88929344</v>
      </c>
      <c r="D482" s="131">
        <v>478</v>
      </c>
      <c r="E482" s="132">
        <v>24.58211</v>
      </c>
      <c r="AK482">
        <v>476</v>
      </c>
      <c r="AL482" s="24">
        <f t="shared" si="87"/>
        <v>24.478899999999999</v>
      </c>
      <c r="AM482">
        <f t="shared" si="89"/>
        <v>171.35229999999999</v>
      </c>
      <c r="AN482">
        <f t="shared" si="89"/>
        <v>244.78899999999999</v>
      </c>
      <c r="AO482">
        <f t="shared" si="89"/>
        <v>367.18349999999998</v>
      </c>
      <c r="AP482">
        <f t="shared" si="89"/>
        <v>489.57799999999997</v>
      </c>
      <c r="AQ482">
        <f t="shared" si="89"/>
        <v>856.76149999999996</v>
      </c>
      <c r="AR482">
        <f t="shared" si="89"/>
        <v>1223.9449999999999</v>
      </c>
      <c r="AS482">
        <f t="shared" si="89"/>
        <v>1958.3119999999999</v>
      </c>
      <c r="AT482">
        <f t="shared" si="89"/>
        <v>2937.4679999999998</v>
      </c>
      <c r="AU482">
        <f t="shared" si="89"/>
        <v>4161.4129999999996</v>
      </c>
      <c r="AV482">
        <f t="shared" si="89"/>
        <v>5874.9359999999997</v>
      </c>
      <c r="AW482">
        <f t="shared" si="89"/>
        <v>8078.0370000000003</v>
      </c>
      <c r="AX482">
        <f t="shared" si="89"/>
        <v>11260.294</v>
      </c>
      <c r="AY482">
        <f t="shared" si="89"/>
        <v>19583.12</v>
      </c>
      <c r="AZ482">
        <f t="shared" si="89"/>
        <v>36718.35</v>
      </c>
      <c r="BA482">
        <f t="shared" si="89"/>
        <v>61197.25</v>
      </c>
      <c r="BB482">
        <f t="shared" si="89"/>
        <v>97915.599999999991</v>
      </c>
      <c r="BC482">
        <f t="shared" si="86"/>
        <v>244789</v>
      </c>
      <c r="BD482">
        <f t="shared" si="86"/>
        <v>367183.5</v>
      </c>
      <c r="BE482">
        <f t="shared" si="86"/>
        <v>587493.6</v>
      </c>
      <c r="BF482">
        <f t="shared" si="86"/>
        <v>734367</v>
      </c>
      <c r="BG482">
        <f t="shared" si="86"/>
        <v>2447890</v>
      </c>
      <c r="BH482">
        <f t="shared" si="86"/>
        <v>7343670</v>
      </c>
      <c r="BI482">
        <f t="shared" si="86"/>
        <v>20807065</v>
      </c>
      <c r="BJ482">
        <f t="shared" si="86"/>
        <v>73436700</v>
      </c>
      <c r="BK482">
        <f t="shared" si="86"/>
        <v>244789000</v>
      </c>
      <c r="BL482">
        <v>477</v>
      </c>
    </row>
    <row r="483" spans="1:64" ht="17.25" thickBot="1" x14ac:dyDescent="0.25">
      <c r="A483" s="131">
        <v>479</v>
      </c>
      <c r="B483" s="132">
        <v>89208277</v>
      </c>
      <c r="D483" s="131">
        <v>479</v>
      </c>
      <c r="E483" s="132">
        <v>24.633559999999999</v>
      </c>
      <c r="AK483">
        <v>477</v>
      </c>
      <c r="AL483" s="24">
        <f t="shared" si="87"/>
        <v>24.530560000000001</v>
      </c>
      <c r="AM483">
        <f t="shared" si="89"/>
        <v>171.71392</v>
      </c>
      <c r="AN483">
        <f t="shared" si="89"/>
        <v>245.30560000000003</v>
      </c>
      <c r="AO483">
        <f t="shared" si="89"/>
        <v>367.95840000000004</v>
      </c>
      <c r="AP483">
        <f t="shared" si="89"/>
        <v>490.61120000000005</v>
      </c>
      <c r="AQ483">
        <f t="shared" si="89"/>
        <v>858.56960000000004</v>
      </c>
      <c r="AR483">
        <f t="shared" si="89"/>
        <v>1226.528</v>
      </c>
      <c r="AS483">
        <f t="shared" si="89"/>
        <v>1962.4448000000002</v>
      </c>
      <c r="AT483">
        <f t="shared" si="89"/>
        <v>2943.6672000000003</v>
      </c>
      <c r="AU483">
        <f t="shared" si="89"/>
        <v>4170.1952000000001</v>
      </c>
      <c r="AV483">
        <f t="shared" si="89"/>
        <v>5887.3344000000006</v>
      </c>
      <c r="AW483">
        <f t="shared" si="89"/>
        <v>8095.0848000000005</v>
      </c>
      <c r="AX483">
        <f t="shared" si="89"/>
        <v>11284.0576</v>
      </c>
      <c r="AY483">
        <f t="shared" si="89"/>
        <v>19624.448</v>
      </c>
      <c r="AZ483">
        <f t="shared" si="89"/>
        <v>36795.840000000004</v>
      </c>
      <c r="BA483">
        <f t="shared" si="89"/>
        <v>61326.400000000001</v>
      </c>
      <c r="BB483">
        <f t="shared" si="89"/>
        <v>98122.240000000005</v>
      </c>
      <c r="BC483">
        <f t="shared" si="86"/>
        <v>245305.60000000001</v>
      </c>
      <c r="BD483">
        <f t="shared" si="86"/>
        <v>367958.4</v>
      </c>
      <c r="BE483">
        <f t="shared" si="86"/>
        <v>588733.44000000006</v>
      </c>
      <c r="BF483">
        <f t="shared" si="86"/>
        <v>735916.8</v>
      </c>
      <c r="BG483">
        <f t="shared" si="86"/>
        <v>2453056</v>
      </c>
      <c r="BH483">
        <f t="shared" si="86"/>
        <v>7359168</v>
      </c>
      <c r="BI483">
        <f t="shared" si="86"/>
        <v>20850976</v>
      </c>
      <c r="BJ483">
        <f t="shared" si="86"/>
        <v>73591680</v>
      </c>
      <c r="BK483">
        <f t="shared" si="86"/>
        <v>245305600</v>
      </c>
      <c r="BL483" s="145">
        <v>478</v>
      </c>
    </row>
    <row r="484" spans="1:64" ht="17.25" thickBot="1" x14ac:dyDescent="0.25">
      <c r="A484" s="131">
        <v>480</v>
      </c>
      <c r="B484" s="132">
        <v>89487505</v>
      </c>
      <c r="D484" s="131">
        <v>480</v>
      </c>
      <c r="E484" s="132">
        <v>24.684899999999999</v>
      </c>
      <c r="AK484">
        <v>478</v>
      </c>
      <c r="AL484" s="24">
        <f t="shared" si="87"/>
        <v>24.58211</v>
      </c>
      <c r="AM484">
        <f t="shared" si="89"/>
        <v>172.07477</v>
      </c>
      <c r="AN484">
        <f t="shared" si="89"/>
        <v>245.8211</v>
      </c>
      <c r="AO484">
        <f t="shared" si="89"/>
        <v>368.73165</v>
      </c>
      <c r="AP484">
        <f t="shared" si="89"/>
        <v>491.6422</v>
      </c>
      <c r="AQ484">
        <f t="shared" si="89"/>
        <v>860.37384999999995</v>
      </c>
      <c r="AR484">
        <f t="shared" si="89"/>
        <v>1229.1055000000001</v>
      </c>
      <c r="AS484">
        <f t="shared" si="89"/>
        <v>1966.5688</v>
      </c>
      <c r="AT484">
        <f t="shared" si="89"/>
        <v>2949.8532</v>
      </c>
      <c r="AU484">
        <f t="shared" si="89"/>
        <v>4178.9587000000001</v>
      </c>
      <c r="AV484">
        <f t="shared" si="89"/>
        <v>5899.7064</v>
      </c>
      <c r="AW484">
        <f t="shared" si="89"/>
        <v>8112.0963000000002</v>
      </c>
      <c r="AX484">
        <f t="shared" si="89"/>
        <v>11307.7706</v>
      </c>
      <c r="AY484">
        <f t="shared" si="89"/>
        <v>19665.688000000002</v>
      </c>
      <c r="AZ484">
        <f t="shared" si="89"/>
        <v>36873.165000000001</v>
      </c>
      <c r="BA484">
        <f t="shared" si="89"/>
        <v>61455.275000000001</v>
      </c>
      <c r="BB484">
        <f t="shared" si="89"/>
        <v>98328.44</v>
      </c>
      <c r="BC484">
        <f t="shared" si="86"/>
        <v>245821.1</v>
      </c>
      <c r="BD484">
        <f t="shared" si="86"/>
        <v>368731.65</v>
      </c>
      <c r="BE484">
        <f t="shared" si="86"/>
        <v>589970.64</v>
      </c>
      <c r="BF484">
        <f t="shared" si="86"/>
        <v>737463.3</v>
      </c>
      <c r="BG484">
        <f t="shared" si="86"/>
        <v>2458211</v>
      </c>
      <c r="BH484">
        <f t="shared" si="86"/>
        <v>7374633</v>
      </c>
      <c r="BI484">
        <f t="shared" si="86"/>
        <v>20894793.5</v>
      </c>
      <c r="BJ484">
        <f t="shared" si="86"/>
        <v>73746330</v>
      </c>
      <c r="BK484">
        <f t="shared" si="86"/>
        <v>245821100</v>
      </c>
      <c r="BL484">
        <v>479</v>
      </c>
    </row>
    <row r="485" spans="1:64" ht="17.25" thickBot="1" x14ac:dyDescent="0.25">
      <c r="A485" s="131">
        <v>481</v>
      </c>
      <c r="B485" s="132">
        <v>89767022</v>
      </c>
      <c r="D485" s="131">
        <v>481</v>
      </c>
      <c r="E485" s="132">
        <v>24.736129999999999</v>
      </c>
      <c r="AK485">
        <v>479</v>
      </c>
      <c r="AL485" s="24">
        <f t="shared" si="87"/>
        <v>24.633559999999999</v>
      </c>
      <c r="AM485">
        <f t="shared" si="89"/>
        <v>172.43492000000001</v>
      </c>
      <c r="AN485">
        <f t="shared" si="89"/>
        <v>246.3356</v>
      </c>
      <c r="AO485">
        <f t="shared" si="89"/>
        <v>369.5034</v>
      </c>
      <c r="AP485">
        <f t="shared" si="89"/>
        <v>492.6712</v>
      </c>
      <c r="AQ485">
        <f t="shared" si="89"/>
        <v>862.17459999999994</v>
      </c>
      <c r="AR485">
        <f t="shared" si="89"/>
        <v>1231.6779999999999</v>
      </c>
      <c r="AS485">
        <f t="shared" si="89"/>
        <v>1970.6848</v>
      </c>
      <c r="AT485">
        <f t="shared" si="89"/>
        <v>2956.0272</v>
      </c>
      <c r="AU485">
        <f t="shared" si="89"/>
        <v>4187.7051999999994</v>
      </c>
      <c r="AV485">
        <f t="shared" si="89"/>
        <v>5912.0544</v>
      </c>
      <c r="AW485">
        <f t="shared" si="89"/>
        <v>8129.0747999999994</v>
      </c>
      <c r="AX485">
        <f t="shared" si="89"/>
        <v>11331.437599999999</v>
      </c>
      <c r="AY485">
        <f t="shared" si="89"/>
        <v>19706.847999999998</v>
      </c>
      <c r="AZ485">
        <f t="shared" si="89"/>
        <v>36950.339999999997</v>
      </c>
      <c r="BA485">
        <f t="shared" si="89"/>
        <v>61583.9</v>
      </c>
      <c r="BB485">
        <f t="shared" si="89"/>
        <v>98534.239999999991</v>
      </c>
      <c r="BC485">
        <f t="shared" si="86"/>
        <v>246335.6</v>
      </c>
      <c r="BD485">
        <f t="shared" si="86"/>
        <v>369503.39999999997</v>
      </c>
      <c r="BE485">
        <f t="shared" si="86"/>
        <v>591205.43999999994</v>
      </c>
      <c r="BF485">
        <f t="shared" si="86"/>
        <v>739006.79999999993</v>
      </c>
      <c r="BG485">
        <f t="shared" si="86"/>
        <v>2463356</v>
      </c>
      <c r="BH485">
        <f t="shared" si="86"/>
        <v>7390068</v>
      </c>
      <c r="BI485">
        <f t="shared" si="86"/>
        <v>20938526</v>
      </c>
      <c r="BJ485">
        <f t="shared" si="86"/>
        <v>73900680</v>
      </c>
      <c r="BK485">
        <f t="shared" si="86"/>
        <v>246335600</v>
      </c>
      <c r="BL485" s="145">
        <v>480</v>
      </c>
    </row>
    <row r="486" spans="1:64" ht="17.25" thickBot="1" x14ac:dyDescent="0.25">
      <c r="A486" s="131">
        <v>482</v>
      </c>
      <c r="B486" s="132">
        <v>90046827</v>
      </c>
      <c r="D486" s="131">
        <v>482</v>
      </c>
      <c r="E486" s="132">
        <v>24.78726</v>
      </c>
      <c r="AK486">
        <v>480</v>
      </c>
      <c r="AL486" s="24">
        <f t="shared" si="87"/>
        <v>24.684899999999999</v>
      </c>
      <c r="AM486">
        <f t="shared" si="89"/>
        <v>172.79429999999999</v>
      </c>
      <c r="AN486">
        <f t="shared" si="89"/>
        <v>246.84899999999999</v>
      </c>
      <c r="AO486">
        <f t="shared" si="89"/>
        <v>370.27350000000001</v>
      </c>
      <c r="AP486">
        <f t="shared" si="89"/>
        <v>493.69799999999998</v>
      </c>
      <c r="AQ486">
        <f t="shared" si="89"/>
        <v>863.97149999999999</v>
      </c>
      <c r="AR486">
        <f t="shared" si="89"/>
        <v>1234.2449999999999</v>
      </c>
      <c r="AS486">
        <f t="shared" si="89"/>
        <v>1974.7919999999999</v>
      </c>
      <c r="AT486">
        <f t="shared" si="89"/>
        <v>2962.1880000000001</v>
      </c>
      <c r="AU486">
        <f t="shared" si="89"/>
        <v>4196.433</v>
      </c>
      <c r="AV486">
        <f t="shared" si="89"/>
        <v>5924.3760000000002</v>
      </c>
      <c r="AW486">
        <f t="shared" si="89"/>
        <v>8146.0169999999998</v>
      </c>
      <c r="AX486">
        <f t="shared" si="89"/>
        <v>11355.054</v>
      </c>
      <c r="AY486">
        <f t="shared" si="89"/>
        <v>19747.919999999998</v>
      </c>
      <c r="AZ486">
        <f t="shared" si="89"/>
        <v>37027.35</v>
      </c>
      <c r="BA486">
        <f t="shared" si="89"/>
        <v>61712.25</v>
      </c>
      <c r="BB486">
        <f t="shared" si="89"/>
        <v>98739.599999999991</v>
      </c>
      <c r="BC486">
        <f t="shared" si="86"/>
        <v>246849</v>
      </c>
      <c r="BD486">
        <f t="shared" si="86"/>
        <v>370273.5</v>
      </c>
      <c r="BE486">
        <f t="shared" si="86"/>
        <v>592437.6</v>
      </c>
      <c r="BF486">
        <f t="shared" si="86"/>
        <v>740547</v>
      </c>
      <c r="BG486">
        <f t="shared" si="86"/>
        <v>2468490</v>
      </c>
      <c r="BH486">
        <f t="shared" si="86"/>
        <v>7405470</v>
      </c>
      <c r="BI486">
        <f t="shared" si="86"/>
        <v>20982165</v>
      </c>
      <c r="BJ486">
        <f t="shared" si="86"/>
        <v>74054700</v>
      </c>
      <c r="BK486">
        <f t="shared" si="86"/>
        <v>246849000</v>
      </c>
      <c r="BL486">
        <v>481</v>
      </c>
    </row>
    <row r="487" spans="1:64" ht="17.25" thickBot="1" x14ac:dyDescent="0.25">
      <c r="A487" s="131">
        <v>483</v>
      </c>
      <c r="B487" s="132">
        <v>90326927</v>
      </c>
      <c r="D487" s="131">
        <v>483</v>
      </c>
      <c r="E487" s="132">
        <v>24.838290000000001</v>
      </c>
      <c r="AK487">
        <v>481</v>
      </c>
      <c r="AL487" s="24">
        <f t="shared" si="87"/>
        <v>24.736129999999999</v>
      </c>
      <c r="AM487">
        <f t="shared" si="89"/>
        <v>173.15290999999999</v>
      </c>
      <c r="AN487">
        <f t="shared" si="89"/>
        <v>247.3613</v>
      </c>
      <c r="AO487">
        <f t="shared" si="89"/>
        <v>371.04194999999999</v>
      </c>
      <c r="AP487">
        <f t="shared" si="89"/>
        <v>494.7226</v>
      </c>
      <c r="AQ487">
        <f t="shared" si="89"/>
        <v>865.76454999999999</v>
      </c>
      <c r="AR487">
        <f t="shared" si="89"/>
        <v>1236.8064999999999</v>
      </c>
      <c r="AS487">
        <f t="shared" si="89"/>
        <v>1978.8904</v>
      </c>
      <c r="AT487">
        <f t="shared" si="89"/>
        <v>2968.3355999999999</v>
      </c>
      <c r="AU487">
        <f t="shared" si="89"/>
        <v>4205.1421</v>
      </c>
      <c r="AV487">
        <f t="shared" si="89"/>
        <v>5936.6711999999998</v>
      </c>
      <c r="AW487">
        <f t="shared" si="89"/>
        <v>8162.9228999999996</v>
      </c>
      <c r="AX487">
        <f t="shared" si="89"/>
        <v>11378.6198</v>
      </c>
      <c r="AY487">
        <f t="shared" si="89"/>
        <v>19788.903999999999</v>
      </c>
      <c r="AZ487">
        <f t="shared" si="89"/>
        <v>37104.195</v>
      </c>
      <c r="BA487">
        <f t="shared" si="89"/>
        <v>61840.324999999997</v>
      </c>
      <c r="BB487">
        <f t="shared" si="89"/>
        <v>98944.52</v>
      </c>
      <c r="BC487">
        <f t="shared" si="86"/>
        <v>247361.3</v>
      </c>
      <c r="BD487">
        <f t="shared" si="86"/>
        <v>371041.95</v>
      </c>
      <c r="BE487">
        <f t="shared" si="86"/>
        <v>593667.12</v>
      </c>
      <c r="BF487">
        <f t="shared" si="86"/>
        <v>742083.9</v>
      </c>
      <c r="BG487">
        <f t="shared" si="86"/>
        <v>2473613</v>
      </c>
      <c r="BH487">
        <f t="shared" si="86"/>
        <v>7420839</v>
      </c>
      <c r="BI487">
        <f t="shared" si="86"/>
        <v>21025710.5</v>
      </c>
      <c r="BJ487">
        <f t="shared" si="86"/>
        <v>74208390</v>
      </c>
      <c r="BK487">
        <f t="shared" si="86"/>
        <v>247361300</v>
      </c>
      <c r="BL487" s="145">
        <v>482</v>
      </c>
    </row>
    <row r="488" spans="1:64" ht="17.25" thickBot="1" x14ac:dyDescent="0.25">
      <c r="A488" s="131">
        <v>484</v>
      </c>
      <c r="B488" s="132">
        <v>90607316</v>
      </c>
      <c r="D488" s="131">
        <v>484</v>
      </c>
      <c r="E488" s="132">
        <v>24.889209999999999</v>
      </c>
      <c r="AK488">
        <v>482</v>
      </c>
      <c r="AL488" s="24">
        <f t="shared" si="87"/>
        <v>24.78726</v>
      </c>
      <c r="AM488">
        <f t="shared" si="89"/>
        <v>173.51082</v>
      </c>
      <c r="AN488">
        <f t="shared" si="89"/>
        <v>247.87260000000001</v>
      </c>
      <c r="AO488">
        <f t="shared" si="89"/>
        <v>371.80889999999999</v>
      </c>
      <c r="AP488">
        <f t="shared" si="89"/>
        <v>495.74520000000001</v>
      </c>
      <c r="AQ488">
        <f t="shared" si="89"/>
        <v>867.55409999999995</v>
      </c>
      <c r="AR488">
        <f t="shared" si="89"/>
        <v>1239.3630000000001</v>
      </c>
      <c r="AS488">
        <f t="shared" si="89"/>
        <v>1982.9808</v>
      </c>
      <c r="AT488">
        <f t="shared" si="89"/>
        <v>2974.4712</v>
      </c>
      <c r="AU488">
        <f t="shared" si="89"/>
        <v>4213.8342000000002</v>
      </c>
      <c r="AV488">
        <f t="shared" si="89"/>
        <v>5948.9423999999999</v>
      </c>
      <c r="AW488">
        <f t="shared" si="89"/>
        <v>8179.7957999999999</v>
      </c>
      <c r="AX488">
        <f t="shared" si="89"/>
        <v>11402.1396</v>
      </c>
      <c r="AY488">
        <f t="shared" si="89"/>
        <v>19829.808000000001</v>
      </c>
      <c r="AZ488">
        <f t="shared" si="89"/>
        <v>37180.89</v>
      </c>
      <c r="BA488">
        <f t="shared" si="89"/>
        <v>61968.15</v>
      </c>
      <c r="BB488">
        <f t="shared" si="89"/>
        <v>99149.04</v>
      </c>
      <c r="BC488">
        <f t="shared" si="86"/>
        <v>247872.6</v>
      </c>
      <c r="BD488">
        <f t="shared" si="86"/>
        <v>371808.9</v>
      </c>
      <c r="BE488">
        <f t="shared" si="86"/>
        <v>594894.24</v>
      </c>
      <c r="BF488">
        <f t="shared" si="86"/>
        <v>743617.8</v>
      </c>
      <c r="BG488">
        <f t="shared" si="86"/>
        <v>2478726</v>
      </c>
      <c r="BH488">
        <f t="shared" si="86"/>
        <v>7436178</v>
      </c>
      <c r="BI488">
        <f t="shared" si="86"/>
        <v>21069171</v>
      </c>
      <c r="BJ488">
        <f t="shared" si="86"/>
        <v>74361780</v>
      </c>
      <c r="BK488">
        <f t="shared" si="86"/>
        <v>247872600</v>
      </c>
      <c r="BL488">
        <v>483</v>
      </c>
    </row>
    <row r="489" spans="1:64" ht="17.25" thickBot="1" x14ac:dyDescent="0.25">
      <c r="A489" s="131">
        <v>485</v>
      </c>
      <c r="B489" s="132">
        <v>90887994</v>
      </c>
      <c r="D489" s="131">
        <v>485</v>
      </c>
      <c r="E489" s="132">
        <v>24.94003</v>
      </c>
      <c r="AK489">
        <v>483</v>
      </c>
      <c r="AL489" s="24">
        <f t="shared" si="87"/>
        <v>24.838290000000001</v>
      </c>
      <c r="AM489">
        <f t="shared" si="89"/>
        <v>173.86803</v>
      </c>
      <c r="AN489">
        <f t="shared" si="89"/>
        <v>248.38290000000001</v>
      </c>
      <c r="AO489">
        <f t="shared" si="89"/>
        <v>372.57434999999998</v>
      </c>
      <c r="AP489">
        <f t="shared" si="89"/>
        <v>496.76580000000001</v>
      </c>
      <c r="AQ489">
        <f t="shared" si="89"/>
        <v>869.34014999999999</v>
      </c>
      <c r="AR489">
        <f t="shared" si="89"/>
        <v>1241.9145000000001</v>
      </c>
      <c r="AS489">
        <f t="shared" si="89"/>
        <v>1987.0632000000001</v>
      </c>
      <c r="AT489">
        <f t="shared" si="89"/>
        <v>2980.5947999999999</v>
      </c>
      <c r="AU489">
        <f t="shared" si="89"/>
        <v>4222.5092999999997</v>
      </c>
      <c r="AV489">
        <f t="shared" si="89"/>
        <v>5961.1895999999997</v>
      </c>
      <c r="AW489">
        <f t="shared" si="89"/>
        <v>8196.6357000000007</v>
      </c>
      <c r="AX489">
        <f t="shared" si="89"/>
        <v>11425.6134</v>
      </c>
      <c r="AY489">
        <f t="shared" si="89"/>
        <v>19870.632000000001</v>
      </c>
      <c r="AZ489">
        <f t="shared" si="89"/>
        <v>37257.434999999998</v>
      </c>
      <c r="BA489">
        <f t="shared" si="89"/>
        <v>62095.724999999999</v>
      </c>
      <c r="BB489">
        <f t="shared" si="89"/>
        <v>99353.16</v>
      </c>
      <c r="BC489">
        <f t="shared" si="86"/>
        <v>248382.9</v>
      </c>
      <c r="BD489">
        <f t="shared" si="86"/>
        <v>372574.35000000003</v>
      </c>
      <c r="BE489">
        <f t="shared" si="86"/>
        <v>596118.96</v>
      </c>
      <c r="BF489">
        <f t="shared" si="86"/>
        <v>745148.70000000007</v>
      </c>
      <c r="BG489">
        <f t="shared" si="86"/>
        <v>2483829</v>
      </c>
      <c r="BH489">
        <f t="shared" si="86"/>
        <v>7451487</v>
      </c>
      <c r="BI489">
        <f t="shared" si="86"/>
        <v>21112546.5</v>
      </c>
      <c r="BJ489">
        <f t="shared" si="86"/>
        <v>74514870</v>
      </c>
      <c r="BK489">
        <f t="shared" si="86"/>
        <v>248382900</v>
      </c>
      <c r="BL489" s="145">
        <v>484</v>
      </c>
    </row>
    <row r="490" spans="1:64" ht="17.25" thickBot="1" x14ac:dyDescent="0.25">
      <c r="A490" s="131">
        <v>486</v>
      </c>
      <c r="B490" s="132">
        <v>91168961</v>
      </c>
      <c r="D490" s="131">
        <v>486</v>
      </c>
      <c r="E490" s="132">
        <v>24.990739999999999</v>
      </c>
      <c r="AK490">
        <v>484</v>
      </c>
      <c r="AL490" s="24">
        <f t="shared" si="87"/>
        <v>24.889209999999999</v>
      </c>
      <c r="AM490">
        <f t="shared" si="89"/>
        <v>174.22447</v>
      </c>
      <c r="AN490">
        <f t="shared" si="89"/>
        <v>248.89209999999997</v>
      </c>
      <c r="AO490">
        <f t="shared" si="89"/>
        <v>373.33814999999998</v>
      </c>
      <c r="AP490">
        <f t="shared" si="89"/>
        <v>497.78419999999994</v>
      </c>
      <c r="AQ490">
        <f t="shared" si="89"/>
        <v>871.12234999999998</v>
      </c>
      <c r="AR490">
        <f t="shared" si="89"/>
        <v>1244.4604999999999</v>
      </c>
      <c r="AS490">
        <f t="shared" si="89"/>
        <v>1991.1367999999998</v>
      </c>
      <c r="AT490">
        <f t="shared" si="89"/>
        <v>2986.7051999999999</v>
      </c>
      <c r="AU490">
        <f t="shared" si="89"/>
        <v>4231.1656999999996</v>
      </c>
      <c r="AV490">
        <f t="shared" si="89"/>
        <v>5973.4103999999998</v>
      </c>
      <c r="AW490">
        <f t="shared" si="89"/>
        <v>8213.4393</v>
      </c>
      <c r="AX490">
        <f t="shared" si="89"/>
        <v>11449.036599999999</v>
      </c>
      <c r="AY490">
        <f t="shared" si="89"/>
        <v>19911.367999999999</v>
      </c>
      <c r="AZ490">
        <f t="shared" si="89"/>
        <v>37333.814999999995</v>
      </c>
      <c r="BA490">
        <f t="shared" si="89"/>
        <v>62223.024999999994</v>
      </c>
      <c r="BB490">
        <f t="shared" si="89"/>
        <v>99556.84</v>
      </c>
      <c r="BC490">
        <f t="shared" si="86"/>
        <v>248892.09999999998</v>
      </c>
      <c r="BD490">
        <f t="shared" si="86"/>
        <v>373338.14999999997</v>
      </c>
      <c r="BE490">
        <f t="shared" si="86"/>
        <v>597341.03999999992</v>
      </c>
      <c r="BF490">
        <f t="shared" si="86"/>
        <v>746676.29999999993</v>
      </c>
      <c r="BG490">
        <f t="shared" si="86"/>
        <v>2488921</v>
      </c>
      <c r="BH490">
        <f t="shared" si="86"/>
        <v>7466763</v>
      </c>
      <c r="BI490">
        <f t="shared" si="86"/>
        <v>21155828.5</v>
      </c>
      <c r="BJ490">
        <f t="shared" si="86"/>
        <v>74667630</v>
      </c>
      <c r="BK490">
        <f t="shared" si="86"/>
        <v>248892099.99999997</v>
      </c>
      <c r="BL490">
        <v>485</v>
      </c>
    </row>
    <row r="491" spans="1:64" ht="17.25" thickBot="1" x14ac:dyDescent="0.25">
      <c r="A491" s="131">
        <v>487</v>
      </c>
      <c r="B491" s="132">
        <v>91450216</v>
      </c>
      <c r="D491" s="131">
        <v>487</v>
      </c>
      <c r="E491" s="132">
        <v>25.041350000000001</v>
      </c>
      <c r="AK491">
        <v>485</v>
      </c>
      <c r="AL491" s="24">
        <f t="shared" si="87"/>
        <v>24.94003</v>
      </c>
      <c r="AM491">
        <f t="shared" si="89"/>
        <v>174.58020999999999</v>
      </c>
      <c r="AN491">
        <f t="shared" si="89"/>
        <v>249.40030000000002</v>
      </c>
      <c r="AO491">
        <f t="shared" si="89"/>
        <v>374.10045000000002</v>
      </c>
      <c r="AP491">
        <f t="shared" si="89"/>
        <v>498.80060000000003</v>
      </c>
      <c r="AQ491">
        <f t="shared" si="89"/>
        <v>872.90105000000005</v>
      </c>
      <c r="AR491">
        <f t="shared" si="89"/>
        <v>1247.0015000000001</v>
      </c>
      <c r="AS491">
        <f t="shared" si="89"/>
        <v>1995.2024000000001</v>
      </c>
      <c r="AT491">
        <f t="shared" si="89"/>
        <v>2992.8036000000002</v>
      </c>
      <c r="AU491">
        <f t="shared" si="89"/>
        <v>4239.8050999999996</v>
      </c>
      <c r="AV491">
        <f t="shared" si="89"/>
        <v>5985.6072000000004</v>
      </c>
      <c r="AW491">
        <f t="shared" si="89"/>
        <v>8230.2098999999998</v>
      </c>
      <c r="AX491">
        <f t="shared" si="89"/>
        <v>11472.4138</v>
      </c>
      <c r="AY491">
        <f t="shared" si="89"/>
        <v>19952.024000000001</v>
      </c>
      <c r="AZ491">
        <f t="shared" si="89"/>
        <v>37410.044999999998</v>
      </c>
      <c r="BA491">
        <f t="shared" si="89"/>
        <v>62350.074999999997</v>
      </c>
      <c r="BB491">
        <f t="shared" si="89"/>
        <v>99760.12</v>
      </c>
      <c r="BC491">
        <f t="shared" si="86"/>
        <v>249400.3</v>
      </c>
      <c r="BD491">
        <f t="shared" si="86"/>
        <v>374100.45</v>
      </c>
      <c r="BE491">
        <f t="shared" ref="BC491:BK519" si="90">BE$5*VLOOKUP($AK491,$D$2:$E$1404,2,FALSE)</f>
        <v>598560.72</v>
      </c>
      <c r="BF491">
        <f t="shared" si="90"/>
        <v>748200.9</v>
      </c>
      <c r="BG491">
        <f t="shared" si="90"/>
        <v>2494003</v>
      </c>
      <c r="BH491">
        <f t="shared" si="90"/>
        <v>7482009</v>
      </c>
      <c r="BI491">
        <f t="shared" si="90"/>
        <v>21199025.5</v>
      </c>
      <c r="BJ491">
        <f t="shared" si="90"/>
        <v>74820090</v>
      </c>
      <c r="BK491">
        <f t="shared" si="90"/>
        <v>249400300</v>
      </c>
      <c r="BL491" s="145">
        <v>486</v>
      </c>
    </row>
    <row r="492" spans="1:64" ht="17.25" thickBot="1" x14ac:dyDescent="0.25">
      <c r="A492" s="131">
        <v>488</v>
      </c>
      <c r="B492" s="132">
        <v>91731761</v>
      </c>
      <c r="D492" s="131">
        <v>488</v>
      </c>
      <c r="E492" s="132">
        <v>25.09186</v>
      </c>
      <c r="AK492">
        <v>486</v>
      </c>
      <c r="AL492" s="24">
        <f t="shared" si="87"/>
        <v>24.990739999999999</v>
      </c>
      <c r="AM492">
        <f t="shared" si="89"/>
        <v>174.93518</v>
      </c>
      <c r="AN492">
        <f t="shared" si="89"/>
        <v>249.9074</v>
      </c>
      <c r="AO492">
        <f t="shared" si="89"/>
        <v>374.86109999999996</v>
      </c>
      <c r="AP492">
        <f t="shared" si="89"/>
        <v>499.81479999999999</v>
      </c>
      <c r="AQ492">
        <f t="shared" si="89"/>
        <v>874.67589999999996</v>
      </c>
      <c r="AR492">
        <f t="shared" si="89"/>
        <v>1249.537</v>
      </c>
      <c r="AS492">
        <f t="shared" si="89"/>
        <v>1999.2592</v>
      </c>
      <c r="AT492">
        <f t="shared" si="89"/>
        <v>2998.8887999999997</v>
      </c>
      <c r="AU492">
        <f t="shared" si="89"/>
        <v>4248.4258</v>
      </c>
      <c r="AV492">
        <f t="shared" si="89"/>
        <v>5997.7775999999994</v>
      </c>
      <c r="AW492">
        <f t="shared" si="89"/>
        <v>8246.9441999999999</v>
      </c>
      <c r="AX492">
        <f t="shared" si="89"/>
        <v>11495.740399999999</v>
      </c>
      <c r="AY492">
        <f t="shared" si="89"/>
        <v>19992.592000000001</v>
      </c>
      <c r="AZ492">
        <f t="shared" si="89"/>
        <v>37486.11</v>
      </c>
      <c r="BA492">
        <f t="shared" si="89"/>
        <v>62476.85</v>
      </c>
      <c r="BB492">
        <f t="shared" si="89"/>
        <v>99962.959999999992</v>
      </c>
      <c r="BC492">
        <f t="shared" si="90"/>
        <v>249907.4</v>
      </c>
      <c r="BD492">
        <f t="shared" si="90"/>
        <v>374861.1</v>
      </c>
      <c r="BE492">
        <f t="shared" si="90"/>
        <v>599777.76</v>
      </c>
      <c r="BF492">
        <f t="shared" si="90"/>
        <v>749722.2</v>
      </c>
      <c r="BG492">
        <f t="shared" si="90"/>
        <v>2499074</v>
      </c>
      <c r="BH492">
        <f t="shared" si="90"/>
        <v>7497222</v>
      </c>
      <c r="BI492">
        <f t="shared" si="90"/>
        <v>21242129</v>
      </c>
      <c r="BJ492">
        <f t="shared" si="90"/>
        <v>74972220</v>
      </c>
      <c r="BK492">
        <f t="shared" si="90"/>
        <v>249907400</v>
      </c>
      <c r="BL492">
        <v>487</v>
      </c>
    </row>
    <row r="493" spans="1:64" ht="17.25" thickBot="1" x14ac:dyDescent="0.25">
      <c r="A493" s="131">
        <v>489</v>
      </c>
      <c r="B493" s="132">
        <v>92013594</v>
      </c>
      <c r="D493" s="131">
        <v>489</v>
      </c>
      <c r="E493" s="132">
        <v>25.14227</v>
      </c>
      <c r="AK493">
        <v>487</v>
      </c>
      <c r="AL493" s="24">
        <f t="shared" si="87"/>
        <v>25.041350000000001</v>
      </c>
      <c r="AM493">
        <f t="shared" si="89"/>
        <v>175.28945000000002</v>
      </c>
      <c r="AN493">
        <f t="shared" si="89"/>
        <v>250.4135</v>
      </c>
      <c r="AO493">
        <f t="shared" si="89"/>
        <v>375.62025</v>
      </c>
      <c r="AP493">
        <f t="shared" si="89"/>
        <v>500.827</v>
      </c>
      <c r="AQ493">
        <f t="shared" si="89"/>
        <v>876.44725000000005</v>
      </c>
      <c r="AR493">
        <f t="shared" si="89"/>
        <v>1252.0675000000001</v>
      </c>
      <c r="AS493">
        <f t="shared" si="89"/>
        <v>2003.308</v>
      </c>
      <c r="AT493">
        <f t="shared" si="89"/>
        <v>3004.962</v>
      </c>
      <c r="AU493">
        <f t="shared" si="89"/>
        <v>4257.0295000000006</v>
      </c>
      <c r="AV493">
        <f t="shared" si="89"/>
        <v>6009.924</v>
      </c>
      <c r="AW493">
        <f t="shared" si="89"/>
        <v>8263.6455000000005</v>
      </c>
      <c r="AX493">
        <f t="shared" si="89"/>
        <v>11519.021000000001</v>
      </c>
      <c r="AY493">
        <f t="shared" si="89"/>
        <v>20033.080000000002</v>
      </c>
      <c r="AZ493">
        <f t="shared" si="89"/>
        <v>37562.025000000001</v>
      </c>
      <c r="BA493">
        <f t="shared" si="89"/>
        <v>62603.375</v>
      </c>
      <c r="BB493">
        <f t="shared" si="89"/>
        <v>100165.40000000001</v>
      </c>
      <c r="BC493">
        <f t="shared" si="90"/>
        <v>250413.5</v>
      </c>
      <c r="BD493">
        <f t="shared" si="90"/>
        <v>375620.25</v>
      </c>
      <c r="BE493">
        <f t="shared" si="90"/>
        <v>600992.4</v>
      </c>
      <c r="BF493">
        <f t="shared" si="90"/>
        <v>751240.5</v>
      </c>
      <c r="BG493">
        <f t="shared" si="90"/>
        <v>2504135</v>
      </c>
      <c r="BH493">
        <f t="shared" si="90"/>
        <v>7512405</v>
      </c>
      <c r="BI493">
        <f t="shared" si="90"/>
        <v>21285147.5</v>
      </c>
      <c r="BJ493">
        <f t="shared" si="90"/>
        <v>75124050</v>
      </c>
      <c r="BK493">
        <f t="shared" si="90"/>
        <v>250413500</v>
      </c>
      <c r="BL493" s="145">
        <v>488</v>
      </c>
    </row>
    <row r="494" spans="1:64" ht="17.25" thickBot="1" x14ac:dyDescent="0.25">
      <c r="A494" s="131">
        <v>490</v>
      </c>
      <c r="B494" s="132">
        <v>92295716</v>
      </c>
      <c r="D494" s="131">
        <v>490</v>
      </c>
      <c r="E494" s="132">
        <v>25.19258</v>
      </c>
      <c r="AK494">
        <v>488</v>
      </c>
      <c r="AL494" s="24">
        <f t="shared" si="87"/>
        <v>25.09186</v>
      </c>
      <c r="AM494">
        <f t="shared" si="89"/>
        <v>175.64302000000001</v>
      </c>
      <c r="AN494">
        <f t="shared" si="89"/>
        <v>250.9186</v>
      </c>
      <c r="AO494">
        <f t="shared" si="89"/>
        <v>376.37790000000001</v>
      </c>
      <c r="AP494">
        <f t="shared" si="89"/>
        <v>501.8372</v>
      </c>
      <c r="AQ494">
        <f t="shared" si="89"/>
        <v>878.21510000000001</v>
      </c>
      <c r="AR494">
        <f t="shared" si="89"/>
        <v>1254.5930000000001</v>
      </c>
      <c r="AS494">
        <f t="shared" si="89"/>
        <v>2007.3488</v>
      </c>
      <c r="AT494">
        <f t="shared" si="89"/>
        <v>3011.0232000000001</v>
      </c>
      <c r="AU494">
        <f t="shared" si="89"/>
        <v>4265.6162000000004</v>
      </c>
      <c r="AV494">
        <f t="shared" si="89"/>
        <v>6022.0464000000002</v>
      </c>
      <c r="AW494">
        <f t="shared" si="89"/>
        <v>8280.3137999999999</v>
      </c>
      <c r="AX494">
        <f t="shared" si="89"/>
        <v>11542.2556</v>
      </c>
      <c r="AY494">
        <f t="shared" si="89"/>
        <v>20073.488000000001</v>
      </c>
      <c r="AZ494">
        <f t="shared" si="89"/>
        <v>37637.79</v>
      </c>
      <c r="BA494">
        <f t="shared" si="89"/>
        <v>62729.65</v>
      </c>
      <c r="BB494">
        <f t="shared" si="89"/>
        <v>100367.44</v>
      </c>
      <c r="BC494">
        <f t="shared" si="90"/>
        <v>250918.6</v>
      </c>
      <c r="BD494">
        <f t="shared" si="90"/>
        <v>376377.9</v>
      </c>
      <c r="BE494">
        <f t="shared" si="90"/>
        <v>602204.64</v>
      </c>
      <c r="BF494">
        <f t="shared" si="90"/>
        <v>752755.8</v>
      </c>
      <c r="BG494">
        <f t="shared" si="90"/>
        <v>2509186</v>
      </c>
      <c r="BH494">
        <f t="shared" si="90"/>
        <v>7527558</v>
      </c>
      <c r="BI494">
        <f t="shared" si="90"/>
        <v>21328081</v>
      </c>
      <c r="BJ494">
        <f t="shared" si="90"/>
        <v>75275580</v>
      </c>
      <c r="BK494">
        <f t="shared" si="90"/>
        <v>250918600</v>
      </c>
      <c r="BL494">
        <v>489</v>
      </c>
    </row>
    <row r="495" spans="1:64" ht="17.25" thickBot="1" x14ac:dyDescent="0.25">
      <c r="A495" s="131">
        <v>491</v>
      </c>
      <c r="B495" s="132">
        <v>92578122</v>
      </c>
      <c r="D495" s="131">
        <v>491</v>
      </c>
      <c r="E495" s="132">
        <v>25.242789999999999</v>
      </c>
      <c r="AK495">
        <v>489</v>
      </c>
      <c r="AL495" s="24">
        <f t="shared" si="87"/>
        <v>25.14227</v>
      </c>
      <c r="AM495">
        <f t="shared" si="89"/>
        <v>175.99589</v>
      </c>
      <c r="AN495">
        <f t="shared" si="89"/>
        <v>251.42269999999999</v>
      </c>
      <c r="AO495">
        <f t="shared" si="89"/>
        <v>377.13405</v>
      </c>
      <c r="AP495">
        <f t="shared" si="89"/>
        <v>502.84539999999998</v>
      </c>
      <c r="AQ495">
        <f t="shared" si="89"/>
        <v>879.97945000000004</v>
      </c>
      <c r="AR495">
        <f t="shared" si="89"/>
        <v>1257.1134999999999</v>
      </c>
      <c r="AS495">
        <f t="shared" si="89"/>
        <v>2011.3815999999999</v>
      </c>
      <c r="AT495">
        <f t="shared" si="89"/>
        <v>3017.0724</v>
      </c>
      <c r="AU495">
        <f t="shared" si="89"/>
        <v>4274.1859000000004</v>
      </c>
      <c r="AV495">
        <f t="shared" si="89"/>
        <v>6034.1448</v>
      </c>
      <c r="AW495">
        <f t="shared" si="89"/>
        <v>8296.9490999999998</v>
      </c>
      <c r="AX495">
        <f t="shared" si="89"/>
        <v>11565.4442</v>
      </c>
      <c r="AY495">
        <f t="shared" si="89"/>
        <v>20113.815999999999</v>
      </c>
      <c r="AZ495">
        <f t="shared" si="89"/>
        <v>37713.404999999999</v>
      </c>
      <c r="BA495">
        <f t="shared" ref="AM495:BB511" si="91">BA$5*VLOOKUP($AK495,$D$2:$E$1404,2,FALSE)</f>
        <v>62855.675000000003</v>
      </c>
      <c r="BB495">
        <f t="shared" si="91"/>
        <v>100569.08</v>
      </c>
      <c r="BC495">
        <f t="shared" si="90"/>
        <v>251422.7</v>
      </c>
      <c r="BD495">
        <f t="shared" si="90"/>
        <v>377134.05</v>
      </c>
      <c r="BE495">
        <f t="shared" si="90"/>
        <v>603414.48</v>
      </c>
      <c r="BF495">
        <f t="shared" si="90"/>
        <v>754268.1</v>
      </c>
      <c r="BG495">
        <f t="shared" si="90"/>
        <v>2514227</v>
      </c>
      <c r="BH495">
        <f t="shared" si="90"/>
        <v>7542681</v>
      </c>
      <c r="BI495">
        <f t="shared" si="90"/>
        <v>21370929.5</v>
      </c>
      <c r="BJ495">
        <f t="shared" si="90"/>
        <v>75426810</v>
      </c>
      <c r="BK495">
        <f t="shared" si="90"/>
        <v>251422700</v>
      </c>
      <c r="BL495" s="145">
        <v>490</v>
      </c>
    </row>
    <row r="496" spans="1:64" ht="17.25" thickBot="1" x14ac:dyDescent="0.25">
      <c r="A496" s="131">
        <v>492</v>
      </c>
      <c r="B496" s="132">
        <v>92860816</v>
      </c>
      <c r="D496" s="131">
        <v>492</v>
      </c>
      <c r="E496" s="132">
        <v>25.292899999999999</v>
      </c>
      <c r="AK496">
        <v>490</v>
      </c>
      <c r="AL496" s="24">
        <f t="shared" si="87"/>
        <v>25.19258</v>
      </c>
      <c r="AM496">
        <f t="shared" si="91"/>
        <v>176.34806</v>
      </c>
      <c r="AN496">
        <f t="shared" si="91"/>
        <v>251.92579999999998</v>
      </c>
      <c r="AO496">
        <f t="shared" si="91"/>
        <v>377.88869999999997</v>
      </c>
      <c r="AP496">
        <f t="shared" si="91"/>
        <v>503.85159999999996</v>
      </c>
      <c r="AQ496">
        <f t="shared" si="91"/>
        <v>881.74029999999993</v>
      </c>
      <c r="AR496">
        <f t="shared" si="91"/>
        <v>1259.6289999999999</v>
      </c>
      <c r="AS496">
        <f t="shared" si="91"/>
        <v>2015.4063999999998</v>
      </c>
      <c r="AT496">
        <f t="shared" si="91"/>
        <v>3023.1095999999998</v>
      </c>
      <c r="AU496">
        <f t="shared" si="91"/>
        <v>4282.7385999999997</v>
      </c>
      <c r="AV496">
        <f t="shared" si="91"/>
        <v>6046.2191999999995</v>
      </c>
      <c r="AW496">
        <f t="shared" si="91"/>
        <v>8313.5514000000003</v>
      </c>
      <c r="AX496">
        <f t="shared" si="91"/>
        <v>11588.586799999999</v>
      </c>
      <c r="AY496">
        <f t="shared" si="91"/>
        <v>20154.063999999998</v>
      </c>
      <c r="AZ496">
        <f t="shared" si="91"/>
        <v>37788.870000000003</v>
      </c>
      <c r="BA496">
        <f t="shared" si="91"/>
        <v>62981.45</v>
      </c>
      <c r="BB496">
        <f t="shared" si="91"/>
        <v>100770.31999999999</v>
      </c>
      <c r="BC496">
        <f t="shared" si="90"/>
        <v>251925.8</v>
      </c>
      <c r="BD496">
        <f t="shared" si="90"/>
        <v>377888.7</v>
      </c>
      <c r="BE496">
        <f t="shared" si="90"/>
        <v>604621.92000000004</v>
      </c>
      <c r="BF496">
        <f t="shared" si="90"/>
        <v>755777.4</v>
      </c>
      <c r="BG496">
        <f t="shared" si="90"/>
        <v>2519258</v>
      </c>
      <c r="BH496">
        <f t="shared" si="90"/>
        <v>7557774</v>
      </c>
      <c r="BI496">
        <f t="shared" si="90"/>
        <v>21413693</v>
      </c>
      <c r="BJ496">
        <f t="shared" si="90"/>
        <v>75577740</v>
      </c>
      <c r="BK496">
        <f t="shared" si="90"/>
        <v>251925800</v>
      </c>
      <c r="BL496">
        <v>491</v>
      </c>
    </row>
    <row r="497" spans="1:64" ht="17.25" thickBot="1" x14ac:dyDescent="0.25">
      <c r="A497" s="131">
        <v>493</v>
      </c>
      <c r="B497" s="132">
        <v>93143799</v>
      </c>
      <c r="D497" s="131">
        <v>493</v>
      </c>
      <c r="E497" s="132">
        <v>25.3429</v>
      </c>
      <c r="AK497">
        <v>491</v>
      </c>
      <c r="AL497" s="24">
        <f t="shared" si="87"/>
        <v>25.242789999999999</v>
      </c>
      <c r="AM497">
        <f t="shared" si="91"/>
        <v>176.69952999999998</v>
      </c>
      <c r="AN497">
        <f t="shared" si="91"/>
        <v>252.42789999999999</v>
      </c>
      <c r="AO497">
        <f t="shared" si="91"/>
        <v>378.64184999999998</v>
      </c>
      <c r="AP497">
        <f t="shared" si="91"/>
        <v>504.85579999999999</v>
      </c>
      <c r="AQ497">
        <f t="shared" si="91"/>
        <v>883.49765000000002</v>
      </c>
      <c r="AR497">
        <f t="shared" si="91"/>
        <v>1262.1395</v>
      </c>
      <c r="AS497">
        <f t="shared" si="91"/>
        <v>2019.4232</v>
      </c>
      <c r="AT497">
        <f t="shared" si="91"/>
        <v>3029.1347999999998</v>
      </c>
      <c r="AU497">
        <f t="shared" si="91"/>
        <v>4291.2743</v>
      </c>
      <c r="AV497">
        <f t="shared" si="91"/>
        <v>6058.2695999999996</v>
      </c>
      <c r="AW497">
        <f t="shared" si="91"/>
        <v>8330.1206999999995</v>
      </c>
      <c r="AX497">
        <f t="shared" si="91"/>
        <v>11611.6834</v>
      </c>
      <c r="AY497">
        <f t="shared" si="91"/>
        <v>20194.232</v>
      </c>
      <c r="AZ497">
        <f t="shared" si="91"/>
        <v>37864.184999999998</v>
      </c>
      <c r="BA497">
        <f t="shared" si="91"/>
        <v>63106.974999999999</v>
      </c>
      <c r="BB497">
        <f t="shared" si="91"/>
        <v>100971.16</v>
      </c>
      <c r="BC497">
        <f t="shared" si="90"/>
        <v>252427.9</v>
      </c>
      <c r="BD497">
        <f t="shared" si="90"/>
        <v>378641.85</v>
      </c>
      <c r="BE497">
        <f t="shared" si="90"/>
        <v>605826.96</v>
      </c>
      <c r="BF497">
        <f t="shared" si="90"/>
        <v>757283.7</v>
      </c>
      <c r="BG497">
        <f t="shared" si="90"/>
        <v>2524279</v>
      </c>
      <c r="BH497">
        <f t="shared" si="90"/>
        <v>7572837</v>
      </c>
      <c r="BI497">
        <f t="shared" si="90"/>
        <v>21456371.5</v>
      </c>
      <c r="BJ497">
        <f t="shared" si="90"/>
        <v>75728370</v>
      </c>
      <c r="BK497">
        <f t="shared" si="90"/>
        <v>252427900</v>
      </c>
      <c r="BL497" s="145">
        <v>492</v>
      </c>
    </row>
    <row r="498" spans="1:64" ht="17.25" thickBot="1" x14ac:dyDescent="0.25">
      <c r="A498" s="131">
        <v>494</v>
      </c>
      <c r="B498" s="132">
        <v>93427072</v>
      </c>
      <c r="D498" s="131">
        <v>494</v>
      </c>
      <c r="E498" s="132">
        <v>25.392810000000001</v>
      </c>
      <c r="AK498">
        <v>492</v>
      </c>
      <c r="AL498" s="24">
        <f t="shared" si="87"/>
        <v>25.292899999999999</v>
      </c>
      <c r="AM498">
        <f t="shared" si="91"/>
        <v>177.05029999999999</v>
      </c>
      <c r="AN498">
        <f t="shared" si="91"/>
        <v>252.929</v>
      </c>
      <c r="AO498">
        <f t="shared" si="91"/>
        <v>379.39350000000002</v>
      </c>
      <c r="AP498">
        <f t="shared" si="91"/>
        <v>505.858</v>
      </c>
      <c r="AQ498">
        <f t="shared" si="91"/>
        <v>885.25149999999996</v>
      </c>
      <c r="AR498">
        <f t="shared" si="91"/>
        <v>1264.645</v>
      </c>
      <c r="AS498">
        <f t="shared" si="91"/>
        <v>2023.432</v>
      </c>
      <c r="AT498">
        <f t="shared" si="91"/>
        <v>3035.1480000000001</v>
      </c>
      <c r="AU498">
        <f t="shared" si="91"/>
        <v>4299.7929999999997</v>
      </c>
      <c r="AV498">
        <f t="shared" si="91"/>
        <v>6070.2960000000003</v>
      </c>
      <c r="AW498">
        <f t="shared" si="91"/>
        <v>8346.6569999999992</v>
      </c>
      <c r="AX498">
        <f t="shared" si="91"/>
        <v>11634.734</v>
      </c>
      <c r="AY498">
        <f t="shared" si="91"/>
        <v>20234.32</v>
      </c>
      <c r="AZ498">
        <f t="shared" si="91"/>
        <v>37939.35</v>
      </c>
      <c r="BA498">
        <f t="shared" si="91"/>
        <v>63232.25</v>
      </c>
      <c r="BB498">
        <f t="shared" si="91"/>
        <v>101171.59999999999</v>
      </c>
      <c r="BC498">
        <f t="shared" si="90"/>
        <v>252929</v>
      </c>
      <c r="BD498">
        <f t="shared" si="90"/>
        <v>379393.5</v>
      </c>
      <c r="BE498">
        <f t="shared" si="90"/>
        <v>607029.6</v>
      </c>
      <c r="BF498">
        <f t="shared" si="90"/>
        <v>758787</v>
      </c>
      <c r="BG498">
        <f t="shared" si="90"/>
        <v>2529290</v>
      </c>
      <c r="BH498">
        <f t="shared" si="90"/>
        <v>7587870</v>
      </c>
      <c r="BI498">
        <f t="shared" si="90"/>
        <v>21498965</v>
      </c>
      <c r="BJ498">
        <f t="shared" si="90"/>
        <v>75878700</v>
      </c>
      <c r="BK498">
        <f t="shared" si="90"/>
        <v>252929000</v>
      </c>
      <c r="BL498">
        <v>493</v>
      </c>
    </row>
    <row r="499" spans="1:64" ht="17.25" thickBot="1" x14ac:dyDescent="0.25">
      <c r="A499" s="131">
        <v>495</v>
      </c>
      <c r="B499" s="132">
        <v>93710627</v>
      </c>
      <c r="D499" s="131">
        <v>495</v>
      </c>
      <c r="E499" s="132">
        <v>25.442620000000002</v>
      </c>
      <c r="AK499">
        <v>493</v>
      </c>
      <c r="AL499" s="24">
        <f t="shared" si="87"/>
        <v>25.3429</v>
      </c>
      <c r="AM499">
        <f t="shared" si="91"/>
        <v>177.40030000000002</v>
      </c>
      <c r="AN499">
        <f t="shared" si="91"/>
        <v>253.429</v>
      </c>
      <c r="AO499">
        <f t="shared" si="91"/>
        <v>380.14350000000002</v>
      </c>
      <c r="AP499">
        <f t="shared" si="91"/>
        <v>506.858</v>
      </c>
      <c r="AQ499">
        <f t="shared" si="91"/>
        <v>887.00149999999996</v>
      </c>
      <c r="AR499">
        <f t="shared" si="91"/>
        <v>1267.145</v>
      </c>
      <c r="AS499">
        <f t="shared" si="91"/>
        <v>2027.432</v>
      </c>
      <c r="AT499">
        <f t="shared" si="91"/>
        <v>3041.1480000000001</v>
      </c>
      <c r="AU499">
        <f t="shared" si="91"/>
        <v>4308.2929999999997</v>
      </c>
      <c r="AV499">
        <f t="shared" si="91"/>
        <v>6082.2960000000003</v>
      </c>
      <c r="AW499">
        <f t="shared" si="91"/>
        <v>8363.1569999999992</v>
      </c>
      <c r="AX499">
        <f t="shared" si="91"/>
        <v>11657.734</v>
      </c>
      <c r="AY499">
        <f t="shared" si="91"/>
        <v>20274.32</v>
      </c>
      <c r="AZ499">
        <f t="shared" si="91"/>
        <v>38014.35</v>
      </c>
      <c r="BA499">
        <f t="shared" si="91"/>
        <v>63357.25</v>
      </c>
      <c r="BB499">
        <f t="shared" si="91"/>
        <v>101371.6</v>
      </c>
      <c r="BC499">
        <f t="shared" si="90"/>
        <v>253429</v>
      </c>
      <c r="BD499">
        <f t="shared" si="90"/>
        <v>380143.5</v>
      </c>
      <c r="BE499">
        <f t="shared" si="90"/>
        <v>608229.6</v>
      </c>
      <c r="BF499">
        <f t="shared" si="90"/>
        <v>760287</v>
      </c>
      <c r="BG499">
        <f t="shared" si="90"/>
        <v>2534290</v>
      </c>
      <c r="BH499">
        <f t="shared" si="90"/>
        <v>7602870</v>
      </c>
      <c r="BI499">
        <f t="shared" si="90"/>
        <v>21541465</v>
      </c>
      <c r="BJ499">
        <f t="shared" si="90"/>
        <v>76028700</v>
      </c>
      <c r="BK499">
        <f t="shared" si="90"/>
        <v>253429000</v>
      </c>
      <c r="BL499" s="145">
        <v>494</v>
      </c>
    </row>
    <row r="500" spans="1:64" ht="17.25" thickBot="1" x14ac:dyDescent="0.25">
      <c r="A500" s="131">
        <v>496</v>
      </c>
      <c r="B500" s="132">
        <v>93994472</v>
      </c>
      <c r="D500" s="131">
        <v>496</v>
      </c>
      <c r="E500" s="132">
        <v>25.492329999999999</v>
      </c>
      <c r="AK500">
        <v>494</v>
      </c>
      <c r="AL500" s="24">
        <f t="shared" si="87"/>
        <v>25.392810000000001</v>
      </c>
      <c r="AM500">
        <f t="shared" si="91"/>
        <v>177.74967000000001</v>
      </c>
      <c r="AN500">
        <f t="shared" si="91"/>
        <v>253.9281</v>
      </c>
      <c r="AO500">
        <f t="shared" si="91"/>
        <v>380.89215000000002</v>
      </c>
      <c r="AP500">
        <f t="shared" si="91"/>
        <v>507.8562</v>
      </c>
      <c r="AQ500">
        <f t="shared" si="91"/>
        <v>888.74835000000007</v>
      </c>
      <c r="AR500">
        <f t="shared" si="91"/>
        <v>1269.6405</v>
      </c>
      <c r="AS500">
        <f t="shared" si="91"/>
        <v>2031.4248</v>
      </c>
      <c r="AT500">
        <f t="shared" si="91"/>
        <v>3047.1372000000001</v>
      </c>
      <c r="AU500">
        <f t="shared" si="91"/>
        <v>4316.7777000000006</v>
      </c>
      <c r="AV500">
        <f t="shared" si="91"/>
        <v>6094.2744000000002</v>
      </c>
      <c r="AW500">
        <f t="shared" si="91"/>
        <v>8379.6273000000001</v>
      </c>
      <c r="AX500">
        <f t="shared" si="91"/>
        <v>11680.6926</v>
      </c>
      <c r="AY500">
        <f t="shared" si="91"/>
        <v>20314.248</v>
      </c>
      <c r="AZ500">
        <f t="shared" si="91"/>
        <v>38089.215000000004</v>
      </c>
      <c r="BA500">
        <f t="shared" si="91"/>
        <v>63482.025000000001</v>
      </c>
      <c r="BB500">
        <f t="shared" si="91"/>
        <v>101571.24</v>
      </c>
      <c r="BC500">
        <f t="shared" si="90"/>
        <v>253928.1</v>
      </c>
      <c r="BD500">
        <f t="shared" si="90"/>
        <v>380892.15</v>
      </c>
      <c r="BE500">
        <f t="shared" si="90"/>
        <v>609427.44000000006</v>
      </c>
      <c r="BF500">
        <f t="shared" si="90"/>
        <v>761784.3</v>
      </c>
      <c r="BG500">
        <f t="shared" si="90"/>
        <v>2539281</v>
      </c>
      <c r="BH500">
        <f t="shared" si="90"/>
        <v>7617843</v>
      </c>
      <c r="BI500">
        <f t="shared" si="90"/>
        <v>21583888.5</v>
      </c>
      <c r="BJ500">
        <f t="shared" si="90"/>
        <v>76178430</v>
      </c>
      <c r="BK500">
        <f t="shared" si="90"/>
        <v>253928100</v>
      </c>
      <c r="BL500">
        <v>495</v>
      </c>
    </row>
    <row r="501" spans="1:64" ht="17.25" thickBot="1" x14ac:dyDescent="0.25">
      <c r="A501" s="131">
        <v>497</v>
      </c>
      <c r="B501" s="132">
        <v>94278599</v>
      </c>
      <c r="D501" s="131">
        <v>497</v>
      </c>
      <c r="E501" s="132">
        <v>25.54194</v>
      </c>
      <c r="AK501">
        <v>495</v>
      </c>
      <c r="AL501" s="24">
        <f t="shared" si="87"/>
        <v>25.442620000000002</v>
      </c>
      <c r="AM501">
        <f t="shared" si="91"/>
        <v>178.09834000000001</v>
      </c>
      <c r="AN501">
        <f t="shared" si="91"/>
        <v>254.42620000000002</v>
      </c>
      <c r="AO501">
        <f t="shared" si="91"/>
        <v>381.63930000000005</v>
      </c>
      <c r="AP501">
        <f t="shared" si="91"/>
        <v>508.85240000000005</v>
      </c>
      <c r="AQ501">
        <f t="shared" si="91"/>
        <v>890.49170000000004</v>
      </c>
      <c r="AR501">
        <f t="shared" si="91"/>
        <v>1272.1310000000001</v>
      </c>
      <c r="AS501">
        <f t="shared" si="91"/>
        <v>2035.4096000000002</v>
      </c>
      <c r="AT501">
        <f t="shared" si="91"/>
        <v>3053.1144000000004</v>
      </c>
      <c r="AU501">
        <f t="shared" si="91"/>
        <v>4325.2454000000007</v>
      </c>
      <c r="AV501">
        <f t="shared" si="91"/>
        <v>6106.2288000000008</v>
      </c>
      <c r="AW501">
        <f t="shared" si="91"/>
        <v>8396.0645999999997</v>
      </c>
      <c r="AX501">
        <f t="shared" si="91"/>
        <v>11703.6052</v>
      </c>
      <c r="AY501">
        <f t="shared" si="91"/>
        <v>20354.096000000001</v>
      </c>
      <c r="AZ501">
        <f t="shared" si="91"/>
        <v>38163.93</v>
      </c>
      <c r="BA501">
        <f t="shared" si="91"/>
        <v>63606.55</v>
      </c>
      <c r="BB501">
        <f t="shared" si="91"/>
        <v>101770.48000000001</v>
      </c>
      <c r="BC501">
        <f t="shared" si="90"/>
        <v>254426.2</v>
      </c>
      <c r="BD501">
        <f t="shared" si="90"/>
        <v>381639.30000000005</v>
      </c>
      <c r="BE501">
        <f t="shared" si="90"/>
        <v>610622.88</v>
      </c>
      <c r="BF501">
        <f t="shared" si="90"/>
        <v>763278.60000000009</v>
      </c>
      <c r="BG501">
        <f t="shared" si="90"/>
        <v>2544262</v>
      </c>
      <c r="BH501">
        <f t="shared" si="90"/>
        <v>7632786.0000000009</v>
      </c>
      <c r="BI501">
        <f t="shared" si="90"/>
        <v>21626227</v>
      </c>
      <c r="BJ501">
        <f t="shared" si="90"/>
        <v>76327860</v>
      </c>
      <c r="BK501">
        <f t="shared" si="90"/>
        <v>254426200.00000003</v>
      </c>
      <c r="BL501" s="145">
        <v>496</v>
      </c>
    </row>
    <row r="502" spans="1:64" ht="17.25" thickBot="1" x14ac:dyDescent="0.25">
      <c r="A502" s="131">
        <v>498</v>
      </c>
      <c r="B502" s="132">
        <v>94563016</v>
      </c>
      <c r="D502" s="131">
        <v>498</v>
      </c>
      <c r="E502" s="132">
        <v>25.591449999999998</v>
      </c>
      <c r="AK502">
        <v>496</v>
      </c>
      <c r="AL502" s="24">
        <f t="shared" si="87"/>
        <v>25.492329999999999</v>
      </c>
      <c r="AM502">
        <f t="shared" si="91"/>
        <v>178.44630999999998</v>
      </c>
      <c r="AN502">
        <f t="shared" si="91"/>
        <v>254.92329999999998</v>
      </c>
      <c r="AO502">
        <f t="shared" si="91"/>
        <v>382.38495</v>
      </c>
      <c r="AP502">
        <f t="shared" si="91"/>
        <v>509.84659999999997</v>
      </c>
      <c r="AQ502">
        <f t="shared" si="91"/>
        <v>892.23154999999997</v>
      </c>
      <c r="AR502">
        <f t="shared" si="91"/>
        <v>1274.6164999999999</v>
      </c>
      <c r="AS502">
        <f t="shared" si="91"/>
        <v>2039.3863999999999</v>
      </c>
      <c r="AT502">
        <f t="shared" si="91"/>
        <v>3059.0796</v>
      </c>
      <c r="AU502">
        <f t="shared" si="91"/>
        <v>4333.6961000000001</v>
      </c>
      <c r="AV502">
        <f t="shared" si="91"/>
        <v>6118.1592000000001</v>
      </c>
      <c r="AW502">
        <f t="shared" si="91"/>
        <v>8412.4688999999998</v>
      </c>
      <c r="AX502">
        <f t="shared" si="91"/>
        <v>11726.471799999999</v>
      </c>
      <c r="AY502">
        <f t="shared" si="91"/>
        <v>20393.863999999998</v>
      </c>
      <c r="AZ502">
        <f t="shared" si="91"/>
        <v>38238.494999999995</v>
      </c>
      <c r="BA502">
        <f t="shared" si="91"/>
        <v>63730.824999999997</v>
      </c>
      <c r="BB502">
        <f t="shared" si="91"/>
        <v>101969.31999999999</v>
      </c>
      <c r="BC502">
        <f t="shared" si="90"/>
        <v>254923.3</v>
      </c>
      <c r="BD502">
        <f t="shared" si="90"/>
        <v>382384.95</v>
      </c>
      <c r="BE502">
        <f t="shared" si="90"/>
        <v>611815.91999999993</v>
      </c>
      <c r="BF502">
        <f t="shared" si="90"/>
        <v>764769.9</v>
      </c>
      <c r="BG502">
        <f t="shared" si="90"/>
        <v>2549233</v>
      </c>
      <c r="BH502">
        <f t="shared" si="90"/>
        <v>7647699</v>
      </c>
      <c r="BI502">
        <f t="shared" si="90"/>
        <v>21668480.5</v>
      </c>
      <c r="BJ502">
        <f t="shared" si="90"/>
        <v>76476990</v>
      </c>
      <c r="BK502">
        <f t="shared" si="90"/>
        <v>254923300</v>
      </c>
      <c r="BL502">
        <v>497</v>
      </c>
    </row>
    <row r="503" spans="1:64" ht="17.25" thickBot="1" x14ac:dyDescent="0.25">
      <c r="A503" s="131">
        <v>499</v>
      </c>
      <c r="B503" s="132">
        <v>94847716</v>
      </c>
      <c r="D503" s="131">
        <v>499</v>
      </c>
      <c r="E503" s="132">
        <v>25.64086</v>
      </c>
      <c r="AK503">
        <v>497</v>
      </c>
      <c r="AL503" s="24">
        <f t="shared" si="87"/>
        <v>25.54194</v>
      </c>
      <c r="AM503">
        <f t="shared" si="91"/>
        <v>178.79357999999999</v>
      </c>
      <c r="AN503">
        <f t="shared" si="91"/>
        <v>255.4194</v>
      </c>
      <c r="AO503">
        <f t="shared" si="91"/>
        <v>383.12909999999999</v>
      </c>
      <c r="AP503">
        <f t="shared" si="91"/>
        <v>510.83879999999999</v>
      </c>
      <c r="AQ503">
        <f t="shared" si="91"/>
        <v>893.96789999999999</v>
      </c>
      <c r="AR503">
        <f t="shared" si="91"/>
        <v>1277.097</v>
      </c>
      <c r="AS503">
        <f t="shared" si="91"/>
        <v>2043.3552</v>
      </c>
      <c r="AT503">
        <f t="shared" si="91"/>
        <v>3065.0328</v>
      </c>
      <c r="AU503">
        <f t="shared" si="91"/>
        <v>4342.1297999999997</v>
      </c>
      <c r="AV503">
        <f t="shared" si="91"/>
        <v>6130.0655999999999</v>
      </c>
      <c r="AW503">
        <f t="shared" si="91"/>
        <v>8428.8402000000006</v>
      </c>
      <c r="AX503">
        <f t="shared" si="91"/>
        <v>11749.2924</v>
      </c>
      <c r="AY503">
        <f t="shared" si="91"/>
        <v>20433.552</v>
      </c>
      <c r="AZ503">
        <f t="shared" si="91"/>
        <v>38312.910000000003</v>
      </c>
      <c r="BA503">
        <f t="shared" si="91"/>
        <v>63854.85</v>
      </c>
      <c r="BB503">
        <f t="shared" si="91"/>
        <v>102167.76</v>
      </c>
      <c r="BC503">
        <f t="shared" si="90"/>
        <v>255419.4</v>
      </c>
      <c r="BD503">
        <f t="shared" si="90"/>
        <v>383129.1</v>
      </c>
      <c r="BE503">
        <f t="shared" si="90"/>
        <v>613006.56000000006</v>
      </c>
      <c r="BF503">
        <f t="shared" si="90"/>
        <v>766258.2</v>
      </c>
      <c r="BG503">
        <f t="shared" si="90"/>
        <v>2554194</v>
      </c>
      <c r="BH503">
        <f t="shared" si="90"/>
        <v>7662582</v>
      </c>
      <c r="BI503">
        <f t="shared" si="90"/>
        <v>21710649</v>
      </c>
      <c r="BJ503">
        <f t="shared" si="90"/>
        <v>76625820</v>
      </c>
      <c r="BK503">
        <f t="shared" si="90"/>
        <v>255419400</v>
      </c>
      <c r="BL503" s="145">
        <v>498</v>
      </c>
    </row>
    <row r="504" spans="1:64" ht="17.25" thickBot="1" x14ac:dyDescent="0.25">
      <c r="A504" s="131">
        <v>500</v>
      </c>
      <c r="B504" s="132">
        <v>95132699</v>
      </c>
      <c r="D504" s="131">
        <v>500</v>
      </c>
      <c r="E504" s="132">
        <v>25.690169999999998</v>
      </c>
      <c r="AK504">
        <v>498</v>
      </c>
      <c r="AL504" s="24">
        <f t="shared" si="87"/>
        <v>25.591449999999998</v>
      </c>
      <c r="AM504">
        <f t="shared" si="91"/>
        <v>179.14014999999998</v>
      </c>
      <c r="AN504">
        <f t="shared" si="91"/>
        <v>255.91449999999998</v>
      </c>
      <c r="AO504">
        <f t="shared" si="91"/>
        <v>383.87174999999996</v>
      </c>
      <c r="AP504">
        <f t="shared" si="91"/>
        <v>511.82899999999995</v>
      </c>
      <c r="AQ504">
        <f t="shared" si="91"/>
        <v>895.70074999999997</v>
      </c>
      <c r="AR504">
        <f t="shared" si="91"/>
        <v>1279.5725</v>
      </c>
      <c r="AS504">
        <f t="shared" si="91"/>
        <v>2047.3159999999998</v>
      </c>
      <c r="AT504">
        <f t="shared" si="91"/>
        <v>3070.9739999999997</v>
      </c>
      <c r="AU504">
        <f t="shared" si="91"/>
        <v>4350.5464999999995</v>
      </c>
      <c r="AV504">
        <f t="shared" si="91"/>
        <v>6141.9479999999994</v>
      </c>
      <c r="AW504">
        <f t="shared" si="91"/>
        <v>8445.1785</v>
      </c>
      <c r="AX504">
        <f t="shared" si="91"/>
        <v>11772.066999999999</v>
      </c>
      <c r="AY504">
        <f t="shared" si="91"/>
        <v>20473.16</v>
      </c>
      <c r="AZ504">
        <f t="shared" si="91"/>
        <v>38387.174999999996</v>
      </c>
      <c r="BA504">
        <f t="shared" si="91"/>
        <v>63978.624999999993</v>
      </c>
      <c r="BB504">
        <f t="shared" si="91"/>
        <v>102365.79999999999</v>
      </c>
      <c r="BC504">
        <f t="shared" si="90"/>
        <v>255914.49999999997</v>
      </c>
      <c r="BD504">
        <f t="shared" si="90"/>
        <v>383871.75</v>
      </c>
      <c r="BE504">
        <f t="shared" si="90"/>
        <v>614194.79999999993</v>
      </c>
      <c r="BF504">
        <f t="shared" si="90"/>
        <v>767743.5</v>
      </c>
      <c r="BG504">
        <f t="shared" si="90"/>
        <v>2559145</v>
      </c>
      <c r="BH504">
        <f t="shared" si="90"/>
        <v>7677434.9999999991</v>
      </c>
      <c r="BI504">
        <f t="shared" si="90"/>
        <v>21752732.5</v>
      </c>
      <c r="BJ504">
        <f t="shared" si="90"/>
        <v>76774350</v>
      </c>
      <c r="BK504">
        <f t="shared" si="90"/>
        <v>255914499.99999997</v>
      </c>
      <c r="BL504">
        <v>499</v>
      </c>
    </row>
    <row r="505" spans="1:64" ht="17.25" thickBot="1" x14ac:dyDescent="0.25">
      <c r="A505" s="131">
        <v>501</v>
      </c>
      <c r="B505" s="132">
        <v>95417966</v>
      </c>
      <c r="D505" s="131">
        <v>501</v>
      </c>
      <c r="E505" s="132">
        <v>25.73939</v>
      </c>
      <c r="AK505">
        <v>499</v>
      </c>
      <c r="AL505" s="24">
        <f t="shared" si="87"/>
        <v>25.64086</v>
      </c>
      <c r="AM505">
        <f t="shared" si="91"/>
        <v>179.48602</v>
      </c>
      <c r="AN505">
        <f t="shared" si="91"/>
        <v>256.40859999999998</v>
      </c>
      <c r="AO505">
        <f t="shared" si="91"/>
        <v>384.61290000000002</v>
      </c>
      <c r="AP505">
        <f t="shared" si="91"/>
        <v>512.81719999999996</v>
      </c>
      <c r="AQ505">
        <f t="shared" si="91"/>
        <v>897.43010000000004</v>
      </c>
      <c r="AR505">
        <f t="shared" si="91"/>
        <v>1282.0429999999999</v>
      </c>
      <c r="AS505">
        <f t="shared" si="91"/>
        <v>2051.2687999999998</v>
      </c>
      <c r="AT505">
        <f t="shared" si="91"/>
        <v>3076.9032000000002</v>
      </c>
      <c r="AU505">
        <f t="shared" si="91"/>
        <v>4358.9462000000003</v>
      </c>
      <c r="AV505">
        <f t="shared" si="91"/>
        <v>6153.8064000000004</v>
      </c>
      <c r="AW505">
        <f t="shared" si="91"/>
        <v>8461.4838</v>
      </c>
      <c r="AX505">
        <f t="shared" si="91"/>
        <v>11794.795599999999</v>
      </c>
      <c r="AY505">
        <f t="shared" si="91"/>
        <v>20512.687999999998</v>
      </c>
      <c r="AZ505">
        <f t="shared" si="91"/>
        <v>38461.29</v>
      </c>
      <c r="BA505">
        <f t="shared" si="91"/>
        <v>64102.15</v>
      </c>
      <c r="BB505">
        <f t="shared" si="91"/>
        <v>102563.44</v>
      </c>
      <c r="BC505">
        <f t="shared" si="90"/>
        <v>256408.6</v>
      </c>
      <c r="BD505">
        <f t="shared" si="90"/>
        <v>384612.9</v>
      </c>
      <c r="BE505">
        <f t="shared" si="90"/>
        <v>615380.64</v>
      </c>
      <c r="BF505">
        <f t="shared" si="90"/>
        <v>769225.8</v>
      </c>
      <c r="BG505">
        <f t="shared" si="90"/>
        <v>2564086</v>
      </c>
      <c r="BH505">
        <f t="shared" si="90"/>
        <v>7692258</v>
      </c>
      <c r="BI505">
        <f t="shared" si="90"/>
        <v>21794731</v>
      </c>
      <c r="BJ505">
        <f t="shared" si="90"/>
        <v>76922580</v>
      </c>
      <c r="BK505">
        <f t="shared" si="90"/>
        <v>256408600</v>
      </c>
      <c r="BL505" s="145">
        <v>500</v>
      </c>
    </row>
    <row r="506" spans="1:64" ht="17.25" thickBot="1" x14ac:dyDescent="0.25">
      <c r="A506" s="131">
        <v>502</v>
      </c>
      <c r="B506" s="132">
        <v>95702005</v>
      </c>
      <c r="D506" s="131">
        <v>502</v>
      </c>
      <c r="E506" s="132">
        <v>25.788509999999999</v>
      </c>
      <c r="AK506">
        <v>500</v>
      </c>
      <c r="AL506" s="24">
        <f t="shared" si="87"/>
        <v>25.690169999999998</v>
      </c>
      <c r="AM506">
        <f t="shared" si="91"/>
        <v>179.83118999999999</v>
      </c>
      <c r="AN506">
        <f t="shared" si="91"/>
        <v>256.90170000000001</v>
      </c>
      <c r="AO506">
        <f t="shared" si="91"/>
        <v>385.35254999999995</v>
      </c>
      <c r="AP506">
        <f t="shared" si="91"/>
        <v>513.80340000000001</v>
      </c>
      <c r="AQ506">
        <f t="shared" si="91"/>
        <v>899.15594999999996</v>
      </c>
      <c r="AR506">
        <f t="shared" si="91"/>
        <v>1284.5084999999999</v>
      </c>
      <c r="AS506">
        <f t="shared" si="91"/>
        <v>2055.2136</v>
      </c>
      <c r="AT506">
        <f t="shared" si="91"/>
        <v>3082.8203999999996</v>
      </c>
      <c r="AU506">
        <f t="shared" si="91"/>
        <v>4367.3288999999995</v>
      </c>
      <c r="AV506">
        <f t="shared" si="91"/>
        <v>6165.6407999999992</v>
      </c>
      <c r="AW506">
        <f t="shared" si="91"/>
        <v>8477.7560999999987</v>
      </c>
      <c r="AX506">
        <f t="shared" si="91"/>
        <v>11817.4782</v>
      </c>
      <c r="AY506">
        <f t="shared" si="91"/>
        <v>20552.135999999999</v>
      </c>
      <c r="AZ506">
        <f t="shared" si="91"/>
        <v>38535.254999999997</v>
      </c>
      <c r="BA506">
        <f t="shared" si="91"/>
        <v>64225.424999999996</v>
      </c>
      <c r="BB506">
        <f t="shared" si="91"/>
        <v>102760.68</v>
      </c>
      <c r="BC506">
        <f t="shared" si="90"/>
        <v>256901.69999999998</v>
      </c>
      <c r="BD506">
        <f t="shared" si="90"/>
        <v>385352.55</v>
      </c>
      <c r="BE506">
        <f t="shared" si="90"/>
        <v>616564.07999999996</v>
      </c>
      <c r="BF506">
        <f t="shared" si="90"/>
        <v>770705.1</v>
      </c>
      <c r="BG506">
        <f t="shared" si="90"/>
        <v>2569017</v>
      </c>
      <c r="BH506">
        <f t="shared" si="90"/>
        <v>7707050.9999999991</v>
      </c>
      <c r="BI506">
        <f t="shared" si="90"/>
        <v>21836644.5</v>
      </c>
      <c r="BJ506">
        <f t="shared" si="90"/>
        <v>77070510</v>
      </c>
      <c r="BK506">
        <f t="shared" si="90"/>
        <v>256901699.99999997</v>
      </c>
      <c r="BL506">
        <v>501</v>
      </c>
    </row>
    <row r="507" spans="1:64" ht="17.25" thickBot="1" x14ac:dyDescent="0.25">
      <c r="A507" s="131">
        <v>503</v>
      </c>
      <c r="B507" s="132">
        <v>95990338</v>
      </c>
      <c r="D507" s="131">
        <v>503</v>
      </c>
      <c r="E507" s="132">
        <v>25.837530000000001</v>
      </c>
      <c r="AK507">
        <v>501</v>
      </c>
      <c r="AL507" s="24">
        <f t="shared" si="87"/>
        <v>25.73939</v>
      </c>
      <c r="AM507">
        <f t="shared" si="91"/>
        <v>180.17572999999999</v>
      </c>
      <c r="AN507">
        <f t="shared" si="91"/>
        <v>257.39390000000003</v>
      </c>
      <c r="AO507">
        <f t="shared" si="91"/>
        <v>386.09084999999999</v>
      </c>
      <c r="AP507">
        <f t="shared" si="91"/>
        <v>514.78780000000006</v>
      </c>
      <c r="AQ507">
        <f t="shared" si="91"/>
        <v>900.87864999999999</v>
      </c>
      <c r="AR507">
        <f t="shared" si="91"/>
        <v>1286.9694999999999</v>
      </c>
      <c r="AS507">
        <f t="shared" si="91"/>
        <v>2059.1512000000002</v>
      </c>
      <c r="AT507">
        <f t="shared" si="91"/>
        <v>3088.7267999999999</v>
      </c>
      <c r="AU507">
        <f t="shared" si="91"/>
        <v>4375.6962999999996</v>
      </c>
      <c r="AV507">
        <f t="shared" si="91"/>
        <v>6177.4535999999998</v>
      </c>
      <c r="AW507">
        <f t="shared" si="91"/>
        <v>8493.9987000000001</v>
      </c>
      <c r="AX507">
        <f t="shared" si="91"/>
        <v>11840.1194</v>
      </c>
      <c r="AY507">
        <f t="shared" si="91"/>
        <v>20591.511999999999</v>
      </c>
      <c r="AZ507">
        <f t="shared" si="91"/>
        <v>38609.084999999999</v>
      </c>
      <c r="BA507">
        <f t="shared" si="91"/>
        <v>64348.474999999999</v>
      </c>
      <c r="BB507">
        <f t="shared" si="91"/>
        <v>102957.56</v>
      </c>
      <c r="BC507">
        <f t="shared" si="90"/>
        <v>257393.9</v>
      </c>
      <c r="BD507">
        <f t="shared" si="90"/>
        <v>386090.85</v>
      </c>
      <c r="BE507">
        <f t="shared" si="90"/>
        <v>617745.36</v>
      </c>
      <c r="BF507">
        <f t="shared" si="90"/>
        <v>772181.7</v>
      </c>
      <c r="BG507">
        <f t="shared" si="90"/>
        <v>2573939</v>
      </c>
      <c r="BH507">
        <f t="shared" si="90"/>
        <v>7721817</v>
      </c>
      <c r="BI507">
        <f t="shared" si="90"/>
        <v>21878481.5</v>
      </c>
      <c r="BJ507">
        <f t="shared" si="90"/>
        <v>77218170</v>
      </c>
      <c r="BK507">
        <f t="shared" si="90"/>
        <v>257393900</v>
      </c>
      <c r="BL507" s="145">
        <v>502</v>
      </c>
    </row>
    <row r="508" spans="1:64" ht="17.25" thickBot="1" x14ac:dyDescent="0.25">
      <c r="A508" s="131">
        <v>504</v>
      </c>
      <c r="B508" s="132">
        <v>96283011</v>
      </c>
      <c r="D508" s="131">
        <v>504</v>
      </c>
      <c r="E508" s="132">
        <v>25.88646</v>
      </c>
      <c r="AK508">
        <v>502</v>
      </c>
      <c r="AL508" s="24">
        <f t="shared" si="87"/>
        <v>25.788509999999999</v>
      </c>
      <c r="AM508">
        <f t="shared" si="91"/>
        <v>180.51956999999999</v>
      </c>
      <c r="AN508">
        <f t="shared" si="91"/>
        <v>257.88509999999997</v>
      </c>
      <c r="AO508">
        <f t="shared" si="91"/>
        <v>386.82765000000001</v>
      </c>
      <c r="AP508">
        <f t="shared" si="91"/>
        <v>515.77019999999993</v>
      </c>
      <c r="AQ508">
        <f t="shared" si="91"/>
        <v>902.59784999999999</v>
      </c>
      <c r="AR508">
        <f t="shared" si="91"/>
        <v>1289.4254999999998</v>
      </c>
      <c r="AS508">
        <f t="shared" si="91"/>
        <v>2063.0807999999997</v>
      </c>
      <c r="AT508">
        <f t="shared" si="91"/>
        <v>3094.6212</v>
      </c>
      <c r="AU508">
        <f t="shared" si="91"/>
        <v>4384.0466999999999</v>
      </c>
      <c r="AV508">
        <f t="shared" si="91"/>
        <v>6189.2424000000001</v>
      </c>
      <c r="AW508">
        <f t="shared" si="91"/>
        <v>8510.2083000000002</v>
      </c>
      <c r="AX508">
        <f t="shared" si="91"/>
        <v>11862.714599999999</v>
      </c>
      <c r="AY508">
        <f t="shared" si="91"/>
        <v>20630.807999999997</v>
      </c>
      <c r="AZ508">
        <f t="shared" si="91"/>
        <v>38682.764999999999</v>
      </c>
      <c r="BA508">
        <f t="shared" si="91"/>
        <v>64471.274999999994</v>
      </c>
      <c r="BB508">
        <f t="shared" si="91"/>
        <v>103154.04</v>
      </c>
      <c r="BC508">
        <f t="shared" si="90"/>
        <v>257885.09999999998</v>
      </c>
      <c r="BD508">
        <f t="shared" si="90"/>
        <v>386827.64999999997</v>
      </c>
      <c r="BE508">
        <f t="shared" si="90"/>
        <v>618924.24</v>
      </c>
      <c r="BF508">
        <f t="shared" si="90"/>
        <v>773655.29999999993</v>
      </c>
      <c r="BG508">
        <f t="shared" si="90"/>
        <v>2578851</v>
      </c>
      <c r="BH508">
        <f t="shared" si="90"/>
        <v>7736553</v>
      </c>
      <c r="BI508">
        <f t="shared" si="90"/>
        <v>21920233.5</v>
      </c>
      <c r="BJ508">
        <f t="shared" si="90"/>
        <v>77365530</v>
      </c>
      <c r="BK508">
        <f t="shared" si="90"/>
        <v>257885100</v>
      </c>
      <c r="BL508">
        <v>503</v>
      </c>
    </row>
    <row r="509" spans="1:64" ht="17.25" thickBot="1" x14ac:dyDescent="0.25">
      <c r="A509" s="131">
        <v>505</v>
      </c>
      <c r="B509" s="132">
        <v>96580055</v>
      </c>
      <c r="D509" s="131">
        <v>505</v>
      </c>
      <c r="E509" s="132">
        <v>25.935289999999998</v>
      </c>
      <c r="AK509">
        <v>503</v>
      </c>
      <c r="AL509" s="24">
        <f t="shared" si="87"/>
        <v>25.837530000000001</v>
      </c>
      <c r="AM509">
        <f t="shared" si="91"/>
        <v>180.86270999999999</v>
      </c>
      <c r="AN509">
        <f t="shared" si="91"/>
        <v>258.37530000000004</v>
      </c>
      <c r="AO509">
        <f t="shared" si="91"/>
        <v>387.56295</v>
      </c>
      <c r="AP509">
        <f t="shared" si="91"/>
        <v>516.75060000000008</v>
      </c>
      <c r="AQ509">
        <f t="shared" si="91"/>
        <v>904.31355000000008</v>
      </c>
      <c r="AR509">
        <f t="shared" si="91"/>
        <v>1291.8765000000001</v>
      </c>
      <c r="AS509">
        <f t="shared" si="91"/>
        <v>2067.0024000000003</v>
      </c>
      <c r="AT509">
        <f t="shared" si="91"/>
        <v>3100.5036</v>
      </c>
      <c r="AU509">
        <f t="shared" si="91"/>
        <v>4392.3801000000003</v>
      </c>
      <c r="AV509">
        <f t="shared" si="91"/>
        <v>6201.0072</v>
      </c>
      <c r="AW509">
        <f t="shared" si="91"/>
        <v>8526.3849000000009</v>
      </c>
      <c r="AX509">
        <f t="shared" si="91"/>
        <v>11885.263800000001</v>
      </c>
      <c r="AY509">
        <f t="shared" si="91"/>
        <v>20670.024000000001</v>
      </c>
      <c r="AZ509">
        <f t="shared" si="91"/>
        <v>38756.294999999998</v>
      </c>
      <c r="BA509">
        <f t="shared" si="91"/>
        <v>64593.825000000004</v>
      </c>
      <c r="BB509">
        <f t="shared" si="91"/>
        <v>103350.12000000001</v>
      </c>
      <c r="BC509">
        <f t="shared" si="90"/>
        <v>258375.30000000002</v>
      </c>
      <c r="BD509">
        <f t="shared" si="90"/>
        <v>387562.95</v>
      </c>
      <c r="BE509">
        <f t="shared" si="90"/>
        <v>620100.72</v>
      </c>
      <c r="BF509">
        <f t="shared" si="90"/>
        <v>775125.9</v>
      </c>
      <c r="BG509">
        <f t="shared" si="90"/>
        <v>2583753</v>
      </c>
      <c r="BH509">
        <f t="shared" si="90"/>
        <v>7751259</v>
      </c>
      <c r="BI509">
        <f t="shared" si="90"/>
        <v>21961900.5</v>
      </c>
      <c r="BJ509">
        <f t="shared" si="90"/>
        <v>77512590</v>
      </c>
      <c r="BK509">
        <f t="shared" si="90"/>
        <v>258375300</v>
      </c>
      <c r="BL509" s="145">
        <v>504</v>
      </c>
    </row>
    <row r="510" spans="1:64" ht="17.25" thickBot="1" x14ac:dyDescent="0.25">
      <c r="A510" s="131">
        <v>506</v>
      </c>
      <c r="B510" s="132">
        <v>96881511</v>
      </c>
      <c r="D510" s="131">
        <v>506</v>
      </c>
      <c r="E510" s="132">
        <v>25.984030000000001</v>
      </c>
      <c r="AK510">
        <v>504</v>
      </c>
      <c r="AL510" s="24">
        <f t="shared" si="87"/>
        <v>25.88646</v>
      </c>
      <c r="AM510">
        <f t="shared" si="91"/>
        <v>181.20522</v>
      </c>
      <c r="AN510">
        <f t="shared" si="91"/>
        <v>258.8646</v>
      </c>
      <c r="AO510">
        <f t="shared" si="91"/>
        <v>388.29689999999999</v>
      </c>
      <c r="AP510">
        <f t="shared" si="91"/>
        <v>517.72919999999999</v>
      </c>
      <c r="AQ510">
        <f t="shared" si="91"/>
        <v>906.02610000000004</v>
      </c>
      <c r="AR510">
        <f t="shared" si="91"/>
        <v>1294.3229999999999</v>
      </c>
      <c r="AS510">
        <f t="shared" si="91"/>
        <v>2070.9168</v>
      </c>
      <c r="AT510">
        <f t="shared" si="91"/>
        <v>3106.3751999999999</v>
      </c>
      <c r="AU510">
        <f t="shared" si="91"/>
        <v>4400.6981999999998</v>
      </c>
      <c r="AV510">
        <f t="shared" si="91"/>
        <v>6212.7503999999999</v>
      </c>
      <c r="AW510">
        <f t="shared" si="91"/>
        <v>8542.5318000000007</v>
      </c>
      <c r="AX510">
        <f t="shared" si="91"/>
        <v>11907.7716</v>
      </c>
      <c r="AY510">
        <f t="shared" si="91"/>
        <v>20709.167999999998</v>
      </c>
      <c r="AZ510">
        <f t="shared" si="91"/>
        <v>38829.69</v>
      </c>
      <c r="BA510">
        <f t="shared" si="91"/>
        <v>64716.15</v>
      </c>
      <c r="BB510">
        <f t="shared" si="91"/>
        <v>103545.84</v>
      </c>
      <c r="BC510">
        <f t="shared" si="90"/>
        <v>258864.6</v>
      </c>
      <c r="BD510">
        <f t="shared" si="90"/>
        <v>388296.89999999997</v>
      </c>
      <c r="BE510">
        <f t="shared" si="90"/>
        <v>621275.04</v>
      </c>
      <c r="BF510">
        <f t="shared" si="90"/>
        <v>776593.79999999993</v>
      </c>
      <c r="BG510">
        <f t="shared" si="90"/>
        <v>2588646</v>
      </c>
      <c r="BH510">
        <f t="shared" si="90"/>
        <v>7765938</v>
      </c>
      <c r="BI510">
        <f t="shared" si="90"/>
        <v>22003491</v>
      </c>
      <c r="BJ510">
        <f t="shared" si="90"/>
        <v>77659380</v>
      </c>
      <c r="BK510">
        <f t="shared" si="90"/>
        <v>258864600</v>
      </c>
      <c r="BL510">
        <v>505</v>
      </c>
    </row>
    <row r="511" spans="1:64" ht="17.25" thickBot="1" x14ac:dyDescent="0.25">
      <c r="A511" s="131">
        <v>507</v>
      </c>
      <c r="B511" s="132">
        <v>97187422</v>
      </c>
      <c r="D511" s="131">
        <v>507</v>
      </c>
      <c r="E511" s="132">
        <v>26.03267</v>
      </c>
      <c r="AK511">
        <v>505</v>
      </c>
      <c r="AL511" s="24">
        <f t="shared" si="87"/>
        <v>25.935289999999998</v>
      </c>
      <c r="AM511">
        <f t="shared" si="91"/>
        <v>181.54702999999998</v>
      </c>
      <c r="AN511">
        <f t="shared" si="91"/>
        <v>259.35289999999998</v>
      </c>
      <c r="AO511">
        <f t="shared" si="91"/>
        <v>389.02934999999997</v>
      </c>
      <c r="AP511">
        <f t="shared" si="91"/>
        <v>518.70579999999995</v>
      </c>
      <c r="AQ511">
        <f t="shared" si="91"/>
        <v>907.73514999999998</v>
      </c>
      <c r="AR511">
        <f t="shared" si="91"/>
        <v>1296.7645</v>
      </c>
      <c r="AS511">
        <f t="shared" si="91"/>
        <v>2074.8231999999998</v>
      </c>
      <c r="AT511">
        <f t="shared" si="91"/>
        <v>3112.2347999999997</v>
      </c>
      <c r="AU511">
        <f t="shared" si="91"/>
        <v>4408.9992999999995</v>
      </c>
      <c r="AV511">
        <f t="shared" si="91"/>
        <v>6224.4695999999994</v>
      </c>
      <c r="AW511">
        <f t="shared" si="91"/>
        <v>8558.6456999999991</v>
      </c>
      <c r="AX511">
        <f t="shared" si="91"/>
        <v>11930.233399999999</v>
      </c>
      <c r="AY511">
        <f t="shared" si="91"/>
        <v>20748.232</v>
      </c>
      <c r="AZ511">
        <f t="shared" ref="AM511:BB527" si="92">AZ$5*VLOOKUP($AK511,$D$2:$E$1404,2,FALSE)</f>
        <v>38902.934999999998</v>
      </c>
      <c r="BA511">
        <f t="shared" si="92"/>
        <v>64838.224999999999</v>
      </c>
      <c r="BB511">
        <f t="shared" si="92"/>
        <v>103741.15999999999</v>
      </c>
      <c r="BC511">
        <f t="shared" si="90"/>
        <v>259352.9</v>
      </c>
      <c r="BD511">
        <f t="shared" si="90"/>
        <v>389029.35</v>
      </c>
      <c r="BE511">
        <f t="shared" si="90"/>
        <v>622446.96</v>
      </c>
      <c r="BF511">
        <f t="shared" si="90"/>
        <v>778058.7</v>
      </c>
      <c r="BG511">
        <f t="shared" si="90"/>
        <v>2593529</v>
      </c>
      <c r="BH511">
        <f t="shared" si="90"/>
        <v>7780586.9999999991</v>
      </c>
      <c r="BI511">
        <f t="shared" si="90"/>
        <v>22044996.5</v>
      </c>
      <c r="BJ511">
        <f t="shared" si="90"/>
        <v>77805870</v>
      </c>
      <c r="BK511">
        <f t="shared" si="90"/>
        <v>259352899.99999997</v>
      </c>
      <c r="BL511" s="145">
        <v>506</v>
      </c>
    </row>
    <row r="512" spans="1:64" ht="17.25" thickBot="1" x14ac:dyDescent="0.25">
      <c r="A512" s="131">
        <v>508</v>
      </c>
      <c r="B512" s="132">
        <v>97497822</v>
      </c>
      <c r="D512" s="131">
        <v>508</v>
      </c>
      <c r="E512" s="132">
        <v>26.081219999999998</v>
      </c>
      <c r="AK512">
        <v>506</v>
      </c>
      <c r="AL512" s="24">
        <f t="shared" si="87"/>
        <v>25.984030000000001</v>
      </c>
      <c r="AM512">
        <f t="shared" si="92"/>
        <v>181.88821000000002</v>
      </c>
      <c r="AN512">
        <f t="shared" si="92"/>
        <v>259.84030000000001</v>
      </c>
      <c r="AO512">
        <f t="shared" si="92"/>
        <v>389.76044999999999</v>
      </c>
      <c r="AP512">
        <f t="shared" si="92"/>
        <v>519.68060000000003</v>
      </c>
      <c r="AQ512">
        <f t="shared" si="92"/>
        <v>909.44105000000002</v>
      </c>
      <c r="AR512">
        <f t="shared" si="92"/>
        <v>1299.2015000000001</v>
      </c>
      <c r="AS512">
        <f t="shared" si="92"/>
        <v>2078.7224000000001</v>
      </c>
      <c r="AT512">
        <f t="shared" si="92"/>
        <v>3118.0835999999999</v>
      </c>
      <c r="AU512">
        <f t="shared" si="92"/>
        <v>4417.2851000000001</v>
      </c>
      <c r="AV512">
        <f t="shared" si="92"/>
        <v>6236.1671999999999</v>
      </c>
      <c r="AW512">
        <f t="shared" si="92"/>
        <v>8574.7299000000003</v>
      </c>
      <c r="AX512">
        <f t="shared" si="92"/>
        <v>11952.6538</v>
      </c>
      <c r="AY512">
        <f t="shared" si="92"/>
        <v>20787.224000000002</v>
      </c>
      <c r="AZ512">
        <f t="shared" si="92"/>
        <v>38976.044999999998</v>
      </c>
      <c r="BA512">
        <f t="shared" si="92"/>
        <v>64960.075000000004</v>
      </c>
      <c r="BB512">
        <f t="shared" si="92"/>
        <v>103936.12</v>
      </c>
      <c r="BC512">
        <f t="shared" si="90"/>
        <v>259840.30000000002</v>
      </c>
      <c r="BD512">
        <f t="shared" si="90"/>
        <v>389760.45</v>
      </c>
      <c r="BE512">
        <f t="shared" si="90"/>
        <v>623616.72</v>
      </c>
      <c r="BF512">
        <f t="shared" si="90"/>
        <v>779520.9</v>
      </c>
      <c r="BG512">
        <f t="shared" si="90"/>
        <v>2598403</v>
      </c>
      <c r="BH512">
        <f t="shared" si="90"/>
        <v>7795209</v>
      </c>
      <c r="BI512">
        <f t="shared" si="90"/>
        <v>22086425.5</v>
      </c>
      <c r="BJ512">
        <f t="shared" si="90"/>
        <v>77952090</v>
      </c>
      <c r="BK512">
        <f t="shared" si="90"/>
        <v>259840300</v>
      </c>
      <c r="BL512">
        <v>507</v>
      </c>
    </row>
    <row r="513" spans="1:64" ht="17.25" thickBot="1" x14ac:dyDescent="0.25">
      <c r="A513" s="131">
        <v>509</v>
      </c>
      <c r="B513" s="132">
        <v>97812749</v>
      </c>
      <c r="D513" s="131">
        <v>509</v>
      </c>
      <c r="E513" s="132">
        <v>26.129670000000001</v>
      </c>
      <c r="AK513">
        <v>507</v>
      </c>
      <c r="AL513" s="24">
        <f t="shared" si="87"/>
        <v>26.03267</v>
      </c>
      <c r="AM513">
        <f t="shared" si="92"/>
        <v>182.22869</v>
      </c>
      <c r="AN513">
        <f t="shared" si="92"/>
        <v>260.32670000000002</v>
      </c>
      <c r="AO513">
        <f t="shared" si="92"/>
        <v>390.49005</v>
      </c>
      <c r="AP513">
        <f t="shared" si="92"/>
        <v>520.65340000000003</v>
      </c>
      <c r="AQ513">
        <f t="shared" si="92"/>
        <v>911.14345000000003</v>
      </c>
      <c r="AR513">
        <f t="shared" si="92"/>
        <v>1301.6334999999999</v>
      </c>
      <c r="AS513">
        <f t="shared" si="92"/>
        <v>2082.6136000000001</v>
      </c>
      <c r="AT513">
        <f t="shared" si="92"/>
        <v>3123.9204</v>
      </c>
      <c r="AU513">
        <f t="shared" si="92"/>
        <v>4425.5538999999999</v>
      </c>
      <c r="AV513">
        <f t="shared" si="92"/>
        <v>6247.8407999999999</v>
      </c>
      <c r="AW513">
        <f t="shared" si="92"/>
        <v>8590.7811000000002</v>
      </c>
      <c r="AX513">
        <f t="shared" si="92"/>
        <v>11975.028200000001</v>
      </c>
      <c r="AY513">
        <f t="shared" si="92"/>
        <v>20826.135999999999</v>
      </c>
      <c r="AZ513">
        <f t="shared" si="92"/>
        <v>39049.004999999997</v>
      </c>
      <c r="BA513">
        <f t="shared" si="92"/>
        <v>65081.674999999996</v>
      </c>
      <c r="BB513">
        <f t="shared" si="92"/>
        <v>104130.68</v>
      </c>
      <c r="BC513">
        <f t="shared" si="90"/>
        <v>260326.69999999998</v>
      </c>
      <c r="BD513">
        <f t="shared" si="90"/>
        <v>390490.05</v>
      </c>
      <c r="BE513">
        <f t="shared" si="90"/>
        <v>624784.07999999996</v>
      </c>
      <c r="BF513">
        <f t="shared" si="90"/>
        <v>780980.1</v>
      </c>
      <c r="BG513">
        <f t="shared" si="90"/>
        <v>2603267</v>
      </c>
      <c r="BH513">
        <f t="shared" si="90"/>
        <v>7809801</v>
      </c>
      <c r="BI513">
        <f t="shared" si="90"/>
        <v>22127769.5</v>
      </c>
      <c r="BJ513">
        <f t="shared" si="90"/>
        <v>78098010</v>
      </c>
      <c r="BK513">
        <f t="shared" si="90"/>
        <v>260326700</v>
      </c>
      <c r="BL513" s="145">
        <v>508</v>
      </c>
    </row>
    <row r="514" spans="1:64" ht="17.25" thickBot="1" x14ac:dyDescent="0.25">
      <c r="A514" s="131">
        <v>510</v>
      </c>
      <c r="B514" s="132">
        <v>98132244</v>
      </c>
      <c r="D514" s="131">
        <v>510</v>
      </c>
      <c r="E514" s="132">
        <v>26.17803</v>
      </c>
      <c r="AK514">
        <v>508</v>
      </c>
      <c r="AL514" s="24">
        <f t="shared" si="87"/>
        <v>26.081219999999998</v>
      </c>
      <c r="AM514">
        <f t="shared" si="92"/>
        <v>182.56853999999998</v>
      </c>
      <c r="AN514">
        <f t="shared" si="92"/>
        <v>260.81219999999996</v>
      </c>
      <c r="AO514">
        <f t="shared" si="92"/>
        <v>391.2183</v>
      </c>
      <c r="AP514">
        <f t="shared" si="92"/>
        <v>521.62439999999992</v>
      </c>
      <c r="AQ514">
        <f t="shared" si="92"/>
        <v>912.84269999999992</v>
      </c>
      <c r="AR514">
        <f t="shared" si="92"/>
        <v>1304.0609999999999</v>
      </c>
      <c r="AS514">
        <f t="shared" si="92"/>
        <v>2086.4975999999997</v>
      </c>
      <c r="AT514">
        <f t="shared" si="92"/>
        <v>3129.7464</v>
      </c>
      <c r="AU514">
        <f t="shared" si="92"/>
        <v>4433.8073999999997</v>
      </c>
      <c r="AV514">
        <f t="shared" si="92"/>
        <v>6259.4928</v>
      </c>
      <c r="AW514">
        <f t="shared" si="92"/>
        <v>8606.8025999999991</v>
      </c>
      <c r="AX514">
        <f t="shared" si="92"/>
        <v>11997.361199999999</v>
      </c>
      <c r="AY514">
        <f t="shared" si="92"/>
        <v>20864.975999999999</v>
      </c>
      <c r="AZ514">
        <f t="shared" si="92"/>
        <v>39121.829999999994</v>
      </c>
      <c r="BA514">
        <f t="shared" si="92"/>
        <v>65203.049999999996</v>
      </c>
      <c r="BB514">
        <f t="shared" si="92"/>
        <v>104324.87999999999</v>
      </c>
      <c r="BC514">
        <f t="shared" si="90"/>
        <v>260812.19999999998</v>
      </c>
      <c r="BD514">
        <f t="shared" si="90"/>
        <v>391218.3</v>
      </c>
      <c r="BE514">
        <f t="shared" si="90"/>
        <v>625949.27999999991</v>
      </c>
      <c r="BF514">
        <f t="shared" si="90"/>
        <v>782436.6</v>
      </c>
      <c r="BG514">
        <f t="shared" si="90"/>
        <v>2608122</v>
      </c>
      <c r="BH514">
        <f t="shared" si="90"/>
        <v>7824365.9999999991</v>
      </c>
      <c r="BI514">
        <f t="shared" si="90"/>
        <v>22169037</v>
      </c>
      <c r="BJ514">
        <f t="shared" si="90"/>
        <v>78243660</v>
      </c>
      <c r="BK514">
        <f t="shared" si="90"/>
        <v>260812199.99999997</v>
      </c>
      <c r="BL514">
        <v>509</v>
      </c>
    </row>
    <row r="515" spans="1:64" ht="17.25" thickBot="1" x14ac:dyDescent="0.25">
      <c r="A515" s="131">
        <v>511</v>
      </c>
      <c r="B515" s="132">
        <v>98456344</v>
      </c>
      <c r="D515" s="131">
        <v>511</v>
      </c>
      <c r="E515" s="132">
        <v>26.226299999999998</v>
      </c>
      <c r="AK515">
        <v>509</v>
      </c>
      <c r="AL515" s="24">
        <f t="shared" si="87"/>
        <v>26.129670000000001</v>
      </c>
      <c r="AM515">
        <f t="shared" si="92"/>
        <v>182.90769</v>
      </c>
      <c r="AN515">
        <f t="shared" si="92"/>
        <v>261.29669999999999</v>
      </c>
      <c r="AO515">
        <f t="shared" si="92"/>
        <v>391.94505000000004</v>
      </c>
      <c r="AP515">
        <f t="shared" si="92"/>
        <v>522.59339999999997</v>
      </c>
      <c r="AQ515">
        <f t="shared" si="92"/>
        <v>914.53845000000001</v>
      </c>
      <c r="AR515">
        <f t="shared" si="92"/>
        <v>1306.4835</v>
      </c>
      <c r="AS515">
        <f t="shared" si="92"/>
        <v>2090.3735999999999</v>
      </c>
      <c r="AT515">
        <f t="shared" si="92"/>
        <v>3135.5604000000003</v>
      </c>
      <c r="AU515">
        <f t="shared" si="92"/>
        <v>4442.0439000000006</v>
      </c>
      <c r="AV515">
        <f t="shared" si="92"/>
        <v>6271.1208000000006</v>
      </c>
      <c r="AW515">
        <f t="shared" si="92"/>
        <v>8622.7911000000004</v>
      </c>
      <c r="AX515">
        <f t="shared" si="92"/>
        <v>12019.6482</v>
      </c>
      <c r="AY515">
        <f t="shared" si="92"/>
        <v>20903.736000000001</v>
      </c>
      <c r="AZ515">
        <f t="shared" si="92"/>
        <v>39194.505000000005</v>
      </c>
      <c r="BA515">
        <f t="shared" si="92"/>
        <v>65324.175000000003</v>
      </c>
      <c r="BB515">
        <f t="shared" si="92"/>
        <v>104518.68000000001</v>
      </c>
      <c r="BC515">
        <f t="shared" si="90"/>
        <v>261296.7</v>
      </c>
      <c r="BD515">
        <f t="shared" si="90"/>
        <v>391945.05</v>
      </c>
      <c r="BE515">
        <f t="shared" si="90"/>
        <v>627112.08000000007</v>
      </c>
      <c r="BF515">
        <f t="shared" si="90"/>
        <v>783890.1</v>
      </c>
      <c r="BG515">
        <f t="shared" si="90"/>
        <v>2612967</v>
      </c>
      <c r="BH515">
        <f t="shared" si="90"/>
        <v>7838901</v>
      </c>
      <c r="BI515">
        <f t="shared" si="90"/>
        <v>22210219.5</v>
      </c>
      <c r="BJ515">
        <f t="shared" si="90"/>
        <v>78389010</v>
      </c>
      <c r="BK515">
        <f t="shared" si="90"/>
        <v>261296700</v>
      </c>
      <c r="BL515" s="145">
        <v>510</v>
      </c>
    </row>
    <row r="516" spans="1:64" ht="17.25" thickBot="1" x14ac:dyDescent="0.25">
      <c r="A516" s="131">
        <v>512</v>
      </c>
      <c r="B516" s="132">
        <v>98785088</v>
      </c>
      <c r="D516" s="131">
        <v>512</v>
      </c>
      <c r="E516" s="132">
        <v>26.274470000000001</v>
      </c>
      <c r="AK516">
        <v>510</v>
      </c>
      <c r="AL516" s="24">
        <f t="shared" si="87"/>
        <v>26.17803</v>
      </c>
      <c r="AM516">
        <f t="shared" si="92"/>
        <v>183.24620999999999</v>
      </c>
      <c r="AN516">
        <f t="shared" si="92"/>
        <v>261.78030000000001</v>
      </c>
      <c r="AO516">
        <f t="shared" si="92"/>
        <v>392.67045000000002</v>
      </c>
      <c r="AP516">
        <f t="shared" si="92"/>
        <v>523.56060000000002</v>
      </c>
      <c r="AQ516">
        <f t="shared" si="92"/>
        <v>916.23104999999998</v>
      </c>
      <c r="AR516">
        <f t="shared" si="92"/>
        <v>1308.9014999999999</v>
      </c>
      <c r="AS516">
        <f t="shared" si="92"/>
        <v>2094.2424000000001</v>
      </c>
      <c r="AT516">
        <f t="shared" si="92"/>
        <v>3141.3636000000001</v>
      </c>
      <c r="AU516">
        <f t="shared" si="92"/>
        <v>4450.2650999999996</v>
      </c>
      <c r="AV516">
        <f t="shared" si="92"/>
        <v>6282.7272000000003</v>
      </c>
      <c r="AW516">
        <f t="shared" si="92"/>
        <v>8638.7499000000007</v>
      </c>
      <c r="AX516">
        <f t="shared" si="92"/>
        <v>12041.8938</v>
      </c>
      <c r="AY516">
        <f t="shared" si="92"/>
        <v>20942.423999999999</v>
      </c>
      <c r="AZ516">
        <f t="shared" si="92"/>
        <v>39267.044999999998</v>
      </c>
      <c r="BA516">
        <f t="shared" si="92"/>
        <v>65445.074999999997</v>
      </c>
      <c r="BB516">
        <f t="shared" si="92"/>
        <v>104712.12</v>
      </c>
      <c r="BC516">
        <f t="shared" si="90"/>
        <v>261780.3</v>
      </c>
      <c r="BD516">
        <f t="shared" si="90"/>
        <v>392670.45</v>
      </c>
      <c r="BE516">
        <f t="shared" si="90"/>
        <v>628272.72</v>
      </c>
      <c r="BF516">
        <f t="shared" si="90"/>
        <v>785340.9</v>
      </c>
      <c r="BG516">
        <f t="shared" si="90"/>
        <v>2617803</v>
      </c>
      <c r="BH516">
        <f t="shared" si="90"/>
        <v>7853409</v>
      </c>
      <c r="BI516">
        <f t="shared" si="90"/>
        <v>22251325.5</v>
      </c>
      <c r="BJ516">
        <f t="shared" si="90"/>
        <v>78534090</v>
      </c>
      <c r="BK516">
        <f t="shared" si="90"/>
        <v>261780300</v>
      </c>
      <c r="BL516">
        <v>511</v>
      </c>
    </row>
    <row r="517" spans="1:64" ht="17.25" thickBot="1" x14ac:dyDescent="0.25">
      <c r="A517" s="131">
        <v>513</v>
      </c>
      <c r="B517" s="132">
        <v>99118522</v>
      </c>
      <c r="D517" s="131">
        <v>513</v>
      </c>
      <c r="E517" s="132">
        <v>26.32255</v>
      </c>
      <c r="AK517">
        <v>511</v>
      </c>
      <c r="AL517" s="24">
        <f t="shared" si="87"/>
        <v>26.226299999999998</v>
      </c>
      <c r="AM517">
        <f t="shared" si="92"/>
        <v>183.58409999999998</v>
      </c>
      <c r="AN517">
        <f t="shared" si="92"/>
        <v>262.26299999999998</v>
      </c>
      <c r="AO517">
        <f t="shared" si="92"/>
        <v>393.39449999999999</v>
      </c>
      <c r="AP517">
        <f t="shared" si="92"/>
        <v>524.52599999999995</v>
      </c>
      <c r="AQ517">
        <f t="shared" si="92"/>
        <v>917.92049999999995</v>
      </c>
      <c r="AR517">
        <f t="shared" si="92"/>
        <v>1311.3149999999998</v>
      </c>
      <c r="AS517">
        <f t="shared" si="92"/>
        <v>2098.1039999999998</v>
      </c>
      <c r="AT517">
        <f t="shared" si="92"/>
        <v>3147.1559999999999</v>
      </c>
      <c r="AU517">
        <f t="shared" si="92"/>
        <v>4458.4709999999995</v>
      </c>
      <c r="AV517">
        <f t="shared" si="92"/>
        <v>6294.3119999999999</v>
      </c>
      <c r="AW517">
        <f t="shared" si="92"/>
        <v>8654.6790000000001</v>
      </c>
      <c r="AX517">
        <f t="shared" si="92"/>
        <v>12064.098</v>
      </c>
      <c r="AY517">
        <f t="shared" si="92"/>
        <v>20981.039999999997</v>
      </c>
      <c r="AZ517">
        <f t="shared" si="92"/>
        <v>39339.449999999997</v>
      </c>
      <c r="BA517">
        <f t="shared" si="92"/>
        <v>65565.75</v>
      </c>
      <c r="BB517">
        <f t="shared" si="92"/>
        <v>104905.2</v>
      </c>
      <c r="BC517">
        <f t="shared" si="90"/>
        <v>262263</v>
      </c>
      <c r="BD517">
        <f t="shared" si="90"/>
        <v>393394.5</v>
      </c>
      <c r="BE517">
        <f t="shared" si="90"/>
        <v>629431.19999999995</v>
      </c>
      <c r="BF517">
        <f t="shared" si="90"/>
        <v>786789</v>
      </c>
      <c r="BG517">
        <f t="shared" si="90"/>
        <v>2622630</v>
      </c>
      <c r="BH517">
        <f t="shared" si="90"/>
        <v>7867889.9999999991</v>
      </c>
      <c r="BI517">
        <f t="shared" si="90"/>
        <v>22292355</v>
      </c>
      <c r="BJ517">
        <f t="shared" si="90"/>
        <v>78678900</v>
      </c>
      <c r="BK517">
        <f t="shared" si="90"/>
        <v>262262999.99999997</v>
      </c>
      <c r="BL517" s="145">
        <v>512</v>
      </c>
    </row>
    <row r="518" spans="1:64" ht="17.25" thickBot="1" x14ac:dyDescent="0.25">
      <c r="A518" s="131">
        <v>514</v>
      </c>
      <c r="B518" s="132">
        <v>99456677</v>
      </c>
      <c r="D518" s="131">
        <v>514</v>
      </c>
      <c r="E518" s="132">
        <v>26.370539999999998</v>
      </c>
      <c r="AK518">
        <v>512</v>
      </c>
      <c r="AL518" s="24">
        <f t="shared" si="87"/>
        <v>26.274470000000001</v>
      </c>
      <c r="AM518">
        <f t="shared" si="92"/>
        <v>183.92129</v>
      </c>
      <c r="AN518">
        <f t="shared" si="92"/>
        <v>262.74470000000002</v>
      </c>
      <c r="AO518">
        <f t="shared" si="92"/>
        <v>394.11705000000001</v>
      </c>
      <c r="AP518">
        <f t="shared" si="92"/>
        <v>525.48940000000005</v>
      </c>
      <c r="AQ518">
        <f t="shared" si="92"/>
        <v>919.60645</v>
      </c>
      <c r="AR518">
        <f t="shared" si="92"/>
        <v>1313.7235000000001</v>
      </c>
      <c r="AS518">
        <f t="shared" si="92"/>
        <v>2101.9576000000002</v>
      </c>
      <c r="AT518">
        <f t="shared" si="92"/>
        <v>3152.9364</v>
      </c>
      <c r="AU518">
        <f t="shared" si="92"/>
        <v>4466.6599000000006</v>
      </c>
      <c r="AV518">
        <f t="shared" si="92"/>
        <v>6305.8728000000001</v>
      </c>
      <c r="AW518">
        <f t="shared" si="92"/>
        <v>8670.5751</v>
      </c>
      <c r="AX518">
        <f t="shared" si="92"/>
        <v>12086.2562</v>
      </c>
      <c r="AY518">
        <f t="shared" si="92"/>
        <v>21019.576000000001</v>
      </c>
      <c r="AZ518">
        <f t="shared" si="92"/>
        <v>39411.705000000002</v>
      </c>
      <c r="BA518">
        <f t="shared" si="92"/>
        <v>65686.175000000003</v>
      </c>
      <c r="BB518">
        <f t="shared" si="92"/>
        <v>105097.88</v>
      </c>
      <c r="BC518">
        <f t="shared" si="90"/>
        <v>262744.7</v>
      </c>
      <c r="BD518">
        <f t="shared" si="90"/>
        <v>394117.05</v>
      </c>
      <c r="BE518">
        <f t="shared" si="90"/>
        <v>630587.28</v>
      </c>
      <c r="BF518">
        <f t="shared" si="90"/>
        <v>788234.1</v>
      </c>
      <c r="BG518">
        <f t="shared" si="90"/>
        <v>2627447</v>
      </c>
      <c r="BH518">
        <f t="shared" si="90"/>
        <v>7882341</v>
      </c>
      <c r="BI518">
        <f t="shared" si="90"/>
        <v>22333299.5</v>
      </c>
      <c r="BJ518">
        <f t="shared" si="90"/>
        <v>78823410</v>
      </c>
      <c r="BK518">
        <f t="shared" si="90"/>
        <v>262744700</v>
      </c>
      <c r="BL518">
        <v>513</v>
      </c>
    </row>
    <row r="519" spans="1:64" ht="17.25" thickBot="1" x14ac:dyDescent="0.25">
      <c r="A519" s="131">
        <v>515</v>
      </c>
      <c r="B519" s="132">
        <v>99799599</v>
      </c>
      <c r="D519" s="131">
        <v>515</v>
      </c>
      <c r="E519" s="132">
        <v>26.41844</v>
      </c>
      <c r="AK519">
        <v>513</v>
      </c>
      <c r="AL519" s="24">
        <f t="shared" si="87"/>
        <v>26.32255</v>
      </c>
      <c r="AM519">
        <f t="shared" si="92"/>
        <v>184.25784999999999</v>
      </c>
      <c r="AN519">
        <f t="shared" si="92"/>
        <v>263.22550000000001</v>
      </c>
      <c r="AO519">
        <f t="shared" si="92"/>
        <v>394.83825000000002</v>
      </c>
      <c r="AP519">
        <f t="shared" si="92"/>
        <v>526.45100000000002</v>
      </c>
      <c r="AQ519">
        <f t="shared" si="92"/>
        <v>921.28925000000004</v>
      </c>
      <c r="AR519">
        <f t="shared" si="92"/>
        <v>1316.1275000000001</v>
      </c>
      <c r="AS519">
        <f t="shared" si="92"/>
        <v>2105.8040000000001</v>
      </c>
      <c r="AT519">
        <f t="shared" si="92"/>
        <v>3158.7060000000001</v>
      </c>
      <c r="AU519">
        <f t="shared" si="92"/>
        <v>4474.8334999999997</v>
      </c>
      <c r="AV519">
        <f t="shared" si="92"/>
        <v>6317.4120000000003</v>
      </c>
      <c r="AW519">
        <f t="shared" si="92"/>
        <v>8686.441499999999</v>
      </c>
      <c r="AX519">
        <f t="shared" si="92"/>
        <v>12108.373</v>
      </c>
      <c r="AY519">
        <f t="shared" si="92"/>
        <v>21058.04</v>
      </c>
      <c r="AZ519">
        <f t="shared" si="92"/>
        <v>39483.824999999997</v>
      </c>
      <c r="BA519">
        <f t="shared" si="92"/>
        <v>65806.375</v>
      </c>
      <c r="BB519">
        <f t="shared" si="92"/>
        <v>105290.2</v>
      </c>
      <c r="BC519">
        <f t="shared" si="90"/>
        <v>263225.5</v>
      </c>
      <c r="BD519">
        <f t="shared" si="90"/>
        <v>394838.25</v>
      </c>
      <c r="BE519">
        <f t="shared" si="90"/>
        <v>631741.19999999995</v>
      </c>
      <c r="BF519">
        <f t="shared" si="90"/>
        <v>789676.5</v>
      </c>
      <c r="BG519">
        <f t="shared" si="90"/>
        <v>2632255</v>
      </c>
      <c r="BH519">
        <f t="shared" ref="BC519:BK547" si="93">BH$5*VLOOKUP($AK519,$D$2:$E$1404,2,FALSE)</f>
        <v>7896765</v>
      </c>
      <c r="BI519">
        <f t="shared" si="93"/>
        <v>22374167.5</v>
      </c>
      <c r="BJ519">
        <f t="shared" si="93"/>
        <v>78967650</v>
      </c>
      <c r="BK519">
        <f t="shared" si="93"/>
        <v>263225500</v>
      </c>
      <c r="BL519" s="145">
        <v>514</v>
      </c>
    </row>
    <row r="520" spans="1:64" ht="17.25" thickBot="1" x14ac:dyDescent="0.25">
      <c r="A520" s="131">
        <v>516</v>
      </c>
      <c r="B520" s="132">
        <v>100147327</v>
      </c>
      <c r="D520" s="131">
        <v>516</v>
      </c>
      <c r="E520" s="132">
        <v>26.466249999999999</v>
      </c>
      <c r="AK520">
        <v>514</v>
      </c>
      <c r="AL520" s="24">
        <f t="shared" si="87"/>
        <v>26.370539999999998</v>
      </c>
      <c r="AM520">
        <f t="shared" si="92"/>
        <v>184.59377999999998</v>
      </c>
      <c r="AN520">
        <f t="shared" si="92"/>
        <v>263.7054</v>
      </c>
      <c r="AO520">
        <f t="shared" si="92"/>
        <v>395.55809999999997</v>
      </c>
      <c r="AP520">
        <f t="shared" si="92"/>
        <v>527.41079999999999</v>
      </c>
      <c r="AQ520">
        <f t="shared" si="92"/>
        <v>922.96889999999996</v>
      </c>
      <c r="AR520">
        <f t="shared" si="92"/>
        <v>1318.5269999999998</v>
      </c>
      <c r="AS520">
        <f t="shared" si="92"/>
        <v>2109.6432</v>
      </c>
      <c r="AT520">
        <f t="shared" si="92"/>
        <v>3164.4647999999997</v>
      </c>
      <c r="AU520">
        <f t="shared" si="92"/>
        <v>4482.9917999999998</v>
      </c>
      <c r="AV520">
        <f t="shared" si="92"/>
        <v>6328.9295999999995</v>
      </c>
      <c r="AW520">
        <f t="shared" si="92"/>
        <v>8702.2781999999988</v>
      </c>
      <c r="AX520">
        <f t="shared" si="92"/>
        <v>12130.448399999999</v>
      </c>
      <c r="AY520">
        <f t="shared" si="92"/>
        <v>21096.431999999997</v>
      </c>
      <c r="AZ520">
        <f t="shared" si="92"/>
        <v>39555.81</v>
      </c>
      <c r="BA520">
        <f t="shared" si="92"/>
        <v>65926.349999999991</v>
      </c>
      <c r="BB520">
        <f t="shared" si="92"/>
        <v>105482.15999999999</v>
      </c>
      <c r="BC520">
        <f t="shared" si="93"/>
        <v>263705.39999999997</v>
      </c>
      <c r="BD520">
        <f t="shared" si="93"/>
        <v>395558.1</v>
      </c>
      <c r="BE520">
        <f t="shared" si="93"/>
        <v>632892.96</v>
      </c>
      <c r="BF520">
        <f t="shared" si="93"/>
        <v>791116.2</v>
      </c>
      <c r="BG520">
        <f t="shared" si="93"/>
        <v>2637054</v>
      </c>
      <c r="BH520">
        <f t="shared" si="93"/>
        <v>7911161.9999999991</v>
      </c>
      <c r="BI520">
        <f t="shared" si="93"/>
        <v>22414959</v>
      </c>
      <c r="BJ520">
        <f t="shared" si="93"/>
        <v>79111620</v>
      </c>
      <c r="BK520">
        <f t="shared" si="93"/>
        <v>263705399.99999997</v>
      </c>
      <c r="BL520">
        <v>515</v>
      </c>
    </row>
    <row r="521" spans="1:64" ht="17.25" thickBot="1" x14ac:dyDescent="0.25">
      <c r="A521" s="131">
        <v>517</v>
      </c>
      <c r="B521" s="132">
        <v>100499905</v>
      </c>
      <c r="D521" s="131">
        <v>517</v>
      </c>
      <c r="E521" s="132">
        <v>26.513960000000001</v>
      </c>
      <c r="AK521">
        <v>515</v>
      </c>
      <c r="AL521" s="24">
        <f t="shared" si="87"/>
        <v>26.41844</v>
      </c>
      <c r="AM521">
        <f t="shared" si="92"/>
        <v>184.92908</v>
      </c>
      <c r="AN521">
        <f t="shared" si="92"/>
        <v>264.18439999999998</v>
      </c>
      <c r="AO521">
        <f t="shared" si="92"/>
        <v>396.27660000000003</v>
      </c>
      <c r="AP521">
        <f t="shared" si="92"/>
        <v>528.36879999999996</v>
      </c>
      <c r="AQ521">
        <f t="shared" si="92"/>
        <v>924.6454</v>
      </c>
      <c r="AR521">
        <f t="shared" si="92"/>
        <v>1320.922</v>
      </c>
      <c r="AS521">
        <f t="shared" si="92"/>
        <v>2113.4751999999999</v>
      </c>
      <c r="AT521">
        <f t="shared" si="92"/>
        <v>3170.2128000000002</v>
      </c>
      <c r="AU521">
        <f t="shared" si="92"/>
        <v>4491.1347999999998</v>
      </c>
      <c r="AV521">
        <f t="shared" si="92"/>
        <v>6340.4256000000005</v>
      </c>
      <c r="AW521">
        <f t="shared" si="92"/>
        <v>8718.0851999999995</v>
      </c>
      <c r="AX521">
        <f t="shared" si="92"/>
        <v>12152.482400000001</v>
      </c>
      <c r="AY521">
        <f t="shared" si="92"/>
        <v>21134.752</v>
      </c>
      <c r="AZ521">
        <f t="shared" si="92"/>
        <v>39627.660000000003</v>
      </c>
      <c r="BA521">
        <f t="shared" si="92"/>
        <v>66046.100000000006</v>
      </c>
      <c r="BB521">
        <f t="shared" si="92"/>
        <v>105673.76</v>
      </c>
      <c r="BC521">
        <f t="shared" si="93"/>
        <v>264184.40000000002</v>
      </c>
      <c r="BD521">
        <f t="shared" si="93"/>
        <v>396276.6</v>
      </c>
      <c r="BE521">
        <f t="shared" si="93"/>
        <v>634042.56000000006</v>
      </c>
      <c r="BF521">
        <f t="shared" si="93"/>
        <v>792553.2</v>
      </c>
      <c r="BG521">
        <f t="shared" si="93"/>
        <v>2641844</v>
      </c>
      <c r="BH521">
        <f t="shared" si="93"/>
        <v>7925532</v>
      </c>
      <c r="BI521">
        <f t="shared" si="93"/>
        <v>22455674</v>
      </c>
      <c r="BJ521">
        <f t="shared" si="93"/>
        <v>79255320</v>
      </c>
      <c r="BK521">
        <f t="shared" si="93"/>
        <v>264184400</v>
      </c>
      <c r="BL521" s="145">
        <v>516</v>
      </c>
    </row>
    <row r="522" spans="1:64" ht="17.25" thickBot="1" x14ac:dyDescent="0.25">
      <c r="A522" s="131">
        <v>518</v>
      </c>
      <c r="B522" s="132">
        <v>100857366</v>
      </c>
      <c r="D522" s="131">
        <v>518</v>
      </c>
      <c r="E522" s="132">
        <v>26.561579999999999</v>
      </c>
      <c r="AK522">
        <v>516</v>
      </c>
      <c r="AL522" s="24">
        <f t="shared" si="87"/>
        <v>26.466249999999999</v>
      </c>
      <c r="AM522">
        <f t="shared" si="92"/>
        <v>185.26374999999999</v>
      </c>
      <c r="AN522">
        <f t="shared" si="92"/>
        <v>264.66249999999997</v>
      </c>
      <c r="AO522">
        <f t="shared" si="92"/>
        <v>396.99374999999998</v>
      </c>
      <c r="AP522">
        <f t="shared" si="92"/>
        <v>529.32499999999993</v>
      </c>
      <c r="AQ522">
        <f t="shared" si="92"/>
        <v>926.31874999999991</v>
      </c>
      <c r="AR522">
        <f t="shared" si="92"/>
        <v>1323.3125</v>
      </c>
      <c r="AS522">
        <f t="shared" si="92"/>
        <v>2117.2999999999997</v>
      </c>
      <c r="AT522">
        <f t="shared" si="92"/>
        <v>3175.95</v>
      </c>
      <c r="AU522">
        <f t="shared" si="92"/>
        <v>4499.2624999999998</v>
      </c>
      <c r="AV522">
        <f t="shared" si="92"/>
        <v>6351.9</v>
      </c>
      <c r="AW522">
        <f t="shared" si="92"/>
        <v>8733.8624999999993</v>
      </c>
      <c r="AX522">
        <f t="shared" si="92"/>
        <v>12174.474999999999</v>
      </c>
      <c r="AY522">
        <f t="shared" si="92"/>
        <v>21173</v>
      </c>
      <c r="AZ522">
        <f t="shared" si="92"/>
        <v>39699.375</v>
      </c>
      <c r="BA522">
        <f t="shared" si="92"/>
        <v>66165.625</v>
      </c>
      <c r="BB522">
        <f t="shared" si="92"/>
        <v>105865</v>
      </c>
      <c r="BC522">
        <f t="shared" si="93"/>
        <v>264662.5</v>
      </c>
      <c r="BD522">
        <f t="shared" si="93"/>
        <v>396993.75</v>
      </c>
      <c r="BE522">
        <f t="shared" si="93"/>
        <v>635190</v>
      </c>
      <c r="BF522">
        <f t="shared" si="93"/>
        <v>793987.5</v>
      </c>
      <c r="BG522">
        <f t="shared" si="93"/>
        <v>2646625</v>
      </c>
      <c r="BH522">
        <f t="shared" si="93"/>
        <v>7939875</v>
      </c>
      <c r="BI522">
        <f t="shared" si="93"/>
        <v>22496312.5</v>
      </c>
      <c r="BJ522">
        <f t="shared" si="93"/>
        <v>79398750</v>
      </c>
      <c r="BK522">
        <f t="shared" si="93"/>
        <v>264662500</v>
      </c>
      <c r="BL522">
        <v>517</v>
      </c>
    </row>
    <row r="523" spans="1:64" ht="17.25" thickBot="1" x14ac:dyDescent="0.25">
      <c r="A523" s="131">
        <v>519</v>
      </c>
      <c r="B523" s="132">
        <v>101219755</v>
      </c>
      <c r="D523" s="131">
        <v>519</v>
      </c>
      <c r="E523" s="132">
        <v>26.609110000000001</v>
      </c>
      <c r="AK523">
        <v>517</v>
      </c>
      <c r="AL523" s="24">
        <f t="shared" si="87"/>
        <v>26.513960000000001</v>
      </c>
      <c r="AM523">
        <f t="shared" si="92"/>
        <v>185.59772000000001</v>
      </c>
      <c r="AN523">
        <f t="shared" si="92"/>
        <v>265.13960000000003</v>
      </c>
      <c r="AO523">
        <f t="shared" si="92"/>
        <v>397.70940000000002</v>
      </c>
      <c r="AP523">
        <f t="shared" si="92"/>
        <v>530.27920000000006</v>
      </c>
      <c r="AQ523">
        <f t="shared" si="92"/>
        <v>927.98860000000002</v>
      </c>
      <c r="AR523">
        <f t="shared" si="92"/>
        <v>1325.6980000000001</v>
      </c>
      <c r="AS523">
        <f t="shared" si="92"/>
        <v>2121.1168000000002</v>
      </c>
      <c r="AT523">
        <f t="shared" si="92"/>
        <v>3181.6752000000001</v>
      </c>
      <c r="AU523">
        <f t="shared" si="92"/>
        <v>4507.3732</v>
      </c>
      <c r="AV523">
        <f t="shared" si="92"/>
        <v>6363.3504000000003</v>
      </c>
      <c r="AW523">
        <f t="shared" si="92"/>
        <v>8749.6067999999996</v>
      </c>
      <c r="AX523">
        <f t="shared" si="92"/>
        <v>12196.4216</v>
      </c>
      <c r="AY523">
        <f t="shared" si="92"/>
        <v>21211.168000000001</v>
      </c>
      <c r="AZ523">
        <f t="shared" si="92"/>
        <v>39770.94</v>
      </c>
      <c r="BA523">
        <f t="shared" si="92"/>
        <v>66284.900000000009</v>
      </c>
      <c r="BB523">
        <f t="shared" si="92"/>
        <v>106055.84</v>
      </c>
      <c r="BC523">
        <f t="shared" si="93"/>
        <v>265139.60000000003</v>
      </c>
      <c r="BD523">
        <f t="shared" si="93"/>
        <v>397709.4</v>
      </c>
      <c r="BE523">
        <f t="shared" si="93"/>
        <v>636335.04</v>
      </c>
      <c r="BF523">
        <f t="shared" si="93"/>
        <v>795418.8</v>
      </c>
      <c r="BG523">
        <f t="shared" si="93"/>
        <v>2651396</v>
      </c>
      <c r="BH523">
        <f t="shared" si="93"/>
        <v>7954188</v>
      </c>
      <c r="BI523">
        <f t="shared" si="93"/>
        <v>22536866</v>
      </c>
      <c r="BJ523">
        <f t="shared" si="93"/>
        <v>79541880</v>
      </c>
      <c r="BK523">
        <f t="shared" si="93"/>
        <v>265139600</v>
      </c>
      <c r="BL523" s="145">
        <v>518</v>
      </c>
    </row>
    <row r="524" spans="1:64" ht="17.25" thickBot="1" x14ac:dyDescent="0.25">
      <c r="A524" s="131">
        <v>520</v>
      </c>
      <c r="B524" s="132">
        <v>101587116</v>
      </c>
      <c r="D524" s="131">
        <v>520</v>
      </c>
      <c r="E524" s="132">
        <v>26.656549999999999</v>
      </c>
      <c r="AK524">
        <v>518</v>
      </c>
      <c r="AL524" s="24">
        <f t="shared" si="87"/>
        <v>26.561579999999999</v>
      </c>
      <c r="AM524">
        <f t="shared" si="92"/>
        <v>185.93106</v>
      </c>
      <c r="AN524">
        <f t="shared" si="92"/>
        <v>265.61579999999998</v>
      </c>
      <c r="AO524">
        <f t="shared" si="92"/>
        <v>398.4237</v>
      </c>
      <c r="AP524">
        <f t="shared" si="92"/>
        <v>531.23159999999996</v>
      </c>
      <c r="AQ524">
        <f t="shared" si="92"/>
        <v>929.65530000000001</v>
      </c>
      <c r="AR524">
        <f t="shared" si="92"/>
        <v>1328.079</v>
      </c>
      <c r="AS524">
        <f t="shared" si="92"/>
        <v>2124.9263999999998</v>
      </c>
      <c r="AT524">
        <f t="shared" si="92"/>
        <v>3187.3896</v>
      </c>
      <c r="AU524">
        <f t="shared" si="92"/>
        <v>4515.4686000000002</v>
      </c>
      <c r="AV524">
        <f t="shared" si="92"/>
        <v>6374.7791999999999</v>
      </c>
      <c r="AW524">
        <f t="shared" si="92"/>
        <v>8765.3213999999989</v>
      </c>
      <c r="AX524">
        <f t="shared" si="92"/>
        <v>12218.326799999999</v>
      </c>
      <c r="AY524">
        <f t="shared" si="92"/>
        <v>21249.263999999999</v>
      </c>
      <c r="AZ524">
        <f t="shared" si="92"/>
        <v>39842.369999999995</v>
      </c>
      <c r="BA524">
        <f t="shared" si="92"/>
        <v>66403.95</v>
      </c>
      <c r="BB524">
        <f t="shared" si="92"/>
        <v>106246.31999999999</v>
      </c>
      <c r="BC524">
        <f t="shared" si="93"/>
        <v>265615.8</v>
      </c>
      <c r="BD524">
        <f t="shared" si="93"/>
        <v>398423.7</v>
      </c>
      <c r="BE524">
        <f t="shared" si="93"/>
        <v>637477.91999999993</v>
      </c>
      <c r="BF524">
        <f t="shared" si="93"/>
        <v>796847.4</v>
      </c>
      <c r="BG524">
        <f t="shared" si="93"/>
        <v>2656158</v>
      </c>
      <c r="BH524">
        <f t="shared" si="93"/>
        <v>7968474</v>
      </c>
      <c r="BI524">
        <f t="shared" si="93"/>
        <v>22577343</v>
      </c>
      <c r="BJ524">
        <f t="shared" si="93"/>
        <v>79684740</v>
      </c>
      <c r="BK524">
        <f t="shared" si="93"/>
        <v>265615800</v>
      </c>
      <c r="BL524">
        <v>519</v>
      </c>
    </row>
    <row r="525" spans="1:64" ht="17.25" thickBot="1" x14ac:dyDescent="0.25">
      <c r="A525" s="131">
        <v>521</v>
      </c>
      <c r="B525" s="132">
        <v>101959483</v>
      </c>
      <c r="D525" s="131">
        <v>521</v>
      </c>
      <c r="E525" s="132">
        <v>26.703900000000001</v>
      </c>
      <c r="AK525">
        <v>519</v>
      </c>
      <c r="AL525" s="24">
        <f t="shared" si="87"/>
        <v>26.609110000000001</v>
      </c>
      <c r="AM525">
        <f t="shared" si="92"/>
        <v>186.26377000000002</v>
      </c>
      <c r="AN525">
        <f t="shared" si="92"/>
        <v>266.09109999999998</v>
      </c>
      <c r="AO525">
        <f t="shared" si="92"/>
        <v>399.13665000000003</v>
      </c>
      <c r="AP525">
        <f t="shared" si="92"/>
        <v>532.18219999999997</v>
      </c>
      <c r="AQ525">
        <f t="shared" si="92"/>
        <v>931.31885</v>
      </c>
      <c r="AR525">
        <f t="shared" si="92"/>
        <v>1330.4555</v>
      </c>
      <c r="AS525">
        <f t="shared" si="92"/>
        <v>2128.7287999999999</v>
      </c>
      <c r="AT525">
        <f t="shared" si="92"/>
        <v>3193.0932000000003</v>
      </c>
      <c r="AU525">
        <f t="shared" si="92"/>
        <v>4523.5487000000003</v>
      </c>
      <c r="AV525">
        <f t="shared" si="92"/>
        <v>6386.1864000000005</v>
      </c>
      <c r="AW525">
        <f t="shared" si="92"/>
        <v>8781.0063000000009</v>
      </c>
      <c r="AX525">
        <f t="shared" si="92"/>
        <v>12240.1906</v>
      </c>
      <c r="AY525">
        <f t="shared" si="92"/>
        <v>21287.288</v>
      </c>
      <c r="AZ525">
        <f t="shared" si="92"/>
        <v>39913.665000000001</v>
      </c>
      <c r="BA525">
        <f t="shared" si="92"/>
        <v>66522.775000000009</v>
      </c>
      <c r="BB525">
        <f t="shared" si="92"/>
        <v>106436.44</v>
      </c>
      <c r="BC525">
        <f t="shared" si="93"/>
        <v>266091.10000000003</v>
      </c>
      <c r="BD525">
        <f t="shared" si="93"/>
        <v>399136.65</v>
      </c>
      <c r="BE525">
        <f t="shared" si="93"/>
        <v>638618.64</v>
      </c>
      <c r="BF525">
        <f t="shared" si="93"/>
        <v>798273.3</v>
      </c>
      <c r="BG525">
        <f t="shared" si="93"/>
        <v>2660911</v>
      </c>
      <c r="BH525">
        <f t="shared" si="93"/>
        <v>7982733</v>
      </c>
      <c r="BI525">
        <f t="shared" si="93"/>
        <v>22617743.5</v>
      </c>
      <c r="BJ525">
        <f t="shared" si="93"/>
        <v>79827330</v>
      </c>
      <c r="BK525">
        <f t="shared" si="93"/>
        <v>266091100</v>
      </c>
      <c r="BL525" s="145">
        <v>520</v>
      </c>
    </row>
    <row r="526" spans="1:64" ht="17.25" thickBot="1" x14ac:dyDescent="0.25">
      <c r="A526" s="131">
        <v>522</v>
      </c>
      <c r="B526" s="132">
        <v>102336905</v>
      </c>
      <c r="D526" s="131">
        <v>522</v>
      </c>
      <c r="E526" s="132">
        <v>26.751159999999999</v>
      </c>
      <c r="AK526">
        <v>520</v>
      </c>
      <c r="AL526" s="24">
        <f t="shared" si="87"/>
        <v>26.656549999999999</v>
      </c>
      <c r="AM526">
        <f t="shared" si="92"/>
        <v>186.59584999999998</v>
      </c>
      <c r="AN526">
        <f t="shared" si="92"/>
        <v>266.56549999999999</v>
      </c>
      <c r="AO526">
        <f t="shared" si="92"/>
        <v>399.84825000000001</v>
      </c>
      <c r="AP526">
        <f t="shared" si="92"/>
        <v>533.13099999999997</v>
      </c>
      <c r="AQ526">
        <f t="shared" si="92"/>
        <v>932.97924999999998</v>
      </c>
      <c r="AR526">
        <f t="shared" si="92"/>
        <v>1332.8274999999999</v>
      </c>
      <c r="AS526">
        <f t="shared" si="92"/>
        <v>2132.5239999999999</v>
      </c>
      <c r="AT526">
        <f t="shared" si="92"/>
        <v>3198.7860000000001</v>
      </c>
      <c r="AU526">
        <f t="shared" si="92"/>
        <v>4531.6134999999995</v>
      </c>
      <c r="AV526">
        <f t="shared" si="92"/>
        <v>6397.5720000000001</v>
      </c>
      <c r="AW526">
        <f t="shared" si="92"/>
        <v>8796.6615000000002</v>
      </c>
      <c r="AX526">
        <f t="shared" si="92"/>
        <v>12262.012999999999</v>
      </c>
      <c r="AY526">
        <f t="shared" si="92"/>
        <v>21325.239999999998</v>
      </c>
      <c r="AZ526">
        <f t="shared" si="92"/>
        <v>39984.824999999997</v>
      </c>
      <c r="BA526">
        <f t="shared" si="92"/>
        <v>66641.375</v>
      </c>
      <c r="BB526">
        <f t="shared" si="92"/>
        <v>106626.2</v>
      </c>
      <c r="BC526">
        <f t="shared" si="93"/>
        <v>266565.5</v>
      </c>
      <c r="BD526">
        <f t="shared" si="93"/>
        <v>399848.25</v>
      </c>
      <c r="BE526">
        <f t="shared" si="93"/>
        <v>639757.19999999995</v>
      </c>
      <c r="BF526">
        <f t="shared" si="93"/>
        <v>799696.5</v>
      </c>
      <c r="BG526">
        <f t="shared" si="93"/>
        <v>2665655</v>
      </c>
      <c r="BH526">
        <f t="shared" si="93"/>
        <v>7996965</v>
      </c>
      <c r="BI526">
        <f t="shared" si="93"/>
        <v>22658067.5</v>
      </c>
      <c r="BJ526">
        <f t="shared" si="93"/>
        <v>79969650</v>
      </c>
      <c r="BK526">
        <f t="shared" si="93"/>
        <v>266565500</v>
      </c>
      <c r="BL526">
        <v>521</v>
      </c>
    </row>
    <row r="527" spans="1:64" ht="17.25" thickBot="1" x14ac:dyDescent="0.25">
      <c r="A527" s="131">
        <v>523</v>
      </c>
      <c r="B527" s="132">
        <v>102719416</v>
      </c>
      <c r="D527" s="131">
        <v>523</v>
      </c>
      <c r="E527" s="132">
        <v>26.79833</v>
      </c>
      <c r="AK527">
        <v>521</v>
      </c>
      <c r="AL527" s="24">
        <f t="shared" ref="AL527:AL566" si="94">VLOOKUP(AK527,D$2:E$1404,2,FALSE)</f>
        <v>26.703900000000001</v>
      </c>
      <c r="AM527">
        <f t="shared" si="92"/>
        <v>186.9273</v>
      </c>
      <c r="AN527">
        <f t="shared" si="92"/>
        <v>267.03899999999999</v>
      </c>
      <c r="AO527">
        <f t="shared" si="92"/>
        <v>400.55850000000004</v>
      </c>
      <c r="AP527">
        <f t="shared" si="92"/>
        <v>534.07799999999997</v>
      </c>
      <c r="AQ527">
        <f t="shared" si="92"/>
        <v>934.63650000000007</v>
      </c>
      <c r="AR527">
        <f t="shared" si="92"/>
        <v>1335.1949999999999</v>
      </c>
      <c r="AS527">
        <f t="shared" si="92"/>
        <v>2136.3119999999999</v>
      </c>
      <c r="AT527">
        <f t="shared" si="92"/>
        <v>3204.4680000000003</v>
      </c>
      <c r="AU527">
        <f t="shared" si="92"/>
        <v>4539.6630000000005</v>
      </c>
      <c r="AV527">
        <f t="shared" si="92"/>
        <v>6408.9360000000006</v>
      </c>
      <c r="AW527">
        <f t="shared" si="92"/>
        <v>8812.2870000000003</v>
      </c>
      <c r="AX527">
        <f t="shared" si="92"/>
        <v>12283.794</v>
      </c>
      <c r="AY527">
        <f t="shared" ref="AM527:BB543" si="95">AY$5*VLOOKUP($AK527,$D$2:$E$1404,2,FALSE)</f>
        <v>21363.119999999999</v>
      </c>
      <c r="AZ527">
        <f t="shared" si="95"/>
        <v>40055.85</v>
      </c>
      <c r="BA527">
        <f t="shared" si="95"/>
        <v>66759.75</v>
      </c>
      <c r="BB527">
        <f t="shared" si="95"/>
        <v>106815.6</v>
      </c>
      <c r="BC527">
        <f t="shared" si="93"/>
        <v>267039</v>
      </c>
      <c r="BD527">
        <f t="shared" si="93"/>
        <v>400558.5</v>
      </c>
      <c r="BE527">
        <f t="shared" si="93"/>
        <v>640893.6</v>
      </c>
      <c r="BF527">
        <f t="shared" si="93"/>
        <v>801117</v>
      </c>
      <c r="BG527">
        <f t="shared" si="93"/>
        <v>2670390</v>
      </c>
      <c r="BH527">
        <f t="shared" si="93"/>
        <v>8011170</v>
      </c>
      <c r="BI527">
        <f t="shared" si="93"/>
        <v>22698315</v>
      </c>
      <c r="BJ527">
        <f t="shared" si="93"/>
        <v>80111700</v>
      </c>
      <c r="BK527">
        <f t="shared" si="93"/>
        <v>267039000</v>
      </c>
      <c r="BL527" s="145">
        <v>522</v>
      </c>
    </row>
    <row r="528" spans="1:64" ht="17.25" thickBot="1" x14ac:dyDescent="0.25">
      <c r="A528" s="131">
        <v>524</v>
      </c>
      <c r="B528" s="132">
        <v>103107066</v>
      </c>
      <c r="D528" s="131">
        <v>524</v>
      </c>
      <c r="E528" s="132">
        <v>26.845420000000001</v>
      </c>
      <c r="AK528">
        <v>522</v>
      </c>
      <c r="AL528" s="24">
        <f t="shared" si="94"/>
        <v>26.751159999999999</v>
      </c>
      <c r="AM528">
        <f t="shared" si="95"/>
        <v>187.25811999999999</v>
      </c>
      <c r="AN528">
        <f t="shared" si="95"/>
        <v>267.51159999999999</v>
      </c>
      <c r="AO528">
        <f t="shared" si="95"/>
        <v>401.26739999999995</v>
      </c>
      <c r="AP528">
        <f t="shared" si="95"/>
        <v>535.02319999999997</v>
      </c>
      <c r="AQ528">
        <f t="shared" si="95"/>
        <v>936.29059999999993</v>
      </c>
      <c r="AR528">
        <f t="shared" si="95"/>
        <v>1337.558</v>
      </c>
      <c r="AS528">
        <f t="shared" si="95"/>
        <v>2140.0927999999999</v>
      </c>
      <c r="AT528">
        <f t="shared" si="95"/>
        <v>3210.1391999999996</v>
      </c>
      <c r="AU528">
        <f t="shared" si="95"/>
        <v>4547.6971999999996</v>
      </c>
      <c r="AV528">
        <f t="shared" si="95"/>
        <v>6420.2783999999992</v>
      </c>
      <c r="AW528">
        <f t="shared" si="95"/>
        <v>8827.8827999999994</v>
      </c>
      <c r="AX528">
        <f t="shared" si="95"/>
        <v>12305.533599999999</v>
      </c>
      <c r="AY528">
        <f t="shared" si="95"/>
        <v>21400.928</v>
      </c>
      <c r="AZ528">
        <f t="shared" si="95"/>
        <v>40126.74</v>
      </c>
      <c r="BA528">
        <f t="shared" si="95"/>
        <v>66877.899999999994</v>
      </c>
      <c r="BB528">
        <f t="shared" si="95"/>
        <v>107004.64</v>
      </c>
      <c r="BC528">
        <f t="shared" si="93"/>
        <v>267511.59999999998</v>
      </c>
      <c r="BD528">
        <f t="shared" si="93"/>
        <v>401267.39999999997</v>
      </c>
      <c r="BE528">
        <f t="shared" si="93"/>
        <v>642027.84</v>
      </c>
      <c r="BF528">
        <f t="shared" si="93"/>
        <v>802534.79999999993</v>
      </c>
      <c r="BG528">
        <f t="shared" si="93"/>
        <v>2675116</v>
      </c>
      <c r="BH528">
        <f t="shared" si="93"/>
        <v>8025348</v>
      </c>
      <c r="BI528">
        <f t="shared" si="93"/>
        <v>22738486</v>
      </c>
      <c r="BJ528">
        <f t="shared" si="93"/>
        <v>80253480</v>
      </c>
      <c r="BK528">
        <f t="shared" si="93"/>
        <v>267511600</v>
      </c>
      <c r="BL528">
        <v>523</v>
      </c>
    </row>
    <row r="529" spans="1:64" ht="17.25" thickBot="1" x14ac:dyDescent="0.25">
      <c r="A529" s="131">
        <v>525</v>
      </c>
      <c r="B529" s="132">
        <v>103499894</v>
      </c>
      <c r="D529" s="131">
        <v>525</v>
      </c>
      <c r="E529" s="132">
        <v>26.892420000000001</v>
      </c>
      <c r="AK529">
        <v>523</v>
      </c>
      <c r="AL529" s="24">
        <f t="shared" si="94"/>
        <v>26.79833</v>
      </c>
      <c r="AM529">
        <f t="shared" si="95"/>
        <v>187.58831000000001</v>
      </c>
      <c r="AN529">
        <f t="shared" si="95"/>
        <v>267.98329999999999</v>
      </c>
      <c r="AO529">
        <f t="shared" si="95"/>
        <v>401.97494999999998</v>
      </c>
      <c r="AP529">
        <f t="shared" si="95"/>
        <v>535.96659999999997</v>
      </c>
      <c r="AQ529">
        <f t="shared" si="95"/>
        <v>937.94155000000001</v>
      </c>
      <c r="AR529">
        <f t="shared" si="95"/>
        <v>1339.9165</v>
      </c>
      <c r="AS529">
        <f t="shared" si="95"/>
        <v>2143.8663999999999</v>
      </c>
      <c r="AT529">
        <f t="shared" si="95"/>
        <v>3215.7995999999998</v>
      </c>
      <c r="AU529">
        <f t="shared" si="95"/>
        <v>4555.7160999999996</v>
      </c>
      <c r="AV529">
        <f t="shared" si="95"/>
        <v>6431.5991999999997</v>
      </c>
      <c r="AW529">
        <f t="shared" si="95"/>
        <v>8843.4488999999994</v>
      </c>
      <c r="AX529">
        <f t="shared" si="95"/>
        <v>12327.2318</v>
      </c>
      <c r="AY529">
        <f t="shared" si="95"/>
        <v>21438.664000000001</v>
      </c>
      <c r="AZ529">
        <f t="shared" si="95"/>
        <v>40197.495000000003</v>
      </c>
      <c r="BA529">
        <f t="shared" si="95"/>
        <v>66995.824999999997</v>
      </c>
      <c r="BB529">
        <f t="shared" si="95"/>
        <v>107193.32</v>
      </c>
      <c r="BC529">
        <f t="shared" si="93"/>
        <v>267983.3</v>
      </c>
      <c r="BD529">
        <f t="shared" si="93"/>
        <v>401974.95</v>
      </c>
      <c r="BE529">
        <f t="shared" si="93"/>
        <v>643159.92000000004</v>
      </c>
      <c r="BF529">
        <f t="shared" si="93"/>
        <v>803949.9</v>
      </c>
      <c r="BG529">
        <f t="shared" si="93"/>
        <v>2679833</v>
      </c>
      <c r="BH529">
        <f t="shared" si="93"/>
        <v>8039499</v>
      </c>
      <c r="BI529">
        <f t="shared" si="93"/>
        <v>22778580.5</v>
      </c>
      <c r="BJ529">
        <f t="shared" si="93"/>
        <v>80394990</v>
      </c>
      <c r="BK529">
        <f t="shared" si="93"/>
        <v>267983300</v>
      </c>
      <c r="BL529" s="145">
        <v>524</v>
      </c>
    </row>
    <row r="530" spans="1:64" ht="17.25" thickBot="1" x14ac:dyDescent="0.25">
      <c r="A530" s="131">
        <v>526</v>
      </c>
      <c r="B530" s="132">
        <v>103897938</v>
      </c>
      <c r="D530" s="131">
        <v>526</v>
      </c>
      <c r="E530" s="132">
        <v>26.939330000000002</v>
      </c>
      <c r="AK530">
        <v>524</v>
      </c>
      <c r="AL530" s="24">
        <f t="shared" si="94"/>
        <v>26.845420000000001</v>
      </c>
      <c r="AM530">
        <f t="shared" si="95"/>
        <v>187.91794000000002</v>
      </c>
      <c r="AN530">
        <f t="shared" si="95"/>
        <v>268.45420000000001</v>
      </c>
      <c r="AO530">
        <f t="shared" si="95"/>
        <v>402.68130000000002</v>
      </c>
      <c r="AP530">
        <f t="shared" si="95"/>
        <v>536.90840000000003</v>
      </c>
      <c r="AQ530">
        <f t="shared" si="95"/>
        <v>939.58969999999999</v>
      </c>
      <c r="AR530">
        <f t="shared" si="95"/>
        <v>1342.271</v>
      </c>
      <c r="AS530">
        <f t="shared" si="95"/>
        <v>2147.6336000000001</v>
      </c>
      <c r="AT530">
        <f t="shared" si="95"/>
        <v>3221.4504000000002</v>
      </c>
      <c r="AU530">
        <f t="shared" si="95"/>
        <v>4563.7214000000004</v>
      </c>
      <c r="AV530">
        <f t="shared" si="95"/>
        <v>6442.9008000000003</v>
      </c>
      <c r="AW530">
        <f t="shared" si="95"/>
        <v>8858.9886000000006</v>
      </c>
      <c r="AX530">
        <f t="shared" si="95"/>
        <v>12348.8932</v>
      </c>
      <c r="AY530">
        <f t="shared" si="95"/>
        <v>21476.335999999999</v>
      </c>
      <c r="AZ530">
        <f t="shared" si="95"/>
        <v>40268.130000000005</v>
      </c>
      <c r="BA530">
        <f t="shared" si="95"/>
        <v>67113.55</v>
      </c>
      <c r="BB530">
        <f t="shared" si="95"/>
        <v>107381.68000000001</v>
      </c>
      <c r="BC530">
        <f t="shared" si="93"/>
        <v>268454.2</v>
      </c>
      <c r="BD530">
        <f t="shared" si="93"/>
        <v>402681.3</v>
      </c>
      <c r="BE530">
        <f t="shared" si="93"/>
        <v>644290.08000000007</v>
      </c>
      <c r="BF530">
        <f t="shared" si="93"/>
        <v>805362.6</v>
      </c>
      <c r="BG530">
        <f t="shared" si="93"/>
        <v>2684542</v>
      </c>
      <c r="BH530">
        <f t="shared" si="93"/>
        <v>8053626</v>
      </c>
      <c r="BI530">
        <f t="shared" si="93"/>
        <v>22818607</v>
      </c>
      <c r="BJ530">
        <f t="shared" si="93"/>
        <v>80536260</v>
      </c>
      <c r="BK530">
        <f t="shared" si="93"/>
        <v>268454200</v>
      </c>
      <c r="BL530">
        <v>525</v>
      </c>
    </row>
    <row r="531" spans="1:64" ht="17.25" thickBot="1" x14ac:dyDescent="0.25">
      <c r="A531" s="131">
        <v>527</v>
      </c>
      <c r="B531" s="132">
        <v>104301244</v>
      </c>
      <c r="D531" s="131">
        <v>527</v>
      </c>
      <c r="E531" s="132">
        <v>26.986149999999999</v>
      </c>
      <c r="AK531">
        <v>525</v>
      </c>
      <c r="AL531" s="24">
        <f t="shared" si="94"/>
        <v>26.892420000000001</v>
      </c>
      <c r="AM531">
        <f t="shared" si="95"/>
        <v>188.24694</v>
      </c>
      <c r="AN531">
        <f t="shared" si="95"/>
        <v>268.92420000000004</v>
      </c>
      <c r="AO531">
        <f t="shared" si="95"/>
        <v>403.38630000000001</v>
      </c>
      <c r="AP531">
        <f t="shared" si="95"/>
        <v>537.84840000000008</v>
      </c>
      <c r="AQ531">
        <f t="shared" si="95"/>
        <v>941.23470000000009</v>
      </c>
      <c r="AR531">
        <f t="shared" si="95"/>
        <v>1344.6210000000001</v>
      </c>
      <c r="AS531">
        <f t="shared" si="95"/>
        <v>2151.3936000000003</v>
      </c>
      <c r="AT531">
        <f t="shared" si="95"/>
        <v>3227.0904</v>
      </c>
      <c r="AU531">
        <f t="shared" si="95"/>
        <v>4571.7114000000001</v>
      </c>
      <c r="AV531">
        <f t="shared" si="95"/>
        <v>6454.1808000000001</v>
      </c>
      <c r="AW531">
        <f t="shared" si="95"/>
        <v>8874.4986000000008</v>
      </c>
      <c r="AX531">
        <f t="shared" si="95"/>
        <v>12370.513200000001</v>
      </c>
      <c r="AY531">
        <f t="shared" si="95"/>
        <v>21513.936000000002</v>
      </c>
      <c r="AZ531">
        <f t="shared" si="95"/>
        <v>40338.630000000005</v>
      </c>
      <c r="BA531">
        <f t="shared" si="95"/>
        <v>67231.05</v>
      </c>
      <c r="BB531">
        <f t="shared" si="95"/>
        <v>107569.68000000001</v>
      </c>
      <c r="BC531">
        <f t="shared" si="93"/>
        <v>268924.2</v>
      </c>
      <c r="BD531">
        <f t="shared" si="93"/>
        <v>403386.30000000005</v>
      </c>
      <c r="BE531">
        <f t="shared" si="93"/>
        <v>645418.08000000007</v>
      </c>
      <c r="BF531">
        <f t="shared" si="93"/>
        <v>806772.60000000009</v>
      </c>
      <c r="BG531">
        <f t="shared" si="93"/>
        <v>2689242</v>
      </c>
      <c r="BH531">
        <f t="shared" si="93"/>
        <v>8067726</v>
      </c>
      <c r="BI531">
        <f t="shared" si="93"/>
        <v>22858557</v>
      </c>
      <c r="BJ531">
        <f t="shared" si="93"/>
        <v>80677260</v>
      </c>
      <c r="BK531">
        <f t="shared" si="93"/>
        <v>268924200</v>
      </c>
      <c r="BL531" s="145">
        <v>526</v>
      </c>
    </row>
    <row r="532" spans="1:64" ht="17.25" thickBot="1" x14ac:dyDescent="0.25">
      <c r="A532" s="131">
        <v>528</v>
      </c>
      <c r="B532" s="132">
        <v>104709855</v>
      </c>
      <c r="D532" s="131">
        <v>528</v>
      </c>
      <c r="E532" s="132">
        <v>27.032879999999999</v>
      </c>
      <c r="AK532">
        <v>526</v>
      </c>
      <c r="AL532" s="24">
        <f t="shared" si="94"/>
        <v>26.939330000000002</v>
      </c>
      <c r="AM532">
        <f t="shared" si="95"/>
        <v>188.57531</v>
      </c>
      <c r="AN532">
        <f t="shared" si="95"/>
        <v>269.39330000000001</v>
      </c>
      <c r="AO532">
        <f t="shared" si="95"/>
        <v>404.08995000000004</v>
      </c>
      <c r="AP532">
        <f t="shared" si="95"/>
        <v>538.78660000000002</v>
      </c>
      <c r="AQ532">
        <f t="shared" si="95"/>
        <v>942.87655000000007</v>
      </c>
      <c r="AR532">
        <f t="shared" si="95"/>
        <v>1346.9665</v>
      </c>
      <c r="AS532">
        <f t="shared" si="95"/>
        <v>2155.1464000000001</v>
      </c>
      <c r="AT532">
        <f t="shared" si="95"/>
        <v>3232.7196000000004</v>
      </c>
      <c r="AU532">
        <f t="shared" si="95"/>
        <v>4579.6860999999999</v>
      </c>
      <c r="AV532">
        <f t="shared" si="95"/>
        <v>6465.4392000000007</v>
      </c>
      <c r="AW532">
        <f t="shared" si="95"/>
        <v>8889.9789000000001</v>
      </c>
      <c r="AX532">
        <f t="shared" si="95"/>
        <v>12392.0918</v>
      </c>
      <c r="AY532">
        <f t="shared" si="95"/>
        <v>21551.464</v>
      </c>
      <c r="AZ532">
        <f t="shared" si="95"/>
        <v>40408.995000000003</v>
      </c>
      <c r="BA532">
        <f t="shared" si="95"/>
        <v>67348.325000000012</v>
      </c>
      <c r="BB532">
        <f t="shared" si="95"/>
        <v>107757.32</v>
      </c>
      <c r="BC532">
        <f t="shared" si="93"/>
        <v>269393.30000000005</v>
      </c>
      <c r="BD532">
        <f t="shared" si="93"/>
        <v>404089.95</v>
      </c>
      <c r="BE532">
        <f t="shared" si="93"/>
        <v>646543.92000000004</v>
      </c>
      <c r="BF532">
        <f t="shared" si="93"/>
        <v>808179.9</v>
      </c>
      <c r="BG532">
        <f t="shared" si="93"/>
        <v>2693933</v>
      </c>
      <c r="BH532">
        <f t="shared" si="93"/>
        <v>8081799.0000000009</v>
      </c>
      <c r="BI532">
        <f t="shared" si="93"/>
        <v>22898430.5</v>
      </c>
      <c r="BJ532">
        <f t="shared" si="93"/>
        <v>80817990</v>
      </c>
      <c r="BK532">
        <f t="shared" si="93"/>
        <v>269393300</v>
      </c>
      <c r="BL532">
        <v>527</v>
      </c>
    </row>
    <row r="533" spans="1:64" ht="17.25" thickBot="1" x14ac:dyDescent="0.25">
      <c r="A533" s="131">
        <v>529</v>
      </c>
      <c r="B533" s="132">
        <v>105123816</v>
      </c>
      <c r="D533" s="131">
        <v>529</v>
      </c>
      <c r="E533" s="132">
        <v>27.079529999999998</v>
      </c>
      <c r="AK533">
        <v>527</v>
      </c>
      <c r="AL533" s="24">
        <f t="shared" si="94"/>
        <v>26.986149999999999</v>
      </c>
      <c r="AM533">
        <f t="shared" si="95"/>
        <v>188.90304999999998</v>
      </c>
      <c r="AN533">
        <f t="shared" si="95"/>
        <v>269.86149999999998</v>
      </c>
      <c r="AO533">
        <f t="shared" si="95"/>
        <v>404.79224999999997</v>
      </c>
      <c r="AP533">
        <f t="shared" si="95"/>
        <v>539.72299999999996</v>
      </c>
      <c r="AQ533">
        <f t="shared" si="95"/>
        <v>944.51524999999992</v>
      </c>
      <c r="AR533">
        <f t="shared" si="95"/>
        <v>1349.3074999999999</v>
      </c>
      <c r="AS533">
        <f t="shared" si="95"/>
        <v>2158.8919999999998</v>
      </c>
      <c r="AT533">
        <f t="shared" si="95"/>
        <v>3238.3379999999997</v>
      </c>
      <c r="AU533">
        <f t="shared" si="95"/>
        <v>4587.6454999999996</v>
      </c>
      <c r="AV533">
        <f t="shared" si="95"/>
        <v>6476.6759999999995</v>
      </c>
      <c r="AW533">
        <f t="shared" si="95"/>
        <v>8905.4295000000002</v>
      </c>
      <c r="AX533">
        <f t="shared" si="95"/>
        <v>12413.628999999999</v>
      </c>
      <c r="AY533">
        <f t="shared" si="95"/>
        <v>21588.92</v>
      </c>
      <c r="AZ533">
        <f t="shared" si="95"/>
        <v>40479.224999999999</v>
      </c>
      <c r="BA533">
        <f t="shared" si="95"/>
        <v>67465.375</v>
      </c>
      <c r="BB533">
        <f t="shared" si="95"/>
        <v>107944.59999999999</v>
      </c>
      <c r="BC533">
        <f t="shared" si="93"/>
        <v>269861.5</v>
      </c>
      <c r="BD533">
        <f t="shared" si="93"/>
        <v>404792.25</v>
      </c>
      <c r="BE533">
        <f t="shared" si="93"/>
        <v>647667.6</v>
      </c>
      <c r="BF533">
        <f t="shared" si="93"/>
        <v>809584.5</v>
      </c>
      <c r="BG533">
        <f t="shared" si="93"/>
        <v>2698615</v>
      </c>
      <c r="BH533">
        <f t="shared" si="93"/>
        <v>8095845</v>
      </c>
      <c r="BI533">
        <f t="shared" si="93"/>
        <v>22938227.5</v>
      </c>
      <c r="BJ533">
        <f t="shared" si="93"/>
        <v>80958450</v>
      </c>
      <c r="BK533">
        <f t="shared" si="93"/>
        <v>269861500</v>
      </c>
      <c r="BL533" s="145">
        <v>528</v>
      </c>
    </row>
    <row r="534" spans="1:64" ht="17.25" thickBot="1" x14ac:dyDescent="0.25">
      <c r="A534" s="131">
        <v>530</v>
      </c>
      <c r="B534" s="132">
        <v>105543166</v>
      </c>
      <c r="D534" s="131">
        <v>530</v>
      </c>
      <c r="E534" s="132">
        <v>27.126090000000001</v>
      </c>
      <c r="AK534">
        <v>528</v>
      </c>
      <c r="AL534" s="24">
        <f t="shared" si="94"/>
        <v>27.032879999999999</v>
      </c>
      <c r="AM534">
        <f t="shared" si="95"/>
        <v>189.23015999999998</v>
      </c>
      <c r="AN534">
        <f t="shared" si="95"/>
        <v>270.3288</v>
      </c>
      <c r="AO534">
        <f t="shared" si="95"/>
        <v>405.4932</v>
      </c>
      <c r="AP534">
        <f t="shared" si="95"/>
        <v>540.6576</v>
      </c>
      <c r="AQ534">
        <f t="shared" si="95"/>
        <v>946.1508</v>
      </c>
      <c r="AR534">
        <f t="shared" si="95"/>
        <v>1351.644</v>
      </c>
      <c r="AS534">
        <f t="shared" si="95"/>
        <v>2162.6304</v>
      </c>
      <c r="AT534">
        <f t="shared" si="95"/>
        <v>3243.9456</v>
      </c>
      <c r="AU534">
        <f t="shared" si="95"/>
        <v>4595.5895999999993</v>
      </c>
      <c r="AV534">
        <f t="shared" si="95"/>
        <v>6487.8912</v>
      </c>
      <c r="AW534">
        <f t="shared" si="95"/>
        <v>8920.8503999999994</v>
      </c>
      <c r="AX534">
        <f t="shared" si="95"/>
        <v>12435.1248</v>
      </c>
      <c r="AY534">
        <f t="shared" si="95"/>
        <v>21626.304</v>
      </c>
      <c r="AZ534">
        <f t="shared" si="95"/>
        <v>40549.32</v>
      </c>
      <c r="BA534">
        <f t="shared" si="95"/>
        <v>67582.2</v>
      </c>
      <c r="BB534">
        <f t="shared" si="95"/>
        <v>108131.51999999999</v>
      </c>
      <c r="BC534">
        <f t="shared" si="93"/>
        <v>270328.8</v>
      </c>
      <c r="BD534">
        <f t="shared" si="93"/>
        <v>405493.19999999995</v>
      </c>
      <c r="BE534">
        <f t="shared" si="93"/>
        <v>648789.12</v>
      </c>
      <c r="BF534">
        <f t="shared" si="93"/>
        <v>810986.39999999991</v>
      </c>
      <c r="BG534">
        <f t="shared" si="93"/>
        <v>2703288</v>
      </c>
      <c r="BH534">
        <f t="shared" si="93"/>
        <v>8109864</v>
      </c>
      <c r="BI534">
        <f t="shared" si="93"/>
        <v>22977948</v>
      </c>
      <c r="BJ534">
        <f t="shared" si="93"/>
        <v>81098640</v>
      </c>
      <c r="BK534">
        <f t="shared" si="93"/>
        <v>270328800</v>
      </c>
      <c r="BL534">
        <v>529</v>
      </c>
    </row>
    <row r="535" spans="1:64" ht="17.25" thickBot="1" x14ac:dyDescent="0.25">
      <c r="A535" s="131">
        <v>531</v>
      </c>
      <c r="B535" s="132">
        <v>105967950</v>
      </c>
      <c r="D535" s="131">
        <v>531</v>
      </c>
      <c r="E535" s="132">
        <v>27.172560000000001</v>
      </c>
      <c r="AK535">
        <v>529</v>
      </c>
      <c r="AL535" s="24">
        <f t="shared" si="94"/>
        <v>27.079529999999998</v>
      </c>
      <c r="AM535">
        <f t="shared" si="95"/>
        <v>189.55670999999998</v>
      </c>
      <c r="AN535">
        <f t="shared" si="95"/>
        <v>270.7953</v>
      </c>
      <c r="AO535">
        <f t="shared" si="95"/>
        <v>406.19295</v>
      </c>
      <c r="AP535">
        <f t="shared" si="95"/>
        <v>541.59059999999999</v>
      </c>
      <c r="AQ535">
        <f t="shared" si="95"/>
        <v>947.78354999999999</v>
      </c>
      <c r="AR535">
        <f t="shared" si="95"/>
        <v>1353.9765</v>
      </c>
      <c r="AS535">
        <f t="shared" si="95"/>
        <v>2166.3624</v>
      </c>
      <c r="AT535">
        <f t="shared" si="95"/>
        <v>3249.5436</v>
      </c>
      <c r="AU535">
        <f t="shared" si="95"/>
        <v>4603.5200999999997</v>
      </c>
      <c r="AV535">
        <f t="shared" si="95"/>
        <v>6499.0871999999999</v>
      </c>
      <c r="AW535">
        <f t="shared" si="95"/>
        <v>8936.2448999999997</v>
      </c>
      <c r="AX535">
        <f t="shared" si="95"/>
        <v>12456.583799999999</v>
      </c>
      <c r="AY535">
        <f t="shared" si="95"/>
        <v>21663.624</v>
      </c>
      <c r="AZ535">
        <f t="shared" si="95"/>
        <v>40619.294999999998</v>
      </c>
      <c r="BA535">
        <f t="shared" si="95"/>
        <v>67698.824999999997</v>
      </c>
      <c r="BB535">
        <f t="shared" si="95"/>
        <v>108318.12</v>
      </c>
      <c r="BC535">
        <f t="shared" si="93"/>
        <v>270795.3</v>
      </c>
      <c r="BD535">
        <f t="shared" si="93"/>
        <v>406192.94999999995</v>
      </c>
      <c r="BE535">
        <f t="shared" si="93"/>
        <v>649908.72</v>
      </c>
      <c r="BF535">
        <f t="shared" si="93"/>
        <v>812385.89999999991</v>
      </c>
      <c r="BG535">
        <f t="shared" si="93"/>
        <v>2707953</v>
      </c>
      <c r="BH535">
        <f t="shared" si="93"/>
        <v>8123858.9999999991</v>
      </c>
      <c r="BI535">
        <f t="shared" si="93"/>
        <v>23017600.5</v>
      </c>
      <c r="BJ535">
        <f t="shared" si="93"/>
        <v>81238590</v>
      </c>
      <c r="BK535">
        <f t="shared" si="93"/>
        <v>270795300</v>
      </c>
      <c r="BL535" s="145">
        <v>530</v>
      </c>
    </row>
    <row r="536" spans="1:64" ht="17.25" thickBot="1" x14ac:dyDescent="0.25">
      <c r="A536" s="131">
        <v>532</v>
      </c>
      <c r="B536" s="132">
        <v>106398211</v>
      </c>
      <c r="D536" s="131">
        <v>532</v>
      </c>
      <c r="E536" s="132">
        <v>27.21895</v>
      </c>
      <c r="AK536">
        <v>530</v>
      </c>
      <c r="AL536" s="24">
        <f t="shared" si="94"/>
        <v>27.126090000000001</v>
      </c>
      <c r="AM536">
        <f t="shared" si="95"/>
        <v>189.88263000000001</v>
      </c>
      <c r="AN536">
        <f t="shared" si="95"/>
        <v>271.26089999999999</v>
      </c>
      <c r="AO536">
        <f t="shared" si="95"/>
        <v>406.89135000000005</v>
      </c>
      <c r="AP536">
        <f t="shared" si="95"/>
        <v>542.52179999999998</v>
      </c>
      <c r="AQ536">
        <f t="shared" si="95"/>
        <v>949.41315000000009</v>
      </c>
      <c r="AR536">
        <f t="shared" si="95"/>
        <v>1356.3045</v>
      </c>
      <c r="AS536">
        <f t="shared" si="95"/>
        <v>2170.0871999999999</v>
      </c>
      <c r="AT536">
        <f t="shared" si="95"/>
        <v>3255.1308000000004</v>
      </c>
      <c r="AU536">
        <f t="shared" si="95"/>
        <v>4611.4353000000001</v>
      </c>
      <c r="AV536">
        <f t="shared" si="95"/>
        <v>6510.2616000000007</v>
      </c>
      <c r="AW536">
        <f t="shared" si="95"/>
        <v>8951.6097000000009</v>
      </c>
      <c r="AX536">
        <f t="shared" si="95"/>
        <v>12478.001400000001</v>
      </c>
      <c r="AY536">
        <f t="shared" si="95"/>
        <v>21700.871999999999</v>
      </c>
      <c r="AZ536">
        <f t="shared" si="95"/>
        <v>40689.135000000002</v>
      </c>
      <c r="BA536">
        <f t="shared" si="95"/>
        <v>67815.225000000006</v>
      </c>
      <c r="BB536">
        <f t="shared" si="95"/>
        <v>108504.36</v>
      </c>
      <c r="BC536">
        <f t="shared" si="93"/>
        <v>271260.90000000002</v>
      </c>
      <c r="BD536">
        <f t="shared" si="93"/>
        <v>406891.35000000003</v>
      </c>
      <c r="BE536">
        <f t="shared" si="93"/>
        <v>651026.16</v>
      </c>
      <c r="BF536">
        <f t="shared" si="93"/>
        <v>813782.70000000007</v>
      </c>
      <c r="BG536">
        <f t="shared" si="93"/>
        <v>2712609</v>
      </c>
      <c r="BH536">
        <f t="shared" si="93"/>
        <v>8137827</v>
      </c>
      <c r="BI536">
        <f t="shared" si="93"/>
        <v>23057176.5</v>
      </c>
      <c r="BJ536">
        <f t="shared" si="93"/>
        <v>81378270</v>
      </c>
      <c r="BK536">
        <f t="shared" si="93"/>
        <v>271260900</v>
      </c>
      <c r="BL536">
        <v>531</v>
      </c>
    </row>
    <row r="537" spans="1:64" ht="17.25" thickBot="1" x14ac:dyDescent="0.25">
      <c r="A537" s="131">
        <v>533</v>
      </c>
      <c r="B537" s="132">
        <v>106833994</v>
      </c>
      <c r="D537" s="131">
        <v>533</v>
      </c>
      <c r="E537" s="132">
        <v>27.265250000000002</v>
      </c>
      <c r="AK537">
        <v>531</v>
      </c>
      <c r="AL537" s="24">
        <f t="shared" si="94"/>
        <v>27.172560000000001</v>
      </c>
      <c r="AM537">
        <f t="shared" si="95"/>
        <v>190.20792</v>
      </c>
      <c r="AN537">
        <f t="shared" si="95"/>
        <v>271.72559999999999</v>
      </c>
      <c r="AO537">
        <f t="shared" si="95"/>
        <v>407.58840000000004</v>
      </c>
      <c r="AP537">
        <f t="shared" si="95"/>
        <v>543.45119999999997</v>
      </c>
      <c r="AQ537">
        <f t="shared" si="95"/>
        <v>951.03960000000006</v>
      </c>
      <c r="AR537">
        <f t="shared" si="95"/>
        <v>1358.6279999999999</v>
      </c>
      <c r="AS537">
        <f t="shared" si="95"/>
        <v>2173.8047999999999</v>
      </c>
      <c r="AT537">
        <f t="shared" si="95"/>
        <v>3260.7072000000003</v>
      </c>
      <c r="AU537">
        <f t="shared" si="95"/>
        <v>4619.3352000000004</v>
      </c>
      <c r="AV537">
        <f t="shared" si="95"/>
        <v>6521.4144000000006</v>
      </c>
      <c r="AW537">
        <f t="shared" si="95"/>
        <v>8966.9448000000011</v>
      </c>
      <c r="AX537">
        <f t="shared" si="95"/>
        <v>12499.3776</v>
      </c>
      <c r="AY537">
        <f t="shared" si="95"/>
        <v>21738.047999999999</v>
      </c>
      <c r="AZ537">
        <f t="shared" si="95"/>
        <v>40758.840000000004</v>
      </c>
      <c r="BA537">
        <f t="shared" si="95"/>
        <v>67931.400000000009</v>
      </c>
      <c r="BB537">
        <f t="shared" si="95"/>
        <v>108690.24000000001</v>
      </c>
      <c r="BC537">
        <f t="shared" si="93"/>
        <v>271725.60000000003</v>
      </c>
      <c r="BD537">
        <f t="shared" si="93"/>
        <v>407588.4</v>
      </c>
      <c r="BE537">
        <f t="shared" si="93"/>
        <v>652141.44000000006</v>
      </c>
      <c r="BF537">
        <f t="shared" si="93"/>
        <v>815176.8</v>
      </c>
      <c r="BG537">
        <f t="shared" si="93"/>
        <v>2717256</v>
      </c>
      <c r="BH537">
        <f t="shared" si="93"/>
        <v>8151768</v>
      </c>
      <c r="BI537">
        <f t="shared" si="93"/>
        <v>23096676</v>
      </c>
      <c r="BJ537">
        <f t="shared" si="93"/>
        <v>81517680</v>
      </c>
      <c r="BK537">
        <f t="shared" si="93"/>
        <v>271725600</v>
      </c>
      <c r="BL537" s="145">
        <v>532</v>
      </c>
    </row>
    <row r="538" spans="1:64" ht="17.25" thickBot="1" x14ac:dyDescent="0.25">
      <c r="A538" s="131">
        <v>534</v>
      </c>
      <c r="B538" s="132">
        <v>107275344</v>
      </c>
      <c r="D538" s="131">
        <v>534</v>
      </c>
      <c r="E538" s="132">
        <v>27.31147</v>
      </c>
      <c r="AK538">
        <v>532</v>
      </c>
      <c r="AL538" s="24">
        <f t="shared" si="94"/>
        <v>27.21895</v>
      </c>
      <c r="AM538">
        <f t="shared" si="95"/>
        <v>190.53264999999999</v>
      </c>
      <c r="AN538">
        <f t="shared" si="95"/>
        <v>272.18950000000001</v>
      </c>
      <c r="AO538">
        <f t="shared" si="95"/>
        <v>408.28424999999999</v>
      </c>
      <c r="AP538">
        <f t="shared" si="95"/>
        <v>544.37900000000002</v>
      </c>
      <c r="AQ538">
        <f t="shared" si="95"/>
        <v>952.66324999999995</v>
      </c>
      <c r="AR538">
        <f t="shared" si="95"/>
        <v>1360.9475</v>
      </c>
      <c r="AS538">
        <f t="shared" si="95"/>
        <v>2177.5160000000001</v>
      </c>
      <c r="AT538">
        <f t="shared" si="95"/>
        <v>3266.2739999999999</v>
      </c>
      <c r="AU538">
        <f t="shared" si="95"/>
        <v>4627.2214999999997</v>
      </c>
      <c r="AV538">
        <f t="shared" si="95"/>
        <v>6532.5479999999998</v>
      </c>
      <c r="AW538">
        <f t="shared" si="95"/>
        <v>8982.2535000000007</v>
      </c>
      <c r="AX538">
        <f t="shared" si="95"/>
        <v>12520.717000000001</v>
      </c>
      <c r="AY538">
        <f t="shared" si="95"/>
        <v>21775.16</v>
      </c>
      <c r="AZ538">
        <f t="shared" si="95"/>
        <v>40828.425000000003</v>
      </c>
      <c r="BA538">
        <f t="shared" si="95"/>
        <v>68047.375</v>
      </c>
      <c r="BB538">
        <f t="shared" si="95"/>
        <v>108875.8</v>
      </c>
      <c r="BC538">
        <f t="shared" si="93"/>
        <v>272189.5</v>
      </c>
      <c r="BD538">
        <f t="shared" si="93"/>
        <v>408284.25</v>
      </c>
      <c r="BE538">
        <f t="shared" si="93"/>
        <v>653254.80000000005</v>
      </c>
      <c r="BF538">
        <f t="shared" si="93"/>
        <v>816568.5</v>
      </c>
      <c r="BG538">
        <f t="shared" si="93"/>
        <v>2721895</v>
      </c>
      <c r="BH538">
        <f t="shared" si="93"/>
        <v>8165685</v>
      </c>
      <c r="BI538">
        <f t="shared" si="93"/>
        <v>23136107.5</v>
      </c>
      <c r="BJ538">
        <f t="shared" si="93"/>
        <v>81656850</v>
      </c>
      <c r="BK538">
        <f t="shared" si="93"/>
        <v>272189500</v>
      </c>
      <c r="BL538">
        <v>533</v>
      </c>
    </row>
    <row r="539" spans="1:64" ht="17.25" thickBot="1" x14ac:dyDescent="0.25">
      <c r="A539" s="131">
        <v>535</v>
      </c>
      <c r="B539" s="132">
        <v>107722300</v>
      </c>
      <c r="D539" s="131">
        <v>535</v>
      </c>
      <c r="E539" s="132">
        <v>27.357600000000001</v>
      </c>
      <c r="AK539">
        <v>533</v>
      </c>
      <c r="AL539" s="24">
        <f t="shared" si="94"/>
        <v>27.265250000000002</v>
      </c>
      <c r="AM539">
        <f t="shared" si="95"/>
        <v>190.85675000000001</v>
      </c>
      <c r="AN539">
        <f t="shared" si="95"/>
        <v>272.65250000000003</v>
      </c>
      <c r="AO539">
        <f t="shared" si="95"/>
        <v>408.97875000000005</v>
      </c>
      <c r="AP539">
        <f t="shared" si="95"/>
        <v>545.30500000000006</v>
      </c>
      <c r="AQ539">
        <f t="shared" si="95"/>
        <v>954.28375000000005</v>
      </c>
      <c r="AR539">
        <f t="shared" si="95"/>
        <v>1363.2625</v>
      </c>
      <c r="AS539">
        <f t="shared" si="95"/>
        <v>2181.2200000000003</v>
      </c>
      <c r="AT539">
        <f t="shared" si="95"/>
        <v>3271.8300000000004</v>
      </c>
      <c r="AU539">
        <f t="shared" si="95"/>
        <v>4635.0925000000007</v>
      </c>
      <c r="AV539">
        <f t="shared" si="95"/>
        <v>6543.6600000000008</v>
      </c>
      <c r="AW539">
        <f t="shared" si="95"/>
        <v>8997.5325000000012</v>
      </c>
      <c r="AX539">
        <f t="shared" si="95"/>
        <v>12542.015000000001</v>
      </c>
      <c r="AY539">
        <f t="shared" si="95"/>
        <v>21812.2</v>
      </c>
      <c r="AZ539">
        <f t="shared" si="95"/>
        <v>40897.875</v>
      </c>
      <c r="BA539">
        <f t="shared" si="95"/>
        <v>68163.125</v>
      </c>
      <c r="BB539">
        <f t="shared" si="95"/>
        <v>109061</v>
      </c>
      <c r="BC539">
        <f t="shared" si="93"/>
        <v>272652.5</v>
      </c>
      <c r="BD539">
        <f t="shared" si="93"/>
        <v>408978.75</v>
      </c>
      <c r="BE539">
        <f t="shared" si="93"/>
        <v>654366</v>
      </c>
      <c r="BF539">
        <f t="shared" si="93"/>
        <v>817957.5</v>
      </c>
      <c r="BG539">
        <f t="shared" si="93"/>
        <v>2726525</v>
      </c>
      <c r="BH539">
        <f t="shared" si="93"/>
        <v>8179575.0000000009</v>
      </c>
      <c r="BI539">
        <f t="shared" si="93"/>
        <v>23175462.5</v>
      </c>
      <c r="BJ539">
        <f t="shared" si="93"/>
        <v>81795750</v>
      </c>
      <c r="BK539">
        <f t="shared" si="93"/>
        <v>272652500</v>
      </c>
      <c r="BL539" s="145">
        <v>534</v>
      </c>
    </row>
    <row r="540" spans="1:64" ht="17.25" thickBot="1" x14ac:dyDescent="0.25">
      <c r="A540" s="131">
        <v>536</v>
      </c>
      <c r="B540" s="132">
        <v>108174911</v>
      </c>
      <c r="D540" s="131">
        <v>536</v>
      </c>
      <c r="E540" s="132">
        <v>27.403649999999999</v>
      </c>
      <c r="AK540">
        <v>534</v>
      </c>
      <c r="AL540" s="24">
        <f t="shared" si="94"/>
        <v>27.31147</v>
      </c>
      <c r="AM540">
        <f t="shared" si="95"/>
        <v>191.18029000000001</v>
      </c>
      <c r="AN540">
        <f t="shared" si="95"/>
        <v>273.11469999999997</v>
      </c>
      <c r="AO540">
        <f t="shared" si="95"/>
        <v>409.67205000000001</v>
      </c>
      <c r="AP540">
        <f t="shared" si="95"/>
        <v>546.22939999999994</v>
      </c>
      <c r="AQ540">
        <f t="shared" si="95"/>
        <v>955.90144999999995</v>
      </c>
      <c r="AR540">
        <f t="shared" si="95"/>
        <v>1365.5735</v>
      </c>
      <c r="AS540">
        <f t="shared" si="95"/>
        <v>2184.9175999999998</v>
      </c>
      <c r="AT540">
        <f t="shared" si="95"/>
        <v>3277.3764000000001</v>
      </c>
      <c r="AU540">
        <f t="shared" si="95"/>
        <v>4642.9498999999996</v>
      </c>
      <c r="AV540">
        <f t="shared" si="95"/>
        <v>6554.7528000000002</v>
      </c>
      <c r="AW540">
        <f t="shared" si="95"/>
        <v>9012.7850999999991</v>
      </c>
      <c r="AX540">
        <f t="shared" si="95"/>
        <v>12563.2762</v>
      </c>
      <c r="AY540">
        <f t="shared" si="95"/>
        <v>21849.175999999999</v>
      </c>
      <c r="AZ540">
        <f t="shared" si="95"/>
        <v>40967.205000000002</v>
      </c>
      <c r="BA540">
        <f t="shared" si="95"/>
        <v>68278.675000000003</v>
      </c>
      <c r="BB540">
        <f t="shared" si="95"/>
        <v>109245.88</v>
      </c>
      <c r="BC540">
        <f t="shared" si="93"/>
        <v>273114.7</v>
      </c>
      <c r="BD540">
        <f t="shared" si="93"/>
        <v>409672.05</v>
      </c>
      <c r="BE540">
        <f t="shared" si="93"/>
        <v>655475.28</v>
      </c>
      <c r="BF540">
        <f t="shared" si="93"/>
        <v>819344.1</v>
      </c>
      <c r="BG540">
        <f t="shared" si="93"/>
        <v>2731147</v>
      </c>
      <c r="BH540">
        <f t="shared" si="93"/>
        <v>8193441</v>
      </c>
      <c r="BI540">
        <f t="shared" si="93"/>
        <v>23214749.5</v>
      </c>
      <c r="BJ540">
        <f t="shared" si="93"/>
        <v>81934410</v>
      </c>
      <c r="BK540">
        <f t="shared" si="93"/>
        <v>273114700</v>
      </c>
      <c r="BL540">
        <v>535</v>
      </c>
    </row>
    <row r="541" spans="1:64" ht="17.25" thickBot="1" x14ac:dyDescent="0.25">
      <c r="A541" s="131">
        <v>537</v>
      </c>
      <c r="B541" s="132">
        <v>108633222</v>
      </c>
      <c r="D541" s="131">
        <v>537</v>
      </c>
      <c r="E541" s="132">
        <v>27.44961</v>
      </c>
      <c r="AK541">
        <v>535</v>
      </c>
      <c r="AL541" s="24">
        <f t="shared" si="94"/>
        <v>27.357600000000001</v>
      </c>
      <c r="AM541">
        <f t="shared" si="95"/>
        <v>191.50320000000002</v>
      </c>
      <c r="AN541">
        <f t="shared" si="95"/>
        <v>273.57600000000002</v>
      </c>
      <c r="AO541">
        <f t="shared" si="95"/>
        <v>410.36400000000003</v>
      </c>
      <c r="AP541">
        <f t="shared" si="95"/>
        <v>547.15200000000004</v>
      </c>
      <c r="AQ541">
        <f t="shared" si="95"/>
        <v>957.51600000000008</v>
      </c>
      <c r="AR541">
        <f t="shared" si="95"/>
        <v>1367.88</v>
      </c>
      <c r="AS541">
        <f t="shared" si="95"/>
        <v>2188.6080000000002</v>
      </c>
      <c r="AT541">
        <f t="shared" si="95"/>
        <v>3282.9120000000003</v>
      </c>
      <c r="AU541">
        <f t="shared" si="95"/>
        <v>4650.7920000000004</v>
      </c>
      <c r="AV541">
        <f t="shared" si="95"/>
        <v>6565.8240000000005</v>
      </c>
      <c r="AW541">
        <f t="shared" si="95"/>
        <v>9028.0079999999998</v>
      </c>
      <c r="AX541">
        <f t="shared" si="95"/>
        <v>12584.496000000001</v>
      </c>
      <c r="AY541">
        <f t="shared" si="95"/>
        <v>21886.080000000002</v>
      </c>
      <c r="AZ541">
        <f t="shared" si="95"/>
        <v>41036.400000000001</v>
      </c>
      <c r="BA541">
        <f t="shared" si="95"/>
        <v>68394</v>
      </c>
      <c r="BB541">
        <f t="shared" si="95"/>
        <v>109430.40000000001</v>
      </c>
      <c r="BC541">
        <f t="shared" si="93"/>
        <v>273576</v>
      </c>
      <c r="BD541">
        <f t="shared" si="93"/>
        <v>410364</v>
      </c>
      <c r="BE541">
        <f t="shared" si="93"/>
        <v>656582.40000000002</v>
      </c>
      <c r="BF541">
        <f t="shared" si="93"/>
        <v>820728</v>
      </c>
      <c r="BG541">
        <f t="shared" si="93"/>
        <v>2735760</v>
      </c>
      <c r="BH541">
        <f t="shared" si="93"/>
        <v>8207280</v>
      </c>
      <c r="BI541">
        <f t="shared" si="93"/>
        <v>23253960</v>
      </c>
      <c r="BJ541">
        <f t="shared" si="93"/>
        <v>82072800</v>
      </c>
      <c r="BK541">
        <f t="shared" si="93"/>
        <v>273576000</v>
      </c>
      <c r="BL541" s="145">
        <v>536</v>
      </c>
    </row>
    <row r="542" spans="1:64" ht="17.25" thickBot="1" x14ac:dyDescent="0.25">
      <c r="A542" s="131">
        <v>538</v>
      </c>
      <c r="B542" s="132">
        <v>109097277</v>
      </c>
      <c r="D542" s="131">
        <v>538</v>
      </c>
      <c r="E542" s="132">
        <v>27.49549</v>
      </c>
      <c r="AK542">
        <v>536</v>
      </c>
      <c r="AL542" s="24">
        <f t="shared" si="94"/>
        <v>27.403649999999999</v>
      </c>
      <c r="AM542">
        <f t="shared" si="95"/>
        <v>191.82554999999999</v>
      </c>
      <c r="AN542">
        <f t="shared" si="95"/>
        <v>274.03649999999999</v>
      </c>
      <c r="AO542">
        <f t="shared" si="95"/>
        <v>411.05475000000001</v>
      </c>
      <c r="AP542">
        <f t="shared" si="95"/>
        <v>548.07299999999998</v>
      </c>
      <c r="AQ542">
        <f t="shared" si="95"/>
        <v>959.12774999999999</v>
      </c>
      <c r="AR542">
        <f t="shared" si="95"/>
        <v>1370.1824999999999</v>
      </c>
      <c r="AS542">
        <f t="shared" si="95"/>
        <v>2192.2919999999999</v>
      </c>
      <c r="AT542">
        <f t="shared" si="95"/>
        <v>3288.4380000000001</v>
      </c>
      <c r="AU542">
        <f t="shared" si="95"/>
        <v>4658.6205</v>
      </c>
      <c r="AV542">
        <f t="shared" si="95"/>
        <v>6576.8760000000002</v>
      </c>
      <c r="AW542">
        <f t="shared" si="95"/>
        <v>9043.2044999999998</v>
      </c>
      <c r="AX542">
        <f t="shared" si="95"/>
        <v>12605.679</v>
      </c>
      <c r="AY542">
        <f t="shared" si="95"/>
        <v>21922.92</v>
      </c>
      <c r="AZ542">
        <f t="shared" si="95"/>
        <v>41105.474999999999</v>
      </c>
      <c r="BA542">
        <f t="shared" si="95"/>
        <v>68509.125</v>
      </c>
      <c r="BB542">
        <f t="shared" si="95"/>
        <v>109614.59999999999</v>
      </c>
      <c r="BC542">
        <f t="shared" si="93"/>
        <v>274036.5</v>
      </c>
      <c r="BD542">
        <f t="shared" si="93"/>
        <v>411054.75</v>
      </c>
      <c r="BE542">
        <f t="shared" si="93"/>
        <v>657687.6</v>
      </c>
      <c r="BF542">
        <f t="shared" si="93"/>
        <v>822109.5</v>
      </c>
      <c r="BG542">
        <f t="shared" si="93"/>
        <v>2740365</v>
      </c>
      <c r="BH542">
        <f t="shared" si="93"/>
        <v>8221095</v>
      </c>
      <c r="BI542">
        <f t="shared" si="93"/>
        <v>23293102.5</v>
      </c>
      <c r="BJ542">
        <f t="shared" si="93"/>
        <v>82210950</v>
      </c>
      <c r="BK542">
        <f t="shared" si="93"/>
        <v>274036500</v>
      </c>
      <c r="BL542">
        <v>537</v>
      </c>
    </row>
    <row r="543" spans="1:64" ht="17.25" thickBot="1" x14ac:dyDescent="0.25">
      <c r="A543" s="131">
        <v>539</v>
      </c>
      <c r="B543" s="132">
        <v>109567122</v>
      </c>
      <c r="D543" s="131">
        <v>539</v>
      </c>
      <c r="E543" s="132">
        <v>27.54128</v>
      </c>
      <c r="AK543">
        <v>537</v>
      </c>
      <c r="AL543" s="24">
        <f t="shared" si="94"/>
        <v>27.44961</v>
      </c>
      <c r="AM543">
        <f t="shared" si="95"/>
        <v>192.14726999999999</v>
      </c>
      <c r="AN543">
        <f t="shared" si="95"/>
        <v>274.49610000000001</v>
      </c>
      <c r="AO543">
        <f t="shared" si="95"/>
        <v>411.74414999999999</v>
      </c>
      <c r="AP543">
        <f t="shared" si="95"/>
        <v>548.99220000000003</v>
      </c>
      <c r="AQ543">
        <f t="shared" si="95"/>
        <v>960.73635000000002</v>
      </c>
      <c r="AR543">
        <f t="shared" si="95"/>
        <v>1372.4804999999999</v>
      </c>
      <c r="AS543">
        <f t="shared" si="95"/>
        <v>2195.9688000000001</v>
      </c>
      <c r="AT543">
        <f t="shared" si="95"/>
        <v>3293.9531999999999</v>
      </c>
      <c r="AU543">
        <f t="shared" si="95"/>
        <v>4666.4336999999996</v>
      </c>
      <c r="AV543">
        <f t="shared" si="95"/>
        <v>6587.9063999999998</v>
      </c>
      <c r="AW543">
        <f t="shared" si="95"/>
        <v>9058.3713000000007</v>
      </c>
      <c r="AX543">
        <f t="shared" ref="AM543:BB559" si="96">AX$5*VLOOKUP($AK543,$D$2:$E$1404,2,FALSE)</f>
        <v>12626.820599999999</v>
      </c>
      <c r="AY543">
        <f t="shared" si="96"/>
        <v>21959.687999999998</v>
      </c>
      <c r="AZ543">
        <f t="shared" si="96"/>
        <v>41174.415000000001</v>
      </c>
      <c r="BA543">
        <f t="shared" si="96"/>
        <v>68624.024999999994</v>
      </c>
      <c r="BB543">
        <f t="shared" si="96"/>
        <v>109798.44</v>
      </c>
      <c r="BC543">
        <f t="shared" si="93"/>
        <v>274496.09999999998</v>
      </c>
      <c r="BD543">
        <f t="shared" si="93"/>
        <v>411744.15</v>
      </c>
      <c r="BE543">
        <f t="shared" si="93"/>
        <v>658790.64</v>
      </c>
      <c r="BF543">
        <f t="shared" si="93"/>
        <v>823488.3</v>
      </c>
      <c r="BG543">
        <f t="shared" si="93"/>
        <v>2744961</v>
      </c>
      <c r="BH543">
        <f t="shared" si="93"/>
        <v>8234883</v>
      </c>
      <c r="BI543">
        <f t="shared" si="93"/>
        <v>23332168.5</v>
      </c>
      <c r="BJ543">
        <f t="shared" si="93"/>
        <v>82348830</v>
      </c>
      <c r="BK543">
        <f t="shared" si="93"/>
        <v>274496100</v>
      </c>
      <c r="BL543" s="145">
        <v>538</v>
      </c>
    </row>
    <row r="544" spans="1:64" ht="17.25" thickBot="1" x14ac:dyDescent="0.25">
      <c r="A544" s="131">
        <v>540</v>
      </c>
      <c r="B544" s="132">
        <v>110042800</v>
      </c>
      <c r="D544" s="131">
        <v>540</v>
      </c>
      <c r="E544" s="132">
        <v>27.58699</v>
      </c>
      <c r="AK544">
        <v>538</v>
      </c>
      <c r="AL544" s="24">
        <f t="shared" si="94"/>
        <v>27.49549</v>
      </c>
      <c r="AM544">
        <f t="shared" si="96"/>
        <v>192.46843000000001</v>
      </c>
      <c r="AN544">
        <f t="shared" si="96"/>
        <v>274.95490000000001</v>
      </c>
      <c r="AO544">
        <f t="shared" si="96"/>
        <v>412.43234999999999</v>
      </c>
      <c r="AP544">
        <f t="shared" si="96"/>
        <v>549.90980000000002</v>
      </c>
      <c r="AQ544">
        <f t="shared" si="96"/>
        <v>962.34215000000006</v>
      </c>
      <c r="AR544">
        <f t="shared" si="96"/>
        <v>1374.7745</v>
      </c>
      <c r="AS544">
        <f t="shared" si="96"/>
        <v>2199.6392000000001</v>
      </c>
      <c r="AT544">
        <f t="shared" si="96"/>
        <v>3299.4587999999999</v>
      </c>
      <c r="AU544">
        <f t="shared" si="96"/>
        <v>4674.2332999999999</v>
      </c>
      <c r="AV544">
        <f t="shared" si="96"/>
        <v>6598.9175999999998</v>
      </c>
      <c r="AW544">
        <f t="shared" si="96"/>
        <v>9073.5117000000009</v>
      </c>
      <c r="AX544">
        <f t="shared" si="96"/>
        <v>12647.9254</v>
      </c>
      <c r="AY544">
        <f t="shared" si="96"/>
        <v>21996.392</v>
      </c>
      <c r="AZ544">
        <f t="shared" si="96"/>
        <v>41243.235000000001</v>
      </c>
      <c r="BA544">
        <f t="shared" si="96"/>
        <v>68738.725000000006</v>
      </c>
      <c r="BB544">
        <f t="shared" si="96"/>
        <v>109981.96</v>
      </c>
      <c r="BC544">
        <f t="shared" si="93"/>
        <v>274954.90000000002</v>
      </c>
      <c r="BD544">
        <f t="shared" si="93"/>
        <v>412432.35</v>
      </c>
      <c r="BE544">
        <f t="shared" si="93"/>
        <v>659891.76</v>
      </c>
      <c r="BF544">
        <f t="shared" si="93"/>
        <v>824864.7</v>
      </c>
      <c r="BG544">
        <f t="shared" si="93"/>
        <v>2749549</v>
      </c>
      <c r="BH544">
        <f t="shared" si="93"/>
        <v>8248647</v>
      </c>
      <c r="BI544">
        <f t="shared" si="93"/>
        <v>23371166.5</v>
      </c>
      <c r="BJ544">
        <f t="shared" si="93"/>
        <v>82486470</v>
      </c>
      <c r="BK544">
        <f t="shared" si="93"/>
        <v>274954900</v>
      </c>
      <c r="BL544">
        <v>539</v>
      </c>
    </row>
    <row r="545" spans="1:64" ht="17.25" thickBot="1" x14ac:dyDescent="0.25">
      <c r="A545" s="131">
        <v>541</v>
      </c>
      <c r="B545" s="132">
        <v>110524355</v>
      </c>
      <c r="D545" s="131">
        <v>541</v>
      </c>
      <c r="E545" s="132">
        <v>27.632619999999999</v>
      </c>
      <c r="AK545">
        <v>539</v>
      </c>
      <c r="AL545" s="24">
        <f t="shared" si="94"/>
        <v>27.54128</v>
      </c>
      <c r="AM545">
        <f t="shared" si="96"/>
        <v>192.78896</v>
      </c>
      <c r="AN545">
        <f t="shared" si="96"/>
        <v>275.4128</v>
      </c>
      <c r="AO545">
        <f t="shared" si="96"/>
        <v>413.11919999999998</v>
      </c>
      <c r="AP545">
        <f t="shared" si="96"/>
        <v>550.82560000000001</v>
      </c>
      <c r="AQ545">
        <f t="shared" si="96"/>
        <v>963.94479999999999</v>
      </c>
      <c r="AR545">
        <f t="shared" si="96"/>
        <v>1377.0640000000001</v>
      </c>
      <c r="AS545">
        <f t="shared" si="96"/>
        <v>2203.3024</v>
      </c>
      <c r="AT545">
        <f t="shared" si="96"/>
        <v>3304.9535999999998</v>
      </c>
      <c r="AU545">
        <f t="shared" si="96"/>
        <v>4682.0176000000001</v>
      </c>
      <c r="AV545">
        <f t="shared" si="96"/>
        <v>6609.9071999999996</v>
      </c>
      <c r="AW545">
        <f t="shared" si="96"/>
        <v>9088.6224000000002</v>
      </c>
      <c r="AX545">
        <f t="shared" si="96"/>
        <v>12668.988800000001</v>
      </c>
      <c r="AY545">
        <f t="shared" si="96"/>
        <v>22033.024000000001</v>
      </c>
      <c r="AZ545">
        <f t="shared" si="96"/>
        <v>41311.919999999998</v>
      </c>
      <c r="BA545">
        <f t="shared" si="96"/>
        <v>68853.2</v>
      </c>
      <c r="BB545">
        <f t="shared" si="96"/>
        <v>110165.12</v>
      </c>
      <c r="BC545">
        <f t="shared" si="93"/>
        <v>275412.8</v>
      </c>
      <c r="BD545">
        <f t="shared" si="93"/>
        <v>413119.2</v>
      </c>
      <c r="BE545">
        <f t="shared" si="93"/>
        <v>660990.71999999997</v>
      </c>
      <c r="BF545">
        <f t="shared" si="93"/>
        <v>826238.4</v>
      </c>
      <c r="BG545">
        <f t="shared" si="93"/>
        <v>2754128</v>
      </c>
      <c r="BH545">
        <f t="shared" si="93"/>
        <v>8262384</v>
      </c>
      <c r="BI545">
        <f t="shared" si="93"/>
        <v>23410088</v>
      </c>
      <c r="BJ545">
        <f t="shared" si="93"/>
        <v>82623840</v>
      </c>
      <c r="BK545">
        <f t="shared" si="93"/>
        <v>275412800</v>
      </c>
      <c r="BL545" s="145">
        <v>540</v>
      </c>
    </row>
    <row r="546" spans="1:64" ht="17.25" thickBot="1" x14ac:dyDescent="0.25">
      <c r="A546" s="131">
        <v>542</v>
      </c>
      <c r="B546" s="132">
        <v>111011838</v>
      </c>
      <c r="D546" s="131">
        <v>542</v>
      </c>
      <c r="E546" s="132">
        <v>27.678159999999998</v>
      </c>
      <c r="AK546">
        <v>540</v>
      </c>
      <c r="AL546" s="24">
        <f t="shared" si="94"/>
        <v>27.58699</v>
      </c>
      <c r="AM546">
        <f t="shared" si="96"/>
        <v>193.10892999999999</v>
      </c>
      <c r="AN546">
        <f t="shared" si="96"/>
        <v>275.86990000000003</v>
      </c>
      <c r="AO546">
        <f t="shared" si="96"/>
        <v>413.80484999999999</v>
      </c>
      <c r="AP546">
        <f t="shared" si="96"/>
        <v>551.73980000000006</v>
      </c>
      <c r="AQ546">
        <f t="shared" si="96"/>
        <v>965.54465000000005</v>
      </c>
      <c r="AR546">
        <f t="shared" si="96"/>
        <v>1379.3495</v>
      </c>
      <c r="AS546">
        <f t="shared" si="96"/>
        <v>2206.9592000000002</v>
      </c>
      <c r="AT546">
        <f t="shared" si="96"/>
        <v>3310.4387999999999</v>
      </c>
      <c r="AU546">
        <f t="shared" si="96"/>
        <v>4689.7883000000002</v>
      </c>
      <c r="AV546">
        <f t="shared" si="96"/>
        <v>6620.8775999999998</v>
      </c>
      <c r="AW546">
        <f t="shared" si="96"/>
        <v>9103.7067000000006</v>
      </c>
      <c r="AX546">
        <f t="shared" si="96"/>
        <v>12690.0154</v>
      </c>
      <c r="AY546">
        <f t="shared" si="96"/>
        <v>22069.592000000001</v>
      </c>
      <c r="AZ546">
        <f t="shared" si="96"/>
        <v>41380.485000000001</v>
      </c>
      <c r="BA546">
        <f t="shared" si="96"/>
        <v>68967.475000000006</v>
      </c>
      <c r="BB546">
        <f t="shared" si="96"/>
        <v>110347.96</v>
      </c>
      <c r="BC546">
        <f t="shared" si="93"/>
        <v>275869.90000000002</v>
      </c>
      <c r="BD546">
        <f t="shared" si="93"/>
        <v>413804.85</v>
      </c>
      <c r="BE546">
        <f t="shared" si="93"/>
        <v>662087.76</v>
      </c>
      <c r="BF546">
        <f t="shared" si="93"/>
        <v>827609.7</v>
      </c>
      <c r="BG546">
        <f t="shared" si="93"/>
        <v>2758699</v>
      </c>
      <c r="BH546">
        <f t="shared" si="93"/>
        <v>8276097</v>
      </c>
      <c r="BI546">
        <f t="shared" si="93"/>
        <v>23448941.5</v>
      </c>
      <c r="BJ546">
        <f t="shared" si="93"/>
        <v>82760970</v>
      </c>
      <c r="BK546">
        <f t="shared" si="93"/>
        <v>275869900</v>
      </c>
      <c r="BL546">
        <v>541</v>
      </c>
    </row>
    <row r="547" spans="1:64" ht="17.25" thickBot="1" x14ac:dyDescent="0.25">
      <c r="A547" s="131">
        <v>543</v>
      </c>
      <c r="B547" s="132">
        <v>111505288</v>
      </c>
      <c r="D547" s="131">
        <v>543</v>
      </c>
      <c r="E547" s="132">
        <v>27.72362</v>
      </c>
      <c r="AK547">
        <v>541</v>
      </c>
      <c r="AL547" s="24">
        <f t="shared" si="94"/>
        <v>27.632619999999999</v>
      </c>
      <c r="AM547">
        <f t="shared" si="96"/>
        <v>193.42833999999999</v>
      </c>
      <c r="AN547">
        <f t="shared" si="96"/>
        <v>276.32619999999997</v>
      </c>
      <c r="AO547">
        <f t="shared" si="96"/>
        <v>414.48930000000001</v>
      </c>
      <c r="AP547">
        <f t="shared" si="96"/>
        <v>552.65239999999994</v>
      </c>
      <c r="AQ547">
        <f t="shared" si="96"/>
        <v>967.14170000000001</v>
      </c>
      <c r="AR547">
        <f t="shared" si="96"/>
        <v>1381.6309999999999</v>
      </c>
      <c r="AS547">
        <f t="shared" si="96"/>
        <v>2210.6095999999998</v>
      </c>
      <c r="AT547">
        <f t="shared" si="96"/>
        <v>3315.9144000000001</v>
      </c>
      <c r="AU547">
        <f t="shared" si="96"/>
        <v>4697.5454</v>
      </c>
      <c r="AV547">
        <f t="shared" si="96"/>
        <v>6631.8288000000002</v>
      </c>
      <c r="AW547">
        <f t="shared" si="96"/>
        <v>9118.7646000000004</v>
      </c>
      <c r="AX547">
        <f t="shared" si="96"/>
        <v>12711.0052</v>
      </c>
      <c r="AY547">
        <f t="shared" si="96"/>
        <v>22106.095999999998</v>
      </c>
      <c r="AZ547">
        <f t="shared" si="96"/>
        <v>41448.93</v>
      </c>
      <c r="BA547">
        <f t="shared" si="96"/>
        <v>69081.55</v>
      </c>
      <c r="BB547">
        <f t="shared" si="96"/>
        <v>110530.48</v>
      </c>
      <c r="BC547">
        <f t="shared" si="93"/>
        <v>276326.2</v>
      </c>
      <c r="BD547">
        <f t="shared" si="93"/>
        <v>414489.3</v>
      </c>
      <c r="BE547">
        <f t="shared" si="93"/>
        <v>663182.88</v>
      </c>
      <c r="BF547">
        <f t="shared" si="93"/>
        <v>828978.6</v>
      </c>
      <c r="BG547">
        <f t="shared" si="93"/>
        <v>2763262</v>
      </c>
      <c r="BH547">
        <f t="shared" si="93"/>
        <v>8289786</v>
      </c>
      <c r="BI547">
        <f t="shared" si="93"/>
        <v>23487727</v>
      </c>
      <c r="BJ547">
        <f t="shared" si="93"/>
        <v>82897860</v>
      </c>
      <c r="BK547">
        <f t="shared" ref="BC547:BK563" si="97">BK$5*VLOOKUP($AK547,$D$2:$E$1404,2,FALSE)</f>
        <v>276326200</v>
      </c>
      <c r="BL547" s="145">
        <v>542</v>
      </c>
    </row>
    <row r="548" spans="1:64" ht="17.25" thickBot="1" x14ac:dyDescent="0.25">
      <c r="A548" s="131">
        <v>544</v>
      </c>
      <c r="B548" s="132">
        <v>112004761</v>
      </c>
      <c r="D548" s="131">
        <v>544</v>
      </c>
      <c r="E548" s="132">
        <v>27.768999999999998</v>
      </c>
      <c r="AK548">
        <v>542</v>
      </c>
      <c r="AL548" s="24">
        <f t="shared" si="94"/>
        <v>27.678159999999998</v>
      </c>
      <c r="AM548">
        <f t="shared" si="96"/>
        <v>193.74712</v>
      </c>
      <c r="AN548">
        <f t="shared" si="96"/>
        <v>276.78159999999997</v>
      </c>
      <c r="AO548">
        <f t="shared" si="96"/>
        <v>415.17239999999998</v>
      </c>
      <c r="AP548">
        <f t="shared" si="96"/>
        <v>553.56319999999994</v>
      </c>
      <c r="AQ548">
        <f t="shared" si="96"/>
        <v>968.73559999999998</v>
      </c>
      <c r="AR548">
        <f t="shared" si="96"/>
        <v>1383.9079999999999</v>
      </c>
      <c r="AS548">
        <f t="shared" si="96"/>
        <v>2214.2527999999998</v>
      </c>
      <c r="AT548">
        <f t="shared" si="96"/>
        <v>3321.3791999999999</v>
      </c>
      <c r="AU548">
        <f t="shared" si="96"/>
        <v>4705.2871999999998</v>
      </c>
      <c r="AV548">
        <f t="shared" si="96"/>
        <v>6642.7583999999997</v>
      </c>
      <c r="AW548">
        <f t="shared" si="96"/>
        <v>9133.7927999999993</v>
      </c>
      <c r="AX548">
        <f t="shared" si="96"/>
        <v>12731.953599999999</v>
      </c>
      <c r="AY548">
        <f t="shared" si="96"/>
        <v>22142.527999999998</v>
      </c>
      <c r="AZ548">
        <f t="shared" si="96"/>
        <v>41517.24</v>
      </c>
      <c r="BA548">
        <f t="shared" si="96"/>
        <v>69195.399999999994</v>
      </c>
      <c r="BB548">
        <f t="shared" si="96"/>
        <v>110712.64</v>
      </c>
      <c r="BC548">
        <f t="shared" si="97"/>
        <v>276781.59999999998</v>
      </c>
      <c r="BD548">
        <f t="shared" si="97"/>
        <v>415172.39999999997</v>
      </c>
      <c r="BE548">
        <f t="shared" si="97"/>
        <v>664275.84</v>
      </c>
      <c r="BF548">
        <f t="shared" si="97"/>
        <v>830344.79999999993</v>
      </c>
      <c r="BG548">
        <f t="shared" si="97"/>
        <v>2767816</v>
      </c>
      <c r="BH548">
        <f t="shared" si="97"/>
        <v>8303447.9999999991</v>
      </c>
      <c r="BI548">
        <f t="shared" si="97"/>
        <v>23526436</v>
      </c>
      <c r="BJ548">
        <f t="shared" si="97"/>
        <v>83034480</v>
      </c>
      <c r="BK548">
        <f t="shared" si="97"/>
        <v>276781600</v>
      </c>
      <c r="BL548">
        <v>543</v>
      </c>
    </row>
    <row r="549" spans="1:64" ht="17.25" thickBot="1" x14ac:dyDescent="0.25">
      <c r="A549" s="131">
        <v>545</v>
      </c>
      <c r="B549" s="132">
        <v>112510294</v>
      </c>
      <c r="D549" s="131">
        <v>545</v>
      </c>
      <c r="E549" s="132">
        <v>27.81429</v>
      </c>
      <c r="AK549">
        <v>543</v>
      </c>
      <c r="AL549" s="24">
        <f t="shared" si="94"/>
        <v>27.72362</v>
      </c>
      <c r="AM549">
        <f t="shared" si="96"/>
        <v>194.06533999999999</v>
      </c>
      <c r="AN549">
        <f t="shared" si="96"/>
        <v>277.2362</v>
      </c>
      <c r="AO549">
        <f t="shared" si="96"/>
        <v>415.85430000000002</v>
      </c>
      <c r="AP549">
        <f t="shared" si="96"/>
        <v>554.47239999999999</v>
      </c>
      <c r="AQ549">
        <f t="shared" si="96"/>
        <v>970.32669999999996</v>
      </c>
      <c r="AR549">
        <f t="shared" si="96"/>
        <v>1386.181</v>
      </c>
      <c r="AS549">
        <f t="shared" si="96"/>
        <v>2217.8896</v>
      </c>
      <c r="AT549">
        <f t="shared" si="96"/>
        <v>3326.8344000000002</v>
      </c>
      <c r="AU549">
        <f t="shared" si="96"/>
        <v>4713.0154000000002</v>
      </c>
      <c r="AV549">
        <f t="shared" si="96"/>
        <v>6653.6688000000004</v>
      </c>
      <c r="AW549">
        <f t="shared" si="96"/>
        <v>9148.7945999999993</v>
      </c>
      <c r="AX549">
        <f t="shared" si="96"/>
        <v>12752.8652</v>
      </c>
      <c r="AY549">
        <f t="shared" si="96"/>
        <v>22178.896000000001</v>
      </c>
      <c r="AZ549">
        <f t="shared" si="96"/>
        <v>41585.43</v>
      </c>
      <c r="BA549">
        <f t="shared" si="96"/>
        <v>69309.05</v>
      </c>
      <c r="BB549">
        <f t="shared" si="96"/>
        <v>110894.48</v>
      </c>
      <c r="BC549">
        <f t="shared" si="97"/>
        <v>277236.2</v>
      </c>
      <c r="BD549">
        <f t="shared" si="97"/>
        <v>415854.3</v>
      </c>
      <c r="BE549">
        <f t="shared" si="97"/>
        <v>665366.88</v>
      </c>
      <c r="BF549">
        <f t="shared" si="97"/>
        <v>831708.6</v>
      </c>
      <c r="BG549">
        <f t="shared" si="97"/>
        <v>2772362</v>
      </c>
      <c r="BH549">
        <f t="shared" si="97"/>
        <v>8317086</v>
      </c>
      <c r="BI549">
        <f t="shared" si="97"/>
        <v>23565077</v>
      </c>
      <c r="BJ549">
        <f t="shared" si="97"/>
        <v>83170860</v>
      </c>
      <c r="BK549">
        <f t="shared" si="97"/>
        <v>277236200</v>
      </c>
      <c r="BL549" s="145">
        <v>544</v>
      </c>
    </row>
    <row r="550" spans="1:64" ht="17.25" thickBot="1" x14ac:dyDescent="0.25">
      <c r="A550" s="131">
        <v>546</v>
      </c>
      <c r="B550" s="132">
        <v>113021938</v>
      </c>
      <c r="D550" s="131">
        <v>546</v>
      </c>
      <c r="E550" s="132">
        <v>27.859500000000001</v>
      </c>
      <c r="AK550">
        <v>544</v>
      </c>
      <c r="AL550" s="24">
        <f t="shared" si="94"/>
        <v>27.768999999999998</v>
      </c>
      <c r="AM550">
        <f t="shared" si="96"/>
        <v>194.38299999999998</v>
      </c>
      <c r="AN550">
        <f t="shared" si="96"/>
        <v>277.69</v>
      </c>
      <c r="AO550">
        <f t="shared" si="96"/>
        <v>416.53499999999997</v>
      </c>
      <c r="AP550">
        <f t="shared" si="96"/>
        <v>555.38</v>
      </c>
      <c r="AQ550">
        <f t="shared" si="96"/>
        <v>971.91499999999996</v>
      </c>
      <c r="AR550">
        <f t="shared" si="96"/>
        <v>1388.4499999999998</v>
      </c>
      <c r="AS550">
        <f t="shared" si="96"/>
        <v>2221.52</v>
      </c>
      <c r="AT550">
        <f t="shared" si="96"/>
        <v>3332.2799999999997</v>
      </c>
      <c r="AU550">
        <f t="shared" si="96"/>
        <v>4720.7299999999996</v>
      </c>
      <c r="AV550">
        <f t="shared" si="96"/>
        <v>6664.5599999999995</v>
      </c>
      <c r="AW550">
        <f t="shared" si="96"/>
        <v>9163.7699999999986</v>
      </c>
      <c r="AX550">
        <f t="shared" si="96"/>
        <v>12773.74</v>
      </c>
      <c r="AY550">
        <f t="shared" si="96"/>
        <v>22215.199999999997</v>
      </c>
      <c r="AZ550">
        <f t="shared" si="96"/>
        <v>41653.5</v>
      </c>
      <c r="BA550">
        <f t="shared" si="96"/>
        <v>69422.5</v>
      </c>
      <c r="BB550">
        <f t="shared" si="96"/>
        <v>111076</v>
      </c>
      <c r="BC550">
        <f t="shared" si="97"/>
        <v>277690</v>
      </c>
      <c r="BD550">
        <f t="shared" si="97"/>
        <v>416535</v>
      </c>
      <c r="BE550">
        <f t="shared" si="97"/>
        <v>666456</v>
      </c>
      <c r="BF550">
        <f t="shared" si="97"/>
        <v>833070</v>
      </c>
      <c r="BG550">
        <f t="shared" si="97"/>
        <v>2776900</v>
      </c>
      <c r="BH550">
        <f t="shared" si="97"/>
        <v>8330699.9999999991</v>
      </c>
      <c r="BI550">
        <f t="shared" si="97"/>
        <v>23603650</v>
      </c>
      <c r="BJ550">
        <f t="shared" si="97"/>
        <v>83307000</v>
      </c>
      <c r="BK550">
        <f t="shared" si="97"/>
        <v>277690000</v>
      </c>
      <c r="BL550">
        <v>545</v>
      </c>
    </row>
    <row r="551" spans="1:64" ht="17.25" thickBot="1" x14ac:dyDescent="0.25">
      <c r="A551" s="131">
        <v>547</v>
      </c>
      <c r="B551" s="132">
        <v>113539738</v>
      </c>
      <c r="D551" s="131">
        <v>547</v>
      </c>
      <c r="E551" s="132">
        <v>27.904630000000001</v>
      </c>
      <c r="AK551">
        <v>545</v>
      </c>
      <c r="AL551" s="24">
        <f t="shared" si="94"/>
        <v>27.81429</v>
      </c>
      <c r="AM551">
        <f t="shared" si="96"/>
        <v>194.70003</v>
      </c>
      <c r="AN551">
        <f t="shared" si="96"/>
        <v>278.1429</v>
      </c>
      <c r="AO551">
        <f t="shared" si="96"/>
        <v>417.21434999999997</v>
      </c>
      <c r="AP551">
        <f t="shared" si="96"/>
        <v>556.28579999999999</v>
      </c>
      <c r="AQ551">
        <f t="shared" si="96"/>
        <v>973.50014999999996</v>
      </c>
      <c r="AR551">
        <f t="shared" si="96"/>
        <v>1390.7145</v>
      </c>
      <c r="AS551">
        <f t="shared" si="96"/>
        <v>2225.1432</v>
      </c>
      <c r="AT551">
        <f t="shared" si="96"/>
        <v>3337.7147999999997</v>
      </c>
      <c r="AU551">
        <f t="shared" si="96"/>
        <v>4728.4292999999998</v>
      </c>
      <c r="AV551">
        <f t="shared" si="96"/>
        <v>6675.4295999999995</v>
      </c>
      <c r="AW551">
        <f t="shared" si="96"/>
        <v>9178.7157000000007</v>
      </c>
      <c r="AX551">
        <f t="shared" si="96"/>
        <v>12794.573399999999</v>
      </c>
      <c r="AY551">
        <f t="shared" si="96"/>
        <v>22251.432000000001</v>
      </c>
      <c r="AZ551">
        <f t="shared" si="96"/>
        <v>41721.434999999998</v>
      </c>
      <c r="BA551">
        <f t="shared" si="96"/>
        <v>69535.725000000006</v>
      </c>
      <c r="BB551">
        <f t="shared" si="96"/>
        <v>111257.16</v>
      </c>
      <c r="BC551">
        <f t="shared" si="97"/>
        <v>278142.90000000002</v>
      </c>
      <c r="BD551">
        <f t="shared" si="97"/>
        <v>417214.35</v>
      </c>
      <c r="BE551">
        <f t="shared" si="97"/>
        <v>667542.96</v>
      </c>
      <c r="BF551">
        <f t="shared" si="97"/>
        <v>834428.7</v>
      </c>
      <c r="BG551">
        <f t="shared" si="97"/>
        <v>2781429</v>
      </c>
      <c r="BH551">
        <f t="shared" si="97"/>
        <v>8344287</v>
      </c>
      <c r="BI551">
        <f t="shared" si="97"/>
        <v>23642146.5</v>
      </c>
      <c r="BJ551">
        <f t="shared" si="97"/>
        <v>83442870</v>
      </c>
      <c r="BK551">
        <f t="shared" si="97"/>
        <v>278142900</v>
      </c>
      <c r="BL551" s="145">
        <v>546</v>
      </c>
    </row>
    <row r="552" spans="1:64" ht="17.25" thickBot="1" x14ac:dyDescent="0.25">
      <c r="A552" s="131">
        <v>548</v>
      </c>
      <c r="B552" s="132">
        <v>114063744</v>
      </c>
      <c r="D552" s="131">
        <v>548</v>
      </c>
      <c r="E552" s="132">
        <v>27.949680000000001</v>
      </c>
      <c r="AK552">
        <v>546</v>
      </c>
      <c r="AL552" s="24">
        <f t="shared" si="94"/>
        <v>27.859500000000001</v>
      </c>
      <c r="AM552">
        <f t="shared" si="96"/>
        <v>195.01650000000001</v>
      </c>
      <c r="AN552">
        <f t="shared" si="96"/>
        <v>278.59500000000003</v>
      </c>
      <c r="AO552">
        <f t="shared" si="96"/>
        <v>417.89249999999998</v>
      </c>
      <c r="AP552">
        <f t="shared" si="96"/>
        <v>557.19000000000005</v>
      </c>
      <c r="AQ552">
        <f t="shared" si="96"/>
        <v>975.08249999999998</v>
      </c>
      <c r="AR552">
        <f t="shared" si="96"/>
        <v>1392.9750000000001</v>
      </c>
      <c r="AS552">
        <f t="shared" si="96"/>
        <v>2228.7600000000002</v>
      </c>
      <c r="AT552">
        <f t="shared" si="96"/>
        <v>3343.14</v>
      </c>
      <c r="AU552">
        <f t="shared" si="96"/>
        <v>4736.1149999999998</v>
      </c>
      <c r="AV552">
        <f t="shared" si="96"/>
        <v>6686.28</v>
      </c>
      <c r="AW552">
        <f t="shared" si="96"/>
        <v>9193.6350000000002</v>
      </c>
      <c r="AX552">
        <f t="shared" si="96"/>
        <v>12815.37</v>
      </c>
      <c r="AY552">
        <f t="shared" si="96"/>
        <v>22287.600000000002</v>
      </c>
      <c r="AZ552">
        <f t="shared" si="96"/>
        <v>41789.25</v>
      </c>
      <c r="BA552">
        <f t="shared" si="96"/>
        <v>69648.75</v>
      </c>
      <c r="BB552">
        <f t="shared" si="96"/>
        <v>111438</v>
      </c>
      <c r="BC552">
        <f t="shared" si="97"/>
        <v>278595</v>
      </c>
      <c r="BD552">
        <f t="shared" si="97"/>
        <v>417892.5</v>
      </c>
      <c r="BE552">
        <f t="shared" si="97"/>
        <v>668628</v>
      </c>
      <c r="BF552">
        <f t="shared" si="97"/>
        <v>835785</v>
      </c>
      <c r="BG552">
        <f t="shared" si="97"/>
        <v>2785950</v>
      </c>
      <c r="BH552">
        <f t="shared" si="97"/>
        <v>8357850</v>
      </c>
      <c r="BI552">
        <f t="shared" si="97"/>
        <v>23680575</v>
      </c>
      <c r="BJ552">
        <f t="shared" si="97"/>
        <v>83578500</v>
      </c>
      <c r="BK552">
        <f t="shared" si="97"/>
        <v>278595000</v>
      </c>
      <c r="BL552">
        <v>547</v>
      </c>
    </row>
    <row r="553" spans="1:64" ht="17.25" thickBot="1" x14ac:dyDescent="0.25">
      <c r="A553" s="131">
        <v>549</v>
      </c>
      <c r="B553" s="132">
        <v>114594000</v>
      </c>
      <c r="D553" s="131">
        <v>549</v>
      </c>
      <c r="E553" s="132">
        <v>28.003640000000001</v>
      </c>
      <c r="AK553">
        <v>547</v>
      </c>
      <c r="AL553" s="24">
        <f t="shared" si="94"/>
        <v>27.904630000000001</v>
      </c>
      <c r="AM553">
        <f t="shared" si="96"/>
        <v>195.33241000000001</v>
      </c>
      <c r="AN553">
        <f t="shared" si="96"/>
        <v>279.04630000000003</v>
      </c>
      <c r="AO553">
        <f t="shared" si="96"/>
        <v>418.56945000000002</v>
      </c>
      <c r="AP553">
        <f t="shared" si="96"/>
        <v>558.09260000000006</v>
      </c>
      <c r="AQ553">
        <f t="shared" si="96"/>
        <v>976.66205000000002</v>
      </c>
      <c r="AR553">
        <f t="shared" si="96"/>
        <v>1395.2315000000001</v>
      </c>
      <c r="AS553">
        <f t="shared" si="96"/>
        <v>2232.3704000000002</v>
      </c>
      <c r="AT553">
        <f t="shared" si="96"/>
        <v>3348.5556000000001</v>
      </c>
      <c r="AU553">
        <f t="shared" si="96"/>
        <v>4743.7871000000005</v>
      </c>
      <c r="AV553">
        <f t="shared" si="96"/>
        <v>6697.1112000000003</v>
      </c>
      <c r="AW553">
        <f t="shared" si="96"/>
        <v>9208.527900000001</v>
      </c>
      <c r="AX553">
        <f t="shared" si="96"/>
        <v>12836.129800000001</v>
      </c>
      <c r="AY553">
        <f t="shared" si="96"/>
        <v>22323.704000000002</v>
      </c>
      <c r="AZ553">
        <f t="shared" si="96"/>
        <v>41856.945</v>
      </c>
      <c r="BA553">
        <f t="shared" si="96"/>
        <v>69761.574999999997</v>
      </c>
      <c r="BB553">
        <f t="shared" si="96"/>
        <v>111618.52</v>
      </c>
      <c r="BC553">
        <f t="shared" si="97"/>
        <v>279046.3</v>
      </c>
      <c r="BD553">
        <f t="shared" si="97"/>
        <v>418569.45</v>
      </c>
      <c r="BE553">
        <f t="shared" si="97"/>
        <v>669711.12</v>
      </c>
      <c r="BF553">
        <f t="shared" si="97"/>
        <v>837138.9</v>
      </c>
      <c r="BG553">
        <f t="shared" si="97"/>
        <v>2790463</v>
      </c>
      <c r="BH553">
        <f t="shared" si="97"/>
        <v>8371389</v>
      </c>
      <c r="BI553">
        <f t="shared" si="97"/>
        <v>23718935.5</v>
      </c>
      <c r="BJ553">
        <f t="shared" si="97"/>
        <v>83713890</v>
      </c>
      <c r="BK553">
        <f t="shared" si="97"/>
        <v>279046300</v>
      </c>
      <c r="BL553" s="145">
        <v>548</v>
      </c>
    </row>
    <row r="554" spans="1:64" ht="17.25" thickBot="1" x14ac:dyDescent="0.25">
      <c r="A554" s="131">
        <v>550</v>
      </c>
      <c r="B554" s="132">
        <v>115130555</v>
      </c>
      <c r="D554" s="131">
        <v>550</v>
      </c>
      <c r="E554" s="132">
        <v>28.057500000000001</v>
      </c>
      <c r="AK554">
        <v>548</v>
      </c>
      <c r="AL554" s="24">
        <f t="shared" si="94"/>
        <v>27.949680000000001</v>
      </c>
      <c r="AM554">
        <f t="shared" si="96"/>
        <v>195.64776000000001</v>
      </c>
      <c r="AN554">
        <f t="shared" si="96"/>
        <v>279.49680000000001</v>
      </c>
      <c r="AO554">
        <f t="shared" si="96"/>
        <v>419.24520000000001</v>
      </c>
      <c r="AP554">
        <f t="shared" si="96"/>
        <v>558.99360000000001</v>
      </c>
      <c r="AQ554">
        <f t="shared" si="96"/>
        <v>978.23880000000008</v>
      </c>
      <c r="AR554">
        <f t="shared" si="96"/>
        <v>1397.4839999999999</v>
      </c>
      <c r="AS554">
        <f t="shared" si="96"/>
        <v>2235.9744000000001</v>
      </c>
      <c r="AT554">
        <f t="shared" si="96"/>
        <v>3353.9616000000001</v>
      </c>
      <c r="AU554">
        <f t="shared" si="96"/>
        <v>4751.4456</v>
      </c>
      <c r="AV554">
        <f t="shared" si="96"/>
        <v>6707.9232000000002</v>
      </c>
      <c r="AW554">
        <f t="shared" si="96"/>
        <v>9223.394400000001</v>
      </c>
      <c r="AX554">
        <f t="shared" si="96"/>
        <v>12856.852800000001</v>
      </c>
      <c r="AY554">
        <f t="shared" si="96"/>
        <v>22359.743999999999</v>
      </c>
      <c r="AZ554">
        <f t="shared" si="96"/>
        <v>41924.520000000004</v>
      </c>
      <c r="BA554">
        <f t="shared" si="96"/>
        <v>69874.2</v>
      </c>
      <c r="BB554">
        <f t="shared" si="96"/>
        <v>111798.72</v>
      </c>
      <c r="BC554">
        <f t="shared" si="97"/>
        <v>279496.8</v>
      </c>
      <c r="BD554">
        <f t="shared" si="97"/>
        <v>419245.2</v>
      </c>
      <c r="BE554">
        <f t="shared" si="97"/>
        <v>670792.32000000007</v>
      </c>
      <c r="BF554">
        <f t="shared" si="97"/>
        <v>838490.4</v>
      </c>
      <c r="BG554">
        <f t="shared" si="97"/>
        <v>2794968</v>
      </c>
      <c r="BH554">
        <f t="shared" si="97"/>
        <v>8384904</v>
      </c>
      <c r="BI554">
        <f t="shared" si="97"/>
        <v>23757228</v>
      </c>
      <c r="BJ554">
        <f t="shared" si="97"/>
        <v>83849040</v>
      </c>
      <c r="BK554">
        <f t="shared" si="97"/>
        <v>279496800</v>
      </c>
      <c r="BL554">
        <v>549</v>
      </c>
    </row>
    <row r="555" spans="1:64" ht="17.25" thickBot="1" x14ac:dyDescent="0.25">
      <c r="A555" s="131">
        <v>551</v>
      </c>
      <c r="B555" s="132">
        <v>115673455</v>
      </c>
      <c r="D555" s="131">
        <v>551</v>
      </c>
      <c r="E555" s="132">
        <v>28.111270000000001</v>
      </c>
      <c r="AK555">
        <v>549</v>
      </c>
      <c r="AL555" s="24">
        <f t="shared" si="94"/>
        <v>28.003640000000001</v>
      </c>
      <c r="AM555">
        <f t="shared" si="96"/>
        <v>196.02548000000002</v>
      </c>
      <c r="AN555">
        <f t="shared" si="96"/>
        <v>280.03640000000001</v>
      </c>
      <c r="AO555">
        <f t="shared" si="96"/>
        <v>420.05459999999999</v>
      </c>
      <c r="AP555">
        <f t="shared" si="96"/>
        <v>560.07280000000003</v>
      </c>
      <c r="AQ555">
        <f t="shared" si="96"/>
        <v>980.12740000000008</v>
      </c>
      <c r="AR555">
        <f t="shared" si="96"/>
        <v>1400.182</v>
      </c>
      <c r="AS555">
        <f t="shared" si="96"/>
        <v>2240.2912000000001</v>
      </c>
      <c r="AT555">
        <f t="shared" si="96"/>
        <v>3360.4367999999999</v>
      </c>
      <c r="AU555">
        <f t="shared" si="96"/>
        <v>4760.6188000000002</v>
      </c>
      <c r="AV555">
        <f t="shared" si="96"/>
        <v>6720.8735999999999</v>
      </c>
      <c r="AW555">
        <f t="shared" si="96"/>
        <v>9241.2011999999995</v>
      </c>
      <c r="AX555">
        <f t="shared" si="96"/>
        <v>12881.6744</v>
      </c>
      <c r="AY555">
        <f t="shared" si="96"/>
        <v>22402.912</v>
      </c>
      <c r="AZ555">
        <f t="shared" si="96"/>
        <v>42005.46</v>
      </c>
      <c r="BA555">
        <f t="shared" si="96"/>
        <v>70009.100000000006</v>
      </c>
      <c r="BB555">
        <f t="shared" si="96"/>
        <v>112014.56</v>
      </c>
      <c r="BC555">
        <f t="shared" si="97"/>
        <v>280036.40000000002</v>
      </c>
      <c r="BD555">
        <f t="shared" si="97"/>
        <v>420054.60000000003</v>
      </c>
      <c r="BE555">
        <f t="shared" si="97"/>
        <v>672087.36</v>
      </c>
      <c r="BF555">
        <f t="shared" si="97"/>
        <v>840109.20000000007</v>
      </c>
      <c r="BG555">
        <f t="shared" si="97"/>
        <v>2800364</v>
      </c>
      <c r="BH555">
        <f t="shared" si="97"/>
        <v>8401092</v>
      </c>
      <c r="BI555">
        <f t="shared" si="97"/>
        <v>23803094</v>
      </c>
      <c r="BJ555">
        <f t="shared" si="97"/>
        <v>84010920</v>
      </c>
      <c r="BK555">
        <f t="shared" si="97"/>
        <v>280036400</v>
      </c>
      <c r="BL555" s="145">
        <v>550</v>
      </c>
    </row>
    <row r="556" spans="1:64" ht="17.25" thickBot="1" x14ac:dyDescent="0.25">
      <c r="A556" s="131">
        <v>552</v>
      </c>
      <c r="B556" s="132">
        <v>116222750</v>
      </c>
      <c r="D556" s="131">
        <v>552</v>
      </c>
      <c r="E556" s="132">
        <v>28.164940000000001</v>
      </c>
      <c r="AK556">
        <v>550</v>
      </c>
      <c r="AL556" s="24">
        <f t="shared" si="94"/>
        <v>28.057500000000001</v>
      </c>
      <c r="AM556">
        <f t="shared" si="96"/>
        <v>196.4025</v>
      </c>
      <c r="AN556">
        <f t="shared" si="96"/>
        <v>280.57499999999999</v>
      </c>
      <c r="AO556">
        <f t="shared" si="96"/>
        <v>420.86250000000001</v>
      </c>
      <c r="AP556">
        <f t="shared" si="96"/>
        <v>561.15</v>
      </c>
      <c r="AQ556">
        <f t="shared" si="96"/>
        <v>982.01250000000005</v>
      </c>
      <c r="AR556">
        <f t="shared" si="96"/>
        <v>1402.875</v>
      </c>
      <c r="AS556">
        <f t="shared" si="96"/>
        <v>2244.6</v>
      </c>
      <c r="AT556">
        <f t="shared" si="96"/>
        <v>3366.9</v>
      </c>
      <c r="AU556">
        <f t="shared" si="96"/>
        <v>4769.7750000000005</v>
      </c>
      <c r="AV556">
        <f t="shared" si="96"/>
        <v>6733.8</v>
      </c>
      <c r="AW556">
        <f t="shared" si="96"/>
        <v>9258.9750000000004</v>
      </c>
      <c r="AX556">
        <f t="shared" si="96"/>
        <v>12906.45</v>
      </c>
      <c r="AY556">
        <f t="shared" si="96"/>
        <v>22446</v>
      </c>
      <c r="AZ556">
        <f t="shared" si="96"/>
        <v>42086.25</v>
      </c>
      <c r="BA556">
        <f t="shared" si="96"/>
        <v>70143.75</v>
      </c>
      <c r="BB556">
        <f t="shared" si="96"/>
        <v>112230</v>
      </c>
      <c r="BC556">
        <f t="shared" si="97"/>
        <v>280575</v>
      </c>
      <c r="BD556">
        <f t="shared" si="97"/>
        <v>420862.5</v>
      </c>
      <c r="BE556">
        <f t="shared" si="97"/>
        <v>673380</v>
      </c>
      <c r="BF556">
        <f t="shared" si="97"/>
        <v>841725</v>
      </c>
      <c r="BG556">
        <f t="shared" si="97"/>
        <v>2805750</v>
      </c>
      <c r="BH556">
        <f t="shared" si="97"/>
        <v>8417250</v>
      </c>
      <c r="BI556">
        <f t="shared" si="97"/>
        <v>23848875</v>
      </c>
      <c r="BJ556">
        <f t="shared" si="97"/>
        <v>84172500</v>
      </c>
      <c r="BK556">
        <f t="shared" si="97"/>
        <v>280575000</v>
      </c>
      <c r="BL556">
        <v>551</v>
      </c>
    </row>
    <row r="557" spans="1:64" ht="17.25" thickBot="1" x14ac:dyDescent="0.25">
      <c r="A557" s="131">
        <v>553</v>
      </c>
      <c r="B557" s="132">
        <v>116778488</v>
      </c>
      <c r="D557" s="131">
        <v>553</v>
      </c>
      <c r="E557" s="132">
        <v>28.218520000000002</v>
      </c>
      <c r="AK557">
        <v>551</v>
      </c>
      <c r="AL557" s="24">
        <f t="shared" si="94"/>
        <v>28.111270000000001</v>
      </c>
      <c r="AM557">
        <f t="shared" si="96"/>
        <v>196.77889000000002</v>
      </c>
      <c r="AN557">
        <f t="shared" si="96"/>
        <v>281.11270000000002</v>
      </c>
      <c r="AO557">
        <f t="shared" si="96"/>
        <v>421.66905000000003</v>
      </c>
      <c r="AP557">
        <f t="shared" si="96"/>
        <v>562.22540000000004</v>
      </c>
      <c r="AQ557">
        <f t="shared" si="96"/>
        <v>983.89445000000001</v>
      </c>
      <c r="AR557">
        <f t="shared" si="96"/>
        <v>1405.5635</v>
      </c>
      <c r="AS557">
        <f t="shared" si="96"/>
        <v>2248.9016000000001</v>
      </c>
      <c r="AT557">
        <f t="shared" si="96"/>
        <v>3373.3524000000002</v>
      </c>
      <c r="AU557">
        <f t="shared" si="96"/>
        <v>4778.9159</v>
      </c>
      <c r="AV557">
        <f t="shared" si="96"/>
        <v>6746.7048000000004</v>
      </c>
      <c r="AW557">
        <f t="shared" si="96"/>
        <v>9276.7191000000003</v>
      </c>
      <c r="AX557">
        <f t="shared" si="96"/>
        <v>12931.1842</v>
      </c>
      <c r="AY557">
        <f t="shared" si="96"/>
        <v>22489.016</v>
      </c>
      <c r="AZ557">
        <f t="shared" si="96"/>
        <v>42166.904999999999</v>
      </c>
      <c r="BA557">
        <f t="shared" si="96"/>
        <v>70278.175000000003</v>
      </c>
      <c r="BB557">
        <f t="shared" si="96"/>
        <v>112445.08</v>
      </c>
      <c r="BC557">
        <f t="shared" si="97"/>
        <v>281112.7</v>
      </c>
      <c r="BD557">
        <f t="shared" si="97"/>
        <v>421669.05</v>
      </c>
      <c r="BE557">
        <f t="shared" si="97"/>
        <v>674670.48</v>
      </c>
      <c r="BF557">
        <f t="shared" si="97"/>
        <v>843338.1</v>
      </c>
      <c r="BG557">
        <f t="shared" si="97"/>
        <v>2811127</v>
      </c>
      <c r="BH557">
        <f t="shared" si="97"/>
        <v>8433381</v>
      </c>
      <c r="BI557">
        <f t="shared" si="97"/>
        <v>23894579.5</v>
      </c>
      <c r="BJ557">
        <f t="shared" si="97"/>
        <v>84333810</v>
      </c>
      <c r="BK557">
        <f t="shared" si="97"/>
        <v>281112700</v>
      </c>
      <c r="BL557" s="145">
        <v>552</v>
      </c>
    </row>
    <row r="558" spans="1:64" ht="17.25" thickBot="1" x14ac:dyDescent="0.25">
      <c r="A558" s="131">
        <v>554</v>
      </c>
      <c r="B558" s="132">
        <v>117340716</v>
      </c>
      <c r="D558" s="131">
        <v>554</v>
      </c>
      <c r="E558" s="132">
        <v>28.271999999999998</v>
      </c>
      <c r="AK558">
        <v>552</v>
      </c>
      <c r="AL558" s="24">
        <f t="shared" si="94"/>
        <v>28.164940000000001</v>
      </c>
      <c r="AM558">
        <f t="shared" si="96"/>
        <v>197.15458000000001</v>
      </c>
      <c r="AN558">
        <f t="shared" si="96"/>
        <v>281.64940000000001</v>
      </c>
      <c r="AO558">
        <f t="shared" si="96"/>
        <v>422.47410000000002</v>
      </c>
      <c r="AP558">
        <f t="shared" si="96"/>
        <v>563.29880000000003</v>
      </c>
      <c r="AQ558">
        <f t="shared" si="96"/>
        <v>985.77290000000005</v>
      </c>
      <c r="AR558">
        <f t="shared" si="96"/>
        <v>1408.2470000000001</v>
      </c>
      <c r="AS558">
        <f t="shared" si="96"/>
        <v>2253.1952000000001</v>
      </c>
      <c r="AT558">
        <f t="shared" si="96"/>
        <v>3379.7928000000002</v>
      </c>
      <c r="AU558">
        <f t="shared" si="96"/>
        <v>4788.0398000000005</v>
      </c>
      <c r="AV558">
        <f t="shared" si="96"/>
        <v>6759.5856000000003</v>
      </c>
      <c r="AW558">
        <f t="shared" si="96"/>
        <v>9294.4302000000007</v>
      </c>
      <c r="AX558">
        <f t="shared" si="96"/>
        <v>12955.8724</v>
      </c>
      <c r="AY558">
        <f t="shared" si="96"/>
        <v>22531.952000000001</v>
      </c>
      <c r="AZ558">
        <f t="shared" si="96"/>
        <v>42247.41</v>
      </c>
      <c r="BA558">
        <f t="shared" si="96"/>
        <v>70412.350000000006</v>
      </c>
      <c r="BB558">
        <f t="shared" si="96"/>
        <v>112659.76000000001</v>
      </c>
      <c r="BC558">
        <f t="shared" si="97"/>
        <v>281649.40000000002</v>
      </c>
      <c r="BD558">
        <f t="shared" si="97"/>
        <v>422474.10000000003</v>
      </c>
      <c r="BE558">
        <f t="shared" si="97"/>
        <v>675958.56</v>
      </c>
      <c r="BF558">
        <f t="shared" si="97"/>
        <v>844948.20000000007</v>
      </c>
      <c r="BG558">
        <f t="shared" si="97"/>
        <v>2816494</v>
      </c>
      <c r="BH558">
        <f t="shared" si="97"/>
        <v>8449482</v>
      </c>
      <c r="BI558">
        <f t="shared" si="97"/>
        <v>23940199</v>
      </c>
      <c r="BJ558">
        <f t="shared" si="97"/>
        <v>84494820</v>
      </c>
      <c r="BK558">
        <f t="shared" si="97"/>
        <v>281649400</v>
      </c>
      <c r="BL558">
        <v>553</v>
      </c>
    </row>
    <row r="559" spans="1:64" ht="17.25" thickBot="1" x14ac:dyDescent="0.25">
      <c r="A559" s="131">
        <v>555</v>
      </c>
      <c r="B559" s="132">
        <v>117909483</v>
      </c>
      <c r="D559" s="131">
        <v>555</v>
      </c>
      <c r="E559" s="132">
        <v>28.325389999999999</v>
      </c>
      <c r="AK559">
        <v>553</v>
      </c>
      <c r="AL559" s="24">
        <f t="shared" si="94"/>
        <v>28.218520000000002</v>
      </c>
      <c r="AM559">
        <f t="shared" si="96"/>
        <v>197.52964</v>
      </c>
      <c r="AN559">
        <f t="shared" si="96"/>
        <v>282.18520000000001</v>
      </c>
      <c r="AO559">
        <f t="shared" si="96"/>
        <v>423.27780000000001</v>
      </c>
      <c r="AP559">
        <f t="shared" si="96"/>
        <v>564.37040000000002</v>
      </c>
      <c r="AQ559">
        <f t="shared" si="96"/>
        <v>987.64820000000009</v>
      </c>
      <c r="AR559">
        <f t="shared" si="96"/>
        <v>1410.9260000000002</v>
      </c>
      <c r="AS559">
        <f t="shared" si="96"/>
        <v>2257.4816000000001</v>
      </c>
      <c r="AT559">
        <f t="shared" si="96"/>
        <v>3386.2224000000001</v>
      </c>
      <c r="AU559">
        <f t="shared" si="96"/>
        <v>4797.1484</v>
      </c>
      <c r="AV559">
        <f t="shared" si="96"/>
        <v>6772.4448000000002</v>
      </c>
      <c r="AW559">
        <f t="shared" ref="AM559:BB574" si="98">AW$5*VLOOKUP($AK559,$D$2:$E$1404,2,FALSE)</f>
        <v>9312.1116000000002</v>
      </c>
      <c r="AX559">
        <f t="shared" si="98"/>
        <v>12980.519200000001</v>
      </c>
      <c r="AY559">
        <f t="shared" si="98"/>
        <v>22574.816000000003</v>
      </c>
      <c r="AZ559">
        <f t="shared" si="98"/>
        <v>42327.78</v>
      </c>
      <c r="BA559">
        <f t="shared" si="98"/>
        <v>70546.3</v>
      </c>
      <c r="BB559">
        <f t="shared" si="98"/>
        <v>112874.08</v>
      </c>
      <c r="BC559">
        <f t="shared" si="97"/>
        <v>282185.2</v>
      </c>
      <c r="BD559">
        <f t="shared" si="97"/>
        <v>423277.80000000005</v>
      </c>
      <c r="BE559">
        <f t="shared" si="97"/>
        <v>677244.48</v>
      </c>
      <c r="BF559">
        <f t="shared" si="97"/>
        <v>846555.60000000009</v>
      </c>
      <c r="BG559">
        <f t="shared" si="97"/>
        <v>2821852</v>
      </c>
      <c r="BH559">
        <f t="shared" si="97"/>
        <v>8465556</v>
      </c>
      <c r="BI559">
        <f t="shared" si="97"/>
        <v>23985742</v>
      </c>
      <c r="BJ559">
        <f t="shared" si="97"/>
        <v>84655560</v>
      </c>
      <c r="BK559">
        <f t="shared" si="97"/>
        <v>282185200</v>
      </c>
      <c r="BL559" s="145">
        <v>554</v>
      </c>
    </row>
    <row r="560" spans="1:64" ht="17.25" thickBot="1" x14ac:dyDescent="0.25">
      <c r="A560" s="131">
        <v>556</v>
      </c>
      <c r="B560" s="132">
        <v>118484838</v>
      </c>
      <c r="D560" s="131">
        <v>556</v>
      </c>
      <c r="E560" s="132">
        <v>28.378679999999999</v>
      </c>
      <c r="AK560">
        <v>554</v>
      </c>
      <c r="AL560" s="24">
        <f t="shared" si="94"/>
        <v>28.271999999999998</v>
      </c>
      <c r="AM560">
        <f t="shared" si="98"/>
        <v>197.904</v>
      </c>
      <c r="AN560">
        <f t="shared" si="98"/>
        <v>282.71999999999997</v>
      </c>
      <c r="AO560">
        <f t="shared" si="98"/>
        <v>424.08</v>
      </c>
      <c r="AP560">
        <f t="shared" si="98"/>
        <v>565.43999999999994</v>
      </c>
      <c r="AQ560">
        <f t="shared" si="98"/>
        <v>989.52</v>
      </c>
      <c r="AR560">
        <f t="shared" si="98"/>
        <v>1413.6</v>
      </c>
      <c r="AS560">
        <f t="shared" si="98"/>
        <v>2261.7599999999998</v>
      </c>
      <c r="AT560">
        <f t="shared" si="98"/>
        <v>3392.64</v>
      </c>
      <c r="AU560">
        <f t="shared" si="98"/>
        <v>4806.24</v>
      </c>
      <c r="AV560">
        <f t="shared" si="98"/>
        <v>6785.28</v>
      </c>
      <c r="AW560">
        <f t="shared" si="98"/>
        <v>9329.76</v>
      </c>
      <c r="AX560">
        <f t="shared" si="98"/>
        <v>13005.119999999999</v>
      </c>
      <c r="AY560">
        <f t="shared" si="98"/>
        <v>22617.599999999999</v>
      </c>
      <c r="AZ560">
        <f t="shared" si="98"/>
        <v>42408</v>
      </c>
      <c r="BA560">
        <f t="shared" si="98"/>
        <v>70680</v>
      </c>
      <c r="BB560">
        <f t="shared" si="98"/>
        <v>113088</v>
      </c>
      <c r="BC560">
        <f t="shared" si="97"/>
        <v>282720</v>
      </c>
      <c r="BD560">
        <f t="shared" si="97"/>
        <v>424080</v>
      </c>
      <c r="BE560">
        <f t="shared" si="97"/>
        <v>678528</v>
      </c>
      <c r="BF560">
        <f t="shared" si="97"/>
        <v>848160</v>
      </c>
      <c r="BG560">
        <f t="shared" si="97"/>
        <v>2827200</v>
      </c>
      <c r="BH560">
        <f t="shared" si="97"/>
        <v>8481600</v>
      </c>
      <c r="BI560">
        <f t="shared" si="97"/>
        <v>24031200</v>
      </c>
      <c r="BJ560">
        <f t="shared" si="97"/>
        <v>84816000</v>
      </c>
      <c r="BK560">
        <f t="shared" si="97"/>
        <v>282720000</v>
      </c>
      <c r="BL560">
        <v>555</v>
      </c>
    </row>
    <row r="561" spans="1:64" ht="17.25" thickBot="1" x14ac:dyDescent="0.25">
      <c r="A561" s="131">
        <v>557</v>
      </c>
      <c r="B561" s="132">
        <v>119066833</v>
      </c>
      <c r="D561" s="131">
        <v>557</v>
      </c>
      <c r="E561" s="132">
        <v>28.43188</v>
      </c>
      <c r="AK561">
        <v>555</v>
      </c>
      <c r="AL561" s="24">
        <f t="shared" si="94"/>
        <v>28.325389999999999</v>
      </c>
      <c r="AM561">
        <f t="shared" si="98"/>
        <v>198.27772999999999</v>
      </c>
      <c r="AN561">
        <f t="shared" si="98"/>
        <v>283.25389999999999</v>
      </c>
      <c r="AO561">
        <f t="shared" si="98"/>
        <v>424.88085000000001</v>
      </c>
      <c r="AP561">
        <f t="shared" si="98"/>
        <v>566.50779999999997</v>
      </c>
      <c r="AQ561">
        <f t="shared" si="98"/>
        <v>991.38864999999998</v>
      </c>
      <c r="AR561">
        <f t="shared" si="98"/>
        <v>1416.2694999999999</v>
      </c>
      <c r="AS561">
        <f t="shared" si="98"/>
        <v>2266.0311999999999</v>
      </c>
      <c r="AT561">
        <f t="shared" si="98"/>
        <v>3399.0468000000001</v>
      </c>
      <c r="AU561">
        <f t="shared" si="98"/>
        <v>4815.3162999999995</v>
      </c>
      <c r="AV561">
        <f t="shared" si="98"/>
        <v>6798.0936000000002</v>
      </c>
      <c r="AW561">
        <f t="shared" si="98"/>
        <v>9347.3786999999993</v>
      </c>
      <c r="AX561">
        <f t="shared" si="98"/>
        <v>13029.679399999999</v>
      </c>
      <c r="AY561">
        <f t="shared" si="98"/>
        <v>22660.311999999998</v>
      </c>
      <c r="AZ561">
        <f t="shared" si="98"/>
        <v>42488.084999999999</v>
      </c>
      <c r="BA561">
        <f t="shared" si="98"/>
        <v>70813.474999999991</v>
      </c>
      <c r="BB561">
        <f t="shared" si="98"/>
        <v>113301.56</v>
      </c>
      <c r="BC561">
        <f t="shared" si="97"/>
        <v>283253.89999999997</v>
      </c>
      <c r="BD561">
        <f t="shared" si="97"/>
        <v>424880.85</v>
      </c>
      <c r="BE561">
        <f t="shared" si="97"/>
        <v>679809.36</v>
      </c>
      <c r="BF561">
        <f t="shared" si="97"/>
        <v>849761.7</v>
      </c>
      <c r="BG561">
        <f t="shared" si="97"/>
        <v>2832539</v>
      </c>
      <c r="BH561">
        <f t="shared" si="97"/>
        <v>8497617</v>
      </c>
      <c r="BI561">
        <f t="shared" si="97"/>
        <v>24076581.5</v>
      </c>
      <c r="BJ561">
        <f t="shared" si="97"/>
        <v>84976170</v>
      </c>
      <c r="BK561">
        <f t="shared" si="97"/>
        <v>283253900</v>
      </c>
      <c r="BL561" s="145">
        <v>556</v>
      </c>
    </row>
    <row r="562" spans="1:64" ht="17.25" thickBot="1" x14ac:dyDescent="0.25">
      <c r="A562" s="131">
        <v>558</v>
      </c>
      <c r="B562" s="132">
        <v>119655511</v>
      </c>
      <c r="D562" s="131">
        <v>558</v>
      </c>
      <c r="E562" s="132">
        <v>28.48498</v>
      </c>
      <c r="AK562">
        <v>556</v>
      </c>
      <c r="AL562" s="24">
        <f t="shared" si="94"/>
        <v>28.378679999999999</v>
      </c>
      <c r="AM562">
        <f t="shared" si="98"/>
        <v>198.65075999999999</v>
      </c>
      <c r="AN562">
        <f t="shared" si="98"/>
        <v>283.78679999999997</v>
      </c>
      <c r="AO562">
        <f t="shared" si="98"/>
        <v>425.68020000000001</v>
      </c>
      <c r="AP562">
        <f t="shared" si="98"/>
        <v>567.57359999999994</v>
      </c>
      <c r="AQ562">
        <f t="shared" si="98"/>
        <v>993.25379999999996</v>
      </c>
      <c r="AR562">
        <f t="shared" si="98"/>
        <v>1418.934</v>
      </c>
      <c r="AS562">
        <f t="shared" si="98"/>
        <v>2270.2943999999998</v>
      </c>
      <c r="AT562">
        <f t="shared" si="98"/>
        <v>3405.4416000000001</v>
      </c>
      <c r="AU562">
        <f t="shared" si="98"/>
        <v>4824.3756000000003</v>
      </c>
      <c r="AV562">
        <f t="shared" si="98"/>
        <v>6810.8832000000002</v>
      </c>
      <c r="AW562">
        <f t="shared" si="98"/>
        <v>9364.9643999999989</v>
      </c>
      <c r="AX562">
        <f t="shared" si="98"/>
        <v>13054.192799999999</v>
      </c>
      <c r="AY562">
        <f t="shared" si="98"/>
        <v>22702.944</v>
      </c>
      <c r="AZ562">
        <f t="shared" si="98"/>
        <v>42568.02</v>
      </c>
      <c r="BA562">
        <f t="shared" si="98"/>
        <v>70946.7</v>
      </c>
      <c r="BB562">
        <f t="shared" si="98"/>
        <v>113514.72</v>
      </c>
      <c r="BC562">
        <f t="shared" si="97"/>
        <v>283786.8</v>
      </c>
      <c r="BD562">
        <f t="shared" si="97"/>
        <v>425680.2</v>
      </c>
      <c r="BE562">
        <f t="shared" si="97"/>
        <v>681088.32</v>
      </c>
      <c r="BF562">
        <f t="shared" si="97"/>
        <v>851360.4</v>
      </c>
      <c r="BG562">
        <f t="shared" si="97"/>
        <v>2837868</v>
      </c>
      <c r="BH562">
        <f t="shared" si="97"/>
        <v>8513604</v>
      </c>
      <c r="BI562">
        <f t="shared" si="97"/>
        <v>24121878</v>
      </c>
      <c r="BJ562">
        <f t="shared" si="97"/>
        <v>85136040</v>
      </c>
      <c r="BK562">
        <f t="shared" si="97"/>
        <v>283786800</v>
      </c>
      <c r="BL562">
        <v>557</v>
      </c>
    </row>
    <row r="563" spans="1:64" ht="17.25" thickBot="1" x14ac:dyDescent="0.25">
      <c r="A563" s="131">
        <v>559</v>
      </c>
      <c r="B563" s="132">
        <v>120250927</v>
      </c>
      <c r="D563" s="131">
        <v>559</v>
      </c>
      <c r="E563" s="132">
        <v>28.537990000000001</v>
      </c>
      <c r="AK563">
        <v>557</v>
      </c>
      <c r="AL563" s="24">
        <f t="shared" si="94"/>
        <v>28.43188</v>
      </c>
      <c r="AM563">
        <f t="shared" si="98"/>
        <v>199.02315999999999</v>
      </c>
      <c r="AN563">
        <f t="shared" si="98"/>
        <v>284.31880000000001</v>
      </c>
      <c r="AO563">
        <f t="shared" si="98"/>
        <v>426.47820000000002</v>
      </c>
      <c r="AP563">
        <f t="shared" si="98"/>
        <v>568.63760000000002</v>
      </c>
      <c r="AQ563">
        <f t="shared" si="98"/>
        <v>995.11580000000004</v>
      </c>
      <c r="AR563">
        <f t="shared" si="98"/>
        <v>1421.5940000000001</v>
      </c>
      <c r="AS563">
        <f t="shared" si="98"/>
        <v>2274.5504000000001</v>
      </c>
      <c r="AT563">
        <f t="shared" si="98"/>
        <v>3411.8256000000001</v>
      </c>
      <c r="AU563">
        <f t="shared" si="98"/>
        <v>4833.4196000000002</v>
      </c>
      <c r="AV563">
        <f t="shared" si="98"/>
        <v>6823.6512000000002</v>
      </c>
      <c r="AW563">
        <f t="shared" si="98"/>
        <v>9382.5203999999994</v>
      </c>
      <c r="AX563">
        <f t="shared" si="98"/>
        <v>13078.6648</v>
      </c>
      <c r="AY563">
        <f t="shared" si="98"/>
        <v>22745.504000000001</v>
      </c>
      <c r="AZ563">
        <f t="shared" si="98"/>
        <v>42647.82</v>
      </c>
      <c r="BA563">
        <f t="shared" si="98"/>
        <v>71079.7</v>
      </c>
      <c r="BB563">
        <f t="shared" si="98"/>
        <v>113727.52</v>
      </c>
      <c r="BC563">
        <f t="shared" si="97"/>
        <v>284318.8</v>
      </c>
      <c r="BD563">
        <f t="shared" si="97"/>
        <v>426478.2</v>
      </c>
      <c r="BE563">
        <f t="shared" si="97"/>
        <v>682365.12</v>
      </c>
      <c r="BF563">
        <f t="shared" si="97"/>
        <v>852956.4</v>
      </c>
      <c r="BG563">
        <f t="shared" si="97"/>
        <v>2843188</v>
      </c>
      <c r="BH563">
        <f t="shared" si="97"/>
        <v>8529564</v>
      </c>
      <c r="BI563">
        <f t="shared" si="97"/>
        <v>24167098</v>
      </c>
      <c r="BJ563">
        <f t="shared" si="97"/>
        <v>85295640</v>
      </c>
      <c r="BK563">
        <f t="shared" si="97"/>
        <v>284318800</v>
      </c>
      <c r="BL563" s="145">
        <v>558</v>
      </c>
    </row>
    <row r="564" spans="1:64" ht="17.25" thickBot="1" x14ac:dyDescent="0.25">
      <c r="A564" s="131">
        <v>560</v>
      </c>
      <c r="B564" s="132">
        <v>120853127</v>
      </c>
      <c r="D564" s="131">
        <v>560</v>
      </c>
      <c r="E564" s="132">
        <v>28.590910000000001</v>
      </c>
      <c r="AK564">
        <v>558</v>
      </c>
      <c r="AL564" s="24">
        <f t="shared" si="94"/>
        <v>28.48498</v>
      </c>
      <c r="AM564">
        <f t="shared" si="98"/>
        <v>199.39485999999999</v>
      </c>
      <c r="AN564">
        <f t="shared" si="98"/>
        <v>284.84980000000002</v>
      </c>
      <c r="AO564">
        <f t="shared" si="98"/>
        <v>427.2747</v>
      </c>
      <c r="AP564">
        <f t="shared" si="98"/>
        <v>569.69960000000003</v>
      </c>
      <c r="AQ564">
        <f t="shared" si="98"/>
        <v>996.97429999999997</v>
      </c>
      <c r="AR564">
        <f t="shared" si="98"/>
        <v>1424.249</v>
      </c>
      <c r="AS564">
        <f t="shared" si="98"/>
        <v>2278.7984000000001</v>
      </c>
      <c r="AT564">
        <f t="shared" si="98"/>
        <v>3418.1976</v>
      </c>
      <c r="AU564">
        <f t="shared" si="98"/>
        <v>4842.4466000000002</v>
      </c>
      <c r="AV564">
        <f t="shared" si="98"/>
        <v>6836.3951999999999</v>
      </c>
      <c r="AW564">
        <f t="shared" si="98"/>
        <v>9400.0434000000005</v>
      </c>
      <c r="AX564">
        <f t="shared" si="98"/>
        <v>13103.0908</v>
      </c>
      <c r="AY564">
        <f t="shared" si="98"/>
        <v>22787.984</v>
      </c>
      <c r="AZ564">
        <f t="shared" si="98"/>
        <v>42727.47</v>
      </c>
      <c r="BA564">
        <f t="shared" si="98"/>
        <v>71212.45</v>
      </c>
      <c r="BB564">
        <f t="shared" si="98"/>
        <v>113939.92</v>
      </c>
      <c r="BC564">
        <f t="shared" ref="BC564:BK579" si="99">BC$5*VLOOKUP($AK564,$D$2:$E$1404,2,FALSE)</f>
        <v>284849.8</v>
      </c>
      <c r="BD564">
        <f t="shared" si="99"/>
        <v>427274.7</v>
      </c>
      <c r="BE564">
        <f t="shared" si="99"/>
        <v>683639.52</v>
      </c>
      <c r="BF564">
        <f t="shared" si="99"/>
        <v>854549.4</v>
      </c>
      <c r="BG564">
        <f t="shared" si="99"/>
        <v>2848498</v>
      </c>
      <c r="BH564">
        <f t="shared" si="99"/>
        <v>8545494</v>
      </c>
      <c r="BI564">
        <f t="shared" si="99"/>
        <v>24212233</v>
      </c>
      <c r="BJ564">
        <f t="shared" si="99"/>
        <v>85454940</v>
      </c>
      <c r="BK564">
        <f t="shared" si="99"/>
        <v>284849800</v>
      </c>
      <c r="BL564">
        <v>559</v>
      </c>
    </row>
    <row r="565" spans="1:64" ht="17.25" thickBot="1" x14ac:dyDescent="0.25">
      <c r="A565" s="131">
        <v>561</v>
      </c>
      <c r="B565" s="132">
        <v>121462166</v>
      </c>
      <c r="D565" s="131">
        <v>561</v>
      </c>
      <c r="E565" s="132">
        <v>28.643730000000001</v>
      </c>
      <c r="AK565">
        <v>559</v>
      </c>
      <c r="AL565" s="24">
        <f t="shared" si="94"/>
        <v>28.537990000000001</v>
      </c>
      <c r="AM565">
        <f t="shared" si="98"/>
        <v>199.76593</v>
      </c>
      <c r="AN565">
        <f t="shared" si="98"/>
        <v>285.37990000000002</v>
      </c>
      <c r="AO565">
        <f t="shared" si="98"/>
        <v>428.06985000000003</v>
      </c>
      <c r="AP565">
        <f t="shared" si="98"/>
        <v>570.75980000000004</v>
      </c>
      <c r="AQ565">
        <f t="shared" si="98"/>
        <v>998.82965000000002</v>
      </c>
      <c r="AR565">
        <f t="shared" si="98"/>
        <v>1426.8995</v>
      </c>
      <c r="AS565">
        <f t="shared" si="98"/>
        <v>2283.0392000000002</v>
      </c>
      <c r="AT565">
        <f t="shared" si="98"/>
        <v>3424.5588000000002</v>
      </c>
      <c r="AU565">
        <f t="shared" si="98"/>
        <v>4851.4583000000002</v>
      </c>
      <c r="AV565">
        <f t="shared" si="98"/>
        <v>6849.1176000000005</v>
      </c>
      <c r="AW565">
        <f t="shared" si="98"/>
        <v>9417.5367000000006</v>
      </c>
      <c r="AX565">
        <f t="shared" si="98"/>
        <v>13127.475400000001</v>
      </c>
      <c r="AY565">
        <f t="shared" si="98"/>
        <v>22830.392</v>
      </c>
      <c r="AZ565">
        <f t="shared" si="98"/>
        <v>42806.985000000001</v>
      </c>
      <c r="BA565">
        <f t="shared" si="98"/>
        <v>71344.975000000006</v>
      </c>
      <c r="BB565">
        <f t="shared" si="98"/>
        <v>114151.96</v>
      </c>
      <c r="BC565">
        <f t="shared" si="99"/>
        <v>285379.90000000002</v>
      </c>
      <c r="BD565">
        <f t="shared" si="99"/>
        <v>428069.85000000003</v>
      </c>
      <c r="BE565">
        <f t="shared" si="99"/>
        <v>684911.76</v>
      </c>
      <c r="BF565">
        <f t="shared" si="99"/>
        <v>856139.70000000007</v>
      </c>
      <c r="BG565">
        <f t="shared" si="99"/>
        <v>2853799</v>
      </c>
      <c r="BH565">
        <f t="shared" si="99"/>
        <v>8561397</v>
      </c>
      <c r="BI565">
        <f t="shared" si="99"/>
        <v>24257291.5</v>
      </c>
      <c r="BJ565">
        <f t="shared" si="99"/>
        <v>85613970</v>
      </c>
      <c r="BK565">
        <f t="shared" si="99"/>
        <v>285379900</v>
      </c>
      <c r="BL565" s="145">
        <v>560</v>
      </c>
    </row>
    <row r="566" spans="1:64" ht="17.25" thickBot="1" x14ac:dyDescent="0.25">
      <c r="A566" s="131">
        <v>562</v>
      </c>
      <c r="B566" s="132">
        <v>122078088</v>
      </c>
      <c r="D566" s="131">
        <v>562</v>
      </c>
      <c r="E566" s="132">
        <v>28.696459999999998</v>
      </c>
      <c r="AK566">
        <v>560</v>
      </c>
      <c r="AL566" s="24">
        <f t="shared" si="94"/>
        <v>28.590910000000001</v>
      </c>
      <c r="AM566">
        <f t="shared" si="98"/>
        <v>200.13637</v>
      </c>
      <c r="AN566">
        <f t="shared" si="98"/>
        <v>285.90910000000002</v>
      </c>
      <c r="AO566">
        <f t="shared" si="98"/>
        <v>428.86365000000001</v>
      </c>
      <c r="AP566">
        <f t="shared" si="98"/>
        <v>571.81820000000005</v>
      </c>
      <c r="AQ566">
        <f t="shared" si="98"/>
        <v>1000.6818500000001</v>
      </c>
      <c r="AR566">
        <f t="shared" si="98"/>
        <v>1429.5454999999999</v>
      </c>
      <c r="AS566">
        <f t="shared" si="98"/>
        <v>2287.2728000000002</v>
      </c>
      <c r="AT566">
        <f t="shared" si="98"/>
        <v>3430.9092000000001</v>
      </c>
      <c r="AU566">
        <f t="shared" si="98"/>
        <v>4860.4547000000002</v>
      </c>
      <c r="AV566">
        <f t="shared" si="98"/>
        <v>6861.8184000000001</v>
      </c>
      <c r="AW566">
        <f t="shared" si="98"/>
        <v>9435.0002999999997</v>
      </c>
      <c r="AX566">
        <f t="shared" si="98"/>
        <v>13151.818600000001</v>
      </c>
      <c r="AY566">
        <f t="shared" si="98"/>
        <v>22872.727999999999</v>
      </c>
      <c r="AZ566">
        <f t="shared" si="98"/>
        <v>42886.364999999998</v>
      </c>
      <c r="BA566">
        <f t="shared" si="98"/>
        <v>71477.275000000009</v>
      </c>
      <c r="BB566">
        <f t="shared" si="98"/>
        <v>114363.64</v>
      </c>
      <c r="BC566">
        <f t="shared" si="99"/>
        <v>285909.10000000003</v>
      </c>
      <c r="BD566">
        <f t="shared" si="99"/>
        <v>428863.65</v>
      </c>
      <c r="BE566">
        <f t="shared" si="99"/>
        <v>686181.84</v>
      </c>
      <c r="BF566">
        <f t="shared" si="99"/>
        <v>857727.3</v>
      </c>
      <c r="BG566">
        <f t="shared" si="99"/>
        <v>2859091</v>
      </c>
      <c r="BH566">
        <f t="shared" si="99"/>
        <v>8577273</v>
      </c>
      <c r="BI566">
        <f t="shared" si="99"/>
        <v>24302273.5</v>
      </c>
      <c r="BJ566">
        <f t="shared" si="99"/>
        <v>85772730</v>
      </c>
      <c r="BK566">
        <f t="shared" si="99"/>
        <v>285909100</v>
      </c>
      <c r="BL566">
        <v>561</v>
      </c>
    </row>
    <row r="567" spans="1:64" ht="17.25" thickBot="1" x14ac:dyDescent="0.25">
      <c r="A567" s="131">
        <v>563</v>
      </c>
      <c r="B567" s="132">
        <v>122700950</v>
      </c>
      <c r="D567" s="131">
        <v>563</v>
      </c>
      <c r="E567" s="132">
        <v>28.749099999999999</v>
      </c>
      <c r="AK567">
        <v>561</v>
      </c>
      <c r="AL567" s="24">
        <f t="shared" ref="AL567:AL630" si="100">VLOOKUP(AK567,D$2:E$1404,2,FALSE)</f>
        <v>28.643730000000001</v>
      </c>
      <c r="AM567">
        <f t="shared" si="98"/>
        <v>200.50611000000001</v>
      </c>
      <c r="AN567">
        <f t="shared" si="98"/>
        <v>286.43729999999999</v>
      </c>
      <c r="AO567">
        <f t="shared" si="98"/>
        <v>429.65595000000002</v>
      </c>
      <c r="AP567">
        <f t="shared" si="98"/>
        <v>572.87459999999999</v>
      </c>
      <c r="AQ567">
        <f t="shared" si="98"/>
        <v>1002.5305500000001</v>
      </c>
      <c r="AR567">
        <f t="shared" si="98"/>
        <v>1432.1865</v>
      </c>
      <c r="AS567">
        <f t="shared" si="98"/>
        <v>2291.4983999999999</v>
      </c>
      <c r="AT567">
        <f t="shared" si="98"/>
        <v>3437.2476000000001</v>
      </c>
      <c r="AU567">
        <f t="shared" si="98"/>
        <v>4869.4341000000004</v>
      </c>
      <c r="AV567">
        <f t="shared" si="98"/>
        <v>6874.4952000000003</v>
      </c>
      <c r="AW567">
        <f t="shared" si="98"/>
        <v>9452.4309000000012</v>
      </c>
      <c r="AX567">
        <f t="shared" si="98"/>
        <v>13176.115800000001</v>
      </c>
      <c r="AY567">
        <f t="shared" si="98"/>
        <v>22914.984</v>
      </c>
      <c r="AZ567">
        <f t="shared" si="98"/>
        <v>42965.595000000001</v>
      </c>
      <c r="BA567">
        <f t="shared" si="98"/>
        <v>71609.324999999997</v>
      </c>
      <c r="BB567">
        <f t="shared" si="98"/>
        <v>114574.92000000001</v>
      </c>
      <c r="BC567">
        <f t="shared" si="99"/>
        <v>286437.3</v>
      </c>
      <c r="BD567">
        <f t="shared" si="99"/>
        <v>429655.95</v>
      </c>
      <c r="BE567">
        <f t="shared" si="99"/>
        <v>687449.52</v>
      </c>
      <c r="BF567">
        <f t="shared" si="99"/>
        <v>859311.9</v>
      </c>
      <c r="BG567">
        <f t="shared" si="99"/>
        <v>2864373</v>
      </c>
      <c r="BH567">
        <f t="shared" si="99"/>
        <v>8593119</v>
      </c>
      <c r="BI567">
        <f t="shared" si="99"/>
        <v>24347170.5</v>
      </c>
      <c r="BJ567">
        <f t="shared" si="99"/>
        <v>85931190</v>
      </c>
      <c r="BK567">
        <f t="shared" si="99"/>
        <v>286437300</v>
      </c>
      <c r="BL567">
        <v>562</v>
      </c>
    </row>
    <row r="568" spans="1:64" ht="17.25" thickBot="1" x14ac:dyDescent="0.25">
      <c r="A568" s="131">
        <v>564</v>
      </c>
      <c r="B568" s="132">
        <v>123330794</v>
      </c>
      <c r="D568" s="131">
        <v>564</v>
      </c>
      <c r="E568" s="132">
        <v>28.801639999999999</v>
      </c>
      <c r="AK568">
        <v>562</v>
      </c>
      <c r="AL568" s="24">
        <f t="shared" si="100"/>
        <v>28.696459999999998</v>
      </c>
      <c r="AM568">
        <f t="shared" si="98"/>
        <v>200.87521999999998</v>
      </c>
      <c r="AN568">
        <f t="shared" si="98"/>
        <v>286.96459999999996</v>
      </c>
      <c r="AO568">
        <f t="shared" si="98"/>
        <v>430.44689999999997</v>
      </c>
      <c r="AP568">
        <f t="shared" si="98"/>
        <v>573.92919999999992</v>
      </c>
      <c r="AQ568">
        <f t="shared" si="98"/>
        <v>1004.3761</v>
      </c>
      <c r="AR568">
        <f t="shared" si="98"/>
        <v>1434.8229999999999</v>
      </c>
      <c r="AS568">
        <f t="shared" si="98"/>
        <v>2295.7167999999997</v>
      </c>
      <c r="AT568">
        <f t="shared" si="98"/>
        <v>3443.5751999999998</v>
      </c>
      <c r="AU568">
        <f t="shared" si="98"/>
        <v>4878.3981999999996</v>
      </c>
      <c r="AV568">
        <f t="shared" si="98"/>
        <v>6887.1503999999995</v>
      </c>
      <c r="AW568">
        <f t="shared" si="98"/>
        <v>9469.8317999999999</v>
      </c>
      <c r="AX568">
        <f t="shared" si="98"/>
        <v>13200.371599999999</v>
      </c>
      <c r="AY568">
        <f t="shared" si="98"/>
        <v>22957.167999999998</v>
      </c>
      <c r="AZ568">
        <f t="shared" si="98"/>
        <v>43044.689999999995</v>
      </c>
      <c r="BA568">
        <f t="shared" si="98"/>
        <v>71741.149999999994</v>
      </c>
      <c r="BB568">
        <f t="shared" si="98"/>
        <v>114785.84</v>
      </c>
      <c r="BC568">
        <f t="shared" si="99"/>
        <v>286964.59999999998</v>
      </c>
      <c r="BD568">
        <f t="shared" si="99"/>
        <v>430446.89999999997</v>
      </c>
      <c r="BE568">
        <f t="shared" si="99"/>
        <v>688715.03999999992</v>
      </c>
      <c r="BF568">
        <f t="shared" si="99"/>
        <v>860893.79999999993</v>
      </c>
      <c r="BG568">
        <f t="shared" si="99"/>
        <v>2869646</v>
      </c>
      <c r="BH568">
        <f t="shared" si="99"/>
        <v>8608938</v>
      </c>
      <c r="BI568">
        <f t="shared" si="99"/>
        <v>24391991</v>
      </c>
      <c r="BJ568">
        <f t="shared" si="99"/>
        <v>86089380</v>
      </c>
      <c r="BK568">
        <f t="shared" si="99"/>
        <v>286964600</v>
      </c>
      <c r="BL568">
        <v>563</v>
      </c>
    </row>
    <row r="569" spans="1:64" ht="17.25" thickBot="1" x14ac:dyDescent="0.25">
      <c r="A569" s="131">
        <v>565</v>
      </c>
      <c r="B569" s="132">
        <v>123967677</v>
      </c>
      <c r="D569" s="131">
        <v>565</v>
      </c>
      <c r="E569" s="132">
        <v>28.854089999999999</v>
      </c>
      <c r="AK569">
        <v>563</v>
      </c>
      <c r="AL569" s="24">
        <f t="shared" si="100"/>
        <v>28.749099999999999</v>
      </c>
      <c r="AM569">
        <f t="shared" si="98"/>
        <v>201.24369999999999</v>
      </c>
      <c r="AN569">
        <f t="shared" si="98"/>
        <v>287.49099999999999</v>
      </c>
      <c r="AO569">
        <f t="shared" si="98"/>
        <v>431.23649999999998</v>
      </c>
      <c r="AP569">
        <f t="shared" si="98"/>
        <v>574.98199999999997</v>
      </c>
      <c r="AQ569">
        <f t="shared" si="98"/>
        <v>1006.2184999999999</v>
      </c>
      <c r="AR569">
        <f t="shared" si="98"/>
        <v>1437.4549999999999</v>
      </c>
      <c r="AS569">
        <f t="shared" si="98"/>
        <v>2299.9279999999999</v>
      </c>
      <c r="AT569">
        <f t="shared" si="98"/>
        <v>3449.8919999999998</v>
      </c>
      <c r="AU569">
        <f t="shared" si="98"/>
        <v>4887.3469999999998</v>
      </c>
      <c r="AV569">
        <f t="shared" si="98"/>
        <v>6899.7839999999997</v>
      </c>
      <c r="AW569">
        <f t="shared" si="98"/>
        <v>9487.2029999999995</v>
      </c>
      <c r="AX569">
        <f t="shared" si="98"/>
        <v>13224.585999999999</v>
      </c>
      <c r="AY569">
        <f t="shared" si="98"/>
        <v>22999.279999999999</v>
      </c>
      <c r="AZ569">
        <f t="shared" si="98"/>
        <v>43123.649999999994</v>
      </c>
      <c r="BA569">
        <f t="shared" si="98"/>
        <v>71872.75</v>
      </c>
      <c r="BB569">
        <f t="shared" si="98"/>
        <v>114996.4</v>
      </c>
      <c r="BC569">
        <f t="shared" si="99"/>
        <v>287491</v>
      </c>
      <c r="BD569">
        <f t="shared" si="99"/>
        <v>431236.5</v>
      </c>
      <c r="BE569">
        <f t="shared" si="99"/>
        <v>689978.39999999991</v>
      </c>
      <c r="BF569">
        <f t="shared" si="99"/>
        <v>862473</v>
      </c>
      <c r="BG569">
        <f t="shared" si="99"/>
        <v>2874910</v>
      </c>
      <c r="BH569">
        <f t="shared" si="99"/>
        <v>8624730</v>
      </c>
      <c r="BI569">
        <f t="shared" si="99"/>
        <v>24436735</v>
      </c>
      <c r="BJ569">
        <f t="shared" si="99"/>
        <v>86247300</v>
      </c>
      <c r="BK569">
        <f t="shared" si="99"/>
        <v>287491000</v>
      </c>
      <c r="BL569">
        <v>564</v>
      </c>
    </row>
    <row r="570" spans="1:64" ht="17.25" thickBot="1" x14ac:dyDescent="0.25">
      <c r="A570" s="131">
        <v>566</v>
      </c>
      <c r="B570" s="132">
        <v>124611650</v>
      </c>
      <c r="D570" s="131">
        <v>566</v>
      </c>
      <c r="E570" s="132">
        <v>28.90645</v>
      </c>
      <c r="AK570">
        <v>564</v>
      </c>
      <c r="AL570" s="24">
        <f t="shared" si="100"/>
        <v>28.801639999999999</v>
      </c>
      <c r="AM570">
        <f t="shared" si="98"/>
        <v>201.61148</v>
      </c>
      <c r="AN570">
        <f t="shared" si="98"/>
        <v>288.01639999999998</v>
      </c>
      <c r="AO570">
        <f t="shared" si="98"/>
        <v>432.02459999999996</v>
      </c>
      <c r="AP570">
        <f t="shared" si="98"/>
        <v>576.03279999999995</v>
      </c>
      <c r="AQ570">
        <f t="shared" si="98"/>
        <v>1008.0573999999999</v>
      </c>
      <c r="AR570">
        <f t="shared" si="98"/>
        <v>1440.0819999999999</v>
      </c>
      <c r="AS570">
        <f t="shared" si="98"/>
        <v>2304.1311999999998</v>
      </c>
      <c r="AT570">
        <f t="shared" si="98"/>
        <v>3456.1967999999997</v>
      </c>
      <c r="AU570">
        <f t="shared" si="98"/>
        <v>4896.2788</v>
      </c>
      <c r="AV570">
        <f t="shared" si="98"/>
        <v>6912.3935999999994</v>
      </c>
      <c r="AW570">
        <f t="shared" si="98"/>
        <v>9504.5411999999997</v>
      </c>
      <c r="AX570">
        <f t="shared" si="98"/>
        <v>13248.7544</v>
      </c>
      <c r="AY570">
        <f t="shared" si="98"/>
        <v>23041.311999999998</v>
      </c>
      <c r="AZ570">
        <f t="shared" si="98"/>
        <v>43202.46</v>
      </c>
      <c r="BA570">
        <f t="shared" si="98"/>
        <v>72004.099999999991</v>
      </c>
      <c r="BB570">
        <f t="shared" si="98"/>
        <v>115206.56</v>
      </c>
      <c r="BC570">
        <f t="shared" si="99"/>
        <v>288016.39999999997</v>
      </c>
      <c r="BD570">
        <f t="shared" si="99"/>
        <v>432024.6</v>
      </c>
      <c r="BE570">
        <f t="shared" si="99"/>
        <v>691239.36</v>
      </c>
      <c r="BF570">
        <f t="shared" si="99"/>
        <v>864049.2</v>
      </c>
      <c r="BG570">
        <f t="shared" si="99"/>
        <v>2880164</v>
      </c>
      <c r="BH570">
        <f t="shared" si="99"/>
        <v>8640492</v>
      </c>
      <c r="BI570">
        <f t="shared" si="99"/>
        <v>24481394</v>
      </c>
      <c r="BJ570">
        <f t="shared" si="99"/>
        <v>86404920</v>
      </c>
      <c r="BK570">
        <f t="shared" si="99"/>
        <v>288016400</v>
      </c>
      <c r="BL570">
        <v>565</v>
      </c>
    </row>
    <row r="571" spans="1:64" ht="17.25" thickBot="1" x14ac:dyDescent="0.25">
      <c r="A571" s="131">
        <v>567</v>
      </c>
      <c r="B571" s="132">
        <v>125262761</v>
      </c>
      <c r="D571" s="131">
        <v>567</v>
      </c>
      <c r="E571" s="132">
        <v>28.95872</v>
      </c>
      <c r="AK571">
        <v>565</v>
      </c>
      <c r="AL571" s="24">
        <f t="shared" si="100"/>
        <v>28.854089999999999</v>
      </c>
      <c r="AM571">
        <f t="shared" si="98"/>
        <v>201.97863000000001</v>
      </c>
      <c r="AN571">
        <f t="shared" si="98"/>
        <v>288.54089999999997</v>
      </c>
      <c r="AO571">
        <f t="shared" si="98"/>
        <v>432.81135</v>
      </c>
      <c r="AP571">
        <f t="shared" si="98"/>
        <v>577.08179999999993</v>
      </c>
      <c r="AQ571">
        <f t="shared" si="98"/>
        <v>1009.89315</v>
      </c>
      <c r="AR571">
        <f t="shared" si="98"/>
        <v>1442.7045000000001</v>
      </c>
      <c r="AS571">
        <f t="shared" si="98"/>
        <v>2308.3271999999997</v>
      </c>
      <c r="AT571">
        <f t="shared" si="98"/>
        <v>3462.4908</v>
      </c>
      <c r="AU571">
        <f t="shared" si="98"/>
        <v>4905.1953000000003</v>
      </c>
      <c r="AV571">
        <f t="shared" si="98"/>
        <v>6924.9816000000001</v>
      </c>
      <c r="AW571">
        <f t="shared" si="98"/>
        <v>9521.8497000000007</v>
      </c>
      <c r="AX571">
        <f t="shared" si="98"/>
        <v>13272.8814</v>
      </c>
      <c r="AY571">
        <f t="shared" si="98"/>
        <v>23083.272000000001</v>
      </c>
      <c r="AZ571">
        <f t="shared" si="98"/>
        <v>43281.135000000002</v>
      </c>
      <c r="BA571">
        <f t="shared" si="98"/>
        <v>72135.224999999991</v>
      </c>
      <c r="BB571">
        <f t="shared" si="98"/>
        <v>115416.36</v>
      </c>
      <c r="BC571">
        <f t="shared" si="99"/>
        <v>288540.89999999997</v>
      </c>
      <c r="BD571">
        <f t="shared" si="99"/>
        <v>432811.35</v>
      </c>
      <c r="BE571">
        <f t="shared" si="99"/>
        <v>692498.16</v>
      </c>
      <c r="BF571">
        <f t="shared" si="99"/>
        <v>865622.7</v>
      </c>
      <c r="BG571">
        <f t="shared" si="99"/>
        <v>2885409</v>
      </c>
      <c r="BH571">
        <f t="shared" si="99"/>
        <v>8656227</v>
      </c>
      <c r="BI571">
        <f t="shared" si="99"/>
        <v>24525976.5</v>
      </c>
      <c r="BJ571">
        <f t="shared" si="99"/>
        <v>86562270</v>
      </c>
      <c r="BK571">
        <f t="shared" si="99"/>
        <v>288540900</v>
      </c>
      <c r="BL571">
        <v>566</v>
      </c>
    </row>
    <row r="572" spans="1:64" ht="17.25" thickBot="1" x14ac:dyDescent="0.25">
      <c r="A572" s="131">
        <v>568</v>
      </c>
      <c r="B572" s="132">
        <v>125921066</v>
      </c>
      <c r="D572" s="131">
        <v>568</v>
      </c>
      <c r="E572" s="132">
        <v>29.010899999999999</v>
      </c>
      <c r="AK572">
        <v>566</v>
      </c>
      <c r="AL572" s="24">
        <f t="shared" si="100"/>
        <v>28.90645</v>
      </c>
      <c r="AM572">
        <f t="shared" si="98"/>
        <v>202.34514999999999</v>
      </c>
      <c r="AN572">
        <f t="shared" si="98"/>
        <v>289.06450000000001</v>
      </c>
      <c r="AO572">
        <f t="shared" si="98"/>
        <v>433.59674999999999</v>
      </c>
      <c r="AP572">
        <f t="shared" si="98"/>
        <v>578.12900000000002</v>
      </c>
      <c r="AQ572">
        <f t="shared" si="98"/>
        <v>1011.7257499999999</v>
      </c>
      <c r="AR572">
        <f t="shared" si="98"/>
        <v>1445.3225</v>
      </c>
      <c r="AS572">
        <f t="shared" si="98"/>
        <v>2312.5160000000001</v>
      </c>
      <c r="AT572">
        <f t="shared" si="98"/>
        <v>3468.7739999999999</v>
      </c>
      <c r="AU572">
        <f t="shared" si="98"/>
        <v>4914.0964999999997</v>
      </c>
      <c r="AV572">
        <f t="shared" si="98"/>
        <v>6937.5479999999998</v>
      </c>
      <c r="AW572">
        <f t="shared" si="98"/>
        <v>9539.1285000000007</v>
      </c>
      <c r="AX572">
        <f t="shared" si="98"/>
        <v>13296.967000000001</v>
      </c>
      <c r="AY572">
        <f t="shared" si="98"/>
        <v>23125.16</v>
      </c>
      <c r="AZ572">
        <f t="shared" si="98"/>
        <v>43359.675000000003</v>
      </c>
      <c r="BA572">
        <f t="shared" si="98"/>
        <v>72266.125</v>
      </c>
      <c r="BB572">
        <f t="shared" si="98"/>
        <v>115625.8</v>
      </c>
      <c r="BC572">
        <f t="shared" si="99"/>
        <v>289064.5</v>
      </c>
      <c r="BD572">
        <f t="shared" si="99"/>
        <v>433596.75</v>
      </c>
      <c r="BE572">
        <f t="shared" si="99"/>
        <v>693754.8</v>
      </c>
      <c r="BF572">
        <f t="shared" si="99"/>
        <v>867193.5</v>
      </c>
      <c r="BG572">
        <f t="shared" si="99"/>
        <v>2890645</v>
      </c>
      <c r="BH572">
        <f t="shared" si="99"/>
        <v>8671935</v>
      </c>
      <c r="BI572">
        <f t="shared" si="99"/>
        <v>24570482.5</v>
      </c>
      <c r="BJ572">
        <f t="shared" si="99"/>
        <v>86719350</v>
      </c>
      <c r="BK572">
        <f t="shared" si="99"/>
        <v>289064500</v>
      </c>
      <c r="BL572">
        <v>567</v>
      </c>
    </row>
    <row r="573" spans="1:64" ht="17.25" thickBot="1" x14ac:dyDescent="0.25">
      <c r="A573" s="131">
        <v>569</v>
      </c>
      <c r="B573" s="132">
        <v>126586611</v>
      </c>
      <c r="D573" s="131">
        <v>569</v>
      </c>
      <c r="E573" s="132">
        <v>29.062989999999999</v>
      </c>
      <c r="AK573">
        <v>567</v>
      </c>
      <c r="AL573" s="24">
        <f t="shared" si="100"/>
        <v>28.95872</v>
      </c>
      <c r="AM573">
        <f t="shared" si="98"/>
        <v>202.71104</v>
      </c>
      <c r="AN573">
        <f t="shared" si="98"/>
        <v>289.5872</v>
      </c>
      <c r="AO573">
        <f t="shared" si="98"/>
        <v>434.38080000000002</v>
      </c>
      <c r="AP573">
        <f t="shared" si="98"/>
        <v>579.17439999999999</v>
      </c>
      <c r="AQ573">
        <f t="shared" si="98"/>
        <v>1013.5552</v>
      </c>
      <c r="AR573">
        <f t="shared" si="98"/>
        <v>1447.9359999999999</v>
      </c>
      <c r="AS573">
        <f t="shared" si="98"/>
        <v>2316.6976</v>
      </c>
      <c r="AT573">
        <f t="shared" si="98"/>
        <v>3475.0464000000002</v>
      </c>
      <c r="AU573">
        <f t="shared" si="98"/>
        <v>4922.9823999999999</v>
      </c>
      <c r="AV573">
        <f t="shared" si="98"/>
        <v>6950.0928000000004</v>
      </c>
      <c r="AW573">
        <f t="shared" si="98"/>
        <v>9556.3775999999998</v>
      </c>
      <c r="AX573">
        <f t="shared" si="98"/>
        <v>13321.011199999999</v>
      </c>
      <c r="AY573">
        <f t="shared" si="98"/>
        <v>23166.975999999999</v>
      </c>
      <c r="AZ573">
        <f t="shared" si="98"/>
        <v>43438.080000000002</v>
      </c>
      <c r="BA573">
        <f t="shared" si="98"/>
        <v>72396.800000000003</v>
      </c>
      <c r="BB573">
        <f t="shared" si="98"/>
        <v>115834.88</v>
      </c>
      <c r="BC573">
        <f t="shared" si="99"/>
        <v>289587.20000000001</v>
      </c>
      <c r="BD573">
        <f t="shared" si="99"/>
        <v>434380.79999999999</v>
      </c>
      <c r="BE573">
        <f t="shared" si="99"/>
        <v>695009.28000000003</v>
      </c>
      <c r="BF573">
        <f t="shared" si="99"/>
        <v>868761.59999999998</v>
      </c>
      <c r="BG573">
        <f t="shared" si="99"/>
        <v>2895872</v>
      </c>
      <c r="BH573">
        <f t="shared" si="99"/>
        <v>8687616</v>
      </c>
      <c r="BI573">
        <f t="shared" si="99"/>
        <v>24614912</v>
      </c>
      <c r="BJ573">
        <f t="shared" si="99"/>
        <v>86876160</v>
      </c>
      <c r="BK573">
        <f t="shared" si="99"/>
        <v>289587200</v>
      </c>
      <c r="BL573">
        <v>568</v>
      </c>
    </row>
    <row r="574" spans="1:64" ht="17.25" thickBot="1" x14ac:dyDescent="0.25">
      <c r="A574" s="131">
        <v>570</v>
      </c>
      <c r="B574" s="132">
        <v>127259455</v>
      </c>
      <c r="D574" s="131">
        <v>570</v>
      </c>
      <c r="E574" s="132">
        <v>29.114989999999999</v>
      </c>
      <c r="AK574">
        <v>568</v>
      </c>
      <c r="AL574" s="24">
        <f t="shared" si="100"/>
        <v>29.010899999999999</v>
      </c>
      <c r="AM574">
        <f t="shared" si="98"/>
        <v>203.0763</v>
      </c>
      <c r="AN574">
        <f t="shared" si="98"/>
        <v>290.10899999999998</v>
      </c>
      <c r="AO574">
        <f t="shared" si="98"/>
        <v>435.1635</v>
      </c>
      <c r="AP574">
        <f t="shared" si="98"/>
        <v>580.21799999999996</v>
      </c>
      <c r="AQ574">
        <f t="shared" si="98"/>
        <v>1015.3815</v>
      </c>
      <c r="AR574">
        <f t="shared" si="98"/>
        <v>1450.5450000000001</v>
      </c>
      <c r="AS574">
        <f t="shared" si="98"/>
        <v>2320.8719999999998</v>
      </c>
      <c r="AT574">
        <f t="shared" si="98"/>
        <v>3481.308</v>
      </c>
      <c r="AU574">
        <f t="shared" si="98"/>
        <v>4931.8530000000001</v>
      </c>
      <c r="AV574">
        <f t="shared" si="98"/>
        <v>6962.616</v>
      </c>
      <c r="AW574">
        <f t="shared" si="98"/>
        <v>9573.5969999999998</v>
      </c>
      <c r="AX574">
        <f t="shared" si="98"/>
        <v>13345.013999999999</v>
      </c>
      <c r="AY574">
        <f t="shared" si="98"/>
        <v>23208.720000000001</v>
      </c>
      <c r="AZ574">
        <f t="shared" si="98"/>
        <v>43516.35</v>
      </c>
      <c r="BA574">
        <f t="shared" si="98"/>
        <v>72527.25</v>
      </c>
      <c r="BB574">
        <f t="shared" si="98"/>
        <v>116043.59999999999</v>
      </c>
      <c r="BC574">
        <f t="shared" si="99"/>
        <v>290109</v>
      </c>
      <c r="BD574">
        <f t="shared" si="99"/>
        <v>435163.5</v>
      </c>
      <c r="BE574">
        <f t="shared" si="99"/>
        <v>696261.6</v>
      </c>
      <c r="BF574">
        <f t="shared" si="99"/>
        <v>870327</v>
      </c>
      <c r="BG574">
        <f t="shared" si="99"/>
        <v>2901090</v>
      </c>
      <c r="BH574">
        <f t="shared" si="99"/>
        <v>8703270</v>
      </c>
      <c r="BI574">
        <f t="shared" si="99"/>
        <v>24659265</v>
      </c>
      <c r="BJ574">
        <f t="shared" si="99"/>
        <v>87032700</v>
      </c>
      <c r="BK574">
        <f t="shared" si="99"/>
        <v>290109000</v>
      </c>
      <c r="BL574">
        <v>569</v>
      </c>
    </row>
    <row r="575" spans="1:64" ht="17.25" thickBot="1" x14ac:dyDescent="0.25">
      <c r="A575" s="131">
        <v>571</v>
      </c>
      <c r="B575" s="132">
        <v>127939644</v>
      </c>
      <c r="D575" s="131">
        <v>571</v>
      </c>
      <c r="E575" s="132">
        <v>29.166899999999998</v>
      </c>
      <c r="AK575">
        <v>569</v>
      </c>
      <c r="AL575" s="24">
        <f t="shared" si="100"/>
        <v>29.062989999999999</v>
      </c>
      <c r="AM575">
        <f t="shared" ref="AM575:BB590" si="101">AM$5*VLOOKUP($AK575,$D$2:$E$1404,2,FALSE)</f>
        <v>203.44092999999998</v>
      </c>
      <c r="AN575">
        <f t="shared" si="101"/>
        <v>290.62990000000002</v>
      </c>
      <c r="AO575">
        <f t="shared" si="101"/>
        <v>435.94484999999997</v>
      </c>
      <c r="AP575">
        <f t="shared" si="101"/>
        <v>581.25980000000004</v>
      </c>
      <c r="AQ575">
        <f t="shared" si="101"/>
        <v>1017.20465</v>
      </c>
      <c r="AR575">
        <f t="shared" si="101"/>
        <v>1453.1495</v>
      </c>
      <c r="AS575">
        <f t="shared" si="101"/>
        <v>2325.0392000000002</v>
      </c>
      <c r="AT575">
        <f t="shared" si="101"/>
        <v>3487.5587999999998</v>
      </c>
      <c r="AU575">
        <f t="shared" si="101"/>
        <v>4940.7083000000002</v>
      </c>
      <c r="AV575">
        <f t="shared" si="101"/>
        <v>6975.1175999999996</v>
      </c>
      <c r="AW575">
        <f t="shared" si="101"/>
        <v>9590.7867000000006</v>
      </c>
      <c r="AX575">
        <f t="shared" si="101"/>
        <v>13368.975399999999</v>
      </c>
      <c r="AY575">
        <f t="shared" si="101"/>
        <v>23250.392</v>
      </c>
      <c r="AZ575">
        <f t="shared" si="101"/>
        <v>43594.485000000001</v>
      </c>
      <c r="BA575">
        <f t="shared" si="101"/>
        <v>72657.474999999991</v>
      </c>
      <c r="BB575">
        <f t="shared" si="101"/>
        <v>116251.95999999999</v>
      </c>
      <c r="BC575">
        <f t="shared" si="99"/>
        <v>290629.89999999997</v>
      </c>
      <c r="BD575">
        <f t="shared" si="99"/>
        <v>435944.85</v>
      </c>
      <c r="BE575">
        <f t="shared" si="99"/>
        <v>697511.76</v>
      </c>
      <c r="BF575">
        <f t="shared" si="99"/>
        <v>871889.7</v>
      </c>
      <c r="BG575">
        <f t="shared" si="99"/>
        <v>2906299</v>
      </c>
      <c r="BH575">
        <f t="shared" si="99"/>
        <v>8718897</v>
      </c>
      <c r="BI575">
        <f t="shared" si="99"/>
        <v>24703541.5</v>
      </c>
      <c r="BJ575">
        <f t="shared" si="99"/>
        <v>87188970</v>
      </c>
      <c r="BK575">
        <f t="shared" si="99"/>
        <v>290629900</v>
      </c>
      <c r="BL575">
        <v>570</v>
      </c>
    </row>
    <row r="576" spans="1:64" ht="17.25" thickBot="1" x14ac:dyDescent="0.25">
      <c r="A576" s="131">
        <v>572</v>
      </c>
      <c r="B576" s="132">
        <v>128627233</v>
      </c>
      <c r="D576" s="131">
        <v>572</v>
      </c>
      <c r="E576" s="132">
        <v>29.218720000000001</v>
      </c>
      <c r="AK576">
        <v>570</v>
      </c>
      <c r="AL576" s="24">
        <f t="shared" si="100"/>
        <v>29.114989999999999</v>
      </c>
      <c r="AM576">
        <f t="shared" si="101"/>
        <v>203.80492999999998</v>
      </c>
      <c r="AN576">
        <f t="shared" si="101"/>
        <v>291.1499</v>
      </c>
      <c r="AO576">
        <f t="shared" si="101"/>
        <v>436.72485</v>
      </c>
      <c r="AP576">
        <f t="shared" si="101"/>
        <v>582.2998</v>
      </c>
      <c r="AQ576">
        <f t="shared" si="101"/>
        <v>1019.02465</v>
      </c>
      <c r="AR576">
        <f t="shared" si="101"/>
        <v>1455.7494999999999</v>
      </c>
      <c r="AS576">
        <f t="shared" si="101"/>
        <v>2329.1992</v>
      </c>
      <c r="AT576">
        <f t="shared" si="101"/>
        <v>3493.7988</v>
      </c>
      <c r="AU576">
        <f t="shared" si="101"/>
        <v>4949.5482999999995</v>
      </c>
      <c r="AV576">
        <f t="shared" si="101"/>
        <v>6987.5976000000001</v>
      </c>
      <c r="AW576">
        <f t="shared" si="101"/>
        <v>9607.9467000000004</v>
      </c>
      <c r="AX576">
        <f t="shared" si="101"/>
        <v>13392.895399999999</v>
      </c>
      <c r="AY576">
        <f t="shared" si="101"/>
        <v>23291.991999999998</v>
      </c>
      <c r="AZ576">
        <f t="shared" si="101"/>
        <v>43672.485000000001</v>
      </c>
      <c r="BA576">
        <f t="shared" si="101"/>
        <v>72787.474999999991</v>
      </c>
      <c r="BB576">
        <f t="shared" si="101"/>
        <v>116459.95999999999</v>
      </c>
      <c r="BC576">
        <f t="shared" si="99"/>
        <v>291149.89999999997</v>
      </c>
      <c r="BD576">
        <f t="shared" si="99"/>
        <v>436724.85</v>
      </c>
      <c r="BE576">
        <f t="shared" si="99"/>
        <v>698759.76</v>
      </c>
      <c r="BF576">
        <f t="shared" si="99"/>
        <v>873449.7</v>
      </c>
      <c r="BG576">
        <f t="shared" si="99"/>
        <v>2911499</v>
      </c>
      <c r="BH576">
        <f t="shared" si="99"/>
        <v>8734497</v>
      </c>
      <c r="BI576">
        <f t="shared" si="99"/>
        <v>24747741.5</v>
      </c>
      <c r="BJ576">
        <f t="shared" si="99"/>
        <v>87344970</v>
      </c>
      <c r="BK576">
        <f t="shared" si="99"/>
        <v>291149900</v>
      </c>
      <c r="BL576">
        <v>571</v>
      </c>
    </row>
    <row r="577" spans="1:64" ht="17.25" thickBot="1" x14ac:dyDescent="0.25">
      <c r="A577" s="131">
        <v>573</v>
      </c>
      <c r="B577" s="132">
        <v>129322272</v>
      </c>
      <c r="D577" s="131">
        <v>573</v>
      </c>
      <c r="E577" s="132">
        <v>29.27045</v>
      </c>
      <c r="AK577">
        <v>571</v>
      </c>
      <c r="AL577" s="24">
        <f t="shared" si="100"/>
        <v>29.166899999999998</v>
      </c>
      <c r="AM577">
        <f t="shared" si="101"/>
        <v>204.16829999999999</v>
      </c>
      <c r="AN577">
        <f t="shared" si="101"/>
        <v>291.66899999999998</v>
      </c>
      <c r="AO577">
        <f t="shared" si="101"/>
        <v>437.50349999999997</v>
      </c>
      <c r="AP577">
        <f t="shared" si="101"/>
        <v>583.33799999999997</v>
      </c>
      <c r="AQ577">
        <f t="shared" si="101"/>
        <v>1020.8415</v>
      </c>
      <c r="AR577">
        <f t="shared" si="101"/>
        <v>1458.3449999999998</v>
      </c>
      <c r="AS577">
        <f t="shared" si="101"/>
        <v>2333.3519999999999</v>
      </c>
      <c r="AT577">
        <f t="shared" si="101"/>
        <v>3500.0279999999998</v>
      </c>
      <c r="AU577">
        <f t="shared" si="101"/>
        <v>4958.3729999999996</v>
      </c>
      <c r="AV577">
        <f t="shared" si="101"/>
        <v>7000.0559999999996</v>
      </c>
      <c r="AW577">
        <f t="shared" si="101"/>
        <v>9625.0769999999993</v>
      </c>
      <c r="AX577">
        <f t="shared" si="101"/>
        <v>13416.773999999999</v>
      </c>
      <c r="AY577">
        <f t="shared" si="101"/>
        <v>23333.519999999997</v>
      </c>
      <c r="AZ577">
        <f t="shared" si="101"/>
        <v>43750.35</v>
      </c>
      <c r="BA577">
        <f t="shared" si="101"/>
        <v>72917.25</v>
      </c>
      <c r="BB577">
        <f t="shared" si="101"/>
        <v>116667.59999999999</v>
      </c>
      <c r="BC577">
        <f t="shared" si="99"/>
        <v>291669</v>
      </c>
      <c r="BD577">
        <f t="shared" si="99"/>
        <v>437503.5</v>
      </c>
      <c r="BE577">
        <f t="shared" si="99"/>
        <v>700005.6</v>
      </c>
      <c r="BF577">
        <f t="shared" si="99"/>
        <v>875007</v>
      </c>
      <c r="BG577">
        <f t="shared" si="99"/>
        <v>2916690</v>
      </c>
      <c r="BH577">
        <f t="shared" si="99"/>
        <v>8750070</v>
      </c>
      <c r="BI577">
        <f t="shared" si="99"/>
        <v>24791865</v>
      </c>
      <c r="BJ577">
        <f t="shared" si="99"/>
        <v>87500700</v>
      </c>
      <c r="BK577">
        <f t="shared" si="99"/>
        <v>291669000</v>
      </c>
      <c r="BL577">
        <v>572</v>
      </c>
    </row>
    <row r="578" spans="1:64" ht="17.25" thickBot="1" x14ac:dyDescent="0.25">
      <c r="A578" s="131">
        <v>574</v>
      </c>
      <c r="B578" s="132">
        <v>130024816</v>
      </c>
      <c r="D578" s="131">
        <v>574</v>
      </c>
      <c r="E578" s="132">
        <v>29.322089999999999</v>
      </c>
      <c r="AK578">
        <v>572</v>
      </c>
      <c r="AL578" s="24">
        <f t="shared" si="100"/>
        <v>29.218720000000001</v>
      </c>
      <c r="AM578">
        <f t="shared" si="101"/>
        <v>204.53104000000002</v>
      </c>
      <c r="AN578">
        <f t="shared" si="101"/>
        <v>292.18720000000002</v>
      </c>
      <c r="AO578">
        <f t="shared" si="101"/>
        <v>438.2808</v>
      </c>
      <c r="AP578">
        <f t="shared" si="101"/>
        <v>584.37440000000004</v>
      </c>
      <c r="AQ578">
        <f t="shared" si="101"/>
        <v>1022.6552</v>
      </c>
      <c r="AR578">
        <f t="shared" si="101"/>
        <v>1460.9360000000001</v>
      </c>
      <c r="AS578">
        <f t="shared" si="101"/>
        <v>2337.4976000000001</v>
      </c>
      <c r="AT578">
        <f t="shared" si="101"/>
        <v>3506.2464</v>
      </c>
      <c r="AU578">
        <f t="shared" si="101"/>
        <v>4967.1824000000006</v>
      </c>
      <c r="AV578">
        <f t="shared" si="101"/>
        <v>7012.4928</v>
      </c>
      <c r="AW578">
        <f t="shared" si="101"/>
        <v>9642.1776000000009</v>
      </c>
      <c r="AX578">
        <f t="shared" si="101"/>
        <v>13440.611200000001</v>
      </c>
      <c r="AY578">
        <f t="shared" si="101"/>
        <v>23374.976000000002</v>
      </c>
      <c r="AZ578">
        <f t="shared" si="101"/>
        <v>43828.08</v>
      </c>
      <c r="BA578">
        <f t="shared" si="101"/>
        <v>73046.8</v>
      </c>
      <c r="BB578">
        <f t="shared" si="101"/>
        <v>116874.88</v>
      </c>
      <c r="BC578">
        <f t="shared" si="99"/>
        <v>292187.2</v>
      </c>
      <c r="BD578">
        <f t="shared" si="99"/>
        <v>438280.8</v>
      </c>
      <c r="BE578">
        <f t="shared" si="99"/>
        <v>701249.28</v>
      </c>
      <c r="BF578">
        <f t="shared" si="99"/>
        <v>876561.6</v>
      </c>
      <c r="BG578">
        <f t="shared" si="99"/>
        <v>2921872</v>
      </c>
      <c r="BH578">
        <f t="shared" si="99"/>
        <v>8765616</v>
      </c>
      <c r="BI578">
        <f t="shared" si="99"/>
        <v>24835912</v>
      </c>
      <c r="BJ578">
        <f t="shared" si="99"/>
        <v>87656160</v>
      </c>
      <c r="BK578">
        <f t="shared" si="99"/>
        <v>292187200</v>
      </c>
      <c r="BL578">
        <v>573</v>
      </c>
    </row>
    <row r="579" spans="1:64" ht="17.25" thickBot="1" x14ac:dyDescent="0.25">
      <c r="A579" s="131">
        <v>575</v>
      </c>
      <c r="B579" s="132">
        <v>130734922</v>
      </c>
      <c r="D579" s="131">
        <v>575</v>
      </c>
      <c r="E579" s="132">
        <v>29.373640000000002</v>
      </c>
      <c r="AK579">
        <v>573</v>
      </c>
      <c r="AL579" s="24">
        <f t="shared" si="100"/>
        <v>29.27045</v>
      </c>
      <c r="AM579">
        <f t="shared" si="101"/>
        <v>204.89314999999999</v>
      </c>
      <c r="AN579">
        <f t="shared" si="101"/>
        <v>292.7045</v>
      </c>
      <c r="AO579">
        <f t="shared" si="101"/>
        <v>439.05675000000002</v>
      </c>
      <c r="AP579">
        <f t="shared" si="101"/>
        <v>585.40899999999999</v>
      </c>
      <c r="AQ579">
        <f t="shared" si="101"/>
        <v>1024.4657500000001</v>
      </c>
      <c r="AR579">
        <f t="shared" si="101"/>
        <v>1463.5225</v>
      </c>
      <c r="AS579">
        <f t="shared" si="101"/>
        <v>2341.636</v>
      </c>
      <c r="AT579">
        <f t="shared" si="101"/>
        <v>3512.4540000000002</v>
      </c>
      <c r="AU579">
        <f t="shared" si="101"/>
        <v>4975.9764999999998</v>
      </c>
      <c r="AV579">
        <f t="shared" si="101"/>
        <v>7024.9080000000004</v>
      </c>
      <c r="AW579">
        <f t="shared" si="101"/>
        <v>9659.2484999999997</v>
      </c>
      <c r="AX579">
        <f t="shared" si="101"/>
        <v>13464.406999999999</v>
      </c>
      <c r="AY579">
        <f t="shared" si="101"/>
        <v>23416.36</v>
      </c>
      <c r="AZ579">
        <f t="shared" si="101"/>
        <v>43905.675000000003</v>
      </c>
      <c r="BA579">
        <f t="shared" si="101"/>
        <v>73176.125</v>
      </c>
      <c r="BB579">
        <f t="shared" si="101"/>
        <v>117081.8</v>
      </c>
      <c r="BC579">
        <f t="shared" si="99"/>
        <v>292704.5</v>
      </c>
      <c r="BD579">
        <f t="shared" si="99"/>
        <v>439056.75</v>
      </c>
      <c r="BE579">
        <f t="shared" si="99"/>
        <v>702490.8</v>
      </c>
      <c r="BF579">
        <f t="shared" si="99"/>
        <v>878113.5</v>
      </c>
      <c r="BG579">
        <f t="shared" si="99"/>
        <v>2927045</v>
      </c>
      <c r="BH579">
        <f t="shared" si="99"/>
        <v>8781135</v>
      </c>
      <c r="BI579">
        <f t="shared" si="99"/>
        <v>24879882.5</v>
      </c>
      <c r="BJ579">
        <f t="shared" si="99"/>
        <v>87811350</v>
      </c>
      <c r="BK579">
        <f t="shared" si="99"/>
        <v>292704500</v>
      </c>
      <c r="BL579">
        <v>574</v>
      </c>
    </row>
    <row r="580" spans="1:64" ht="17.25" thickBot="1" x14ac:dyDescent="0.25">
      <c r="A580" s="131">
        <v>576</v>
      </c>
      <c r="B580" s="132">
        <v>131452638</v>
      </c>
      <c r="D580" s="131">
        <v>576</v>
      </c>
      <c r="E580" s="132">
        <v>29.4251</v>
      </c>
      <c r="AK580">
        <v>574</v>
      </c>
      <c r="AL580" s="24">
        <f t="shared" si="100"/>
        <v>29.322089999999999</v>
      </c>
      <c r="AM580">
        <f t="shared" si="101"/>
        <v>205.25462999999999</v>
      </c>
      <c r="AN580">
        <f t="shared" si="101"/>
        <v>293.22089999999997</v>
      </c>
      <c r="AO580">
        <f t="shared" si="101"/>
        <v>439.83134999999999</v>
      </c>
      <c r="AP580">
        <f t="shared" si="101"/>
        <v>586.44179999999994</v>
      </c>
      <c r="AQ580">
        <f t="shared" si="101"/>
        <v>1026.27315</v>
      </c>
      <c r="AR580">
        <f t="shared" si="101"/>
        <v>1466.1044999999999</v>
      </c>
      <c r="AS580">
        <f t="shared" si="101"/>
        <v>2345.7671999999998</v>
      </c>
      <c r="AT580">
        <f t="shared" si="101"/>
        <v>3518.6507999999999</v>
      </c>
      <c r="AU580">
        <f t="shared" si="101"/>
        <v>4984.7552999999998</v>
      </c>
      <c r="AV580">
        <f t="shared" si="101"/>
        <v>7037.3015999999998</v>
      </c>
      <c r="AW580">
        <f t="shared" si="101"/>
        <v>9676.2896999999994</v>
      </c>
      <c r="AX580">
        <f t="shared" si="101"/>
        <v>13488.161399999999</v>
      </c>
      <c r="AY580">
        <f t="shared" si="101"/>
        <v>23457.671999999999</v>
      </c>
      <c r="AZ580">
        <f t="shared" si="101"/>
        <v>43983.135000000002</v>
      </c>
      <c r="BA580">
        <f t="shared" si="101"/>
        <v>73305.224999999991</v>
      </c>
      <c r="BB580">
        <f t="shared" si="101"/>
        <v>117288.36</v>
      </c>
      <c r="BC580">
        <f t="shared" ref="BC580:BK608" si="102">BC$5*VLOOKUP($AK580,$D$2:$E$1404,2,FALSE)</f>
        <v>293220.89999999997</v>
      </c>
      <c r="BD580">
        <f t="shared" si="102"/>
        <v>439831.35</v>
      </c>
      <c r="BE580">
        <f t="shared" si="102"/>
        <v>703730.16</v>
      </c>
      <c r="BF580">
        <f t="shared" si="102"/>
        <v>879662.7</v>
      </c>
      <c r="BG580">
        <f t="shared" si="102"/>
        <v>2932209</v>
      </c>
      <c r="BH580">
        <f t="shared" si="102"/>
        <v>8796627</v>
      </c>
      <c r="BI580">
        <f t="shared" si="102"/>
        <v>24923776.5</v>
      </c>
      <c r="BJ580">
        <f t="shared" si="102"/>
        <v>87966270</v>
      </c>
      <c r="BK580">
        <f t="shared" si="102"/>
        <v>293220900</v>
      </c>
      <c r="BL580">
        <v>575</v>
      </c>
    </row>
    <row r="581" spans="1:64" ht="17.25" thickBot="1" x14ac:dyDescent="0.25">
      <c r="A581" s="131">
        <v>577</v>
      </c>
      <c r="B581" s="132">
        <v>132178022</v>
      </c>
      <c r="D581" s="131">
        <v>577</v>
      </c>
      <c r="E581" s="132">
        <v>29.476469999999999</v>
      </c>
      <c r="AK581">
        <v>575</v>
      </c>
      <c r="AL581" s="24">
        <f t="shared" si="100"/>
        <v>29.373640000000002</v>
      </c>
      <c r="AM581">
        <f t="shared" si="101"/>
        <v>205.61548000000002</v>
      </c>
      <c r="AN581">
        <f t="shared" si="101"/>
        <v>293.7364</v>
      </c>
      <c r="AO581">
        <f t="shared" si="101"/>
        <v>440.6046</v>
      </c>
      <c r="AP581">
        <f t="shared" si="101"/>
        <v>587.47280000000001</v>
      </c>
      <c r="AQ581">
        <f t="shared" si="101"/>
        <v>1028.0774000000001</v>
      </c>
      <c r="AR581">
        <f t="shared" si="101"/>
        <v>1468.682</v>
      </c>
      <c r="AS581">
        <f t="shared" si="101"/>
        <v>2349.8912</v>
      </c>
      <c r="AT581">
        <f t="shared" si="101"/>
        <v>3524.8368</v>
      </c>
      <c r="AU581">
        <f t="shared" si="101"/>
        <v>4993.5188000000007</v>
      </c>
      <c r="AV581">
        <f t="shared" si="101"/>
        <v>7049.6736000000001</v>
      </c>
      <c r="AW581">
        <f t="shared" si="101"/>
        <v>9693.3011999999999</v>
      </c>
      <c r="AX581">
        <f t="shared" si="101"/>
        <v>13511.874400000001</v>
      </c>
      <c r="AY581">
        <f t="shared" si="101"/>
        <v>23498.912</v>
      </c>
      <c r="AZ581">
        <f t="shared" si="101"/>
        <v>44060.46</v>
      </c>
      <c r="BA581">
        <f t="shared" si="101"/>
        <v>73434.100000000006</v>
      </c>
      <c r="BB581">
        <f t="shared" si="101"/>
        <v>117494.56000000001</v>
      </c>
      <c r="BC581">
        <f t="shared" si="102"/>
        <v>293736.40000000002</v>
      </c>
      <c r="BD581">
        <f t="shared" si="102"/>
        <v>440604.60000000003</v>
      </c>
      <c r="BE581">
        <f t="shared" si="102"/>
        <v>704967.36</v>
      </c>
      <c r="BF581">
        <f t="shared" si="102"/>
        <v>881209.20000000007</v>
      </c>
      <c r="BG581">
        <f t="shared" si="102"/>
        <v>2937364</v>
      </c>
      <c r="BH581">
        <f t="shared" si="102"/>
        <v>8812092</v>
      </c>
      <c r="BI581">
        <f t="shared" si="102"/>
        <v>24967594</v>
      </c>
      <c r="BJ581">
        <f t="shared" si="102"/>
        <v>88120920</v>
      </c>
      <c r="BK581">
        <f t="shared" si="102"/>
        <v>293736400</v>
      </c>
      <c r="BL581">
        <v>576</v>
      </c>
    </row>
    <row r="582" spans="1:64" ht="17.25" thickBot="1" x14ac:dyDescent="0.25">
      <c r="A582" s="131">
        <v>578</v>
      </c>
      <c r="B582" s="132">
        <v>132911122</v>
      </c>
      <c r="D582" s="131">
        <v>578</v>
      </c>
      <c r="E582" s="132">
        <v>29.527760000000001</v>
      </c>
      <c r="AK582">
        <v>576</v>
      </c>
      <c r="AL582" s="24">
        <f t="shared" si="100"/>
        <v>29.4251</v>
      </c>
      <c r="AM582">
        <f t="shared" si="101"/>
        <v>205.97570000000002</v>
      </c>
      <c r="AN582">
        <f t="shared" si="101"/>
        <v>294.25099999999998</v>
      </c>
      <c r="AO582">
        <f t="shared" si="101"/>
        <v>441.37650000000002</v>
      </c>
      <c r="AP582">
        <f t="shared" si="101"/>
        <v>588.50199999999995</v>
      </c>
      <c r="AQ582">
        <f t="shared" si="101"/>
        <v>1029.8785</v>
      </c>
      <c r="AR582">
        <f t="shared" si="101"/>
        <v>1471.2550000000001</v>
      </c>
      <c r="AS582">
        <f t="shared" si="101"/>
        <v>2354.0079999999998</v>
      </c>
      <c r="AT582">
        <f t="shared" si="101"/>
        <v>3531.0120000000002</v>
      </c>
      <c r="AU582">
        <f t="shared" si="101"/>
        <v>5002.2669999999998</v>
      </c>
      <c r="AV582">
        <f t="shared" si="101"/>
        <v>7062.0240000000003</v>
      </c>
      <c r="AW582">
        <f t="shared" si="101"/>
        <v>9710.2829999999994</v>
      </c>
      <c r="AX582">
        <f t="shared" si="101"/>
        <v>13535.546</v>
      </c>
      <c r="AY582">
        <f t="shared" si="101"/>
        <v>23540.080000000002</v>
      </c>
      <c r="AZ582">
        <f t="shared" si="101"/>
        <v>44137.65</v>
      </c>
      <c r="BA582">
        <f t="shared" si="101"/>
        <v>73562.75</v>
      </c>
      <c r="BB582">
        <f t="shared" si="101"/>
        <v>117700.40000000001</v>
      </c>
      <c r="BC582">
        <f t="shared" si="102"/>
        <v>294251</v>
      </c>
      <c r="BD582">
        <f t="shared" si="102"/>
        <v>441376.5</v>
      </c>
      <c r="BE582">
        <f t="shared" si="102"/>
        <v>706202.4</v>
      </c>
      <c r="BF582">
        <f t="shared" si="102"/>
        <v>882753</v>
      </c>
      <c r="BG582">
        <f t="shared" si="102"/>
        <v>2942510</v>
      </c>
      <c r="BH582">
        <f t="shared" si="102"/>
        <v>8827530</v>
      </c>
      <c r="BI582">
        <f t="shared" si="102"/>
        <v>25011335</v>
      </c>
      <c r="BJ582">
        <f t="shared" si="102"/>
        <v>88275300</v>
      </c>
      <c r="BK582">
        <f t="shared" si="102"/>
        <v>294251000</v>
      </c>
      <c r="BL582">
        <v>577</v>
      </c>
    </row>
    <row r="583" spans="1:64" ht="17.25" thickBot="1" x14ac:dyDescent="0.25">
      <c r="A583" s="131">
        <v>579</v>
      </c>
      <c r="B583" s="132">
        <v>133652000</v>
      </c>
      <c r="D583" s="131">
        <v>579</v>
      </c>
      <c r="E583" s="132">
        <v>29.578959999999999</v>
      </c>
      <c r="AK583">
        <v>577</v>
      </c>
      <c r="AL583" s="24">
        <f t="shared" si="100"/>
        <v>29.476469999999999</v>
      </c>
      <c r="AM583">
        <f t="shared" si="101"/>
        <v>206.33528999999999</v>
      </c>
      <c r="AN583">
        <f t="shared" si="101"/>
        <v>294.7647</v>
      </c>
      <c r="AO583">
        <f t="shared" si="101"/>
        <v>442.14704999999998</v>
      </c>
      <c r="AP583">
        <f t="shared" si="101"/>
        <v>589.52940000000001</v>
      </c>
      <c r="AQ583">
        <f t="shared" si="101"/>
        <v>1031.6764499999999</v>
      </c>
      <c r="AR583">
        <f t="shared" si="101"/>
        <v>1473.8235</v>
      </c>
      <c r="AS583">
        <f t="shared" si="101"/>
        <v>2358.1176</v>
      </c>
      <c r="AT583">
        <f t="shared" si="101"/>
        <v>3537.1763999999998</v>
      </c>
      <c r="AU583">
        <f t="shared" si="101"/>
        <v>5010.9998999999998</v>
      </c>
      <c r="AV583">
        <f t="shared" si="101"/>
        <v>7074.3527999999997</v>
      </c>
      <c r="AW583">
        <f t="shared" si="101"/>
        <v>9727.2350999999999</v>
      </c>
      <c r="AX583">
        <f t="shared" si="101"/>
        <v>13559.1762</v>
      </c>
      <c r="AY583">
        <f t="shared" si="101"/>
        <v>23581.175999999999</v>
      </c>
      <c r="AZ583">
        <f t="shared" si="101"/>
        <v>44214.705000000002</v>
      </c>
      <c r="BA583">
        <f t="shared" si="101"/>
        <v>73691.175000000003</v>
      </c>
      <c r="BB583">
        <f t="shared" si="101"/>
        <v>117905.87999999999</v>
      </c>
      <c r="BC583">
        <f t="shared" si="102"/>
        <v>294764.7</v>
      </c>
      <c r="BD583">
        <f t="shared" si="102"/>
        <v>442147.05</v>
      </c>
      <c r="BE583">
        <f t="shared" si="102"/>
        <v>707435.28</v>
      </c>
      <c r="BF583">
        <f t="shared" si="102"/>
        <v>884294.1</v>
      </c>
      <c r="BG583">
        <f t="shared" si="102"/>
        <v>2947647</v>
      </c>
      <c r="BH583">
        <f t="shared" si="102"/>
        <v>8842941</v>
      </c>
      <c r="BI583">
        <f t="shared" si="102"/>
        <v>25054999.5</v>
      </c>
      <c r="BJ583">
        <f t="shared" si="102"/>
        <v>88429410</v>
      </c>
      <c r="BK583">
        <f t="shared" si="102"/>
        <v>294764700</v>
      </c>
      <c r="BL583">
        <v>578</v>
      </c>
    </row>
    <row r="584" spans="1:64" ht="17.25" thickBot="1" x14ac:dyDescent="0.25">
      <c r="A584" s="131">
        <v>580</v>
      </c>
      <c r="B584" s="132">
        <v>134400705</v>
      </c>
      <c r="D584" s="131">
        <v>580</v>
      </c>
      <c r="E584" s="132">
        <v>29.63007</v>
      </c>
      <c r="AK584">
        <v>578</v>
      </c>
      <c r="AL584" s="24">
        <f t="shared" si="100"/>
        <v>29.527760000000001</v>
      </c>
      <c r="AM584">
        <f t="shared" si="101"/>
        <v>206.69432</v>
      </c>
      <c r="AN584">
        <f t="shared" si="101"/>
        <v>295.27760000000001</v>
      </c>
      <c r="AO584">
        <f t="shared" si="101"/>
        <v>442.91640000000001</v>
      </c>
      <c r="AP584">
        <f t="shared" si="101"/>
        <v>590.55520000000001</v>
      </c>
      <c r="AQ584">
        <f t="shared" si="101"/>
        <v>1033.4716000000001</v>
      </c>
      <c r="AR584">
        <f t="shared" si="101"/>
        <v>1476.3879999999999</v>
      </c>
      <c r="AS584">
        <f t="shared" si="101"/>
        <v>2362.2208000000001</v>
      </c>
      <c r="AT584">
        <f t="shared" si="101"/>
        <v>3543.3312000000001</v>
      </c>
      <c r="AU584">
        <f t="shared" si="101"/>
        <v>5019.7192000000005</v>
      </c>
      <c r="AV584">
        <f t="shared" si="101"/>
        <v>7086.6624000000002</v>
      </c>
      <c r="AW584">
        <f t="shared" si="101"/>
        <v>9744.1607999999997</v>
      </c>
      <c r="AX584">
        <f t="shared" si="101"/>
        <v>13582.7696</v>
      </c>
      <c r="AY584">
        <f t="shared" si="101"/>
        <v>23622.207999999999</v>
      </c>
      <c r="AZ584">
        <f t="shared" si="101"/>
        <v>44291.64</v>
      </c>
      <c r="BA584">
        <f t="shared" si="101"/>
        <v>73819.400000000009</v>
      </c>
      <c r="BB584">
        <f t="shared" si="101"/>
        <v>118111.04000000001</v>
      </c>
      <c r="BC584">
        <f t="shared" si="102"/>
        <v>295277.60000000003</v>
      </c>
      <c r="BD584">
        <f t="shared" si="102"/>
        <v>442916.4</v>
      </c>
      <c r="BE584">
        <f t="shared" si="102"/>
        <v>708666.24</v>
      </c>
      <c r="BF584">
        <f t="shared" si="102"/>
        <v>885832.8</v>
      </c>
      <c r="BG584">
        <f t="shared" si="102"/>
        <v>2952776</v>
      </c>
      <c r="BH584">
        <f t="shared" si="102"/>
        <v>8858328</v>
      </c>
      <c r="BI584">
        <f t="shared" si="102"/>
        <v>25098596</v>
      </c>
      <c r="BJ584">
        <f t="shared" si="102"/>
        <v>88583280</v>
      </c>
      <c r="BK584">
        <f t="shared" si="102"/>
        <v>295277600</v>
      </c>
      <c r="BL584">
        <v>579</v>
      </c>
    </row>
    <row r="585" spans="1:64" ht="17.25" thickBot="1" x14ac:dyDescent="0.25">
      <c r="A585" s="131">
        <v>581</v>
      </c>
      <c r="B585" s="132">
        <v>135157294</v>
      </c>
      <c r="D585" s="131">
        <v>581</v>
      </c>
      <c r="E585" s="132">
        <v>29.681100000000001</v>
      </c>
      <c r="AK585">
        <v>579</v>
      </c>
      <c r="AL585" s="24">
        <f t="shared" si="100"/>
        <v>29.578959999999999</v>
      </c>
      <c r="AM585">
        <f t="shared" si="101"/>
        <v>207.05271999999999</v>
      </c>
      <c r="AN585">
        <f t="shared" si="101"/>
        <v>295.78960000000001</v>
      </c>
      <c r="AO585">
        <f t="shared" si="101"/>
        <v>443.68439999999998</v>
      </c>
      <c r="AP585">
        <f t="shared" si="101"/>
        <v>591.57920000000001</v>
      </c>
      <c r="AQ585">
        <f t="shared" si="101"/>
        <v>1035.2636</v>
      </c>
      <c r="AR585">
        <f t="shared" si="101"/>
        <v>1478.9479999999999</v>
      </c>
      <c r="AS585">
        <f t="shared" si="101"/>
        <v>2366.3168000000001</v>
      </c>
      <c r="AT585">
        <f t="shared" si="101"/>
        <v>3549.4751999999999</v>
      </c>
      <c r="AU585">
        <f t="shared" si="101"/>
        <v>5028.4232000000002</v>
      </c>
      <c r="AV585">
        <f t="shared" si="101"/>
        <v>7098.9503999999997</v>
      </c>
      <c r="AW585">
        <f t="shared" si="101"/>
        <v>9761.0568000000003</v>
      </c>
      <c r="AX585">
        <f t="shared" si="101"/>
        <v>13606.321599999999</v>
      </c>
      <c r="AY585">
        <f t="shared" si="101"/>
        <v>23663.167999999998</v>
      </c>
      <c r="AZ585">
        <f t="shared" si="101"/>
        <v>44368.439999999995</v>
      </c>
      <c r="BA585">
        <f t="shared" si="101"/>
        <v>73947.399999999994</v>
      </c>
      <c r="BB585">
        <f t="shared" si="101"/>
        <v>118315.84</v>
      </c>
      <c r="BC585">
        <f t="shared" si="102"/>
        <v>295789.59999999998</v>
      </c>
      <c r="BD585">
        <f t="shared" si="102"/>
        <v>443684.39999999997</v>
      </c>
      <c r="BE585">
        <f t="shared" si="102"/>
        <v>709895.03999999992</v>
      </c>
      <c r="BF585">
        <f t="shared" si="102"/>
        <v>887368.79999999993</v>
      </c>
      <c r="BG585">
        <f t="shared" si="102"/>
        <v>2957896</v>
      </c>
      <c r="BH585">
        <f t="shared" si="102"/>
        <v>8873688</v>
      </c>
      <c r="BI585">
        <f t="shared" si="102"/>
        <v>25142116</v>
      </c>
      <c r="BJ585">
        <f t="shared" si="102"/>
        <v>88736880</v>
      </c>
      <c r="BK585">
        <f t="shared" si="102"/>
        <v>295789600</v>
      </c>
      <c r="BL585">
        <v>580</v>
      </c>
    </row>
    <row r="586" spans="1:64" ht="17.25" thickBot="1" x14ac:dyDescent="0.25">
      <c r="A586" s="131">
        <v>582</v>
      </c>
      <c r="B586" s="132">
        <v>135921816</v>
      </c>
      <c r="D586" s="131">
        <v>582</v>
      </c>
      <c r="E586" s="132">
        <v>29.732040000000001</v>
      </c>
      <c r="AK586">
        <v>580</v>
      </c>
      <c r="AL586" s="24">
        <f t="shared" si="100"/>
        <v>29.63007</v>
      </c>
      <c r="AM586">
        <f t="shared" si="101"/>
        <v>207.41049000000001</v>
      </c>
      <c r="AN586">
        <f t="shared" si="101"/>
        <v>296.30070000000001</v>
      </c>
      <c r="AO586">
        <f t="shared" si="101"/>
        <v>444.45105000000001</v>
      </c>
      <c r="AP586">
        <f t="shared" si="101"/>
        <v>592.60140000000001</v>
      </c>
      <c r="AQ586">
        <f t="shared" si="101"/>
        <v>1037.0524499999999</v>
      </c>
      <c r="AR586">
        <f t="shared" si="101"/>
        <v>1481.5035</v>
      </c>
      <c r="AS586">
        <f t="shared" si="101"/>
        <v>2370.4056</v>
      </c>
      <c r="AT586">
        <f t="shared" si="101"/>
        <v>3555.6084000000001</v>
      </c>
      <c r="AU586">
        <f t="shared" si="101"/>
        <v>5037.1118999999999</v>
      </c>
      <c r="AV586">
        <f t="shared" si="101"/>
        <v>7111.2168000000001</v>
      </c>
      <c r="AW586">
        <f t="shared" si="101"/>
        <v>9777.9231</v>
      </c>
      <c r="AX586">
        <f t="shared" si="101"/>
        <v>13629.832200000001</v>
      </c>
      <c r="AY586">
        <f t="shared" si="101"/>
        <v>23704.056</v>
      </c>
      <c r="AZ586">
        <f t="shared" si="101"/>
        <v>44445.105000000003</v>
      </c>
      <c r="BA586">
        <f t="shared" si="101"/>
        <v>74075.175000000003</v>
      </c>
      <c r="BB586">
        <f t="shared" si="101"/>
        <v>118520.28</v>
      </c>
      <c r="BC586">
        <f t="shared" si="102"/>
        <v>296300.7</v>
      </c>
      <c r="BD586">
        <f t="shared" si="102"/>
        <v>444451.05</v>
      </c>
      <c r="BE586">
        <f t="shared" si="102"/>
        <v>711121.68</v>
      </c>
      <c r="BF586">
        <f t="shared" si="102"/>
        <v>888902.1</v>
      </c>
      <c r="BG586">
        <f t="shared" si="102"/>
        <v>2963007</v>
      </c>
      <c r="BH586">
        <f t="shared" si="102"/>
        <v>8889021</v>
      </c>
      <c r="BI586">
        <f t="shared" si="102"/>
        <v>25185559.5</v>
      </c>
      <c r="BJ586">
        <f t="shared" si="102"/>
        <v>88890210</v>
      </c>
      <c r="BK586">
        <f t="shared" si="102"/>
        <v>296300700</v>
      </c>
      <c r="BL586">
        <v>581</v>
      </c>
    </row>
    <row r="587" spans="1:64" ht="17.25" thickBot="1" x14ac:dyDescent="0.25">
      <c r="A587" s="131">
        <v>583</v>
      </c>
      <c r="B587" s="132">
        <v>136694333</v>
      </c>
      <c r="D587" s="131">
        <v>583</v>
      </c>
      <c r="E587" s="132">
        <v>29.782889999999998</v>
      </c>
      <c r="AK587">
        <v>581</v>
      </c>
      <c r="AL587" s="24">
        <f t="shared" si="100"/>
        <v>29.681100000000001</v>
      </c>
      <c r="AM587">
        <f t="shared" si="101"/>
        <v>207.76769999999999</v>
      </c>
      <c r="AN587">
        <f t="shared" si="101"/>
        <v>296.81100000000004</v>
      </c>
      <c r="AO587">
        <f t="shared" si="101"/>
        <v>445.2165</v>
      </c>
      <c r="AP587">
        <f t="shared" si="101"/>
        <v>593.62200000000007</v>
      </c>
      <c r="AQ587">
        <f t="shared" si="101"/>
        <v>1038.8385000000001</v>
      </c>
      <c r="AR587">
        <f t="shared" si="101"/>
        <v>1484.0550000000001</v>
      </c>
      <c r="AS587">
        <f t="shared" si="101"/>
        <v>2374.4880000000003</v>
      </c>
      <c r="AT587">
        <f t="shared" si="101"/>
        <v>3561.732</v>
      </c>
      <c r="AU587">
        <f t="shared" si="101"/>
        <v>5045.7870000000003</v>
      </c>
      <c r="AV587">
        <f t="shared" si="101"/>
        <v>7123.4639999999999</v>
      </c>
      <c r="AW587">
        <f t="shared" si="101"/>
        <v>9794.7630000000008</v>
      </c>
      <c r="AX587">
        <f t="shared" si="101"/>
        <v>13653.306</v>
      </c>
      <c r="AY587">
        <f t="shared" si="101"/>
        <v>23744.880000000001</v>
      </c>
      <c r="AZ587">
        <f t="shared" si="101"/>
        <v>44521.65</v>
      </c>
      <c r="BA587">
        <f t="shared" si="101"/>
        <v>74202.75</v>
      </c>
      <c r="BB587">
        <f t="shared" si="101"/>
        <v>118724.40000000001</v>
      </c>
      <c r="BC587">
        <f t="shared" si="102"/>
        <v>296811</v>
      </c>
      <c r="BD587">
        <f t="shared" si="102"/>
        <v>445216.5</v>
      </c>
      <c r="BE587">
        <f t="shared" si="102"/>
        <v>712346.4</v>
      </c>
      <c r="BF587">
        <f t="shared" si="102"/>
        <v>890433</v>
      </c>
      <c r="BG587">
        <f t="shared" si="102"/>
        <v>2968110</v>
      </c>
      <c r="BH587">
        <f t="shared" si="102"/>
        <v>8904330</v>
      </c>
      <c r="BI587">
        <f t="shared" si="102"/>
        <v>25228935</v>
      </c>
      <c r="BJ587">
        <f t="shared" si="102"/>
        <v>89043300</v>
      </c>
      <c r="BK587">
        <f t="shared" si="102"/>
        <v>296811000</v>
      </c>
      <c r="BL587">
        <v>582</v>
      </c>
    </row>
    <row r="588" spans="1:64" ht="17.25" thickBot="1" x14ac:dyDescent="0.25">
      <c r="A588" s="131">
        <v>584</v>
      </c>
      <c r="B588" s="132">
        <v>137474894</v>
      </c>
      <c r="D588" s="131">
        <v>584</v>
      </c>
      <c r="E588" s="132">
        <v>29.833659999999998</v>
      </c>
      <c r="AK588">
        <v>582</v>
      </c>
      <c r="AL588" s="24">
        <f t="shared" si="100"/>
        <v>29.732040000000001</v>
      </c>
      <c r="AM588">
        <f t="shared" si="101"/>
        <v>208.12428</v>
      </c>
      <c r="AN588">
        <f t="shared" si="101"/>
        <v>297.32040000000001</v>
      </c>
      <c r="AO588">
        <f t="shared" si="101"/>
        <v>445.98060000000004</v>
      </c>
      <c r="AP588">
        <f t="shared" si="101"/>
        <v>594.64080000000001</v>
      </c>
      <c r="AQ588">
        <f t="shared" si="101"/>
        <v>1040.6214</v>
      </c>
      <c r="AR588">
        <f t="shared" si="101"/>
        <v>1486.6020000000001</v>
      </c>
      <c r="AS588">
        <f t="shared" si="101"/>
        <v>2378.5632000000001</v>
      </c>
      <c r="AT588">
        <f t="shared" si="101"/>
        <v>3567.8448000000003</v>
      </c>
      <c r="AU588">
        <f t="shared" si="101"/>
        <v>5054.4468000000006</v>
      </c>
      <c r="AV588">
        <f t="shared" si="101"/>
        <v>7135.6896000000006</v>
      </c>
      <c r="AW588">
        <f t="shared" si="101"/>
        <v>9811.5732000000007</v>
      </c>
      <c r="AX588">
        <f t="shared" si="101"/>
        <v>13676.7384</v>
      </c>
      <c r="AY588">
        <f t="shared" si="101"/>
        <v>23785.632000000001</v>
      </c>
      <c r="AZ588">
        <f t="shared" si="101"/>
        <v>44598.060000000005</v>
      </c>
      <c r="BA588">
        <f t="shared" si="101"/>
        <v>74330.100000000006</v>
      </c>
      <c r="BB588">
        <f t="shared" si="101"/>
        <v>118928.16</v>
      </c>
      <c r="BC588">
        <f t="shared" si="102"/>
        <v>297320.40000000002</v>
      </c>
      <c r="BD588">
        <f t="shared" si="102"/>
        <v>445980.60000000003</v>
      </c>
      <c r="BE588">
        <f t="shared" si="102"/>
        <v>713568.96000000008</v>
      </c>
      <c r="BF588">
        <f t="shared" si="102"/>
        <v>891961.20000000007</v>
      </c>
      <c r="BG588">
        <f t="shared" si="102"/>
        <v>2973204</v>
      </c>
      <c r="BH588">
        <f t="shared" si="102"/>
        <v>8919612</v>
      </c>
      <c r="BI588">
        <f t="shared" si="102"/>
        <v>25272234</v>
      </c>
      <c r="BJ588">
        <f t="shared" si="102"/>
        <v>89196120</v>
      </c>
      <c r="BK588">
        <f t="shared" si="102"/>
        <v>297320400</v>
      </c>
      <c r="BL588">
        <v>583</v>
      </c>
    </row>
    <row r="589" spans="1:64" ht="17.25" thickBot="1" x14ac:dyDescent="0.25">
      <c r="A589" s="131">
        <v>585</v>
      </c>
      <c r="B589" s="132">
        <v>138263561</v>
      </c>
      <c r="D589" s="131">
        <v>585</v>
      </c>
      <c r="E589" s="132">
        <v>29.884340000000002</v>
      </c>
      <c r="AK589">
        <v>583</v>
      </c>
      <c r="AL589" s="24">
        <f t="shared" si="100"/>
        <v>29.782889999999998</v>
      </c>
      <c r="AM589">
        <f t="shared" si="101"/>
        <v>208.48022999999998</v>
      </c>
      <c r="AN589">
        <f t="shared" si="101"/>
        <v>297.82889999999998</v>
      </c>
      <c r="AO589">
        <f t="shared" si="101"/>
        <v>446.74334999999996</v>
      </c>
      <c r="AP589">
        <f t="shared" si="101"/>
        <v>595.65779999999995</v>
      </c>
      <c r="AQ589">
        <f t="shared" si="101"/>
        <v>1042.4011499999999</v>
      </c>
      <c r="AR589">
        <f t="shared" si="101"/>
        <v>1489.1444999999999</v>
      </c>
      <c r="AS589">
        <f t="shared" si="101"/>
        <v>2382.6311999999998</v>
      </c>
      <c r="AT589">
        <f t="shared" si="101"/>
        <v>3573.9467999999997</v>
      </c>
      <c r="AU589">
        <f t="shared" si="101"/>
        <v>5063.0913</v>
      </c>
      <c r="AV589">
        <f t="shared" si="101"/>
        <v>7147.8935999999994</v>
      </c>
      <c r="AW589">
        <f t="shared" si="101"/>
        <v>9828.3536999999997</v>
      </c>
      <c r="AX589">
        <f t="shared" si="101"/>
        <v>13700.1294</v>
      </c>
      <c r="AY589">
        <f t="shared" si="101"/>
        <v>23826.311999999998</v>
      </c>
      <c r="AZ589">
        <f t="shared" si="101"/>
        <v>44674.334999999999</v>
      </c>
      <c r="BA589">
        <f t="shared" si="101"/>
        <v>74457.224999999991</v>
      </c>
      <c r="BB589">
        <f t="shared" si="101"/>
        <v>119131.56</v>
      </c>
      <c r="BC589">
        <f t="shared" si="102"/>
        <v>297828.89999999997</v>
      </c>
      <c r="BD589">
        <f t="shared" si="102"/>
        <v>446743.35</v>
      </c>
      <c r="BE589">
        <f t="shared" si="102"/>
        <v>714789.36</v>
      </c>
      <c r="BF589">
        <f t="shared" si="102"/>
        <v>893486.7</v>
      </c>
      <c r="BG589">
        <f t="shared" si="102"/>
        <v>2978289</v>
      </c>
      <c r="BH589">
        <f t="shared" si="102"/>
        <v>8934867</v>
      </c>
      <c r="BI589">
        <f t="shared" si="102"/>
        <v>25315456.5</v>
      </c>
      <c r="BJ589">
        <f t="shared" si="102"/>
        <v>89348670</v>
      </c>
      <c r="BK589">
        <f t="shared" si="102"/>
        <v>297828900</v>
      </c>
      <c r="BL589">
        <v>584</v>
      </c>
    </row>
    <row r="590" spans="1:64" ht="17.25" thickBot="1" x14ac:dyDescent="0.25">
      <c r="A590" s="131">
        <v>586</v>
      </c>
      <c r="B590" s="132">
        <v>139060383</v>
      </c>
      <c r="D590" s="131">
        <v>586</v>
      </c>
      <c r="E590" s="132">
        <v>29.934940000000001</v>
      </c>
      <c r="AK590">
        <v>584</v>
      </c>
      <c r="AL590" s="24">
        <f t="shared" si="100"/>
        <v>29.833659999999998</v>
      </c>
      <c r="AM590">
        <f t="shared" si="101"/>
        <v>208.83561999999998</v>
      </c>
      <c r="AN590">
        <f t="shared" si="101"/>
        <v>298.33659999999998</v>
      </c>
      <c r="AO590">
        <f t="shared" si="101"/>
        <v>447.50489999999996</v>
      </c>
      <c r="AP590">
        <f t="shared" si="101"/>
        <v>596.67319999999995</v>
      </c>
      <c r="AQ590">
        <f t="shared" si="101"/>
        <v>1044.1780999999999</v>
      </c>
      <c r="AR590">
        <f t="shared" si="101"/>
        <v>1491.683</v>
      </c>
      <c r="AS590">
        <f t="shared" si="101"/>
        <v>2386.6927999999998</v>
      </c>
      <c r="AT590">
        <f t="shared" si="101"/>
        <v>3580.0391999999997</v>
      </c>
      <c r="AU590">
        <f t="shared" si="101"/>
        <v>5071.7222000000002</v>
      </c>
      <c r="AV590">
        <f t="shared" si="101"/>
        <v>7160.0783999999994</v>
      </c>
      <c r="AW590">
        <f t="shared" si="101"/>
        <v>9845.1077999999998</v>
      </c>
      <c r="AX590">
        <f t="shared" si="101"/>
        <v>13723.4836</v>
      </c>
      <c r="AY590">
        <f t="shared" si="101"/>
        <v>23866.928</v>
      </c>
      <c r="AZ590">
        <f t="shared" si="101"/>
        <v>44750.49</v>
      </c>
      <c r="BA590">
        <f t="shared" si="101"/>
        <v>74584.149999999994</v>
      </c>
      <c r="BB590">
        <f t="shared" ref="AM590:BB606" si="103">BB$5*VLOOKUP($AK590,$D$2:$E$1404,2,FALSE)</f>
        <v>119334.64</v>
      </c>
      <c r="BC590">
        <f t="shared" si="102"/>
        <v>298336.59999999998</v>
      </c>
      <c r="BD590">
        <f t="shared" si="102"/>
        <v>447504.89999999997</v>
      </c>
      <c r="BE590">
        <f t="shared" si="102"/>
        <v>716007.84</v>
      </c>
      <c r="BF590">
        <f t="shared" si="102"/>
        <v>895009.79999999993</v>
      </c>
      <c r="BG590">
        <f t="shared" si="102"/>
        <v>2983366</v>
      </c>
      <c r="BH590">
        <f t="shared" si="102"/>
        <v>8950098</v>
      </c>
      <c r="BI590">
        <f t="shared" si="102"/>
        <v>25358611</v>
      </c>
      <c r="BJ590">
        <f t="shared" si="102"/>
        <v>89500980</v>
      </c>
      <c r="BK590">
        <f t="shared" si="102"/>
        <v>298336600</v>
      </c>
      <c r="BL590">
        <v>585</v>
      </c>
    </row>
    <row r="591" spans="1:64" ht="17.25" thickBot="1" x14ac:dyDescent="0.25">
      <c r="A591" s="131">
        <v>587</v>
      </c>
      <c r="B591" s="132">
        <v>139865422</v>
      </c>
      <c r="D591" s="131">
        <v>587</v>
      </c>
      <c r="E591" s="132">
        <v>29.98545</v>
      </c>
      <c r="AK591">
        <v>585</v>
      </c>
      <c r="AL591" s="24">
        <f t="shared" si="100"/>
        <v>29.884340000000002</v>
      </c>
      <c r="AM591">
        <f t="shared" si="103"/>
        <v>209.19038</v>
      </c>
      <c r="AN591">
        <f t="shared" si="103"/>
        <v>298.84340000000003</v>
      </c>
      <c r="AO591">
        <f t="shared" si="103"/>
        <v>448.26510000000002</v>
      </c>
      <c r="AP591">
        <f t="shared" si="103"/>
        <v>597.68680000000006</v>
      </c>
      <c r="AQ591">
        <f t="shared" si="103"/>
        <v>1045.9519</v>
      </c>
      <c r="AR591">
        <f t="shared" si="103"/>
        <v>1494.2170000000001</v>
      </c>
      <c r="AS591">
        <f t="shared" si="103"/>
        <v>2390.7472000000002</v>
      </c>
      <c r="AT591">
        <f t="shared" si="103"/>
        <v>3586.1208000000001</v>
      </c>
      <c r="AU591">
        <f t="shared" si="103"/>
        <v>5080.3378000000002</v>
      </c>
      <c r="AV591">
        <f t="shared" si="103"/>
        <v>7172.2416000000003</v>
      </c>
      <c r="AW591">
        <f t="shared" si="103"/>
        <v>9861.8322000000007</v>
      </c>
      <c r="AX591">
        <f t="shared" si="103"/>
        <v>13746.796400000001</v>
      </c>
      <c r="AY591">
        <f t="shared" si="103"/>
        <v>23907.472000000002</v>
      </c>
      <c r="AZ591">
        <f t="shared" si="103"/>
        <v>44826.51</v>
      </c>
      <c r="BA591">
        <f t="shared" si="103"/>
        <v>74710.850000000006</v>
      </c>
      <c r="BB591">
        <f t="shared" si="103"/>
        <v>119537.36</v>
      </c>
      <c r="BC591">
        <f t="shared" si="102"/>
        <v>298843.40000000002</v>
      </c>
      <c r="BD591">
        <f t="shared" si="102"/>
        <v>448265.10000000003</v>
      </c>
      <c r="BE591">
        <f t="shared" si="102"/>
        <v>717224.16</v>
      </c>
      <c r="BF591">
        <f t="shared" si="102"/>
        <v>896530.20000000007</v>
      </c>
      <c r="BG591">
        <f t="shared" si="102"/>
        <v>2988434</v>
      </c>
      <c r="BH591">
        <f t="shared" si="102"/>
        <v>8965302</v>
      </c>
      <c r="BI591">
        <f t="shared" si="102"/>
        <v>25401689</v>
      </c>
      <c r="BJ591">
        <f t="shared" si="102"/>
        <v>89653020</v>
      </c>
      <c r="BK591">
        <f t="shared" si="102"/>
        <v>298843400</v>
      </c>
      <c r="BL591">
        <v>586</v>
      </c>
    </row>
    <row r="592" spans="1:64" ht="17.25" thickBot="1" x14ac:dyDescent="0.25">
      <c r="A592" s="131">
        <v>588</v>
      </c>
      <c r="B592" s="132">
        <v>140678733</v>
      </c>
      <c r="D592" s="131">
        <v>588</v>
      </c>
      <c r="E592" s="132">
        <v>30.035879999999999</v>
      </c>
      <c r="AK592">
        <v>586</v>
      </c>
      <c r="AL592" s="24">
        <f t="shared" si="100"/>
        <v>29.934940000000001</v>
      </c>
      <c r="AM592">
        <f t="shared" si="103"/>
        <v>209.54458</v>
      </c>
      <c r="AN592">
        <f t="shared" si="103"/>
        <v>299.3494</v>
      </c>
      <c r="AO592">
        <f t="shared" si="103"/>
        <v>449.02410000000003</v>
      </c>
      <c r="AP592">
        <f t="shared" si="103"/>
        <v>598.69880000000001</v>
      </c>
      <c r="AQ592">
        <f t="shared" si="103"/>
        <v>1047.7229</v>
      </c>
      <c r="AR592">
        <f t="shared" si="103"/>
        <v>1496.7470000000001</v>
      </c>
      <c r="AS592">
        <f t="shared" si="103"/>
        <v>2394.7952</v>
      </c>
      <c r="AT592">
        <f t="shared" si="103"/>
        <v>3592.1928000000003</v>
      </c>
      <c r="AU592">
        <f t="shared" si="103"/>
        <v>5088.9398000000001</v>
      </c>
      <c r="AV592">
        <f t="shared" si="103"/>
        <v>7184.3856000000005</v>
      </c>
      <c r="AW592">
        <f t="shared" si="103"/>
        <v>9878.5302000000011</v>
      </c>
      <c r="AX592">
        <f t="shared" si="103"/>
        <v>13770.072400000001</v>
      </c>
      <c r="AY592">
        <f t="shared" si="103"/>
        <v>23947.952000000001</v>
      </c>
      <c r="AZ592">
        <f t="shared" si="103"/>
        <v>44902.41</v>
      </c>
      <c r="BA592">
        <f t="shared" si="103"/>
        <v>74837.350000000006</v>
      </c>
      <c r="BB592">
        <f t="shared" si="103"/>
        <v>119739.76000000001</v>
      </c>
      <c r="BC592">
        <f t="shared" si="102"/>
        <v>299349.40000000002</v>
      </c>
      <c r="BD592">
        <f t="shared" si="102"/>
        <v>449024.10000000003</v>
      </c>
      <c r="BE592">
        <f t="shared" si="102"/>
        <v>718438.56</v>
      </c>
      <c r="BF592">
        <f t="shared" si="102"/>
        <v>898048.20000000007</v>
      </c>
      <c r="BG592">
        <f t="shared" si="102"/>
        <v>2993494</v>
      </c>
      <c r="BH592">
        <f t="shared" si="102"/>
        <v>8980482</v>
      </c>
      <c r="BI592">
        <f t="shared" si="102"/>
        <v>25444699</v>
      </c>
      <c r="BJ592">
        <f t="shared" si="102"/>
        <v>89804820</v>
      </c>
      <c r="BK592">
        <f t="shared" si="102"/>
        <v>299349400</v>
      </c>
      <c r="BL592">
        <v>587</v>
      </c>
    </row>
    <row r="593" spans="1:64" ht="17.25" thickBot="1" x14ac:dyDescent="0.25">
      <c r="A593" s="131">
        <v>589</v>
      </c>
      <c r="B593" s="132">
        <v>141500372</v>
      </c>
      <c r="D593" s="131">
        <v>589</v>
      </c>
      <c r="E593" s="132">
        <v>30.086220000000001</v>
      </c>
      <c r="AK593">
        <v>587</v>
      </c>
      <c r="AL593" s="24">
        <f t="shared" si="100"/>
        <v>29.98545</v>
      </c>
      <c r="AM593">
        <f t="shared" si="103"/>
        <v>209.89814999999999</v>
      </c>
      <c r="AN593">
        <f t="shared" si="103"/>
        <v>299.85450000000003</v>
      </c>
      <c r="AO593">
        <f t="shared" si="103"/>
        <v>449.78174999999999</v>
      </c>
      <c r="AP593">
        <f t="shared" si="103"/>
        <v>599.70900000000006</v>
      </c>
      <c r="AQ593">
        <f t="shared" si="103"/>
        <v>1049.4907499999999</v>
      </c>
      <c r="AR593">
        <f t="shared" si="103"/>
        <v>1499.2725</v>
      </c>
      <c r="AS593">
        <f t="shared" si="103"/>
        <v>2398.8360000000002</v>
      </c>
      <c r="AT593">
        <f t="shared" si="103"/>
        <v>3598.2539999999999</v>
      </c>
      <c r="AU593">
        <f t="shared" si="103"/>
        <v>5097.5264999999999</v>
      </c>
      <c r="AV593">
        <f t="shared" si="103"/>
        <v>7196.5079999999998</v>
      </c>
      <c r="AW593">
        <f t="shared" si="103"/>
        <v>9895.1985000000004</v>
      </c>
      <c r="AX593">
        <f t="shared" si="103"/>
        <v>13793.307000000001</v>
      </c>
      <c r="AY593">
        <f t="shared" si="103"/>
        <v>23988.36</v>
      </c>
      <c r="AZ593">
        <f t="shared" si="103"/>
        <v>44978.175000000003</v>
      </c>
      <c r="BA593">
        <f t="shared" si="103"/>
        <v>74963.625</v>
      </c>
      <c r="BB593">
        <f t="shared" si="103"/>
        <v>119941.8</v>
      </c>
      <c r="BC593">
        <f t="shared" si="102"/>
        <v>299854.5</v>
      </c>
      <c r="BD593">
        <f t="shared" si="102"/>
        <v>449781.75</v>
      </c>
      <c r="BE593">
        <f t="shared" si="102"/>
        <v>719650.8</v>
      </c>
      <c r="BF593">
        <f t="shared" si="102"/>
        <v>899563.5</v>
      </c>
      <c r="BG593">
        <f t="shared" si="102"/>
        <v>2998545</v>
      </c>
      <c r="BH593">
        <f t="shared" si="102"/>
        <v>8995635</v>
      </c>
      <c r="BI593">
        <f t="shared" si="102"/>
        <v>25487632.5</v>
      </c>
      <c r="BJ593">
        <f t="shared" si="102"/>
        <v>89956350</v>
      </c>
      <c r="BK593">
        <f t="shared" si="102"/>
        <v>299854500</v>
      </c>
      <c r="BL593">
        <v>588</v>
      </c>
    </row>
    <row r="594" spans="1:64" ht="17.25" thickBot="1" x14ac:dyDescent="0.25">
      <c r="A594" s="131">
        <v>590</v>
      </c>
      <c r="B594" s="132">
        <v>142330394</v>
      </c>
      <c r="D594" s="131">
        <v>590</v>
      </c>
      <c r="E594" s="132">
        <v>30.136479999999999</v>
      </c>
      <c r="AK594">
        <v>588</v>
      </c>
      <c r="AL594" s="24">
        <f t="shared" si="100"/>
        <v>30.035879999999999</v>
      </c>
      <c r="AM594">
        <f t="shared" si="103"/>
        <v>210.25116</v>
      </c>
      <c r="AN594">
        <f t="shared" si="103"/>
        <v>300.35879999999997</v>
      </c>
      <c r="AO594">
        <f t="shared" si="103"/>
        <v>450.53819999999996</v>
      </c>
      <c r="AP594">
        <f t="shared" si="103"/>
        <v>600.71759999999995</v>
      </c>
      <c r="AQ594">
        <f t="shared" si="103"/>
        <v>1051.2557999999999</v>
      </c>
      <c r="AR594">
        <f t="shared" si="103"/>
        <v>1501.7939999999999</v>
      </c>
      <c r="AS594">
        <f t="shared" si="103"/>
        <v>2402.8703999999998</v>
      </c>
      <c r="AT594">
        <f t="shared" si="103"/>
        <v>3604.3055999999997</v>
      </c>
      <c r="AU594">
        <f t="shared" si="103"/>
        <v>5106.0995999999996</v>
      </c>
      <c r="AV594">
        <f t="shared" si="103"/>
        <v>7208.6111999999994</v>
      </c>
      <c r="AW594">
        <f t="shared" si="103"/>
        <v>9911.8403999999991</v>
      </c>
      <c r="AX594">
        <f t="shared" si="103"/>
        <v>13816.504799999999</v>
      </c>
      <c r="AY594">
        <f t="shared" si="103"/>
        <v>24028.703999999998</v>
      </c>
      <c r="AZ594">
        <f t="shared" si="103"/>
        <v>45053.82</v>
      </c>
      <c r="BA594">
        <f t="shared" si="103"/>
        <v>75089.7</v>
      </c>
      <c r="BB594">
        <f t="shared" si="103"/>
        <v>120143.51999999999</v>
      </c>
      <c r="BC594">
        <f t="shared" si="102"/>
        <v>300358.8</v>
      </c>
      <c r="BD594">
        <f t="shared" si="102"/>
        <v>450538.19999999995</v>
      </c>
      <c r="BE594">
        <f t="shared" si="102"/>
        <v>720861.12</v>
      </c>
      <c r="BF594">
        <f t="shared" si="102"/>
        <v>901076.39999999991</v>
      </c>
      <c r="BG594">
        <f t="shared" si="102"/>
        <v>3003588</v>
      </c>
      <c r="BH594">
        <f t="shared" si="102"/>
        <v>9010764</v>
      </c>
      <c r="BI594">
        <f t="shared" si="102"/>
        <v>25530498</v>
      </c>
      <c r="BJ594">
        <f t="shared" si="102"/>
        <v>90107640</v>
      </c>
      <c r="BK594">
        <f t="shared" si="102"/>
        <v>300358800</v>
      </c>
      <c r="BL594">
        <v>589</v>
      </c>
    </row>
    <row r="595" spans="1:64" ht="17.25" thickBot="1" x14ac:dyDescent="0.25">
      <c r="A595" s="131">
        <v>591</v>
      </c>
      <c r="B595" s="132">
        <v>143168855</v>
      </c>
      <c r="D595" s="131">
        <v>591</v>
      </c>
      <c r="E595" s="132">
        <v>30.18665</v>
      </c>
      <c r="AK595">
        <v>589</v>
      </c>
      <c r="AL595" s="24">
        <f t="shared" si="100"/>
        <v>30.086220000000001</v>
      </c>
      <c r="AM595">
        <f t="shared" si="103"/>
        <v>210.60354000000001</v>
      </c>
      <c r="AN595">
        <f t="shared" si="103"/>
        <v>300.86220000000003</v>
      </c>
      <c r="AO595">
        <f t="shared" si="103"/>
        <v>451.29329999999999</v>
      </c>
      <c r="AP595">
        <f t="shared" si="103"/>
        <v>601.72440000000006</v>
      </c>
      <c r="AQ595">
        <f t="shared" si="103"/>
        <v>1053.0177000000001</v>
      </c>
      <c r="AR595">
        <f t="shared" si="103"/>
        <v>1504.3110000000001</v>
      </c>
      <c r="AS595">
        <f t="shared" si="103"/>
        <v>2406.8976000000002</v>
      </c>
      <c r="AT595">
        <f t="shared" si="103"/>
        <v>3610.3463999999999</v>
      </c>
      <c r="AU595">
        <f t="shared" si="103"/>
        <v>5114.6574000000001</v>
      </c>
      <c r="AV595">
        <f t="shared" si="103"/>
        <v>7220.6927999999998</v>
      </c>
      <c r="AW595">
        <f t="shared" si="103"/>
        <v>9928.4526000000005</v>
      </c>
      <c r="AX595">
        <f t="shared" si="103"/>
        <v>13839.6612</v>
      </c>
      <c r="AY595">
        <f t="shared" si="103"/>
        <v>24068.976000000002</v>
      </c>
      <c r="AZ595">
        <f t="shared" si="103"/>
        <v>45129.33</v>
      </c>
      <c r="BA595">
        <f t="shared" si="103"/>
        <v>75215.55</v>
      </c>
      <c r="BB595">
        <f t="shared" si="103"/>
        <v>120344.88</v>
      </c>
      <c r="BC595">
        <f t="shared" si="102"/>
        <v>300862.2</v>
      </c>
      <c r="BD595">
        <f t="shared" si="102"/>
        <v>451293.3</v>
      </c>
      <c r="BE595">
        <f t="shared" si="102"/>
        <v>722069.28</v>
      </c>
      <c r="BF595">
        <f t="shared" si="102"/>
        <v>902586.6</v>
      </c>
      <c r="BG595">
        <f t="shared" si="102"/>
        <v>3008622</v>
      </c>
      <c r="BH595">
        <f t="shared" si="102"/>
        <v>9025866</v>
      </c>
      <c r="BI595">
        <f t="shared" si="102"/>
        <v>25573287</v>
      </c>
      <c r="BJ595">
        <f t="shared" si="102"/>
        <v>90258660</v>
      </c>
      <c r="BK595">
        <f t="shared" si="102"/>
        <v>300862200</v>
      </c>
      <c r="BL595">
        <v>590</v>
      </c>
    </row>
    <row r="596" spans="1:64" ht="17.25" thickBot="1" x14ac:dyDescent="0.25">
      <c r="A596" s="131">
        <v>592</v>
      </c>
      <c r="B596" s="132">
        <v>144015816</v>
      </c>
      <c r="D596" s="131">
        <v>592</v>
      </c>
      <c r="E596" s="132">
        <v>30.236740000000001</v>
      </c>
      <c r="AK596">
        <v>590</v>
      </c>
      <c r="AL596" s="24">
        <f t="shared" si="100"/>
        <v>30.136479999999999</v>
      </c>
      <c r="AM596">
        <f t="shared" si="103"/>
        <v>210.95535999999998</v>
      </c>
      <c r="AN596">
        <f t="shared" si="103"/>
        <v>301.3648</v>
      </c>
      <c r="AO596">
        <f t="shared" si="103"/>
        <v>452.04719999999998</v>
      </c>
      <c r="AP596">
        <f t="shared" si="103"/>
        <v>602.7296</v>
      </c>
      <c r="AQ596">
        <f t="shared" si="103"/>
        <v>1054.7767999999999</v>
      </c>
      <c r="AR596">
        <f t="shared" si="103"/>
        <v>1506.8239999999998</v>
      </c>
      <c r="AS596">
        <f t="shared" si="103"/>
        <v>2410.9184</v>
      </c>
      <c r="AT596">
        <f t="shared" si="103"/>
        <v>3616.3775999999998</v>
      </c>
      <c r="AU596">
        <f t="shared" si="103"/>
        <v>5123.2015999999994</v>
      </c>
      <c r="AV596">
        <f t="shared" si="103"/>
        <v>7232.7551999999996</v>
      </c>
      <c r="AW596">
        <f t="shared" si="103"/>
        <v>9945.0383999999995</v>
      </c>
      <c r="AX596">
        <f t="shared" si="103"/>
        <v>13862.780799999999</v>
      </c>
      <c r="AY596">
        <f t="shared" si="103"/>
        <v>24109.183999999997</v>
      </c>
      <c r="AZ596">
        <f t="shared" si="103"/>
        <v>45204.72</v>
      </c>
      <c r="BA596">
        <f t="shared" si="103"/>
        <v>75341.2</v>
      </c>
      <c r="BB596">
        <f t="shared" si="103"/>
        <v>120545.92</v>
      </c>
      <c r="BC596">
        <f t="shared" si="102"/>
        <v>301364.8</v>
      </c>
      <c r="BD596">
        <f t="shared" si="102"/>
        <v>452047.19999999995</v>
      </c>
      <c r="BE596">
        <f t="shared" si="102"/>
        <v>723275.52</v>
      </c>
      <c r="BF596">
        <f t="shared" si="102"/>
        <v>904094.39999999991</v>
      </c>
      <c r="BG596">
        <f t="shared" si="102"/>
        <v>3013648</v>
      </c>
      <c r="BH596">
        <f t="shared" si="102"/>
        <v>9040944</v>
      </c>
      <c r="BI596">
        <f t="shared" si="102"/>
        <v>25616008</v>
      </c>
      <c r="BJ596">
        <f t="shared" si="102"/>
        <v>90409440</v>
      </c>
      <c r="BK596">
        <f t="shared" si="102"/>
        <v>301364800</v>
      </c>
      <c r="BL596">
        <v>591</v>
      </c>
    </row>
    <row r="597" spans="1:64" ht="17.25" thickBot="1" x14ac:dyDescent="0.25">
      <c r="A597" s="131">
        <v>593</v>
      </c>
      <c r="B597" s="132">
        <v>144871333</v>
      </c>
      <c r="D597" s="131">
        <v>593</v>
      </c>
      <c r="E597" s="132">
        <v>30.286750000000001</v>
      </c>
      <c r="AK597">
        <v>591</v>
      </c>
      <c r="AL597" s="24">
        <f t="shared" si="100"/>
        <v>30.18665</v>
      </c>
      <c r="AM597">
        <f t="shared" si="103"/>
        <v>211.30655000000002</v>
      </c>
      <c r="AN597">
        <f t="shared" si="103"/>
        <v>301.86649999999997</v>
      </c>
      <c r="AO597">
        <f t="shared" si="103"/>
        <v>452.79975000000002</v>
      </c>
      <c r="AP597">
        <f t="shared" si="103"/>
        <v>603.73299999999995</v>
      </c>
      <c r="AQ597">
        <f t="shared" si="103"/>
        <v>1056.5327500000001</v>
      </c>
      <c r="AR597">
        <f t="shared" si="103"/>
        <v>1509.3325</v>
      </c>
      <c r="AS597">
        <f t="shared" si="103"/>
        <v>2414.9319999999998</v>
      </c>
      <c r="AT597">
        <f t="shared" si="103"/>
        <v>3622.3980000000001</v>
      </c>
      <c r="AU597">
        <f t="shared" si="103"/>
        <v>5131.7304999999997</v>
      </c>
      <c r="AV597">
        <f t="shared" si="103"/>
        <v>7244.7960000000003</v>
      </c>
      <c r="AW597">
        <f t="shared" si="103"/>
        <v>9961.5944999999992</v>
      </c>
      <c r="AX597">
        <f t="shared" si="103"/>
        <v>13885.859</v>
      </c>
      <c r="AY597">
        <f t="shared" si="103"/>
        <v>24149.32</v>
      </c>
      <c r="AZ597">
        <f t="shared" si="103"/>
        <v>45279.974999999999</v>
      </c>
      <c r="BA597">
        <f t="shared" si="103"/>
        <v>75466.625</v>
      </c>
      <c r="BB597">
        <f t="shared" si="103"/>
        <v>120746.6</v>
      </c>
      <c r="BC597">
        <f t="shared" si="102"/>
        <v>301866.5</v>
      </c>
      <c r="BD597">
        <f t="shared" si="102"/>
        <v>452799.75</v>
      </c>
      <c r="BE597">
        <f t="shared" si="102"/>
        <v>724479.6</v>
      </c>
      <c r="BF597">
        <f t="shared" si="102"/>
        <v>905599.5</v>
      </c>
      <c r="BG597">
        <f t="shared" si="102"/>
        <v>3018665</v>
      </c>
      <c r="BH597">
        <f t="shared" si="102"/>
        <v>9055995</v>
      </c>
      <c r="BI597">
        <f t="shared" si="102"/>
        <v>25658652.5</v>
      </c>
      <c r="BJ597">
        <f t="shared" si="102"/>
        <v>90559950</v>
      </c>
      <c r="BK597">
        <f t="shared" si="102"/>
        <v>301866500</v>
      </c>
      <c r="BL597">
        <v>592</v>
      </c>
    </row>
    <row r="598" spans="1:64" ht="17.25" thickBot="1" x14ac:dyDescent="0.25">
      <c r="A598" s="131">
        <v>594</v>
      </c>
      <c r="B598" s="132">
        <v>145735461</v>
      </c>
      <c r="D598" s="131">
        <v>594</v>
      </c>
      <c r="E598" s="132">
        <v>30.336670000000002</v>
      </c>
      <c r="AK598">
        <v>592</v>
      </c>
      <c r="AL598" s="24">
        <f t="shared" si="100"/>
        <v>30.236740000000001</v>
      </c>
      <c r="AM598">
        <f t="shared" si="103"/>
        <v>211.65718000000001</v>
      </c>
      <c r="AN598">
        <f t="shared" si="103"/>
        <v>302.36740000000003</v>
      </c>
      <c r="AO598">
        <f t="shared" si="103"/>
        <v>453.55110000000002</v>
      </c>
      <c r="AP598">
        <f t="shared" si="103"/>
        <v>604.73480000000006</v>
      </c>
      <c r="AQ598">
        <f t="shared" si="103"/>
        <v>1058.2859000000001</v>
      </c>
      <c r="AR598">
        <f t="shared" si="103"/>
        <v>1511.837</v>
      </c>
      <c r="AS598">
        <f t="shared" si="103"/>
        <v>2418.9392000000003</v>
      </c>
      <c r="AT598">
        <f t="shared" si="103"/>
        <v>3628.4088000000002</v>
      </c>
      <c r="AU598">
        <f t="shared" si="103"/>
        <v>5140.2458000000006</v>
      </c>
      <c r="AV598">
        <f t="shared" si="103"/>
        <v>7256.8176000000003</v>
      </c>
      <c r="AW598">
        <f t="shared" si="103"/>
        <v>9978.1242000000002</v>
      </c>
      <c r="AX598">
        <f t="shared" si="103"/>
        <v>13908.9004</v>
      </c>
      <c r="AY598">
        <f t="shared" si="103"/>
        <v>24189.392</v>
      </c>
      <c r="AZ598">
        <f t="shared" si="103"/>
        <v>45355.11</v>
      </c>
      <c r="BA598">
        <f t="shared" si="103"/>
        <v>75591.850000000006</v>
      </c>
      <c r="BB598">
        <f t="shared" si="103"/>
        <v>120946.96</v>
      </c>
      <c r="BC598">
        <f t="shared" si="102"/>
        <v>302367.40000000002</v>
      </c>
      <c r="BD598">
        <f t="shared" si="102"/>
        <v>453551.10000000003</v>
      </c>
      <c r="BE598">
        <f t="shared" si="102"/>
        <v>725681.76</v>
      </c>
      <c r="BF598">
        <f t="shared" si="102"/>
        <v>907102.20000000007</v>
      </c>
      <c r="BG598">
        <f t="shared" si="102"/>
        <v>3023674</v>
      </c>
      <c r="BH598">
        <f t="shared" si="102"/>
        <v>9071022</v>
      </c>
      <c r="BI598">
        <f t="shared" si="102"/>
        <v>25701229</v>
      </c>
      <c r="BJ598">
        <f t="shared" si="102"/>
        <v>90710220</v>
      </c>
      <c r="BK598">
        <f t="shared" si="102"/>
        <v>302367400</v>
      </c>
      <c r="BL598">
        <v>593</v>
      </c>
    </row>
    <row r="599" spans="1:64" ht="17.25" thickBot="1" x14ac:dyDescent="0.25">
      <c r="A599" s="131">
        <v>595</v>
      </c>
      <c r="B599" s="132">
        <v>146608261</v>
      </c>
      <c r="D599" s="131">
        <v>595</v>
      </c>
      <c r="E599" s="132">
        <v>30.386510000000001</v>
      </c>
      <c r="AK599">
        <v>593</v>
      </c>
      <c r="AL599" s="24">
        <f t="shared" si="100"/>
        <v>30.286750000000001</v>
      </c>
      <c r="AM599">
        <f t="shared" si="103"/>
        <v>212.00725</v>
      </c>
      <c r="AN599">
        <f t="shared" si="103"/>
        <v>302.86750000000001</v>
      </c>
      <c r="AO599">
        <f t="shared" si="103"/>
        <v>454.30125000000004</v>
      </c>
      <c r="AP599">
        <f t="shared" si="103"/>
        <v>605.73500000000001</v>
      </c>
      <c r="AQ599">
        <f t="shared" si="103"/>
        <v>1060.0362500000001</v>
      </c>
      <c r="AR599">
        <f t="shared" si="103"/>
        <v>1514.3375000000001</v>
      </c>
      <c r="AS599">
        <f t="shared" si="103"/>
        <v>2422.94</v>
      </c>
      <c r="AT599">
        <f t="shared" si="103"/>
        <v>3634.4100000000003</v>
      </c>
      <c r="AU599">
        <f t="shared" si="103"/>
        <v>5148.7475000000004</v>
      </c>
      <c r="AV599">
        <f t="shared" si="103"/>
        <v>7268.8200000000006</v>
      </c>
      <c r="AW599">
        <f t="shared" si="103"/>
        <v>9994.6275000000005</v>
      </c>
      <c r="AX599">
        <f t="shared" si="103"/>
        <v>13931.905000000001</v>
      </c>
      <c r="AY599">
        <f t="shared" si="103"/>
        <v>24229.4</v>
      </c>
      <c r="AZ599">
        <f t="shared" si="103"/>
        <v>45430.125</v>
      </c>
      <c r="BA599">
        <f t="shared" si="103"/>
        <v>75716.875</v>
      </c>
      <c r="BB599">
        <f t="shared" si="103"/>
        <v>121147</v>
      </c>
      <c r="BC599">
        <f t="shared" si="102"/>
        <v>302867.5</v>
      </c>
      <c r="BD599">
        <f t="shared" si="102"/>
        <v>454301.25</v>
      </c>
      <c r="BE599">
        <f t="shared" si="102"/>
        <v>726882</v>
      </c>
      <c r="BF599">
        <f t="shared" si="102"/>
        <v>908602.5</v>
      </c>
      <c r="BG599">
        <f t="shared" si="102"/>
        <v>3028675</v>
      </c>
      <c r="BH599">
        <f t="shared" si="102"/>
        <v>9086025</v>
      </c>
      <c r="BI599">
        <f t="shared" si="102"/>
        <v>25743737.5</v>
      </c>
      <c r="BJ599">
        <f t="shared" si="102"/>
        <v>90860250</v>
      </c>
      <c r="BK599">
        <f t="shared" si="102"/>
        <v>302867500</v>
      </c>
      <c r="BL599">
        <v>594</v>
      </c>
    </row>
    <row r="600" spans="1:64" ht="17.25" thickBot="1" x14ac:dyDescent="0.25">
      <c r="A600" s="131">
        <v>596</v>
      </c>
      <c r="B600" s="132">
        <v>147489788</v>
      </c>
      <c r="D600" s="131">
        <v>596</v>
      </c>
      <c r="E600" s="132">
        <v>30.43627</v>
      </c>
      <c r="AK600">
        <v>594</v>
      </c>
      <c r="AL600" s="24">
        <f t="shared" si="100"/>
        <v>30.336670000000002</v>
      </c>
      <c r="AM600">
        <f t="shared" si="103"/>
        <v>212.35669000000001</v>
      </c>
      <c r="AN600">
        <f t="shared" si="103"/>
        <v>303.36670000000004</v>
      </c>
      <c r="AO600">
        <f t="shared" si="103"/>
        <v>455.05005</v>
      </c>
      <c r="AP600">
        <f t="shared" si="103"/>
        <v>606.73340000000007</v>
      </c>
      <c r="AQ600">
        <f t="shared" si="103"/>
        <v>1061.7834500000001</v>
      </c>
      <c r="AR600">
        <f t="shared" si="103"/>
        <v>1516.8335000000002</v>
      </c>
      <c r="AS600">
        <f t="shared" si="103"/>
        <v>2426.9336000000003</v>
      </c>
      <c r="AT600">
        <f t="shared" si="103"/>
        <v>3640.4004</v>
      </c>
      <c r="AU600">
        <f t="shared" si="103"/>
        <v>5157.2339000000002</v>
      </c>
      <c r="AV600">
        <f t="shared" si="103"/>
        <v>7280.8008</v>
      </c>
      <c r="AW600">
        <f t="shared" si="103"/>
        <v>10011.1011</v>
      </c>
      <c r="AX600">
        <f t="shared" si="103"/>
        <v>13954.868200000001</v>
      </c>
      <c r="AY600">
        <f t="shared" si="103"/>
        <v>24269.336000000003</v>
      </c>
      <c r="AZ600">
        <f t="shared" si="103"/>
        <v>45505.005000000005</v>
      </c>
      <c r="BA600">
        <f t="shared" si="103"/>
        <v>75841.675000000003</v>
      </c>
      <c r="BB600">
        <f t="shared" si="103"/>
        <v>121346.68000000001</v>
      </c>
      <c r="BC600">
        <f t="shared" si="102"/>
        <v>303366.7</v>
      </c>
      <c r="BD600">
        <f t="shared" si="102"/>
        <v>455050.05000000005</v>
      </c>
      <c r="BE600">
        <f t="shared" si="102"/>
        <v>728080.08000000007</v>
      </c>
      <c r="BF600">
        <f t="shared" si="102"/>
        <v>910100.10000000009</v>
      </c>
      <c r="BG600">
        <f t="shared" si="102"/>
        <v>3033667</v>
      </c>
      <c r="BH600">
        <f t="shared" si="102"/>
        <v>9101001</v>
      </c>
      <c r="BI600">
        <f t="shared" si="102"/>
        <v>25786169.5</v>
      </c>
      <c r="BJ600">
        <f t="shared" si="102"/>
        <v>91010010</v>
      </c>
      <c r="BK600">
        <f t="shared" si="102"/>
        <v>303366700</v>
      </c>
      <c r="BL600">
        <v>595</v>
      </c>
    </row>
    <row r="601" spans="1:64" ht="17.25" thickBot="1" x14ac:dyDescent="0.25">
      <c r="A601" s="131">
        <v>597</v>
      </c>
      <c r="B601" s="132">
        <v>148380105</v>
      </c>
      <c r="D601" s="131">
        <v>597</v>
      </c>
      <c r="E601" s="132">
        <v>30.485939999999999</v>
      </c>
      <c r="AK601">
        <v>595</v>
      </c>
      <c r="AL601" s="24">
        <f t="shared" si="100"/>
        <v>30.386510000000001</v>
      </c>
      <c r="AM601">
        <f t="shared" si="103"/>
        <v>212.70557000000002</v>
      </c>
      <c r="AN601">
        <f t="shared" si="103"/>
        <v>303.86509999999998</v>
      </c>
      <c r="AO601">
        <f t="shared" si="103"/>
        <v>455.79765000000003</v>
      </c>
      <c r="AP601">
        <f t="shared" si="103"/>
        <v>607.73019999999997</v>
      </c>
      <c r="AQ601">
        <f t="shared" si="103"/>
        <v>1063.5278499999999</v>
      </c>
      <c r="AR601">
        <f t="shared" si="103"/>
        <v>1519.3255000000001</v>
      </c>
      <c r="AS601">
        <f t="shared" si="103"/>
        <v>2430.9207999999999</v>
      </c>
      <c r="AT601">
        <f t="shared" si="103"/>
        <v>3646.3812000000003</v>
      </c>
      <c r="AU601">
        <f t="shared" si="103"/>
        <v>5165.7067000000006</v>
      </c>
      <c r="AV601">
        <f t="shared" si="103"/>
        <v>7292.7624000000005</v>
      </c>
      <c r="AW601">
        <f t="shared" si="103"/>
        <v>10027.5483</v>
      </c>
      <c r="AX601">
        <f t="shared" si="103"/>
        <v>13977.794600000001</v>
      </c>
      <c r="AY601">
        <f t="shared" si="103"/>
        <v>24309.208000000002</v>
      </c>
      <c r="AZ601">
        <f t="shared" si="103"/>
        <v>45579.764999999999</v>
      </c>
      <c r="BA601">
        <f t="shared" si="103"/>
        <v>75966.275000000009</v>
      </c>
      <c r="BB601">
        <f t="shared" si="103"/>
        <v>121546.04000000001</v>
      </c>
      <c r="BC601">
        <f t="shared" si="102"/>
        <v>303865.10000000003</v>
      </c>
      <c r="BD601">
        <f t="shared" si="102"/>
        <v>455797.65</v>
      </c>
      <c r="BE601">
        <f t="shared" si="102"/>
        <v>729276.24</v>
      </c>
      <c r="BF601">
        <f t="shared" si="102"/>
        <v>911595.3</v>
      </c>
      <c r="BG601">
        <f t="shared" si="102"/>
        <v>3038651</v>
      </c>
      <c r="BH601">
        <f t="shared" si="102"/>
        <v>9115953</v>
      </c>
      <c r="BI601">
        <f t="shared" si="102"/>
        <v>25828533.5</v>
      </c>
      <c r="BJ601">
        <f t="shared" si="102"/>
        <v>91159530</v>
      </c>
      <c r="BK601">
        <f t="shared" si="102"/>
        <v>303865100</v>
      </c>
      <c r="BL601">
        <v>596</v>
      </c>
    </row>
    <row r="602" spans="1:64" ht="17.25" thickBot="1" x14ac:dyDescent="0.25">
      <c r="A602" s="131">
        <v>598</v>
      </c>
      <c r="B602" s="132">
        <v>149279266</v>
      </c>
      <c r="D602" s="131">
        <v>598</v>
      </c>
      <c r="E602" s="132">
        <v>30.535530000000001</v>
      </c>
      <c r="AK602">
        <v>596</v>
      </c>
      <c r="AL602" s="24">
        <f t="shared" si="100"/>
        <v>30.43627</v>
      </c>
      <c r="AM602">
        <f t="shared" si="103"/>
        <v>213.05389</v>
      </c>
      <c r="AN602">
        <f t="shared" si="103"/>
        <v>304.36270000000002</v>
      </c>
      <c r="AO602">
        <f t="shared" si="103"/>
        <v>456.54405000000003</v>
      </c>
      <c r="AP602">
        <f t="shared" si="103"/>
        <v>608.72540000000004</v>
      </c>
      <c r="AQ602">
        <f t="shared" si="103"/>
        <v>1065.26945</v>
      </c>
      <c r="AR602">
        <f t="shared" si="103"/>
        <v>1521.8135</v>
      </c>
      <c r="AS602">
        <f t="shared" si="103"/>
        <v>2434.9016000000001</v>
      </c>
      <c r="AT602">
        <f t="shared" si="103"/>
        <v>3652.3524000000002</v>
      </c>
      <c r="AU602">
        <f t="shared" si="103"/>
        <v>5174.1659</v>
      </c>
      <c r="AV602">
        <f t="shared" si="103"/>
        <v>7304.7048000000004</v>
      </c>
      <c r="AW602">
        <f t="shared" si="103"/>
        <v>10043.9691</v>
      </c>
      <c r="AX602">
        <f t="shared" si="103"/>
        <v>14000.6842</v>
      </c>
      <c r="AY602">
        <f t="shared" si="103"/>
        <v>24349.016</v>
      </c>
      <c r="AZ602">
        <f t="shared" si="103"/>
        <v>45654.404999999999</v>
      </c>
      <c r="BA602">
        <f t="shared" si="103"/>
        <v>76090.675000000003</v>
      </c>
      <c r="BB602">
        <f t="shared" si="103"/>
        <v>121745.08</v>
      </c>
      <c r="BC602">
        <f t="shared" si="102"/>
        <v>304362.7</v>
      </c>
      <c r="BD602">
        <f t="shared" si="102"/>
        <v>456544.05</v>
      </c>
      <c r="BE602">
        <f t="shared" si="102"/>
        <v>730470.48</v>
      </c>
      <c r="BF602">
        <f t="shared" si="102"/>
        <v>913088.1</v>
      </c>
      <c r="BG602">
        <f t="shared" si="102"/>
        <v>3043627</v>
      </c>
      <c r="BH602">
        <f t="shared" si="102"/>
        <v>9130881</v>
      </c>
      <c r="BI602">
        <f t="shared" si="102"/>
        <v>25870829.5</v>
      </c>
      <c r="BJ602">
        <f t="shared" si="102"/>
        <v>91308810</v>
      </c>
      <c r="BK602">
        <f t="shared" si="102"/>
        <v>304362700</v>
      </c>
      <c r="BL602">
        <v>597</v>
      </c>
    </row>
    <row r="603" spans="1:64" ht="17.25" thickBot="1" x14ac:dyDescent="0.25">
      <c r="A603" s="131">
        <v>599</v>
      </c>
      <c r="B603" s="132">
        <v>150187333</v>
      </c>
      <c r="D603" s="131">
        <v>599</v>
      </c>
      <c r="E603" s="132">
        <v>30.585039999999999</v>
      </c>
      <c r="AK603">
        <v>597</v>
      </c>
      <c r="AL603" s="24">
        <f t="shared" si="100"/>
        <v>30.485939999999999</v>
      </c>
      <c r="AM603">
        <f t="shared" si="103"/>
        <v>213.40158</v>
      </c>
      <c r="AN603">
        <f t="shared" si="103"/>
        <v>304.85939999999999</v>
      </c>
      <c r="AO603">
        <f t="shared" si="103"/>
        <v>457.28909999999996</v>
      </c>
      <c r="AP603">
        <f t="shared" si="103"/>
        <v>609.71879999999999</v>
      </c>
      <c r="AQ603">
        <f t="shared" si="103"/>
        <v>1067.0079000000001</v>
      </c>
      <c r="AR603">
        <f t="shared" si="103"/>
        <v>1524.297</v>
      </c>
      <c r="AS603">
        <f t="shared" si="103"/>
        <v>2438.8751999999999</v>
      </c>
      <c r="AT603">
        <f t="shared" si="103"/>
        <v>3658.3127999999997</v>
      </c>
      <c r="AU603">
        <f t="shared" si="103"/>
        <v>5182.6098000000002</v>
      </c>
      <c r="AV603">
        <f t="shared" si="103"/>
        <v>7316.6255999999994</v>
      </c>
      <c r="AW603">
        <f t="shared" si="103"/>
        <v>10060.360199999999</v>
      </c>
      <c r="AX603">
        <f t="shared" si="103"/>
        <v>14023.5324</v>
      </c>
      <c r="AY603">
        <f t="shared" si="103"/>
        <v>24388.752</v>
      </c>
      <c r="AZ603">
        <f t="shared" si="103"/>
        <v>45728.909999999996</v>
      </c>
      <c r="BA603">
        <f t="shared" si="103"/>
        <v>76214.849999999991</v>
      </c>
      <c r="BB603">
        <f t="shared" si="103"/>
        <v>121943.76</v>
      </c>
      <c r="BC603">
        <f t="shared" si="102"/>
        <v>304859.39999999997</v>
      </c>
      <c r="BD603">
        <f t="shared" si="102"/>
        <v>457289.1</v>
      </c>
      <c r="BE603">
        <f t="shared" si="102"/>
        <v>731662.55999999994</v>
      </c>
      <c r="BF603">
        <f t="shared" si="102"/>
        <v>914578.2</v>
      </c>
      <c r="BG603">
        <f t="shared" si="102"/>
        <v>3048594</v>
      </c>
      <c r="BH603">
        <f t="shared" si="102"/>
        <v>9145782</v>
      </c>
      <c r="BI603">
        <f t="shared" si="102"/>
        <v>25913049</v>
      </c>
      <c r="BJ603">
        <f t="shared" si="102"/>
        <v>91457820</v>
      </c>
      <c r="BK603">
        <f t="shared" si="102"/>
        <v>304859400</v>
      </c>
      <c r="BL603">
        <v>598</v>
      </c>
    </row>
    <row r="604" spans="1:64" ht="17.25" thickBot="1" x14ac:dyDescent="0.25">
      <c r="A604" s="131">
        <v>600</v>
      </c>
      <c r="B604" s="132">
        <v>151104366</v>
      </c>
      <c r="D604" s="131">
        <v>600</v>
      </c>
      <c r="E604" s="132">
        <v>30.63447</v>
      </c>
      <c r="AK604">
        <v>598</v>
      </c>
      <c r="AL604" s="24">
        <f t="shared" si="100"/>
        <v>30.535530000000001</v>
      </c>
      <c r="AM604">
        <f t="shared" si="103"/>
        <v>213.74871000000002</v>
      </c>
      <c r="AN604">
        <f t="shared" si="103"/>
        <v>305.3553</v>
      </c>
      <c r="AO604">
        <f t="shared" si="103"/>
        <v>458.03295000000003</v>
      </c>
      <c r="AP604">
        <f t="shared" si="103"/>
        <v>610.7106</v>
      </c>
      <c r="AQ604">
        <f t="shared" si="103"/>
        <v>1068.7435500000001</v>
      </c>
      <c r="AR604">
        <f t="shared" si="103"/>
        <v>1526.7765000000002</v>
      </c>
      <c r="AS604">
        <f t="shared" si="103"/>
        <v>2442.8424</v>
      </c>
      <c r="AT604">
        <f t="shared" si="103"/>
        <v>3664.2636000000002</v>
      </c>
      <c r="AU604">
        <f t="shared" si="103"/>
        <v>5191.0401000000002</v>
      </c>
      <c r="AV604">
        <f t="shared" si="103"/>
        <v>7328.5272000000004</v>
      </c>
      <c r="AW604">
        <f t="shared" si="103"/>
        <v>10076.724900000001</v>
      </c>
      <c r="AX604">
        <f t="shared" si="103"/>
        <v>14046.343800000001</v>
      </c>
      <c r="AY604">
        <f t="shared" si="103"/>
        <v>24428.424000000003</v>
      </c>
      <c r="AZ604">
        <f t="shared" si="103"/>
        <v>45803.295000000006</v>
      </c>
      <c r="BA604">
        <f t="shared" si="103"/>
        <v>76338.824999999997</v>
      </c>
      <c r="BB604">
        <f t="shared" si="103"/>
        <v>122142.12000000001</v>
      </c>
      <c r="BC604">
        <f t="shared" si="102"/>
        <v>305355.3</v>
      </c>
      <c r="BD604">
        <f t="shared" si="102"/>
        <v>458032.95</v>
      </c>
      <c r="BE604">
        <f t="shared" si="102"/>
        <v>732852.72000000009</v>
      </c>
      <c r="BF604">
        <f t="shared" si="102"/>
        <v>916065.9</v>
      </c>
      <c r="BG604">
        <f t="shared" si="102"/>
        <v>3053553</v>
      </c>
      <c r="BH604">
        <f t="shared" si="102"/>
        <v>9160659</v>
      </c>
      <c r="BI604">
        <f t="shared" si="102"/>
        <v>25955200.5</v>
      </c>
      <c r="BJ604">
        <f t="shared" si="102"/>
        <v>91606590</v>
      </c>
      <c r="BK604">
        <f t="shared" si="102"/>
        <v>305355300</v>
      </c>
      <c r="BL604">
        <v>599</v>
      </c>
    </row>
    <row r="605" spans="1:64" ht="17.25" thickBot="1" x14ac:dyDescent="0.25">
      <c r="A605" s="131">
        <v>601</v>
      </c>
      <c r="B605" s="132">
        <v>152030422</v>
      </c>
      <c r="D605" s="131">
        <v>601</v>
      </c>
      <c r="E605" s="132">
        <v>30.683820000000001</v>
      </c>
      <c r="AK605">
        <v>599</v>
      </c>
      <c r="AL605" s="24">
        <f t="shared" si="100"/>
        <v>30.585039999999999</v>
      </c>
      <c r="AM605">
        <f t="shared" si="103"/>
        <v>214.09528</v>
      </c>
      <c r="AN605">
        <f t="shared" si="103"/>
        <v>305.85039999999998</v>
      </c>
      <c r="AO605">
        <f t="shared" si="103"/>
        <v>458.7756</v>
      </c>
      <c r="AP605">
        <f t="shared" si="103"/>
        <v>611.70079999999996</v>
      </c>
      <c r="AQ605">
        <f t="shared" si="103"/>
        <v>1070.4764</v>
      </c>
      <c r="AR605">
        <f t="shared" si="103"/>
        <v>1529.252</v>
      </c>
      <c r="AS605">
        <f t="shared" si="103"/>
        <v>2446.8031999999998</v>
      </c>
      <c r="AT605">
        <f t="shared" si="103"/>
        <v>3670.2048</v>
      </c>
      <c r="AU605">
        <f t="shared" si="103"/>
        <v>5199.4567999999999</v>
      </c>
      <c r="AV605">
        <f t="shared" si="103"/>
        <v>7340.4096</v>
      </c>
      <c r="AW605">
        <f t="shared" si="103"/>
        <v>10093.063200000001</v>
      </c>
      <c r="AX605">
        <f t="shared" si="103"/>
        <v>14069.118399999999</v>
      </c>
      <c r="AY605">
        <f t="shared" si="103"/>
        <v>24468.031999999999</v>
      </c>
      <c r="AZ605">
        <f t="shared" si="103"/>
        <v>45877.56</v>
      </c>
      <c r="BA605">
        <f t="shared" si="103"/>
        <v>76462.599999999991</v>
      </c>
      <c r="BB605">
        <f t="shared" si="103"/>
        <v>122340.16</v>
      </c>
      <c r="BC605">
        <f t="shared" si="102"/>
        <v>305850.39999999997</v>
      </c>
      <c r="BD605">
        <f t="shared" si="102"/>
        <v>458775.6</v>
      </c>
      <c r="BE605">
        <f t="shared" si="102"/>
        <v>734040.96</v>
      </c>
      <c r="BF605">
        <f t="shared" si="102"/>
        <v>917551.2</v>
      </c>
      <c r="BG605">
        <f t="shared" si="102"/>
        <v>3058504</v>
      </c>
      <c r="BH605">
        <f t="shared" si="102"/>
        <v>9175512</v>
      </c>
      <c r="BI605">
        <f t="shared" si="102"/>
        <v>25997284</v>
      </c>
      <c r="BJ605">
        <f t="shared" si="102"/>
        <v>91755120</v>
      </c>
      <c r="BK605">
        <f t="shared" si="102"/>
        <v>305850400</v>
      </c>
      <c r="BL605">
        <v>600</v>
      </c>
    </row>
    <row r="606" spans="1:64" ht="17.25" thickBot="1" x14ac:dyDescent="0.25">
      <c r="A606" s="131">
        <v>602</v>
      </c>
      <c r="B606" s="132">
        <v>152965561</v>
      </c>
      <c r="D606" s="131">
        <v>602</v>
      </c>
      <c r="E606" s="132">
        <v>30.733090000000001</v>
      </c>
      <c r="AK606">
        <v>600</v>
      </c>
      <c r="AL606" s="24">
        <f t="shared" si="100"/>
        <v>30.63447</v>
      </c>
      <c r="AM606">
        <f t="shared" si="103"/>
        <v>214.44129000000001</v>
      </c>
      <c r="AN606">
        <f t="shared" si="103"/>
        <v>306.34469999999999</v>
      </c>
      <c r="AO606">
        <f t="shared" si="103"/>
        <v>459.51704999999998</v>
      </c>
      <c r="AP606">
        <f t="shared" si="103"/>
        <v>612.68939999999998</v>
      </c>
      <c r="AQ606">
        <f t="shared" si="103"/>
        <v>1072.2064499999999</v>
      </c>
      <c r="AR606">
        <f t="shared" si="103"/>
        <v>1531.7235000000001</v>
      </c>
      <c r="AS606">
        <f t="shared" si="103"/>
        <v>2450.7575999999999</v>
      </c>
      <c r="AT606">
        <f t="shared" si="103"/>
        <v>3676.1363999999999</v>
      </c>
      <c r="AU606">
        <f t="shared" si="103"/>
        <v>5207.8599000000004</v>
      </c>
      <c r="AV606">
        <f t="shared" si="103"/>
        <v>7352.2727999999997</v>
      </c>
      <c r="AW606">
        <f t="shared" si="103"/>
        <v>10109.375099999999</v>
      </c>
      <c r="AX606">
        <f t="shared" si="103"/>
        <v>14091.8562</v>
      </c>
      <c r="AY606">
        <f t="shared" si="103"/>
        <v>24507.576000000001</v>
      </c>
      <c r="AZ606">
        <f t="shared" si="103"/>
        <v>45951.705000000002</v>
      </c>
      <c r="BA606">
        <f t="shared" ref="AM606:BB622" si="104">BA$5*VLOOKUP($AK606,$D$2:$E$1404,2,FALSE)</f>
        <v>76586.175000000003</v>
      </c>
      <c r="BB606">
        <f t="shared" si="104"/>
        <v>122537.88</v>
      </c>
      <c r="BC606">
        <f t="shared" si="102"/>
        <v>306344.7</v>
      </c>
      <c r="BD606">
        <f t="shared" si="102"/>
        <v>459517.05</v>
      </c>
      <c r="BE606">
        <f t="shared" si="102"/>
        <v>735227.28</v>
      </c>
      <c r="BF606">
        <f t="shared" si="102"/>
        <v>919034.1</v>
      </c>
      <c r="BG606">
        <f t="shared" si="102"/>
        <v>3063447</v>
      </c>
      <c r="BH606">
        <f t="shared" si="102"/>
        <v>9190341</v>
      </c>
      <c r="BI606">
        <f t="shared" si="102"/>
        <v>26039299.5</v>
      </c>
      <c r="BJ606">
        <f t="shared" si="102"/>
        <v>91903410</v>
      </c>
      <c r="BK606">
        <f t="shared" si="102"/>
        <v>306344700</v>
      </c>
      <c r="BL606">
        <v>601</v>
      </c>
    </row>
    <row r="607" spans="1:64" ht="17.25" thickBot="1" x14ac:dyDescent="0.25">
      <c r="A607" s="131">
        <v>603</v>
      </c>
      <c r="B607" s="132">
        <v>153909844</v>
      </c>
      <c r="D607" s="131">
        <v>603</v>
      </c>
      <c r="E607" s="132">
        <v>30.78228</v>
      </c>
      <c r="AK607">
        <v>601</v>
      </c>
      <c r="AL607" s="24">
        <f t="shared" si="100"/>
        <v>30.683820000000001</v>
      </c>
      <c r="AM607">
        <f t="shared" si="104"/>
        <v>214.78674000000001</v>
      </c>
      <c r="AN607">
        <f t="shared" si="104"/>
        <v>306.83820000000003</v>
      </c>
      <c r="AO607">
        <f t="shared" si="104"/>
        <v>460.25729999999999</v>
      </c>
      <c r="AP607">
        <f t="shared" si="104"/>
        <v>613.67640000000006</v>
      </c>
      <c r="AQ607">
        <f t="shared" si="104"/>
        <v>1073.9337</v>
      </c>
      <c r="AR607">
        <f t="shared" si="104"/>
        <v>1534.191</v>
      </c>
      <c r="AS607">
        <f t="shared" si="104"/>
        <v>2454.7056000000002</v>
      </c>
      <c r="AT607">
        <f t="shared" si="104"/>
        <v>3682.0583999999999</v>
      </c>
      <c r="AU607">
        <f t="shared" si="104"/>
        <v>5216.2493999999997</v>
      </c>
      <c r="AV607">
        <f t="shared" si="104"/>
        <v>7364.1167999999998</v>
      </c>
      <c r="AW607">
        <f t="shared" si="104"/>
        <v>10125.660600000001</v>
      </c>
      <c r="AX607">
        <f t="shared" si="104"/>
        <v>14114.557200000001</v>
      </c>
      <c r="AY607">
        <f t="shared" si="104"/>
        <v>24547.056</v>
      </c>
      <c r="AZ607">
        <f t="shared" si="104"/>
        <v>46025.73</v>
      </c>
      <c r="BA607">
        <f t="shared" si="104"/>
        <v>76709.55</v>
      </c>
      <c r="BB607">
        <f t="shared" si="104"/>
        <v>122735.28</v>
      </c>
      <c r="BC607">
        <f t="shared" si="102"/>
        <v>306838.2</v>
      </c>
      <c r="BD607">
        <f t="shared" si="102"/>
        <v>460257.3</v>
      </c>
      <c r="BE607">
        <f t="shared" si="102"/>
        <v>736411.68</v>
      </c>
      <c r="BF607">
        <f t="shared" si="102"/>
        <v>920514.6</v>
      </c>
      <c r="BG607">
        <f t="shared" si="102"/>
        <v>3068382</v>
      </c>
      <c r="BH607">
        <f t="shared" si="102"/>
        <v>9205146</v>
      </c>
      <c r="BI607">
        <f t="shared" si="102"/>
        <v>26081247</v>
      </c>
      <c r="BJ607">
        <f t="shared" si="102"/>
        <v>92051460</v>
      </c>
      <c r="BK607">
        <f t="shared" si="102"/>
        <v>306838200</v>
      </c>
      <c r="BL607">
        <v>602</v>
      </c>
    </row>
    <row r="608" spans="1:64" ht="17.25" thickBot="1" x14ac:dyDescent="0.25">
      <c r="A608" s="131">
        <v>604</v>
      </c>
      <c r="B608" s="132">
        <v>154863333</v>
      </c>
      <c r="D608" s="131">
        <v>604</v>
      </c>
      <c r="E608" s="132">
        <v>30.831379999999999</v>
      </c>
      <c r="AK608">
        <v>602</v>
      </c>
      <c r="AL608" s="24">
        <f t="shared" si="100"/>
        <v>30.733090000000001</v>
      </c>
      <c r="AM608">
        <f t="shared" si="104"/>
        <v>215.13163</v>
      </c>
      <c r="AN608">
        <f t="shared" si="104"/>
        <v>307.33089999999999</v>
      </c>
      <c r="AO608">
        <f t="shared" si="104"/>
        <v>460.99635000000001</v>
      </c>
      <c r="AP608">
        <f t="shared" si="104"/>
        <v>614.66179999999997</v>
      </c>
      <c r="AQ608">
        <f t="shared" si="104"/>
        <v>1075.65815</v>
      </c>
      <c r="AR608">
        <f t="shared" si="104"/>
        <v>1536.6545000000001</v>
      </c>
      <c r="AS608">
        <f t="shared" si="104"/>
        <v>2458.6471999999999</v>
      </c>
      <c r="AT608">
        <f t="shared" si="104"/>
        <v>3687.9708000000001</v>
      </c>
      <c r="AU608">
        <f t="shared" si="104"/>
        <v>5224.6252999999997</v>
      </c>
      <c r="AV608">
        <f t="shared" si="104"/>
        <v>7375.9416000000001</v>
      </c>
      <c r="AW608">
        <f t="shared" si="104"/>
        <v>10141.9197</v>
      </c>
      <c r="AX608">
        <f t="shared" si="104"/>
        <v>14137.2214</v>
      </c>
      <c r="AY608">
        <f t="shared" si="104"/>
        <v>24586.472000000002</v>
      </c>
      <c r="AZ608">
        <f t="shared" si="104"/>
        <v>46099.635000000002</v>
      </c>
      <c r="BA608">
        <f t="shared" si="104"/>
        <v>76832.725000000006</v>
      </c>
      <c r="BB608">
        <f t="shared" si="104"/>
        <v>122932.36</v>
      </c>
      <c r="BC608">
        <f t="shared" si="102"/>
        <v>307330.90000000002</v>
      </c>
      <c r="BD608">
        <f t="shared" si="102"/>
        <v>460996.35000000003</v>
      </c>
      <c r="BE608">
        <f t="shared" si="102"/>
        <v>737594.16</v>
      </c>
      <c r="BF608">
        <f t="shared" ref="BC608:BK636" si="105">BF$5*VLOOKUP($AK608,$D$2:$E$1404,2,FALSE)</f>
        <v>921992.70000000007</v>
      </c>
      <c r="BG608">
        <f t="shared" si="105"/>
        <v>3073309</v>
      </c>
      <c r="BH608">
        <f t="shared" si="105"/>
        <v>9219927</v>
      </c>
      <c r="BI608">
        <f t="shared" si="105"/>
        <v>26123126.5</v>
      </c>
      <c r="BJ608">
        <f t="shared" si="105"/>
        <v>92199270</v>
      </c>
      <c r="BK608">
        <f t="shared" si="105"/>
        <v>307330900</v>
      </c>
      <c r="BL608">
        <v>603</v>
      </c>
    </row>
    <row r="609" spans="1:64" ht="17.25" thickBot="1" x14ac:dyDescent="0.25">
      <c r="A609" s="131">
        <v>605</v>
      </c>
      <c r="B609" s="132">
        <v>155826083</v>
      </c>
      <c r="D609" s="131">
        <v>605</v>
      </c>
      <c r="E609" s="132">
        <v>30.880400000000002</v>
      </c>
      <c r="AK609">
        <v>603</v>
      </c>
      <c r="AL609" s="24">
        <f t="shared" si="100"/>
        <v>30.78228</v>
      </c>
      <c r="AM609">
        <f t="shared" si="104"/>
        <v>215.47595999999999</v>
      </c>
      <c r="AN609">
        <f t="shared" si="104"/>
        <v>307.82280000000003</v>
      </c>
      <c r="AO609">
        <f t="shared" si="104"/>
        <v>461.73419999999999</v>
      </c>
      <c r="AP609">
        <f t="shared" si="104"/>
        <v>615.64560000000006</v>
      </c>
      <c r="AQ609">
        <f t="shared" si="104"/>
        <v>1077.3797999999999</v>
      </c>
      <c r="AR609">
        <f t="shared" si="104"/>
        <v>1539.114</v>
      </c>
      <c r="AS609">
        <f t="shared" si="104"/>
        <v>2462.5824000000002</v>
      </c>
      <c r="AT609">
        <f t="shared" si="104"/>
        <v>3693.8735999999999</v>
      </c>
      <c r="AU609">
        <f t="shared" si="104"/>
        <v>5232.9876000000004</v>
      </c>
      <c r="AV609">
        <f t="shared" si="104"/>
        <v>7387.7471999999998</v>
      </c>
      <c r="AW609">
        <f t="shared" si="104"/>
        <v>10158.152400000001</v>
      </c>
      <c r="AX609">
        <f t="shared" si="104"/>
        <v>14159.8488</v>
      </c>
      <c r="AY609">
        <f t="shared" si="104"/>
        <v>24625.824000000001</v>
      </c>
      <c r="AZ609">
        <f t="shared" si="104"/>
        <v>46173.42</v>
      </c>
      <c r="BA609">
        <f t="shared" si="104"/>
        <v>76955.7</v>
      </c>
      <c r="BB609">
        <f t="shared" si="104"/>
        <v>123129.12</v>
      </c>
      <c r="BC609">
        <f t="shared" si="105"/>
        <v>307822.8</v>
      </c>
      <c r="BD609">
        <f t="shared" si="105"/>
        <v>461734.2</v>
      </c>
      <c r="BE609">
        <f t="shared" si="105"/>
        <v>738774.72</v>
      </c>
      <c r="BF609">
        <f t="shared" si="105"/>
        <v>923468.4</v>
      </c>
      <c r="BG609">
        <f t="shared" si="105"/>
        <v>3078228</v>
      </c>
      <c r="BH609">
        <f t="shared" si="105"/>
        <v>9234684</v>
      </c>
      <c r="BI609">
        <f t="shared" si="105"/>
        <v>26164938</v>
      </c>
      <c r="BJ609">
        <f t="shared" si="105"/>
        <v>92346840</v>
      </c>
      <c r="BK609">
        <f t="shared" si="105"/>
        <v>307822800</v>
      </c>
      <c r="BL609">
        <v>604</v>
      </c>
    </row>
    <row r="610" spans="1:64" ht="17.25" thickBot="1" x14ac:dyDescent="0.25">
      <c r="A610" s="131">
        <v>606</v>
      </c>
      <c r="B610" s="132">
        <v>156798155</v>
      </c>
      <c r="D610" s="131">
        <v>606</v>
      </c>
      <c r="E610" s="132">
        <v>30.92934</v>
      </c>
      <c r="AK610">
        <v>604</v>
      </c>
      <c r="AL610" s="24">
        <f t="shared" si="100"/>
        <v>30.831379999999999</v>
      </c>
      <c r="AM610">
        <f t="shared" si="104"/>
        <v>215.81966</v>
      </c>
      <c r="AN610">
        <f t="shared" si="104"/>
        <v>308.31380000000001</v>
      </c>
      <c r="AO610">
        <f t="shared" si="104"/>
        <v>462.47069999999997</v>
      </c>
      <c r="AP610">
        <f t="shared" si="104"/>
        <v>616.62760000000003</v>
      </c>
      <c r="AQ610">
        <f t="shared" si="104"/>
        <v>1079.0982999999999</v>
      </c>
      <c r="AR610">
        <f t="shared" si="104"/>
        <v>1541.569</v>
      </c>
      <c r="AS610">
        <f t="shared" si="104"/>
        <v>2466.5104000000001</v>
      </c>
      <c r="AT610">
        <f t="shared" si="104"/>
        <v>3699.7655999999997</v>
      </c>
      <c r="AU610">
        <f t="shared" si="104"/>
        <v>5241.3346000000001</v>
      </c>
      <c r="AV610">
        <f t="shared" si="104"/>
        <v>7399.5311999999994</v>
      </c>
      <c r="AW610">
        <f t="shared" si="104"/>
        <v>10174.3554</v>
      </c>
      <c r="AX610">
        <f t="shared" si="104"/>
        <v>14182.434799999999</v>
      </c>
      <c r="AY610">
        <f t="shared" si="104"/>
        <v>24665.103999999999</v>
      </c>
      <c r="AZ610">
        <f t="shared" si="104"/>
        <v>46247.07</v>
      </c>
      <c r="BA610">
        <f t="shared" si="104"/>
        <v>77078.45</v>
      </c>
      <c r="BB610">
        <f t="shared" si="104"/>
        <v>123325.52</v>
      </c>
      <c r="BC610">
        <f t="shared" si="105"/>
        <v>308313.8</v>
      </c>
      <c r="BD610">
        <f t="shared" si="105"/>
        <v>462470.7</v>
      </c>
      <c r="BE610">
        <f t="shared" si="105"/>
        <v>739953.12</v>
      </c>
      <c r="BF610">
        <f t="shared" si="105"/>
        <v>924941.4</v>
      </c>
      <c r="BG610">
        <f t="shared" si="105"/>
        <v>3083138</v>
      </c>
      <c r="BH610">
        <f t="shared" si="105"/>
        <v>9249414</v>
      </c>
      <c r="BI610">
        <f t="shared" si="105"/>
        <v>26206673</v>
      </c>
      <c r="BJ610">
        <f t="shared" si="105"/>
        <v>92494140</v>
      </c>
      <c r="BK610">
        <f t="shared" si="105"/>
        <v>308313800</v>
      </c>
      <c r="BL610">
        <v>605</v>
      </c>
    </row>
    <row r="611" spans="1:64" ht="17.25" thickBot="1" x14ac:dyDescent="0.25">
      <c r="A611" s="131">
        <v>607</v>
      </c>
      <c r="B611" s="132">
        <v>157779616</v>
      </c>
      <c r="D611" s="131">
        <v>607</v>
      </c>
      <c r="E611" s="132">
        <v>30.978200000000001</v>
      </c>
      <c r="AK611">
        <v>605</v>
      </c>
      <c r="AL611" s="24">
        <f t="shared" si="100"/>
        <v>30.880400000000002</v>
      </c>
      <c r="AM611">
        <f t="shared" si="104"/>
        <v>216.1628</v>
      </c>
      <c r="AN611">
        <f t="shared" si="104"/>
        <v>308.80400000000003</v>
      </c>
      <c r="AO611">
        <f t="shared" si="104"/>
        <v>463.20600000000002</v>
      </c>
      <c r="AP611">
        <f t="shared" si="104"/>
        <v>617.60800000000006</v>
      </c>
      <c r="AQ611">
        <f t="shared" si="104"/>
        <v>1080.8140000000001</v>
      </c>
      <c r="AR611">
        <f t="shared" si="104"/>
        <v>1544.02</v>
      </c>
      <c r="AS611">
        <f t="shared" si="104"/>
        <v>2470.4320000000002</v>
      </c>
      <c r="AT611">
        <f t="shared" si="104"/>
        <v>3705.6480000000001</v>
      </c>
      <c r="AU611">
        <f t="shared" si="104"/>
        <v>5249.6680000000006</v>
      </c>
      <c r="AV611">
        <f t="shared" si="104"/>
        <v>7411.2960000000003</v>
      </c>
      <c r="AW611">
        <f t="shared" si="104"/>
        <v>10190.532000000001</v>
      </c>
      <c r="AX611">
        <f t="shared" si="104"/>
        <v>14204.984</v>
      </c>
      <c r="AY611">
        <f t="shared" si="104"/>
        <v>24704.32</v>
      </c>
      <c r="AZ611">
        <f t="shared" si="104"/>
        <v>46320.600000000006</v>
      </c>
      <c r="BA611">
        <f t="shared" si="104"/>
        <v>77201</v>
      </c>
      <c r="BB611">
        <f t="shared" si="104"/>
        <v>123521.60000000001</v>
      </c>
      <c r="BC611">
        <f t="shared" si="105"/>
        <v>308804</v>
      </c>
      <c r="BD611">
        <f t="shared" si="105"/>
        <v>463206</v>
      </c>
      <c r="BE611">
        <f t="shared" si="105"/>
        <v>741129.60000000009</v>
      </c>
      <c r="BF611">
        <f t="shared" si="105"/>
        <v>926412</v>
      </c>
      <c r="BG611">
        <f t="shared" si="105"/>
        <v>3088040</v>
      </c>
      <c r="BH611">
        <f t="shared" si="105"/>
        <v>9264120</v>
      </c>
      <c r="BI611">
        <f t="shared" si="105"/>
        <v>26248340</v>
      </c>
      <c r="BJ611">
        <f t="shared" si="105"/>
        <v>92641200</v>
      </c>
      <c r="BK611">
        <f t="shared" si="105"/>
        <v>308804000</v>
      </c>
      <c r="BL611">
        <v>606</v>
      </c>
    </row>
    <row r="612" spans="1:64" ht="17.25" thickBot="1" x14ac:dyDescent="0.25">
      <c r="A612" s="131">
        <v>608</v>
      </c>
      <c r="B612" s="132">
        <v>158770522</v>
      </c>
      <c r="D612" s="131">
        <v>608</v>
      </c>
      <c r="E612" s="132">
        <v>31.026990000000001</v>
      </c>
      <c r="AK612">
        <v>606</v>
      </c>
      <c r="AL612" s="24">
        <f t="shared" si="100"/>
        <v>30.92934</v>
      </c>
      <c r="AM612">
        <f t="shared" si="104"/>
        <v>216.50538</v>
      </c>
      <c r="AN612">
        <f t="shared" si="104"/>
        <v>309.29340000000002</v>
      </c>
      <c r="AO612">
        <f t="shared" si="104"/>
        <v>463.94009999999997</v>
      </c>
      <c r="AP612">
        <f t="shared" si="104"/>
        <v>618.58680000000004</v>
      </c>
      <c r="AQ612">
        <f t="shared" si="104"/>
        <v>1082.5269000000001</v>
      </c>
      <c r="AR612">
        <f t="shared" si="104"/>
        <v>1546.4670000000001</v>
      </c>
      <c r="AS612">
        <f t="shared" si="104"/>
        <v>2474.3472000000002</v>
      </c>
      <c r="AT612">
        <f t="shared" si="104"/>
        <v>3711.5207999999998</v>
      </c>
      <c r="AU612">
        <f t="shared" si="104"/>
        <v>5257.9877999999999</v>
      </c>
      <c r="AV612">
        <f t="shared" si="104"/>
        <v>7423.0415999999996</v>
      </c>
      <c r="AW612">
        <f t="shared" si="104"/>
        <v>10206.682199999999</v>
      </c>
      <c r="AX612">
        <f t="shared" si="104"/>
        <v>14227.4964</v>
      </c>
      <c r="AY612">
        <f t="shared" si="104"/>
        <v>24743.472000000002</v>
      </c>
      <c r="AZ612">
        <f t="shared" si="104"/>
        <v>46394.01</v>
      </c>
      <c r="BA612">
        <f t="shared" si="104"/>
        <v>77323.350000000006</v>
      </c>
      <c r="BB612">
        <f t="shared" si="104"/>
        <v>123717.36</v>
      </c>
      <c r="BC612">
        <f t="shared" si="105"/>
        <v>309293.40000000002</v>
      </c>
      <c r="BD612">
        <f t="shared" si="105"/>
        <v>463940.1</v>
      </c>
      <c r="BE612">
        <f t="shared" si="105"/>
        <v>742304.16</v>
      </c>
      <c r="BF612">
        <f t="shared" si="105"/>
        <v>927880.2</v>
      </c>
      <c r="BG612">
        <f t="shared" si="105"/>
        <v>3092934</v>
      </c>
      <c r="BH612">
        <f t="shared" si="105"/>
        <v>9278802</v>
      </c>
      <c r="BI612">
        <f t="shared" si="105"/>
        <v>26289939</v>
      </c>
      <c r="BJ612">
        <f t="shared" si="105"/>
        <v>92788020</v>
      </c>
      <c r="BK612">
        <f t="shared" si="105"/>
        <v>309293400</v>
      </c>
      <c r="BL612">
        <v>607</v>
      </c>
    </row>
    <row r="613" spans="1:64" ht="17.25" thickBot="1" x14ac:dyDescent="0.25">
      <c r="A613" s="131">
        <v>609</v>
      </c>
      <c r="B613" s="132">
        <v>159770933</v>
      </c>
      <c r="D613" s="131">
        <v>609</v>
      </c>
      <c r="E613" s="132">
        <v>31.075700000000001</v>
      </c>
      <c r="AK613">
        <v>607</v>
      </c>
      <c r="AL613" s="24">
        <f t="shared" si="100"/>
        <v>30.978200000000001</v>
      </c>
      <c r="AM613">
        <f t="shared" si="104"/>
        <v>216.84739999999999</v>
      </c>
      <c r="AN613">
        <f t="shared" si="104"/>
        <v>309.78200000000004</v>
      </c>
      <c r="AO613">
        <f t="shared" si="104"/>
        <v>464.673</v>
      </c>
      <c r="AP613">
        <f t="shared" si="104"/>
        <v>619.56400000000008</v>
      </c>
      <c r="AQ613">
        <f t="shared" si="104"/>
        <v>1084.2370000000001</v>
      </c>
      <c r="AR613">
        <f t="shared" si="104"/>
        <v>1548.91</v>
      </c>
      <c r="AS613">
        <f t="shared" si="104"/>
        <v>2478.2560000000003</v>
      </c>
      <c r="AT613">
        <f t="shared" si="104"/>
        <v>3717.384</v>
      </c>
      <c r="AU613">
        <f t="shared" si="104"/>
        <v>5266.2939999999999</v>
      </c>
      <c r="AV613">
        <f t="shared" si="104"/>
        <v>7434.768</v>
      </c>
      <c r="AW613">
        <f t="shared" si="104"/>
        <v>10222.806</v>
      </c>
      <c r="AX613">
        <f t="shared" si="104"/>
        <v>14249.972</v>
      </c>
      <c r="AY613">
        <f t="shared" si="104"/>
        <v>24782.560000000001</v>
      </c>
      <c r="AZ613">
        <f t="shared" si="104"/>
        <v>46467.3</v>
      </c>
      <c r="BA613">
        <f t="shared" si="104"/>
        <v>77445.5</v>
      </c>
      <c r="BB613">
        <f t="shared" si="104"/>
        <v>123912.8</v>
      </c>
      <c r="BC613">
        <f t="shared" si="105"/>
        <v>309782</v>
      </c>
      <c r="BD613">
        <f t="shared" si="105"/>
        <v>464673</v>
      </c>
      <c r="BE613">
        <f t="shared" si="105"/>
        <v>743476.8</v>
      </c>
      <c r="BF613">
        <f t="shared" si="105"/>
        <v>929346</v>
      </c>
      <c r="BG613">
        <f t="shared" si="105"/>
        <v>3097820</v>
      </c>
      <c r="BH613">
        <f t="shared" si="105"/>
        <v>9293460</v>
      </c>
      <c r="BI613">
        <f t="shared" si="105"/>
        <v>26331470</v>
      </c>
      <c r="BJ613">
        <f t="shared" si="105"/>
        <v>92934600</v>
      </c>
      <c r="BK613">
        <f t="shared" si="105"/>
        <v>309782000</v>
      </c>
      <c r="BL613">
        <v>608</v>
      </c>
    </row>
    <row r="614" spans="1:64" ht="17.25" thickBot="1" x14ac:dyDescent="0.25">
      <c r="A614" s="131">
        <v>610</v>
      </c>
      <c r="B614" s="132">
        <v>160780916</v>
      </c>
      <c r="D614" s="131">
        <v>610</v>
      </c>
      <c r="E614" s="132">
        <v>31.12433</v>
      </c>
      <c r="AK614">
        <v>608</v>
      </c>
      <c r="AL614" s="24">
        <f t="shared" si="100"/>
        <v>31.026990000000001</v>
      </c>
      <c r="AM614">
        <f t="shared" si="104"/>
        <v>217.18893</v>
      </c>
      <c r="AN614">
        <f t="shared" si="104"/>
        <v>310.26990000000001</v>
      </c>
      <c r="AO614">
        <f t="shared" si="104"/>
        <v>465.40485000000001</v>
      </c>
      <c r="AP614">
        <f t="shared" si="104"/>
        <v>620.53980000000001</v>
      </c>
      <c r="AQ614">
        <f t="shared" si="104"/>
        <v>1085.9446500000001</v>
      </c>
      <c r="AR614">
        <f t="shared" si="104"/>
        <v>1551.3495</v>
      </c>
      <c r="AS614">
        <f t="shared" si="104"/>
        <v>2482.1592000000001</v>
      </c>
      <c r="AT614">
        <f t="shared" si="104"/>
        <v>3723.2388000000001</v>
      </c>
      <c r="AU614">
        <f t="shared" si="104"/>
        <v>5274.5883000000003</v>
      </c>
      <c r="AV614">
        <f t="shared" si="104"/>
        <v>7446.4776000000002</v>
      </c>
      <c r="AW614">
        <f t="shared" si="104"/>
        <v>10238.906700000001</v>
      </c>
      <c r="AX614">
        <f t="shared" si="104"/>
        <v>14272.4154</v>
      </c>
      <c r="AY614">
        <f t="shared" si="104"/>
        <v>24821.592000000001</v>
      </c>
      <c r="AZ614">
        <f t="shared" si="104"/>
        <v>46540.485000000001</v>
      </c>
      <c r="BA614">
        <f t="shared" si="104"/>
        <v>77567.475000000006</v>
      </c>
      <c r="BB614">
        <f t="shared" si="104"/>
        <v>124107.96</v>
      </c>
      <c r="BC614">
        <f t="shared" si="105"/>
        <v>310269.90000000002</v>
      </c>
      <c r="BD614">
        <f t="shared" si="105"/>
        <v>465404.85000000003</v>
      </c>
      <c r="BE614">
        <f t="shared" si="105"/>
        <v>744647.76</v>
      </c>
      <c r="BF614">
        <f t="shared" si="105"/>
        <v>930809.70000000007</v>
      </c>
      <c r="BG614">
        <f t="shared" si="105"/>
        <v>3102699</v>
      </c>
      <c r="BH614">
        <f t="shared" si="105"/>
        <v>9308097</v>
      </c>
      <c r="BI614">
        <f t="shared" si="105"/>
        <v>26372941.5</v>
      </c>
      <c r="BJ614">
        <f t="shared" si="105"/>
        <v>93080970</v>
      </c>
      <c r="BK614">
        <f t="shared" si="105"/>
        <v>310269900</v>
      </c>
      <c r="BL614">
        <v>609</v>
      </c>
    </row>
    <row r="615" spans="1:64" ht="17.25" thickBot="1" x14ac:dyDescent="0.25">
      <c r="A615" s="131">
        <v>611</v>
      </c>
      <c r="B615" s="132">
        <v>161800527</v>
      </c>
      <c r="D615" s="131">
        <v>611</v>
      </c>
      <c r="E615" s="132">
        <v>31.172879999999999</v>
      </c>
      <c r="AK615">
        <v>609</v>
      </c>
      <c r="AL615" s="24">
        <f t="shared" si="100"/>
        <v>31.075700000000001</v>
      </c>
      <c r="AM615">
        <f t="shared" si="104"/>
        <v>217.5299</v>
      </c>
      <c r="AN615">
        <f t="shared" si="104"/>
        <v>310.75700000000001</v>
      </c>
      <c r="AO615">
        <f t="shared" si="104"/>
        <v>466.13550000000004</v>
      </c>
      <c r="AP615">
        <f t="shared" si="104"/>
        <v>621.51400000000001</v>
      </c>
      <c r="AQ615">
        <f t="shared" si="104"/>
        <v>1087.6495</v>
      </c>
      <c r="AR615">
        <f t="shared" si="104"/>
        <v>1553.7850000000001</v>
      </c>
      <c r="AS615">
        <f t="shared" si="104"/>
        <v>2486.056</v>
      </c>
      <c r="AT615">
        <f t="shared" si="104"/>
        <v>3729.0840000000003</v>
      </c>
      <c r="AU615">
        <f t="shared" si="104"/>
        <v>5282.8690000000006</v>
      </c>
      <c r="AV615">
        <f t="shared" si="104"/>
        <v>7458.1680000000006</v>
      </c>
      <c r="AW615">
        <f t="shared" si="104"/>
        <v>10254.981</v>
      </c>
      <c r="AX615">
        <f t="shared" si="104"/>
        <v>14294.822</v>
      </c>
      <c r="AY615">
        <f t="shared" si="104"/>
        <v>24860.560000000001</v>
      </c>
      <c r="AZ615">
        <f t="shared" si="104"/>
        <v>46613.55</v>
      </c>
      <c r="BA615">
        <f t="shared" si="104"/>
        <v>77689.25</v>
      </c>
      <c r="BB615">
        <f t="shared" si="104"/>
        <v>124302.8</v>
      </c>
      <c r="BC615">
        <f t="shared" si="105"/>
        <v>310757</v>
      </c>
      <c r="BD615">
        <f t="shared" si="105"/>
        <v>466135.5</v>
      </c>
      <c r="BE615">
        <f t="shared" si="105"/>
        <v>745816.8</v>
      </c>
      <c r="BF615">
        <f t="shared" si="105"/>
        <v>932271</v>
      </c>
      <c r="BG615">
        <f t="shared" si="105"/>
        <v>3107570</v>
      </c>
      <c r="BH615">
        <f t="shared" si="105"/>
        <v>9322710</v>
      </c>
      <c r="BI615">
        <f t="shared" si="105"/>
        <v>26414345</v>
      </c>
      <c r="BJ615">
        <f t="shared" si="105"/>
        <v>93227100</v>
      </c>
      <c r="BK615">
        <f t="shared" si="105"/>
        <v>310757000</v>
      </c>
      <c r="BL615">
        <v>610</v>
      </c>
    </row>
    <row r="616" spans="1:64" ht="17.25" thickBot="1" x14ac:dyDescent="0.25">
      <c r="A616" s="131">
        <v>612</v>
      </c>
      <c r="B616" s="132">
        <v>162829833</v>
      </c>
      <c r="D616" s="131">
        <v>612</v>
      </c>
      <c r="E616" s="132">
        <v>31.221350000000001</v>
      </c>
      <c r="AK616">
        <v>610</v>
      </c>
      <c r="AL616" s="24">
        <f t="shared" si="100"/>
        <v>31.12433</v>
      </c>
      <c r="AM616">
        <f t="shared" si="104"/>
        <v>217.87031000000002</v>
      </c>
      <c r="AN616">
        <f t="shared" si="104"/>
        <v>311.24329999999998</v>
      </c>
      <c r="AO616">
        <f t="shared" si="104"/>
        <v>466.86495000000002</v>
      </c>
      <c r="AP616">
        <f t="shared" si="104"/>
        <v>622.48659999999995</v>
      </c>
      <c r="AQ616">
        <f t="shared" si="104"/>
        <v>1089.3515500000001</v>
      </c>
      <c r="AR616">
        <f t="shared" si="104"/>
        <v>1556.2165</v>
      </c>
      <c r="AS616">
        <f t="shared" si="104"/>
        <v>2489.9463999999998</v>
      </c>
      <c r="AT616">
        <f t="shared" si="104"/>
        <v>3734.9196000000002</v>
      </c>
      <c r="AU616">
        <f t="shared" si="104"/>
        <v>5291.1360999999997</v>
      </c>
      <c r="AV616">
        <f t="shared" si="104"/>
        <v>7469.8392000000003</v>
      </c>
      <c r="AW616">
        <f t="shared" si="104"/>
        <v>10271.028899999999</v>
      </c>
      <c r="AX616">
        <f t="shared" si="104"/>
        <v>14317.191800000001</v>
      </c>
      <c r="AY616">
        <f t="shared" si="104"/>
        <v>24899.464</v>
      </c>
      <c r="AZ616">
        <f t="shared" si="104"/>
        <v>46686.495000000003</v>
      </c>
      <c r="BA616">
        <f t="shared" si="104"/>
        <v>77810.824999999997</v>
      </c>
      <c r="BB616">
        <f t="shared" si="104"/>
        <v>124497.32</v>
      </c>
      <c r="BC616">
        <f t="shared" si="105"/>
        <v>311243.3</v>
      </c>
      <c r="BD616">
        <f t="shared" si="105"/>
        <v>466864.95</v>
      </c>
      <c r="BE616">
        <f t="shared" si="105"/>
        <v>746983.92</v>
      </c>
      <c r="BF616">
        <f t="shared" si="105"/>
        <v>933729.9</v>
      </c>
      <c r="BG616">
        <f t="shared" si="105"/>
        <v>3112433</v>
      </c>
      <c r="BH616">
        <f t="shared" si="105"/>
        <v>9337299</v>
      </c>
      <c r="BI616">
        <f t="shared" si="105"/>
        <v>26455680.5</v>
      </c>
      <c r="BJ616">
        <f t="shared" si="105"/>
        <v>93372990</v>
      </c>
      <c r="BK616">
        <f t="shared" si="105"/>
        <v>311243300</v>
      </c>
      <c r="BL616">
        <v>611</v>
      </c>
    </row>
    <row r="617" spans="1:64" ht="17.25" thickBot="1" x14ac:dyDescent="0.25">
      <c r="A617" s="131">
        <v>613</v>
      </c>
      <c r="B617" s="132">
        <v>163868894</v>
      </c>
      <c r="D617" s="131">
        <v>613</v>
      </c>
      <c r="E617" s="132">
        <v>31.269739999999999</v>
      </c>
      <c r="AK617">
        <v>611</v>
      </c>
      <c r="AL617" s="24">
        <f t="shared" si="100"/>
        <v>31.172879999999999</v>
      </c>
      <c r="AM617">
        <f t="shared" si="104"/>
        <v>218.21016</v>
      </c>
      <c r="AN617">
        <f t="shared" si="104"/>
        <v>311.72879999999998</v>
      </c>
      <c r="AO617">
        <f t="shared" si="104"/>
        <v>467.59319999999997</v>
      </c>
      <c r="AP617">
        <f t="shared" si="104"/>
        <v>623.45759999999996</v>
      </c>
      <c r="AQ617">
        <f t="shared" si="104"/>
        <v>1091.0508</v>
      </c>
      <c r="AR617">
        <f t="shared" si="104"/>
        <v>1558.644</v>
      </c>
      <c r="AS617">
        <f t="shared" si="104"/>
        <v>2493.8303999999998</v>
      </c>
      <c r="AT617">
        <f t="shared" si="104"/>
        <v>3740.7455999999997</v>
      </c>
      <c r="AU617">
        <f t="shared" si="104"/>
        <v>5299.3895999999995</v>
      </c>
      <c r="AV617">
        <f t="shared" si="104"/>
        <v>7481.4911999999995</v>
      </c>
      <c r="AW617">
        <f t="shared" si="104"/>
        <v>10287.0504</v>
      </c>
      <c r="AX617">
        <f t="shared" si="104"/>
        <v>14339.524799999999</v>
      </c>
      <c r="AY617">
        <f t="shared" si="104"/>
        <v>24938.304</v>
      </c>
      <c r="AZ617">
        <f t="shared" si="104"/>
        <v>46759.32</v>
      </c>
      <c r="BA617">
        <f t="shared" si="104"/>
        <v>77932.2</v>
      </c>
      <c r="BB617">
        <f t="shared" si="104"/>
        <v>124691.52</v>
      </c>
      <c r="BC617">
        <f t="shared" si="105"/>
        <v>311728.8</v>
      </c>
      <c r="BD617">
        <f t="shared" si="105"/>
        <v>467593.2</v>
      </c>
      <c r="BE617">
        <f t="shared" si="105"/>
        <v>748149.12</v>
      </c>
      <c r="BF617">
        <f t="shared" si="105"/>
        <v>935186.4</v>
      </c>
      <c r="BG617">
        <f t="shared" si="105"/>
        <v>3117288</v>
      </c>
      <c r="BH617">
        <f t="shared" si="105"/>
        <v>9351864</v>
      </c>
      <c r="BI617">
        <f t="shared" si="105"/>
        <v>26496948</v>
      </c>
      <c r="BJ617">
        <f t="shared" si="105"/>
        <v>93518640</v>
      </c>
      <c r="BK617">
        <f t="shared" si="105"/>
        <v>311728800</v>
      </c>
      <c r="BL617">
        <v>612</v>
      </c>
    </row>
    <row r="618" spans="1:64" ht="17.25" thickBot="1" x14ac:dyDescent="0.25">
      <c r="A618" s="131">
        <v>614</v>
      </c>
      <c r="B618" s="132">
        <v>164917772</v>
      </c>
      <c r="D618" s="131">
        <v>614</v>
      </c>
      <c r="E618" s="132">
        <v>31.318049999999999</v>
      </c>
      <c r="AK618">
        <v>612</v>
      </c>
      <c r="AL618" s="24">
        <f t="shared" si="100"/>
        <v>31.221350000000001</v>
      </c>
      <c r="AM618">
        <f t="shared" si="104"/>
        <v>218.54945000000001</v>
      </c>
      <c r="AN618">
        <f t="shared" si="104"/>
        <v>312.21350000000001</v>
      </c>
      <c r="AO618">
        <f t="shared" si="104"/>
        <v>468.32024999999999</v>
      </c>
      <c r="AP618">
        <f t="shared" si="104"/>
        <v>624.42700000000002</v>
      </c>
      <c r="AQ618">
        <f t="shared" si="104"/>
        <v>1092.7472500000001</v>
      </c>
      <c r="AR618">
        <f t="shared" si="104"/>
        <v>1561.0675000000001</v>
      </c>
      <c r="AS618">
        <f t="shared" si="104"/>
        <v>2497.7080000000001</v>
      </c>
      <c r="AT618">
        <f t="shared" si="104"/>
        <v>3746.5619999999999</v>
      </c>
      <c r="AU618">
        <f t="shared" si="104"/>
        <v>5307.6295</v>
      </c>
      <c r="AV618">
        <f t="shared" si="104"/>
        <v>7493.1239999999998</v>
      </c>
      <c r="AW618">
        <f t="shared" si="104"/>
        <v>10303.0455</v>
      </c>
      <c r="AX618">
        <f t="shared" si="104"/>
        <v>14361.821</v>
      </c>
      <c r="AY618">
        <f t="shared" si="104"/>
        <v>24977.08</v>
      </c>
      <c r="AZ618">
        <f t="shared" si="104"/>
        <v>46832.025000000001</v>
      </c>
      <c r="BA618">
        <f t="shared" si="104"/>
        <v>78053.375</v>
      </c>
      <c r="BB618">
        <f t="shared" si="104"/>
        <v>124885.40000000001</v>
      </c>
      <c r="BC618">
        <f t="shared" si="105"/>
        <v>312213.5</v>
      </c>
      <c r="BD618">
        <f t="shared" si="105"/>
        <v>468320.25</v>
      </c>
      <c r="BE618">
        <f t="shared" si="105"/>
        <v>749312.4</v>
      </c>
      <c r="BF618">
        <f t="shared" si="105"/>
        <v>936640.5</v>
      </c>
      <c r="BG618">
        <f t="shared" si="105"/>
        <v>3122135</v>
      </c>
      <c r="BH618">
        <f t="shared" si="105"/>
        <v>9366405</v>
      </c>
      <c r="BI618">
        <f t="shared" si="105"/>
        <v>26538147.5</v>
      </c>
      <c r="BJ618">
        <f t="shared" si="105"/>
        <v>93664050</v>
      </c>
      <c r="BK618">
        <f t="shared" si="105"/>
        <v>312213500</v>
      </c>
      <c r="BL618">
        <v>613</v>
      </c>
    </row>
    <row r="619" spans="1:64" ht="17.25" thickBot="1" x14ac:dyDescent="0.25">
      <c r="A619" s="131">
        <v>615</v>
      </c>
      <c r="B619" s="132">
        <v>165976533</v>
      </c>
      <c r="D619" s="131">
        <v>615</v>
      </c>
      <c r="E619" s="132">
        <v>31.366289999999999</v>
      </c>
      <c r="AK619">
        <v>613</v>
      </c>
      <c r="AL619" s="24">
        <f t="shared" si="100"/>
        <v>31.269739999999999</v>
      </c>
      <c r="AM619">
        <f t="shared" si="104"/>
        <v>218.88817999999998</v>
      </c>
      <c r="AN619">
        <f t="shared" si="104"/>
        <v>312.69740000000002</v>
      </c>
      <c r="AO619">
        <f t="shared" si="104"/>
        <v>469.04609999999997</v>
      </c>
      <c r="AP619">
        <f t="shared" si="104"/>
        <v>625.39480000000003</v>
      </c>
      <c r="AQ619">
        <f t="shared" si="104"/>
        <v>1094.4409000000001</v>
      </c>
      <c r="AR619">
        <f t="shared" si="104"/>
        <v>1563.4869999999999</v>
      </c>
      <c r="AS619">
        <f t="shared" si="104"/>
        <v>2501.5792000000001</v>
      </c>
      <c r="AT619">
        <f t="shared" si="104"/>
        <v>3752.3687999999997</v>
      </c>
      <c r="AU619">
        <f t="shared" si="104"/>
        <v>5315.8557999999994</v>
      </c>
      <c r="AV619">
        <f t="shared" si="104"/>
        <v>7504.7375999999995</v>
      </c>
      <c r="AW619">
        <f t="shared" si="104"/>
        <v>10319.0142</v>
      </c>
      <c r="AX619">
        <f t="shared" si="104"/>
        <v>14384.080399999999</v>
      </c>
      <c r="AY619">
        <f t="shared" si="104"/>
        <v>25015.791999999998</v>
      </c>
      <c r="AZ619">
        <f t="shared" si="104"/>
        <v>46904.61</v>
      </c>
      <c r="BA619">
        <f t="shared" si="104"/>
        <v>78174.349999999991</v>
      </c>
      <c r="BB619">
        <f t="shared" si="104"/>
        <v>125078.95999999999</v>
      </c>
      <c r="BC619">
        <f t="shared" si="105"/>
        <v>312697.39999999997</v>
      </c>
      <c r="BD619">
        <f t="shared" si="105"/>
        <v>469046.1</v>
      </c>
      <c r="BE619">
        <f t="shared" si="105"/>
        <v>750473.76</v>
      </c>
      <c r="BF619">
        <f t="shared" si="105"/>
        <v>938092.2</v>
      </c>
      <c r="BG619">
        <f t="shared" si="105"/>
        <v>3126974</v>
      </c>
      <c r="BH619">
        <f t="shared" si="105"/>
        <v>9380922</v>
      </c>
      <c r="BI619">
        <f t="shared" si="105"/>
        <v>26579279</v>
      </c>
      <c r="BJ619">
        <f t="shared" si="105"/>
        <v>93809220</v>
      </c>
      <c r="BK619">
        <f t="shared" si="105"/>
        <v>312697400</v>
      </c>
      <c r="BL619">
        <v>614</v>
      </c>
    </row>
    <row r="620" spans="1:64" ht="17.25" thickBot="1" x14ac:dyDescent="0.25">
      <c r="A620" s="131">
        <v>616</v>
      </c>
      <c r="B620" s="132">
        <v>167045238</v>
      </c>
      <c r="D620" s="131">
        <v>616</v>
      </c>
      <c r="E620" s="132">
        <v>31.414449999999999</v>
      </c>
      <c r="AK620">
        <v>614</v>
      </c>
      <c r="AL620" s="24">
        <f t="shared" si="100"/>
        <v>31.318049999999999</v>
      </c>
      <c r="AM620">
        <f t="shared" si="104"/>
        <v>219.22635</v>
      </c>
      <c r="AN620">
        <f t="shared" si="104"/>
        <v>313.18049999999999</v>
      </c>
      <c r="AO620">
        <f t="shared" si="104"/>
        <v>469.77075000000002</v>
      </c>
      <c r="AP620">
        <f t="shared" si="104"/>
        <v>626.36099999999999</v>
      </c>
      <c r="AQ620">
        <f t="shared" si="104"/>
        <v>1096.13175</v>
      </c>
      <c r="AR620">
        <f t="shared" si="104"/>
        <v>1565.9024999999999</v>
      </c>
      <c r="AS620">
        <f t="shared" si="104"/>
        <v>2505.444</v>
      </c>
      <c r="AT620">
        <f t="shared" si="104"/>
        <v>3758.1660000000002</v>
      </c>
      <c r="AU620">
        <f t="shared" si="104"/>
        <v>5324.0685000000003</v>
      </c>
      <c r="AV620">
        <f t="shared" si="104"/>
        <v>7516.3320000000003</v>
      </c>
      <c r="AW620">
        <f t="shared" si="104"/>
        <v>10334.9565</v>
      </c>
      <c r="AX620">
        <f t="shared" si="104"/>
        <v>14406.303</v>
      </c>
      <c r="AY620">
        <f t="shared" si="104"/>
        <v>25054.44</v>
      </c>
      <c r="AZ620">
        <f t="shared" si="104"/>
        <v>46977.074999999997</v>
      </c>
      <c r="BA620">
        <f t="shared" si="104"/>
        <v>78295.125</v>
      </c>
      <c r="BB620">
        <f t="shared" si="104"/>
        <v>125272.2</v>
      </c>
      <c r="BC620">
        <f t="shared" si="105"/>
        <v>313180.5</v>
      </c>
      <c r="BD620">
        <f t="shared" si="105"/>
        <v>469770.75</v>
      </c>
      <c r="BE620">
        <f t="shared" si="105"/>
        <v>751633.2</v>
      </c>
      <c r="BF620">
        <f t="shared" si="105"/>
        <v>939541.5</v>
      </c>
      <c r="BG620">
        <f t="shared" si="105"/>
        <v>3131805</v>
      </c>
      <c r="BH620">
        <f t="shared" si="105"/>
        <v>9395415</v>
      </c>
      <c r="BI620">
        <f t="shared" si="105"/>
        <v>26620342.5</v>
      </c>
      <c r="BJ620">
        <f t="shared" si="105"/>
        <v>93954150</v>
      </c>
      <c r="BK620">
        <f t="shared" si="105"/>
        <v>313180500</v>
      </c>
      <c r="BL620">
        <v>615</v>
      </c>
    </row>
    <row r="621" spans="1:64" ht="17.25" thickBot="1" x14ac:dyDescent="0.25">
      <c r="A621" s="131">
        <v>617</v>
      </c>
      <c r="B621" s="132">
        <v>168123950</v>
      </c>
      <c r="D621" s="131">
        <v>617</v>
      </c>
      <c r="E621" s="132">
        <v>31.462530000000001</v>
      </c>
      <c r="AK621">
        <v>615</v>
      </c>
      <c r="AL621" s="24">
        <f t="shared" si="100"/>
        <v>31.366289999999999</v>
      </c>
      <c r="AM621">
        <f t="shared" si="104"/>
        <v>219.56403</v>
      </c>
      <c r="AN621">
        <f t="shared" si="104"/>
        <v>313.66289999999998</v>
      </c>
      <c r="AO621">
        <f t="shared" si="104"/>
        <v>470.49435</v>
      </c>
      <c r="AP621">
        <f t="shared" si="104"/>
        <v>627.32579999999996</v>
      </c>
      <c r="AQ621">
        <f t="shared" si="104"/>
        <v>1097.82015</v>
      </c>
      <c r="AR621">
        <f t="shared" si="104"/>
        <v>1568.3145</v>
      </c>
      <c r="AS621">
        <f t="shared" si="104"/>
        <v>2509.3031999999998</v>
      </c>
      <c r="AT621">
        <f t="shared" si="104"/>
        <v>3763.9548</v>
      </c>
      <c r="AU621">
        <f t="shared" si="104"/>
        <v>5332.2692999999999</v>
      </c>
      <c r="AV621">
        <f t="shared" si="104"/>
        <v>7527.9096</v>
      </c>
      <c r="AW621">
        <f t="shared" si="104"/>
        <v>10350.875700000001</v>
      </c>
      <c r="AX621">
        <f t="shared" si="104"/>
        <v>14428.493399999999</v>
      </c>
      <c r="AY621">
        <f t="shared" si="104"/>
        <v>25093.031999999999</v>
      </c>
      <c r="AZ621">
        <f t="shared" si="104"/>
        <v>47049.434999999998</v>
      </c>
      <c r="BA621">
        <f t="shared" si="104"/>
        <v>78415.724999999991</v>
      </c>
      <c r="BB621">
        <f t="shared" si="104"/>
        <v>125465.16</v>
      </c>
      <c r="BC621">
        <f t="shared" si="105"/>
        <v>313662.89999999997</v>
      </c>
      <c r="BD621">
        <f t="shared" si="105"/>
        <v>470494.35</v>
      </c>
      <c r="BE621">
        <f t="shared" si="105"/>
        <v>752790.96</v>
      </c>
      <c r="BF621">
        <f t="shared" si="105"/>
        <v>940988.7</v>
      </c>
      <c r="BG621">
        <f t="shared" si="105"/>
        <v>3136629</v>
      </c>
      <c r="BH621">
        <f t="shared" si="105"/>
        <v>9409887</v>
      </c>
      <c r="BI621">
        <f t="shared" si="105"/>
        <v>26661346.5</v>
      </c>
      <c r="BJ621">
        <f t="shared" si="105"/>
        <v>94098870</v>
      </c>
      <c r="BK621">
        <f t="shared" si="105"/>
        <v>313662900</v>
      </c>
      <c r="BL621">
        <v>616</v>
      </c>
    </row>
    <row r="622" spans="1:64" ht="17.25" thickBot="1" x14ac:dyDescent="0.25">
      <c r="A622" s="131">
        <v>618</v>
      </c>
      <c r="B622" s="132">
        <v>169212733</v>
      </c>
      <c r="D622" s="131">
        <v>618</v>
      </c>
      <c r="E622" s="132">
        <v>31.510529999999999</v>
      </c>
      <c r="AK622">
        <v>616</v>
      </c>
      <c r="AL622" s="24">
        <f t="shared" si="100"/>
        <v>31.414449999999999</v>
      </c>
      <c r="AM622">
        <f t="shared" si="104"/>
        <v>219.90115</v>
      </c>
      <c r="AN622">
        <f t="shared" si="104"/>
        <v>314.14449999999999</v>
      </c>
      <c r="AO622">
        <f t="shared" si="104"/>
        <v>471.21674999999999</v>
      </c>
      <c r="AP622">
        <f t="shared" si="104"/>
        <v>628.28899999999999</v>
      </c>
      <c r="AQ622">
        <f t="shared" si="104"/>
        <v>1099.50575</v>
      </c>
      <c r="AR622">
        <f t="shared" si="104"/>
        <v>1570.7224999999999</v>
      </c>
      <c r="AS622">
        <f t="shared" si="104"/>
        <v>2513.1559999999999</v>
      </c>
      <c r="AT622">
        <f t="shared" si="104"/>
        <v>3769.7339999999999</v>
      </c>
      <c r="AU622">
        <f t="shared" si="104"/>
        <v>5340.4564999999993</v>
      </c>
      <c r="AV622">
        <f t="shared" si="104"/>
        <v>7539.4679999999998</v>
      </c>
      <c r="AW622">
        <f t="shared" si="104"/>
        <v>10366.7685</v>
      </c>
      <c r="AX622">
        <f t="shared" si="104"/>
        <v>14450.646999999999</v>
      </c>
      <c r="AY622">
        <f t="shared" si="104"/>
        <v>25131.559999999998</v>
      </c>
      <c r="AZ622">
        <f t="shared" ref="AM622:BB638" si="106">AZ$5*VLOOKUP($AK622,$D$2:$E$1404,2,FALSE)</f>
        <v>47121.674999999996</v>
      </c>
      <c r="BA622">
        <f t="shared" si="106"/>
        <v>78536.125</v>
      </c>
      <c r="BB622">
        <f t="shared" si="106"/>
        <v>125657.79999999999</v>
      </c>
      <c r="BC622">
        <f t="shared" si="105"/>
        <v>314144.5</v>
      </c>
      <c r="BD622">
        <f t="shared" si="105"/>
        <v>471216.75</v>
      </c>
      <c r="BE622">
        <f t="shared" si="105"/>
        <v>753946.79999999993</v>
      </c>
      <c r="BF622">
        <f t="shared" si="105"/>
        <v>942433.5</v>
      </c>
      <c r="BG622">
        <f t="shared" si="105"/>
        <v>3141445</v>
      </c>
      <c r="BH622">
        <f t="shared" si="105"/>
        <v>9424335</v>
      </c>
      <c r="BI622">
        <f t="shared" si="105"/>
        <v>26702282.5</v>
      </c>
      <c r="BJ622">
        <f t="shared" si="105"/>
        <v>94243350</v>
      </c>
      <c r="BK622">
        <f t="shared" si="105"/>
        <v>314144500</v>
      </c>
      <c r="BL622">
        <v>617</v>
      </c>
    </row>
    <row r="623" spans="1:64" ht="17.25" thickBot="1" x14ac:dyDescent="0.25">
      <c r="A623" s="131">
        <v>619</v>
      </c>
      <c r="B623" s="132">
        <v>170311650</v>
      </c>
      <c r="D623" s="131">
        <v>619</v>
      </c>
      <c r="E623" s="132">
        <v>31.55846</v>
      </c>
      <c r="AK623">
        <v>617</v>
      </c>
      <c r="AL623" s="24">
        <f t="shared" si="100"/>
        <v>31.462530000000001</v>
      </c>
      <c r="AM623">
        <f t="shared" si="106"/>
        <v>220.23770999999999</v>
      </c>
      <c r="AN623">
        <f t="shared" si="106"/>
        <v>314.62530000000004</v>
      </c>
      <c r="AO623">
        <f t="shared" si="106"/>
        <v>471.93795</v>
      </c>
      <c r="AP623">
        <f t="shared" si="106"/>
        <v>629.25060000000008</v>
      </c>
      <c r="AQ623">
        <f t="shared" si="106"/>
        <v>1101.1885500000001</v>
      </c>
      <c r="AR623">
        <f t="shared" si="106"/>
        <v>1573.1265000000001</v>
      </c>
      <c r="AS623">
        <f t="shared" si="106"/>
        <v>2517.0024000000003</v>
      </c>
      <c r="AT623">
        <f t="shared" si="106"/>
        <v>3775.5036</v>
      </c>
      <c r="AU623">
        <f t="shared" si="106"/>
        <v>5348.6301000000003</v>
      </c>
      <c r="AV623">
        <f t="shared" si="106"/>
        <v>7551.0072</v>
      </c>
      <c r="AW623">
        <f t="shared" si="106"/>
        <v>10382.634900000001</v>
      </c>
      <c r="AX623">
        <f t="shared" si="106"/>
        <v>14472.763800000001</v>
      </c>
      <c r="AY623">
        <f t="shared" si="106"/>
        <v>25170.024000000001</v>
      </c>
      <c r="AZ623">
        <f t="shared" si="106"/>
        <v>47193.794999999998</v>
      </c>
      <c r="BA623">
        <f t="shared" si="106"/>
        <v>78656.324999999997</v>
      </c>
      <c r="BB623">
        <f t="shared" si="106"/>
        <v>125850.12000000001</v>
      </c>
      <c r="BC623">
        <f t="shared" si="105"/>
        <v>314625.3</v>
      </c>
      <c r="BD623">
        <f t="shared" si="105"/>
        <v>471937.95</v>
      </c>
      <c r="BE623">
        <f t="shared" si="105"/>
        <v>755100.72</v>
      </c>
      <c r="BF623">
        <f t="shared" si="105"/>
        <v>943875.9</v>
      </c>
      <c r="BG623">
        <f t="shared" si="105"/>
        <v>3146253</v>
      </c>
      <c r="BH623">
        <f t="shared" si="105"/>
        <v>9438759</v>
      </c>
      <c r="BI623">
        <f t="shared" si="105"/>
        <v>26743150.5</v>
      </c>
      <c r="BJ623">
        <f t="shared" si="105"/>
        <v>94387590</v>
      </c>
      <c r="BK623">
        <f t="shared" si="105"/>
        <v>314625300</v>
      </c>
      <c r="BL623">
        <v>618</v>
      </c>
    </row>
    <row r="624" spans="1:64" ht="17.25" thickBot="1" x14ac:dyDescent="0.25">
      <c r="A624" s="131">
        <v>620</v>
      </c>
      <c r="B624" s="132">
        <v>171420766</v>
      </c>
      <c r="D624" s="131">
        <v>620</v>
      </c>
      <c r="E624" s="132">
        <v>31.606310000000001</v>
      </c>
      <c r="AK624">
        <v>618</v>
      </c>
      <c r="AL624" s="24">
        <f t="shared" si="100"/>
        <v>31.510529999999999</v>
      </c>
      <c r="AM624">
        <f t="shared" si="106"/>
        <v>220.57371000000001</v>
      </c>
      <c r="AN624">
        <f t="shared" si="106"/>
        <v>315.1053</v>
      </c>
      <c r="AO624">
        <f t="shared" si="106"/>
        <v>472.65794999999997</v>
      </c>
      <c r="AP624">
        <f t="shared" si="106"/>
        <v>630.2106</v>
      </c>
      <c r="AQ624">
        <f t="shared" si="106"/>
        <v>1102.8685499999999</v>
      </c>
      <c r="AR624">
        <f t="shared" si="106"/>
        <v>1575.5264999999999</v>
      </c>
      <c r="AS624">
        <f t="shared" si="106"/>
        <v>2520.8424</v>
      </c>
      <c r="AT624">
        <f t="shared" si="106"/>
        <v>3781.2635999999998</v>
      </c>
      <c r="AU624">
        <f t="shared" si="106"/>
        <v>5356.7901000000002</v>
      </c>
      <c r="AV624">
        <f t="shared" si="106"/>
        <v>7562.5271999999995</v>
      </c>
      <c r="AW624">
        <f t="shared" si="106"/>
        <v>10398.474899999999</v>
      </c>
      <c r="AX624">
        <f t="shared" si="106"/>
        <v>14494.843800000001</v>
      </c>
      <c r="AY624">
        <f t="shared" si="106"/>
        <v>25208.423999999999</v>
      </c>
      <c r="AZ624">
        <f t="shared" si="106"/>
        <v>47265.794999999998</v>
      </c>
      <c r="BA624">
        <f t="shared" si="106"/>
        <v>78776.324999999997</v>
      </c>
      <c r="BB624">
        <f t="shared" si="106"/>
        <v>126042.12</v>
      </c>
      <c r="BC624">
        <f t="shared" si="105"/>
        <v>315105.3</v>
      </c>
      <c r="BD624">
        <f t="shared" si="105"/>
        <v>472657.95</v>
      </c>
      <c r="BE624">
        <f t="shared" si="105"/>
        <v>756252.72</v>
      </c>
      <c r="BF624">
        <f t="shared" si="105"/>
        <v>945315.9</v>
      </c>
      <c r="BG624">
        <f t="shared" si="105"/>
        <v>3151053</v>
      </c>
      <c r="BH624">
        <f t="shared" si="105"/>
        <v>9453159</v>
      </c>
      <c r="BI624">
        <f t="shared" si="105"/>
        <v>26783950.5</v>
      </c>
      <c r="BJ624">
        <f t="shared" si="105"/>
        <v>94531590</v>
      </c>
      <c r="BK624">
        <f t="shared" si="105"/>
        <v>315105300</v>
      </c>
      <c r="BL624">
        <v>619</v>
      </c>
    </row>
    <row r="625" spans="1:64" ht="17.25" thickBot="1" x14ac:dyDescent="0.25">
      <c r="A625" s="131">
        <v>621</v>
      </c>
      <c r="B625" s="132">
        <v>172540150</v>
      </c>
      <c r="D625" s="131">
        <v>621</v>
      </c>
      <c r="E625" s="132">
        <v>31.65409</v>
      </c>
      <c r="AK625">
        <v>619</v>
      </c>
      <c r="AL625" s="24">
        <f t="shared" si="100"/>
        <v>31.55846</v>
      </c>
      <c r="AM625">
        <f t="shared" si="106"/>
        <v>220.90922</v>
      </c>
      <c r="AN625">
        <f t="shared" si="106"/>
        <v>315.58460000000002</v>
      </c>
      <c r="AO625">
        <f t="shared" si="106"/>
        <v>473.37689999999998</v>
      </c>
      <c r="AP625">
        <f t="shared" si="106"/>
        <v>631.16920000000005</v>
      </c>
      <c r="AQ625">
        <f t="shared" si="106"/>
        <v>1104.5461</v>
      </c>
      <c r="AR625">
        <f t="shared" si="106"/>
        <v>1577.923</v>
      </c>
      <c r="AS625">
        <f t="shared" si="106"/>
        <v>2524.6768000000002</v>
      </c>
      <c r="AT625">
        <f t="shared" si="106"/>
        <v>3787.0151999999998</v>
      </c>
      <c r="AU625">
        <f t="shared" si="106"/>
        <v>5364.9381999999996</v>
      </c>
      <c r="AV625">
        <f t="shared" si="106"/>
        <v>7574.0303999999996</v>
      </c>
      <c r="AW625">
        <f t="shared" si="106"/>
        <v>10414.291800000001</v>
      </c>
      <c r="AX625">
        <f t="shared" si="106"/>
        <v>14516.891600000001</v>
      </c>
      <c r="AY625">
        <f t="shared" si="106"/>
        <v>25246.768</v>
      </c>
      <c r="AZ625">
        <f t="shared" si="106"/>
        <v>47337.69</v>
      </c>
      <c r="BA625">
        <f t="shared" si="106"/>
        <v>78896.149999999994</v>
      </c>
      <c r="BB625">
        <f t="shared" si="106"/>
        <v>126233.84</v>
      </c>
      <c r="BC625">
        <f t="shared" si="105"/>
        <v>315584.59999999998</v>
      </c>
      <c r="BD625">
        <f t="shared" si="105"/>
        <v>473376.9</v>
      </c>
      <c r="BE625">
        <f t="shared" si="105"/>
        <v>757403.04</v>
      </c>
      <c r="BF625">
        <f t="shared" si="105"/>
        <v>946753.8</v>
      </c>
      <c r="BG625">
        <f t="shared" si="105"/>
        <v>3155846</v>
      </c>
      <c r="BH625">
        <f t="shared" si="105"/>
        <v>9467538</v>
      </c>
      <c r="BI625">
        <f t="shared" si="105"/>
        <v>26824691</v>
      </c>
      <c r="BJ625">
        <f t="shared" si="105"/>
        <v>94675380</v>
      </c>
      <c r="BK625">
        <f t="shared" si="105"/>
        <v>315584600</v>
      </c>
      <c r="BL625">
        <v>620</v>
      </c>
    </row>
    <row r="626" spans="1:64" ht="17.25" thickBot="1" x14ac:dyDescent="0.25">
      <c r="A626" s="131">
        <v>622</v>
      </c>
      <c r="B626" s="132">
        <v>173669861</v>
      </c>
      <c r="D626" s="131">
        <v>622</v>
      </c>
      <c r="E626" s="132">
        <v>31.701789999999999</v>
      </c>
      <c r="AK626">
        <v>620</v>
      </c>
      <c r="AL626" s="24">
        <f t="shared" si="100"/>
        <v>31.606310000000001</v>
      </c>
      <c r="AM626">
        <f t="shared" si="106"/>
        <v>221.24417</v>
      </c>
      <c r="AN626">
        <f t="shared" si="106"/>
        <v>316.06310000000002</v>
      </c>
      <c r="AO626">
        <f t="shared" si="106"/>
        <v>474.09465</v>
      </c>
      <c r="AP626">
        <f t="shared" si="106"/>
        <v>632.12620000000004</v>
      </c>
      <c r="AQ626">
        <f t="shared" si="106"/>
        <v>1106.2208499999999</v>
      </c>
      <c r="AR626">
        <f t="shared" si="106"/>
        <v>1580.3154999999999</v>
      </c>
      <c r="AS626">
        <f t="shared" si="106"/>
        <v>2528.5048000000002</v>
      </c>
      <c r="AT626">
        <f t="shared" si="106"/>
        <v>3792.7572</v>
      </c>
      <c r="AU626">
        <f t="shared" si="106"/>
        <v>5373.0726999999997</v>
      </c>
      <c r="AV626">
        <f t="shared" si="106"/>
        <v>7585.5144</v>
      </c>
      <c r="AW626">
        <f t="shared" si="106"/>
        <v>10430.0823</v>
      </c>
      <c r="AX626">
        <f t="shared" si="106"/>
        <v>14538.902599999999</v>
      </c>
      <c r="AY626">
        <f t="shared" si="106"/>
        <v>25285.047999999999</v>
      </c>
      <c r="AZ626">
        <f t="shared" si="106"/>
        <v>47409.465000000004</v>
      </c>
      <c r="BA626">
        <f t="shared" si="106"/>
        <v>79015.774999999994</v>
      </c>
      <c r="BB626">
        <f t="shared" si="106"/>
        <v>126425.24</v>
      </c>
      <c r="BC626">
        <f t="shared" si="105"/>
        <v>316063.09999999998</v>
      </c>
      <c r="BD626">
        <f t="shared" si="105"/>
        <v>474094.65</v>
      </c>
      <c r="BE626">
        <f t="shared" si="105"/>
        <v>758551.44000000006</v>
      </c>
      <c r="BF626">
        <f t="shared" si="105"/>
        <v>948189.3</v>
      </c>
      <c r="BG626">
        <f t="shared" si="105"/>
        <v>3160631</v>
      </c>
      <c r="BH626">
        <f t="shared" si="105"/>
        <v>9481893</v>
      </c>
      <c r="BI626">
        <f t="shared" si="105"/>
        <v>26865363.5</v>
      </c>
      <c r="BJ626">
        <f t="shared" si="105"/>
        <v>94818930</v>
      </c>
      <c r="BK626">
        <f t="shared" si="105"/>
        <v>316063100</v>
      </c>
      <c r="BL626">
        <v>621</v>
      </c>
    </row>
    <row r="627" spans="1:64" ht="17.25" thickBot="1" x14ac:dyDescent="0.25">
      <c r="A627" s="131">
        <v>623</v>
      </c>
      <c r="B627" s="132">
        <v>174809961</v>
      </c>
      <c r="D627" s="131">
        <v>623</v>
      </c>
      <c r="E627" s="132">
        <v>31.749410000000001</v>
      </c>
      <c r="AK627">
        <v>621</v>
      </c>
      <c r="AL627" s="24">
        <f t="shared" si="100"/>
        <v>31.65409</v>
      </c>
      <c r="AM627">
        <f t="shared" si="106"/>
        <v>221.57863</v>
      </c>
      <c r="AN627">
        <f t="shared" si="106"/>
        <v>316.54090000000002</v>
      </c>
      <c r="AO627">
        <f t="shared" si="106"/>
        <v>474.81135</v>
      </c>
      <c r="AP627">
        <f t="shared" si="106"/>
        <v>633.08180000000004</v>
      </c>
      <c r="AQ627">
        <f t="shared" si="106"/>
        <v>1107.8931500000001</v>
      </c>
      <c r="AR627">
        <f t="shared" si="106"/>
        <v>1582.7045000000001</v>
      </c>
      <c r="AS627">
        <f t="shared" si="106"/>
        <v>2532.3272000000002</v>
      </c>
      <c r="AT627">
        <f t="shared" si="106"/>
        <v>3798.4908</v>
      </c>
      <c r="AU627">
        <f t="shared" si="106"/>
        <v>5381.1953000000003</v>
      </c>
      <c r="AV627">
        <f t="shared" si="106"/>
        <v>7596.9816000000001</v>
      </c>
      <c r="AW627">
        <f t="shared" si="106"/>
        <v>10445.849700000001</v>
      </c>
      <c r="AX627">
        <f t="shared" si="106"/>
        <v>14560.8814</v>
      </c>
      <c r="AY627">
        <f t="shared" si="106"/>
        <v>25323.272000000001</v>
      </c>
      <c r="AZ627">
        <f t="shared" si="106"/>
        <v>47481.135000000002</v>
      </c>
      <c r="BA627">
        <f t="shared" si="106"/>
        <v>79135.225000000006</v>
      </c>
      <c r="BB627">
        <f t="shared" si="106"/>
        <v>126616.36</v>
      </c>
      <c r="BC627">
        <f t="shared" si="105"/>
        <v>316540.90000000002</v>
      </c>
      <c r="BD627">
        <f t="shared" si="105"/>
        <v>474811.35</v>
      </c>
      <c r="BE627">
        <f t="shared" si="105"/>
        <v>759698.16</v>
      </c>
      <c r="BF627">
        <f t="shared" si="105"/>
        <v>949622.7</v>
      </c>
      <c r="BG627">
        <f t="shared" si="105"/>
        <v>3165409</v>
      </c>
      <c r="BH627">
        <f t="shared" si="105"/>
        <v>9496227</v>
      </c>
      <c r="BI627">
        <f t="shared" si="105"/>
        <v>26905976.5</v>
      </c>
      <c r="BJ627">
        <f t="shared" si="105"/>
        <v>94962270</v>
      </c>
      <c r="BK627">
        <f t="shared" si="105"/>
        <v>316540900</v>
      </c>
      <c r="BL627">
        <v>622</v>
      </c>
    </row>
    <row r="628" spans="1:64" ht="17.25" thickBot="1" x14ac:dyDescent="0.25">
      <c r="A628" s="131">
        <v>624</v>
      </c>
      <c r="B628" s="132">
        <v>175960522</v>
      </c>
      <c r="D628" s="131">
        <v>624</v>
      </c>
      <c r="E628" s="132">
        <v>31.796959999999999</v>
      </c>
      <c r="AK628">
        <v>622</v>
      </c>
      <c r="AL628" s="24">
        <f t="shared" si="100"/>
        <v>31.701789999999999</v>
      </c>
      <c r="AM628">
        <f t="shared" si="106"/>
        <v>221.91253</v>
      </c>
      <c r="AN628">
        <f t="shared" si="106"/>
        <v>317.0179</v>
      </c>
      <c r="AO628">
        <f t="shared" si="106"/>
        <v>475.52684999999997</v>
      </c>
      <c r="AP628">
        <f t="shared" si="106"/>
        <v>634.03579999999999</v>
      </c>
      <c r="AQ628">
        <f t="shared" si="106"/>
        <v>1109.5626500000001</v>
      </c>
      <c r="AR628">
        <f t="shared" si="106"/>
        <v>1585.0895</v>
      </c>
      <c r="AS628">
        <f t="shared" si="106"/>
        <v>2536.1432</v>
      </c>
      <c r="AT628">
        <f t="shared" si="106"/>
        <v>3804.2147999999997</v>
      </c>
      <c r="AU628">
        <f t="shared" si="106"/>
        <v>5389.3042999999998</v>
      </c>
      <c r="AV628">
        <f t="shared" si="106"/>
        <v>7608.4295999999995</v>
      </c>
      <c r="AW628">
        <f t="shared" si="106"/>
        <v>10461.590699999999</v>
      </c>
      <c r="AX628">
        <f t="shared" si="106"/>
        <v>14582.823399999999</v>
      </c>
      <c r="AY628">
        <f t="shared" si="106"/>
        <v>25361.432000000001</v>
      </c>
      <c r="AZ628">
        <f t="shared" si="106"/>
        <v>47552.684999999998</v>
      </c>
      <c r="BA628">
        <f t="shared" si="106"/>
        <v>79254.474999999991</v>
      </c>
      <c r="BB628">
        <f t="shared" si="106"/>
        <v>126807.15999999999</v>
      </c>
      <c r="BC628">
        <f t="shared" si="105"/>
        <v>317017.89999999997</v>
      </c>
      <c r="BD628">
        <f t="shared" si="105"/>
        <v>475526.85</v>
      </c>
      <c r="BE628">
        <f t="shared" si="105"/>
        <v>760842.96</v>
      </c>
      <c r="BF628">
        <f t="shared" si="105"/>
        <v>951053.7</v>
      </c>
      <c r="BG628">
        <f t="shared" si="105"/>
        <v>3170179</v>
      </c>
      <c r="BH628">
        <f t="shared" si="105"/>
        <v>9510537</v>
      </c>
      <c r="BI628">
        <f t="shared" si="105"/>
        <v>26946521.5</v>
      </c>
      <c r="BJ628">
        <f t="shared" si="105"/>
        <v>95105370</v>
      </c>
      <c r="BK628">
        <f t="shared" si="105"/>
        <v>317017900</v>
      </c>
      <c r="BL628">
        <v>623</v>
      </c>
    </row>
    <row r="629" spans="1:64" ht="17.25" thickBot="1" x14ac:dyDescent="0.25">
      <c r="A629" s="131">
        <v>625</v>
      </c>
      <c r="B629" s="132">
        <v>177121605</v>
      </c>
      <c r="D629" s="131">
        <v>625</v>
      </c>
      <c r="E629" s="132">
        <v>31.844429999999999</v>
      </c>
      <c r="AK629">
        <v>623</v>
      </c>
      <c r="AL629" s="24">
        <f t="shared" si="100"/>
        <v>31.749410000000001</v>
      </c>
      <c r="AM629">
        <f t="shared" si="106"/>
        <v>222.24587</v>
      </c>
      <c r="AN629">
        <f t="shared" si="106"/>
        <v>317.4941</v>
      </c>
      <c r="AO629">
        <f t="shared" si="106"/>
        <v>476.24115</v>
      </c>
      <c r="AP629">
        <f t="shared" si="106"/>
        <v>634.98820000000001</v>
      </c>
      <c r="AQ629">
        <f t="shared" si="106"/>
        <v>1111.2293500000001</v>
      </c>
      <c r="AR629">
        <f t="shared" si="106"/>
        <v>1587.4705000000001</v>
      </c>
      <c r="AS629">
        <f t="shared" si="106"/>
        <v>2539.9528</v>
      </c>
      <c r="AT629">
        <f t="shared" si="106"/>
        <v>3809.9292</v>
      </c>
      <c r="AU629">
        <f t="shared" si="106"/>
        <v>5397.3996999999999</v>
      </c>
      <c r="AV629">
        <f t="shared" si="106"/>
        <v>7619.8584000000001</v>
      </c>
      <c r="AW629">
        <f t="shared" si="106"/>
        <v>10477.3053</v>
      </c>
      <c r="AX629">
        <f t="shared" si="106"/>
        <v>14604.7286</v>
      </c>
      <c r="AY629">
        <f t="shared" si="106"/>
        <v>25399.528000000002</v>
      </c>
      <c r="AZ629">
        <f t="shared" si="106"/>
        <v>47624.114999999998</v>
      </c>
      <c r="BA629">
        <f t="shared" si="106"/>
        <v>79373.525000000009</v>
      </c>
      <c r="BB629">
        <f t="shared" si="106"/>
        <v>126997.64</v>
      </c>
      <c r="BC629">
        <f t="shared" si="105"/>
        <v>317494.10000000003</v>
      </c>
      <c r="BD629">
        <f t="shared" si="105"/>
        <v>476241.15</v>
      </c>
      <c r="BE629">
        <f t="shared" si="105"/>
        <v>761985.84</v>
      </c>
      <c r="BF629">
        <f t="shared" si="105"/>
        <v>952482.3</v>
      </c>
      <c r="BG629">
        <f t="shared" si="105"/>
        <v>3174941</v>
      </c>
      <c r="BH629">
        <f t="shared" si="105"/>
        <v>9524823</v>
      </c>
      <c r="BI629">
        <f t="shared" si="105"/>
        <v>26986998.5</v>
      </c>
      <c r="BJ629">
        <f t="shared" si="105"/>
        <v>95248230</v>
      </c>
      <c r="BK629">
        <f t="shared" si="105"/>
        <v>317494100</v>
      </c>
      <c r="BL629">
        <v>624</v>
      </c>
    </row>
    <row r="630" spans="1:64" ht="17.25" thickBot="1" x14ac:dyDescent="0.25">
      <c r="A630" s="131">
        <v>626</v>
      </c>
      <c r="B630" s="132">
        <v>178293277</v>
      </c>
      <c r="D630" s="131">
        <v>626</v>
      </c>
      <c r="E630" s="132">
        <v>31.891829999999999</v>
      </c>
      <c r="AK630">
        <v>624</v>
      </c>
      <c r="AL630" s="24">
        <f t="shared" si="100"/>
        <v>31.796959999999999</v>
      </c>
      <c r="AM630">
        <f t="shared" si="106"/>
        <v>222.57871999999998</v>
      </c>
      <c r="AN630">
        <f t="shared" si="106"/>
        <v>317.96960000000001</v>
      </c>
      <c r="AO630">
        <f t="shared" si="106"/>
        <v>476.95439999999996</v>
      </c>
      <c r="AP630">
        <f t="shared" si="106"/>
        <v>635.93920000000003</v>
      </c>
      <c r="AQ630">
        <f t="shared" si="106"/>
        <v>1112.8935999999999</v>
      </c>
      <c r="AR630">
        <f t="shared" si="106"/>
        <v>1589.848</v>
      </c>
      <c r="AS630">
        <f t="shared" si="106"/>
        <v>2543.7568000000001</v>
      </c>
      <c r="AT630">
        <f t="shared" si="106"/>
        <v>3815.6351999999997</v>
      </c>
      <c r="AU630">
        <f t="shared" si="106"/>
        <v>5405.4831999999997</v>
      </c>
      <c r="AV630">
        <f t="shared" si="106"/>
        <v>7631.2703999999994</v>
      </c>
      <c r="AW630">
        <f t="shared" si="106"/>
        <v>10492.996799999999</v>
      </c>
      <c r="AX630">
        <f t="shared" si="106"/>
        <v>14626.6016</v>
      </c>
      <c r="AY630">
        <f t="shared" si="106"/>
        <v>25437.567999999999</v>
      </c>
      <c r="AZ630">
        <f t="shared" si="106"/>
        <v>47695.439999999995</v>
      </c>
      <c r="BA630">
        <f t="shared" si="106"/>
        <v>79492.399999999994</v>
      </c>
      <c r="BB630">
        <f t="shared" si="106"/>
        <v>127187.84</v>
      </c>
      <c r="BC630">
        <f t="shared" si="105"/>
        <v>317969.59999999998</v>
      </c>
      <c r="BD630">
        <f t="shared" si="105"/>
        <v>476954.39999999997</v>
      </c>
      <c r="BE630">
        <f t="shared" si="105"/>
        <v>763127.03999999992</v>
      </c>
      <c r="BF630">
        <f t="shared" si="105"/>
        <v>953908.79999999993</v>
      </c>
      <c r="BG630">
        <f t="shared" si="105"/>
        <v>3179696</v>
      </c>
      <c r="BH630">
        <f t="shared" si="105"/>
        <v>9539088</v>
      </c>
      <c r="BI630">
        <f t="shared" si="105"/>
        <v>27027416</v>
      </c>
      <c r="BJ630">
        <f t="shared" si="105"/>
        <v>95390880</v>
      </c>
      <c r="BK630">
        <f t="shared" si="105"/>
        <v>317969600</v>
      </c>
      <c r="BL630">
        <v>625</v>
      </c>
    </row>
    <row r="631" spans="1:64" ht="17.25" thickBot="1" x14ac:dyDescent="0.25">
      <c r="A631" s="131">
        <v>627</v>
      </c>
      <c r="B631" s="132">
        <v>179475605</v>
      </c>
      <c r="D631" s="131">
        <v>627</v>
      </c>
      <c r="E631" s="132">
        <v>31.939150000000001</v>
      </c>
      <c r="AK631">
        <v>625</v>
      </c>
      <c r="AL631" s="24">
        <f t="shared" ref="AL631:AL694" si="107">VLOOKUP(AK631,D$2:E$1404,2,FALSE)</f>
        <v>31.844429999999999</v>
      </c>
      <c r="AM631">
        <f t="shared" si="106"/>
        <v>222.91101</v>
      </c>
      <c r="AN631">
        <f t="shared" si="106"/>
        <v>318.4443</v>
      </c>
      <c r="AO631">
        <f t="shared" si="106"/>
        <v>477.66645</v>
      </c>
      <c r="AP631">
        <f t="shared" si="106"/>
        <v>636.8886</v>
      </c>
      <c r="AQ631">
        <f t="shared" si="106"/>
        <v>1114.5550499999999</v>
      </c>
      <c r="AR631">
        <f t="shared" si="106"/>
        <v>1592.2214999999999</v>
      </c>
      <c r="AS631">
        <f t="shared" si="106"/>
        <v>2547.5544</v>
      </c>
      <c r="AT631">
        <f t="shared" si="106"/>
        <v>3821.3316</v>
      </c>
      <c r="AU631">
        <f t="shared" si="106"/>
        <v>5413.5531000000001</v>
      </c>
      <c r="AV631">
        <f t="shared" si="106"/>
        <v>7642.6632</v>
      </c>
      <c r="AW631">
        <f t="shared" si="106"/>
        <v>10508.661899999999</v>
      </c>
      <c r="AX631">
        <f t="shared" si="106"/>
        <v>14648.4378</v>
      </c>
      <c r="AY631">
        <f t="shared" si="106"/>
        <v>25475.543999999998</v>
      </c>
      <c r="AZ631">
        <f t="shared" si="106"/>
        <v>47766.644999999997</v>
      </c>
      <c r="BA631">
        <f t="shared" si="106"/>
        <v>79611.074999999997</v>
      </c>
      <c r="BB631">
        <f t="shared" si="106"/>
        <v>127377.72</v>
      </c>
      <c r="BC631">
        <f t="shared" si="105"/>
        <v>318444.3</v>
      </c>
      <c r="BD631">
        <f t="shared" si="105"/>
        <v>477666.45</v>
      </c>
      <c r="BE631">
        <f t="shared" si="105"/>
        <v>764266.32</v>
      </c>
      <c r="BF631">
        <f t="shared" si="105"/>
        <v>955332.9</v>
      </c>
      <c r="BG631">
        <f t="shared" si="105"/>
        <v>3184443</v>
      </c>
      <c r="BH631">
        <f t="shared" si="105"/>
        <v>9553329</v>
      </c>
      <c r="BI631">
        <f t="shared" si="105"/>
        <v>27067765.5</v>
      </c>
      <c r="BJ631">
        <f t="shared" si="105"/>
        <v>95533290</v>
      </c>
      <c r="BK631">
        <f t="shared" si="105"/>
        <v>318444300</v>
      </c>
      <c r="BL631">
        <v>626</v>
      </c>
    </row>
    <row r="632" spans="1:64" ht="17.25" thickBot="1" x14ac:dyDescent="0.25">
      <c r="A632" s="131">
        <v>628</v>
      </c>
      <c r="B632" s="132">
        <v>180668655</v>
      </c>
      <c r="D632" s="131">
        <v>628</v>
      </c>
      <c r="E632" s="132">
        <v>31.9864</v>
      </c>
      <c r="AK632">
        <v>626</v>
      </c>
      <c r="AL632" s="24">
        <f t="shared" si="107"/>
        <v>31.891829999999999</v>
      </c>
      <c r="AM632">
        <f t="shared" si="106"/>
        <v>223.24280999999999</v>
      </c>
      <c r="AN632">
        <f t="shared" si="106"/>
        <v>318.91829999999999</v>
      </c>
      <c r="AO632">
        <f t="shared" si="106"/>
        <v>478.37744999999995</v>
      </c>
      <c r="AP632">
        <f t="shared" si="106"/>
        <v>637.83659999999998</v>
      </c>
      <c r="AQ632">
        <f t="shared" si="106"/>
        <v>1116.21405</v>
      </c>
      <c r="AR632">
        <f t="shared" si="106"/>
        <v>1594.5915</v>
      </c>
      <c r="AS632">
        <f t="shared" si="106"/>
        <v>2551.3463999999999</v>
      </c>
      <c r="AT632">
        <f t="shared" si="106"/>
        <v>3827.0195999999996</v>
      </c>
      <c r="AU632">
        <f t="shared" si="106"/>
        <v>5421.6111000000001</v>
      </c>
      <c r="AV632">
        <f t="shared" si="106"/>
        <v>7654.0391999999993</v>
      </c>
      <c r="AW632">
        <f t="shared" si="106"/>
        <v>10524.303899999999</v>
      </c>
      <c r="AX632">
        <f t="shared" si="106"/>
        <v>14670.2418</v>
      </c>
      <c r="AY632">
        <f t="shared" si="106"/>
        <v>25513.464</v>
      </c>
      <c r="AZ632">
        <f t="shared" si="106"/>
        <v>47837.744999999995</v>
      </c>
      <c r="BA632">
        <f t="shared" si="106"/>
        <v>79729.574999999997</v>
      </c>
      <c r="BB632">
        <f t="shared" si="106"/>
        <v>127567.31999999999</v>
      </c>
      <c r="BC632">
        <f t="shared" si="105"/>
        <v>318918.3</v>
      </c>
      <c r="BD632">
        <f t="shared" si="105"/>
        <v>478377.44999999995</v>
      </c>
      <c r="BE632">
        <f t="shared" si="105"/>
        <v>765403.91999999993</v>
      </c>
      <c r="BF632">
        <f t="shared" si="105"/>
        <v>956754.89999999991</v>
      </c>
      <c r="BG632">
        <f t="shared" si="105"/>
        <v>3189183</v>
      </c>
      <c r="BH632">
        <f t="shared" si="105"/>
        <v>9567549</v>
      </c>
      <c r="BI632">
        <f t="shared" si="105"/>
        <v>27108055.5</v>
      </c>
      <c r="BJ632">
        <f t="shared" si="105"/>
        <v>95675490</v>
      </c>
      <c r="BK632">
        <f t="shared" si="105"/>
        <v>318918300</v>
      </c>
      <c r="BL632">
        <v>627</v>
      </c>
    </row>
    <row r="633" spans="1:64" ht="17.25" thickBot="1" x14ac:dyDescent="0.25">
      <c r="A633" s="131">
        <v>629</v>
      </c>
      <c r="B633" s="132">
        <v>181872494</v>
      </c>
      <c r="D633" s="131">
        <v>629</v>
      </c>
      <c r="E633" s="132">
        <v>32.033569999999997</v>
      </c>
      <c r="AK633">
        <v>627</v>
      </c>
      <c r="AL633" s="24">
        <f t="shared" si="107"/>
        <v>31.939150000000001</v>
      </c>
      <c r="AM633">
        <f t="shared" si="106"/>
        <v>223.57405</v>
      </c>
      <c r="AN633">
        <f t="shared" si="106"/>
        <v>319.39150000000001</v>
      </c>
      <c r="AO633">
        <f t="shared" si="106"/>
        <v>479.08725000000004</v>
      </c>
      <c r="AP633">
        <f t="shared" si="106"/>
        <v>638.78300000000002</v>
      </c>
      <c r="AQ633">
        <f t="shared" si="106"/>
        <v>1117.8702499999999</v>
      </c>
      <c r="AR633">
        <f t="shared" si="106"/>
        <v>1596.9575</v>
      </c>
      <c r="AS633">
        <f t="shared" si="106"/>
        <v>2555.1320000000001</v>
      </c>
      <c r="AT633">
        <f t="shared" si="106"/>
        <v>3832.6980000000003</v>
      </c>
      <c r="AU633">
        <f t="shared" si="106"/>
        <v>5429.6554999999998</v>
      </c>
      <c r="AV633">
        <f t="shared" si="106"/>
        <v>7665.3960000000006</v>
      </c>
      <c r="AW633">
        <f t="shared" si="106"/>
        <v>10539.9195</v>
      </c>
      <c r="AX633">
        <f t="shared" si="106"/>
        <v>14692.009</v>
      </c>
      <c r="AY633">
        <f t="shared" si="106"/>
        <v>25551.32</v>
      </c>
      <c r="AZ633">
        <f t="shared" si="106"/>
        <v>47908.725000000006</v>
      </c>
      <c r="BA633">
        <f t="shared" si="106"/>
        <v>79847.875</v>
      </c>
      <c r="BB633">
        <f t="shared" si="106"/>
        <v>127756.6</v>
      </c>
      <c r="BC633">
        <f t="shared" si="105"/>
        <v>319391.5</v>
      </c>
      <c r="BD633">
        <f t="shared" si="105"/>
        <v>479087.25</v>
      </c>
      <c r="BE633">
        <f t="shared" si="105"/>
        <v>766539.60000000009</v>
      </c>
      <c r="BF633">
        <f t="shared" si="105"/>
        <v>958174.5</v>
      </c>
      <c r="BG633">
        <f t="shared" si="105"/>
        <v>3193915</v>
      </c>
      <c r="BH633">
        <f t="shared" si="105"/>
        <v>9581745</v>
      </c>
      <c r="BI633">
        <f t="shared" si="105"/>
        <v>27148277.5</v>
      </c>
      <c r="BJ633">
        <f t="shared" si="105"/>
        <v>95817450</v>
      </c>
      <c r="BK633">
        <f t="shared" si="105"/>
        <v>319391500</v>
      </c>
      <c r="BL633">
        <v>628</v>
      </c>
    </row>
    <row r="634" spans="1:64" ht="17.25" thickBot="1" x14ac:dyDescent="0.25">
      <c r="A634" s="131">
        <v>630</v>
      </c>
      <c r="B634" s="132">
        <v>183087188</v>
      </c>
      <c r="D634" s="131">
        <v>630</v>
      </c>
      <c r="E634" s="132">
        <v>32.080669999999998</v>
      </c>
      <c r="AK634">
        <v>628</v>
      </c>
      <c r="AL634" s="24">
        <f t="shared" si="107"/>
        <v>31.9864</v>
      </c>
      <c r="AM634">
        <f t="shared" si="106"/>
        <v>223.90479999999999</v>
      </c>
      <c r="AN634">
        <f t="shared" si="106"/>
        <v>319.86399999999998</v>
      </c>
      <c r="AO634">
        <f t="shared" si="106"/>
        <v>479.79599999999999</v>
      </c>
      <c r="AP634">
        <f t="shared" si="106"/>
        <v>639.72799999999995</v>
      </c>
      <c r="AQ634">
        <f t="shared" si="106"/>
        <v>1119.5239999999999</v>
      </c>
      <c r="AR634">
        <f t="shared" si="106"/>
        <v>1599.32</v>
      </c>
      <c r="AS634">
        <f t="shared" si="106"/>
        <v>2558.9119999999998</v>
      </c>
      <c r="AT634">
        <f t="shared" si="106"/>
        <v>3838.3679999999999</v>
      </c>
      <c r="AU634">
        <f t="shared" si="106"/>
        <v>5437.6880000000001</v>
      </c>
      <c r="AV634">
        <f t="shared" si="106"/>
        <v>7676.7359999999999</v>
      </c>
      <c r="AW634">
        <f t="shared" si="106"/>
        <v>10555.512000000001</v>
      </c>
      <c r="AX634">
        <f t="shared" si="106"/>
        <v>14713.744000000001</v>
      </c>
      <c r="AY634">
        <f t="shared" si="106"/>
        <v>25589.119999999999</v>
      </c>
      <c r="AZ634">
        <f t="shared" si="106"/>
        <v>47979.6</v>
      </c>
      <c r="BA634">
        <f t="shared" si="106"/>
        <v>79966</v>
      </c>
      <c r="BB634">
        <f t="shared" si="106"/>
        <v>127945.60000000001</v>
      </c>
      <c r="BC634">
        <f t="shared" si="105"/>
        <v>319864</v>
      </c>
      <c r="BD634">
        <f t="shared" si="105"/>
        <v>479796</v>
      </c>
      <c r="BE634">
        <f t="shared" si="105"/>
        <v>767673.6</v>
      </c>
      <c r="BF634">
        <f t="shared" si="105"/>
        <v>959592</v>
      </c>
      <c r="BG634">
        <f t="shared" si="105"/>
        <v>3198640</v>
      </c>
      <c r="BH634">
        <f t="shared" si="105"/>
        <v>9595920</v>
      </c>
      <c r="BI634">
        <f t="shared" si="105"/>
        <v>27188440</v>
      </c>
      <c r="BJ634">
        <f t="shared" si="105"/>
        <v>95959200</v>
      </c>
      <c r="BK634">
        <f t="shared" si="105"/>
        <v>319864000</v>
      </c>
      <c r="BL634">
        <v>629</v>
      </c>
    </row>
    <row r="635" spans="1:64" ht="17.25" thickBot="1" x14ac:dyDescent="0.25">
      <c r="A635" s="131">
        <v>631</v>
      </c>
      <c r="B635" s="132">
        <v>184312800</v>
      </c>
      <c r="D635" s="131">
        <v>631</v>
      </c>
      <c r="E635" s="132">
        <v>32.127699999999997</v>
      </c>
      <c r="AK635">
        <v>629</v>
      </c>
      <c r="AL635" s="24">
        <f t="shared" si="107"/>
        <v>32.033569999999997</v>
      </c>
      <c r="AM635">
        <f t="shared" si="106"/>
        <v>224.23498999999998</v>
      </c>
      <c r="AN635">
        <f t="shared" si="106"/>
        <v>320.33569999999997</v>
      </c>
      <c r="AO635">
        <f t="shared" si="106"/>
        <v>480.50354999999996</v>
      </c>
      <c r="AP635">
        <f t="shared" si="106"/>
        <v>640.67139999999995</v>
      </c>
      <c r="AQ635">
        <f t="shared" si="106"/>
        <v>1121.1749499999999</v>
      </c>
      <c r="AR635">
        <f t="shared" si="106"/>
        <v>1601.6785</v>
      </c>
      <c r="AS635">
        <f t="shared" si="106"/>
        <v>2562.6855999999998</v>
      </c>
      <c r="AT635">
        <f t="shared" si="106"/>
        <v>3844.0283999999997</v>
      </c>
      <c r="AU635">
        <f t="shared" si="106"/>
        <v>5445.7068999999992</v>
      </c>
      <c r="AV635">
        <f t="shared" si="106"/>
        <v>7688.0567999999994</v>
      </c>
      <c r="AW635">
        <f t="shared" si="106"/>
        <v>10571.078099999999</v>
      </c>
      <c r="AX635">
        <f t="shared" si="106"/>
        <v>14735.4422</v>
      </c>
      <c r="AY635">
        <f t="shared" si="106"/>
        <v>25626.856</v>
      </c>
      <c r="AZ635">
        <f t="shared" si="106"/>
        <v>48050.354999999996</v>
      </c>
      <c r="BA635">
        <f t="shared" si="106"/>
        <v>80083.924999999988</v>
      </c>
      <c r="BB635">
        <f t="shared" si="106"/>
        <v>128134.27999999998</v>
      </c>
      <c r="BC635">
        <f t="shared" si="105"/>
        <v>320335.69999999995</v>
      </c>
      <c r="BD635">
        <f t="shared" si="105"/>
        <v>480503.55</v>
      </c>
      <c r="BE635">
        <f t="shared" si="105"/>
        <v>768805.67999999993</v>
      </c>
      <c r="BF635">
        <f t="shared" si="105"/>
        <v>961007.1</v>
      </c>
      <c r="BG635">
        <f t="shared" si="105"/>
        <v>3203356.9999999995</v>
      </c>
      <c r="BH635">
        <f t="shared" si="105"/>
        <v>9610071</v>
      </c>
      <c r="BI635">
        <f t="shared" si="105"/>
        <v>27228534.499999996</v>
      </c>
      <c r="BJ635">
        <f t="shared" si="105"/>
        <v>96100709.999999985</v>
      </c>
      <c r="BK635">
        <f t="shared" si="105"/>
        <v>320335700</v>
      </c>
      <c r="BL635">
        <v>630</v>
      </c>
    </row>
    <row r="636" spans="1:64" ht="17.25" thickBot="1" x14ac:dyDescent="0.25">
      <c r="A636" s="131">
        <v>632</v>
      </c>
      <c r="B636" s="132">
        <v>185549400</v>
      </c>
      <c r="D636" s="131">
        <v>632</v>
      </c>
      <c r="E636" s="132">
        <v>32.17465</v>
      </c>
      <c r="AK636">
        <v>630</v>
      </c>
      <c r="AL636" s="24">
        <f t="shared" si="107"/>
        <v>32.080669999999998</v>
      </c>
      <c r="AM636">
        <f t="shared" si="106"/>
        <v>224.56468999999998</v>
      </c>
      <c r="AN636">
        <f t="shared" si="106"/>
        <v>320.80669999999998</v>
      </c>
      <c r="AO636">
        <f t="shared" si="106"/>
        <v>481.21004999999997</v>
      </c>
      <c r="AP636">
        <f t="shared" si="106"/>
        <v>641.61339999999996</v>
      </c>
      <c r="AQ636">
        <f t="shared" si="106"/>
        <v>1122.8234499999999</v>
      </c>
      <c r="AR636">
        <f t="shared" si="106"/>
        <v>1604.0335</v>
      </c>
      <c r="AS636">
        <f t="shared" si="106"/>
        <v>2566.4535999999998</v>
      </c>
      <c r="AT636">
        <f t="shared" si="106"/>
        <v>3849.6803999999997</v>
      </c>
      <c r="AU636">
        <f t="shared" si="106"/>
        <v>5453.7138999999997</v>
      </c>
      <c r="AV636">
        <f t="shared" si="106"/>
        <v>7699.3607999999995</v>
      </c>
      <c r="AW636">
        <f t="shared" si="106"/>
        <v>10586.621099999998</v>
      </c>
      <c r="AX636">
        <f t="shared" si="106"/>
        <v>14757.108199999999</v>
      </c>
      <c r="AY636">
        <f t="shared" si="106"/>
        <v>25664.536</v>
      </c>
      <c r="AZ636">
        <f t="shared" si="106"/>
        <v>48121.004999999997</v>
      </c>
      <c r="BA636">
        <f t="shared" si="106"/>
        <v>80201.674999999988</v>
      </c>
      <c r="BB636">
        <f t="shared" si="106"/>
        <v>128322.68</v>
      </c>
      <c r="BC636">
        <f t="shared" si="105"/>
        <v>320806.69999999995</v>
      </c>
      <c r="BD636">
        <f t="shared" si="105"/>
        <v>481210.05</v>
      </c>
      <c r="BE636">
        <f t="shared" si="105"/>
        <v>769936.08</v>
      </c>
      <c r="BF636">
        <f t="shared" si="105"/>
        <v>962420.1</v>
      </c>
      <c r="BG636">
        <f t="shared" si="105"/>
        <v>3208067</v>
      </c>
      <c r="BH636">
        <f t="shared" si="105"/>
        <v>9624201</v>
      </c>
      <c r="BI636">
        <f t="shared" ref="BC636:BK664" si="108">BI$5*VLOOKUP($AK636,$D$2:$E$1404,2,FALSE)</f>
        <v>27268569.499999996</v>
      </c>
      <c r="BJ636">
        <f t="shared" si="108"/>
        <v>96242010</v>
      </c>
      <c r="BK636">
        <f t="shared" si="108"/>
        <v>320806700</v>
      </c>
      <c r="BL636">
        <v>631</v>
      </c>
    </row>
    <row r="637" spans="1:64" ht="17.25" thickBot="1" x14ac:dyDescent="0.25">
      <c r="A637" s="131">
        <v>633</v>
      </c>
      <c r="B637" s="132">
        <v>186797061</v>
      </c>
      <c r="D637" s="131">
        <v>633</v>
      </c>
      <c r="E637" s="132">
        <v>32.221530000000001</v>
      </c>
      <c r="AK637">
        <v>631</v>
      </c>
      <c r="AL637" s="24">
        <f t="shared" si="107"/>
        <v>32.127699999999997</v>
      </c>
      <c r="AM637">
        <f t="shared" si="106"/>
        <v>224.89389999999997</v>
      </c>
      <c r="AN637">
        <f t="shared" si="106"/>
        <v>321.27699999999999</v>
      </c>
      <c r="AO637">
        <f t="shared" si="106"/>
        <v>481.91549999999995</v>
      </c>
      <c r="AP637">
        <f t="shared" si="106"/>
        <v>642.55399999999997</v>
      </c>
      <c r="AQ637">
        <f t="shared" si="106"/>
        <v>1124.4694999999999</v>
      </c>
      <c r="AR637">
        <f t="shared" si="106"/>
        <v>1606.3849999999998</v>
      </c>
      <c r="AS637">
        <f t="shared" si="106"/>
        <v>2570.2159999999999</v>
      </c>
      <c r="AT637">
        <f t="shared" si="106"/>
        <v>3855.3239999999996</v>
      </c>
      <c r="AU637">
        <f t="shared" si="106"/>
        <v>5461.7089999999998</v>
      </c>
      <c r="AV637">
        <f t="shared" si="106"/>
        <v>7710.6479999999992</v>
      </c>
      <c r="AW637">
        <f t="shared" si="106"/>
        <v>10602.141</v>
      </c>
      <c r="AX637">
        <f t="shared" si="106"/>
        <v>14778.741999999998</v>
      </c>
      <c r="AY637">
        <f t="shared" si="106"/>
        <v>25702.159999999996</v>
      </c>
      <c r="AZ637">
        <f t="shared" si="106"/>
        <v>48191.549999999996</v>
      </c>
      <c r="BA637">
        <f t="shared" si="106"/>
        <v>80319.25</v>
      </c>
      <c r="BB637">
        <f t="shared" si="106"/>
        <v>128510.79999999999</v>
      </c>
      <c r="BC637">
        <f t="shared" si="108"/>
        <v>321277</v>
      </c>
      <c r="BD637">
        <f t="shared" si="108"/>
        <v>481915.49999999994</v>
      </c>
      <c r="BE637">
        <f t="shared" si="108"/>
        <v>771064.79999999993</v>
      </c>
      <c r="BF637">
        <f t="shared" si="108"/>
        <v>963830.99999999988</v>
      </c>
      <c r="BG637">
        <f t="shared" si="108"/>
        <v>3212769.9999999995</v>
      </c>
      <c r="BH637">
        <f t="shared" si="108"/>
        <v>9638310</v>
      </c>
      <c r="BI637">
        <f t="shared" si="108"/>
        <v>27308544.999999996</v>
      </c>
      <c r="BJ637">
        <f t="shared" si="108"/>
        <v>96383099.999999985</v>
      </c>
      <c r="BK637">
        <f t="shared" si="108"/>
        <v>321277000</v>
      </c>
      <c r="BL637">
        <v>632</v>
      </c>
    </row>
    <row r="638" spans="1:64" ht="17.25" thickBot="1" x14ac:dyDescent="0.25">
      <c r="A638" s="131">
        <v>634</v>
      </c>
      <c r="B638" s="132">
        <v>188055844</v>
      </c>
      <c r="D638" s="131">
        <v>634</v>
      </c>
      <c r="E638" s="132">
        <v>32.268340000000002</v>
      </c>
      <c r="AK638">
        <v>632</v>
      </c>
      <c r="AL638" s="24">
        <f t="shared" si="107"/>
        <v>32.17465</v>
      </c>
      <c r="AM638">
        <f t="shared" si="106"/>
        <v>225.22255000000001</v>
      </c>
      <c r="AN638">
        <f t="shared" si="106"/>
        <v>321.74649999999997</v>
      </c>
      <c r="AO638">
        <f t="shared" si="106"/>
        <v>482.61975000000001</v>
      </c>
      <c r="AP638">
        <f t="shared" si="106"/>
        <v>643.49299999999994</v>
      </c>
      <c r="AQ638">
        <f t="shared" si="106"/>
        <v>1126.11275</v>
      </c>
      <c r="AR638">
        <f t="shared" si="106"/>
        <v>1608.7325000000001</v>
      </c>
      <c r="AS638">
        <f t="shared" si="106"/>
        <v>2573.9719999999998</v>
      </c>
      <c r="AT638">
        <f t="shared" si="106"/>
        <v>3860.9580000000001</v>
      </c>
      <c r="AU638">
        <f t="shared" si="106"/>
        <v>5469.6904999999997</v>
      </c>
      <c r="AV638">
        <f t="shared" si="106"/>
        <v>7721.9160000000002</v>
      </c>
      <c r="AW638">
        <f t="shared" si="106"/>
        <v>10617.6345</v>
      </c>
      <c r="AX638">
        <f t="shared" si="106"/>
        <v>14800.339</v>
      </c>
      <c r="AY638">
        <f t="shared" ref="AM638:BB654" si="109">AY$5*VLOOKUP($AK638,$D$2:$E$1404,2,FALSE)</f>
        <v>25739.72</v>
      </c>
      <c r="AZ638">
        <f t="shared" si="109"/>
        <v>48261.974999999999</v>
      </c>
      <c r="BA638">
        <f t="shared" si="109"/>
        <v>80436.625</v>
      </c>
      <c r="BB638">
        <f t="shared" si="109"/>
        <v>128698.6</v>
      </c>
      <c r="BC638">
        <f t="shared" si="108"/>
        <v>321746.5</v>
      </c>
      <c r="BD638">
        <f t="shared" si="108"/>
        <v>482619.75</v>
      </c>
      <c r="BE638">
        <f t="shared" si="108"/>
        <v>772191.6</v>
      </c>
      <c r="BF638">
        <f t="shared" si="108"/>
        <v>965239.5</v>
      </c>
      <c r="BG638">
        <f t="shared" si="108"/>
        <v>3217465</v>
      </c>
      <c r="BH638">
        <f t="shared" si="108"/>
        <v>9652395</v>
      </c>
      <c r="BI638">
        <f t="shared" si="108"/>
        <v>27348452.5</v>
      </c>
      <c r="BJ638">
        <f t="shared" si="108"/>
        <v>96523950</v>
      </c>
      <c r="BK638">
        <f t="shared" si="108"/>
        <v>321746500</v>
      </c>
      <c r="BL638">
        <v>633</v>
      </c>
    </row>
    <row r="639" spans="1:64" ht="17.25" thickBot="1" x14ac:dyDescent="0.25">
      <c r="A639" s="131">
        <v>635</v>
      </c>
      <c r="B639" s="132">
        <v>189325816</v>
      </c>
      <c r="D639" s="131">
        <v>635</v>
      </c>
      <c r="E639" s="132">
        <v>32.315069999999999</v>
      </c>
      <c r="AK639">
        <v>633</v>
      </c>
      <c r="AL639" s="24">
        <f t="shared" si="107"/>
        <v>32.221530000000001</v>
      </c>
      <c r="AM639">
        <f t="shared" si="109"/>
        <v>225.55071000000001</v>
      </c>
      <c r="AN639">
        <f t="shared" si="109"/>
        <v>322.21530000000001</v>
      </c>
      <c r="AO639">
        <f t="shared" si="109"/>
        <v>483.32294999999999</v>
      </c>
      <c r="AP639">
        <f t="shared" si="109"/>
        <v>644.43060000000003</v>
      </c>
      <c r="AQ639">
        <f t="shared" si="109"/>
        <v>1127.7535500000001</v>
      </c>
      <c r="AR639">
        <f t="shared" si="109"/>
        <v>1611.0765000000001</v>
      </c>
      <c r="AS639">
        <f t="shared" si="109"/>
        <v>2577.7224000000001</v>
      </c>
      <c r="AT639">
        <f t="shared" si="109"/>
        <v>3866.5835999999999</v>
      </c>
      <c r="AU639">
        <f t="shared" si="109"/>
        <v>5477.6601000000001</v>
      </c>
      <c r="AV639">
        <f t="shared" si="109"/>
        <v>7733.1671999999999</v>
      </c>
      <c r="AW639">
        <f t="shared" si="109"/>
        <v>10633.1049</v>
      </c>
      <c r="AX639">
        <f t="shared" si="109"/>
        <v>14821.9038</v>
      </c>
      <c r="AY639">
        <f t="shared" si="109"/>
        <v>25777.224000000002</v>
      </c>
      <c r="AZ639">
        <f t="shared" si="109"/>
        <v>48332.295000000006</v>
      </c>
      <c r="BA639">
        <f t="shared" si="109"/>
        <v>80553.824999999997</v>
      </c>
      <c r="BB639">
        <f t="shared" si="109"/>
        <v>128886.12000000001</v>
      </c>
      <c r="BC639">
        <f t="shared" si="108"/>
        <v>322215.3</v>
      </c>
      <c r="BD639">
        <f t="shared" si="108"/>
        <v>483322.95</v>
      </c>
      <c r="BE639">
        <f t="shared" si="108"/>
        <v>773316.72000000009</v>
      </c>
      <c r="BF639">
        <f t="shared" si="108"/>
        <v>966645.9</v>
      </c>
      <c r="BG639">
        <f t="shared" si="108"/>
        <v>3222153</v>
      </c>
      <c r="BH639">
        <f t="shared" si="108"/>
        <v>9666459</v>
      </c>
      <c r="BI639">
        <f t="shared" si="108"/>
        <v>27388300.5</v>
      </c>
      <c r="BJ639">
        <f t="shared" si="108"/>
        <v>96664590</v>
      </c>
      <c r="BK639">
        <f t="shared" si="108"/>
        <v>322215300</v>
      </c>
      <c r="BL639">
        <v>634</v>
      </c>
    </row>
    <row r="640" spans="1:64" ht="17.25" thickBot="1" x14ac:dyDescent="0.25">
      <c r="A640" s="131">
        <v>636</v>
      </c>
      <c r="B640" s="132">
        <v>190607050</v>
      </c>
      <c r="D640" s="131">
        <v>636</v>
      </c>
      <c r="E640" s="132">
        <v>32.361730000000001</v>
      </c>
      <c r="AK640">
        <v>634</v>
      </c>
      <c r="AL640" s="24">
        <f t="shared" si="107"/>
        <v>32.268340000000002</v>
      </c>
      <c r="AM640">
        <f t="shared" si="109"/>
        <v>225.87838000000002</v>
      </c>
      <c r="AN640">
        <f t="shared" si="109"/>
        <v>322.68340000000001</v>
      </c>
      <c r="AO640">
        <f t="shared" si="109"/>
        <v>484.02510000000001</v>
      </c>
      <c r="AP640">
        <f t="shared" si="109"/>
        <v>645.36680000000001</v>
      </c>
      <c r="AQ640">
        <f t="shared" si="109"/>
        <v>1129.3919000000001</v>
      </c>
      <c r="AR640">
        <f t="shared" si="109"/>
        <v>1613.4170000000001</v>
      </c>
      <c r="AS640">
        <f t="shared" si="109"/>
        <v>2581.4672</v>
      </c>
      <c r="AT640">
        <f t="shared" si="109"/>
        <v>3872.2008000000001</v>
      </c>
      <c r="AU640">
        <f t="shared" si="109"/>
        <v>5485.6178</v>
      </c>
      <c r="AV640">
        <f t="shared" si="109"/>
        <v>7744.4016000000001</v>
      </c>
      <c r="AW640">
        <f t="shared" si="109"/>
        <v>10648.5522</v>
      </c>
      <c r="AX640">
        <f t="shared" si="109"/>
        <v>14843.436400000001</v>
      </c>
      <c r="AY640">
        <f t="shared" si="109"/>
        <v>25814.672000000002</v>
      </c>
      <c r="AZ640">
        <f t="shared" si="109"/>
        <v>48402.51</v>
      </c>
      <c r="BA640">
        <f t="shared" si="109"/>
        <v>80670.850000000006</v>
      </c>
      <c r="BB640">
        <f t="shared" si="109"/>
        <v>129073.36000000002</v>
      </c>
      <c r="BC640">
        <f t="shared" si="108"/>
        <v>322683.40000000002</v>
      </c>
      <c r="BD640">
        <f t="shared" si="108"/>
        <v>484025.10000000003</v>
      </c>
      <c r="BE640">
        <f t="shared" si="108"/>
        <v>774440.16</v>
      </c>
      <c r="BF640">
        <f t="shared" si="108"/>
        <v>968050.20000000007</v>
      </c>
      <c r="BG640">
        <f t="shared" si="108"/>
        <v>3226834</v>
      </c>
      <c r="BH640">
        <f t="shared" si="108"/>
        <v>9680502</v>
      </c>
      <c r="BI640">
        <f t="shared" si="108"/>
        <v>27428089</v>
      </c>
      <c r="BJ640">
        <f t="shared" si="108"/>
        <v>96805020</v>
      </c>
      <c r="BK640">
        <f t="shared" si="108"/>
        <v>322683400</v>
      </c>
      <c r="BL640">
        <v>635</v>
      </c>
    </row>
    <row r="641" spans="1:64" ht="17.25" thickBot="1" x14ac:dyDescent="0.25">
      <c r="A641" s="131">
        <v>637</v>
      </c>
      <c r="B641" s="132">
        <v>191899611</v>
      </c>
      <c r="D641" s="131">
        <v>637</v>
      </c>
      <c r="E641" s="132">
        <v>32.408320000000003</v>
      </c>
      <c r="AK641">
        <v>635</v>
      </c>
      <c r="AL641" s="24">
        <f t="shared" si="107"/>
        <v>32.315069999999999</v>
      </c>
      <c r="AM641">
        <f t="shared" si="109"/>
        <v>226.20549</v>
      </c>
      <c r="AN641">
        <f t="shared" si="109"/>
        <v>323.15069999999997</v>
      </c>
      <c r="AO641">
        <f t="shared" si="109"/>
        <v>484.72604999999999</v>
      </c>
      <c r="AP641">
        <f t="shared" si="109"/>
        <v>646.30139999999994</v>
      </c>
      <c r="AQ641">
        <f t="shared" si="109"/>
        <v>1131.02745</v>
      </c>
      <c r="AR641">
        <f t="shared" si="109"/>
        <v>1615.7535</v>
      </c>
      <c r="AS641">
        <f t="shared" si="109"/>
        <v>2585.2055999999998</v>
      </c>
      <c r="AT641">
        <f t="shared" si="109"/>
        <v>3877.8083999999999</v>
      </c>
      <c r="AU641">
        <f t="shared" si="109"/>
        <v>5493.5618999999997</v>
      </c>
      <c r="AV641">
        <f t="shared" si="109"/>
        <v>7755.6167999999998</v>
      </c>
      <c r="AW641">
        <f t="shared" si="109"/>
        <v>10663.973099999999</v>
      </c>
      <c r="AX641">
        <f t="shared" si="109"/>
        <v>14864.932199999999</v>
      </c>
      <c r="AY641">
        <f t="shared" si="109"/>
        <v>25852.056</v>
      </c>
      <c r="AZ641">
        <f t="shared" si="109"/>
        <v>48472.604999999996</v>
      </c>
      <c r="BA641">
        <f t="shared" si="109"/>
        <v>80787.675000000003</v>
      </c>
      <c r="BB641">
        <f t="shared" si="109"/>
        <v>129260.28</v>
      </c>
      <c r="BC641">
        <f t="shared" si="108"/>
        <v>323150.7</v>
      </c>
      <c r="BD641">
        <f t="shared" si="108"/>
        <v>484726.05</v>
      </c>
      <c r="BE641">
        <f t="shared" si="108"/>
        <v>775561.67999999993</v>
      </c>
      <c r="BF641">
        <f t="shared" si="108"/>
        <v>969452.1</v>
      </c>
      <c r="BG641">
        <f t="shared" si="108"/>
        <v>3231507</v>
      </c>
      <c r="BH641">
        <f t="shared" si="108"/>
        <v>9694521</v>
      </c>
      <c r="BI641">
        <f t="shared" si="108"/>
        <v>27467809.5</v>
      </c>
      <c r="BJ641">
        <f t="shared" si="108"/>
        <v>96945210</v>
      </c>
      <c r="BK641">
        <f t="shared" si="108"/>
        <v>323150700</v>
      </c>
      <c r="BL641">
        <v>636</v>
      </c>
    </row>
    <row r="642" spans="1:64" ht="17.25" thickBot="1" x14ac:dyDescent="0.25">
      <c r="A642" s="131">
        <v>638</v>
      </c>
      <c r="B642" s="132">
        <v>193203572</v>
      </c>
      <c r="D642" s="131">
        <v>638</v>
      </c>
      <c r="E642" s="132">
        <v>32.454839999999997</v>
      </c>
      <c r="AK642">
        <v>636</v>
      </c>
      <c r="AL642" s="24">
        <f t="shared" si="107"/>
        <v>32.361730000000001</v>
      </c>
      <c r="AM642">
        <f t="shared" si="109"/>
        <v>226.53211000000002</v>
      </c>
      <c r="AN642">
        <f t="shared" si="109"/>
        <v>323.6173</v>
      </c>
      <c r="AO642">
        <f t="shared" si="109"/>
        <v>485.42595</v>
      </c>
      <c r="AP642">
        <f t="shared" si="109"/>
        <v>647.2346</v>
      </c>
      <c r="AQ642">
        <f t="shared" si="109"/>
        <v>1132.6605500000001</v>
      </c>
      <c r="AR642">
        <f t="shared" si="109"/>
        <v>1618.0865000000001</v>
      </c>
      <c r="AS642">
        <f t="shared" si="109"/>
        <v>2588.9384</v>
      </c>
      <c r="AT642">
        <f t="shared" si="109"/>
        <v>3883.4076</v>
      </c>
      <c r="AU642">
        <f t="shared" si="109"/>
        <v>5501.4940999999999</v>
      </c>
      <c r="AV642">
        <f t="shared" si="109"/>
        <v>7766.8152</v>
      </c>
      <c r="AW642">
        <f t="shared" si="109"/>
        <v>10679.3709</v>
      </c>
      <c r="AX642">
        <f t="shared" si="109"/>
        <v>14886.3958</v>
      </c>
      <c r="AY642">
        <f t="shared" si="109"/>
        <v>25889.384000000002</v>
      </c>
      <c r="AZ642">
        <f t="shared" si="109"/>
        <v>48542.595000000001</v>
      </c>
      <c r="BA642">
        <f t="shared" si="109"/>
        <v>80904.324999999997</v>
      </c>
      <c r="BB642">
        <f t="shared" si="109"/>
        <v>129446.92000000001</v>
      </c>
      <c r="BC642">
        <f t="shared" si="108"/>
        <v>323617.3</v>
      </c>
      <c r="BD642">
        <f t="shared" si="108"/>
        <v>485425.95</v>
      </c>
      <c r="BE642">
        <f t="shared" si="108"/>
        <v>776681.52</v>
      </c>
      <c r="BF642">
        <f t="shared" si="108"/>
        <v>970851.9</v>
      </c>
      <c r="BG642">
        <f t="shared" si="108"/>
        <v>3236173</v>
      </c>
      <c r="BH642">
        <f t="shared" si="108"/>
        <v>9708519</v>
      </c>
      <c r="BI642">
        <f t="shared" si="108"/>
        <v>27507470.5</v>
      </c>
      <c r="BJ642">
        <f t="shared" si="108"/>
        <v>97085190</v>
      </c>
      <c r="BK642">
        <f t="shared" si="108"/>
        <v>323617300</v>
      </c>
      <c r="BL642">
        <v>637</v>
      </c>
    </row>
    <row r="643" spans="1:64" ht="17.25" thickBot="1" x14ac:dyDescent="0.25">
      <c r="A643" s="131">
        <v>639</v>
      </c>
      <c r="B643" s="132">
        <v>194519000</v>
      </c>
      <c r="D643" s="131">
        <v>639</v>
      </c>
      <c r="E643" s="132">
        <v>32.501280000000001</v>
      </c>
      <c r="AK643">
        <v>637</v>
      </c>
      <c r="AL643" s="24">
        <f t="shared" si="107"/>
        <v>32.408320000000003</v>
      </c>
      <c r="AM643">
        <f t="shared" si="109"/>
        <v>226.85824000000002</v>
      </c>
      <c r="AN643">
        <f t="shared" si="109"/>
        <v>324.08320000000003</v>
      </c>
      <c r="AO643">
        <f t="shared" si="109"/>
        <v>486.12480000000005</v>
      </c>
      <c r="AP643">
        <f t="shared" si="109"/>
        <v>648.16640000000007</v>
      </c>
      <c r="AQ643">
        <f t="shared" si="109"/>
        <v>1134.2912000000001</v>
      </c>
      <c r="AR643">
        <f t="shared" si="109"/>
        <v>1620.4160000000002</v>
      </c>
      <c r="AS643">
        <f t="shared" si="109"/>
        <v>2592.6656000000003</v>
      </c>
      <c r="AT643">
        <f t="shared" si="109"/>
        <v>3888.9984000000004</v>
      </c>
      <c r="AU643">
        <f t="shared" si="109"/>
        <v>5509.4144000000006</v>
      </c>
      <c r="AV643">
        <f t="shared" si="109"/>
        <v>7777.9968000000008</v>
      </c>
      <c r="AW643">
        <f t="shared" si="109"/>
        <v>10694.745600000002</v>
      </c>
      <c r="AX643">
        <f t="shared" si="109"/>
        <v>14907.827200000002</v>
      </c>
      <c r="AY643">
        <f t="shared" si="109"/>
        <v>25926.656000000003</v>
      </c>
      <c r="AZ643">
        <f t="shared" si="109"/>
        <v>48612.480000000003</v>
      </c>
      <c r="BA643">
        <f t="shared" si="109"/>
        <v>81020.800000000003</v>
      </c>
      <c r="BB643">
        <f t="shared" si="109"/>
        <v>129633.28000000001</v>
      </c>
      <c r="BC643">
        <f t="shared" si="108"/>
        <v>324083.20000000001</v>
      </c>
      <c r="BD643">
        <f t="shared" si="108"/>
        <v>486124.80000000005</v>
      </c>
      <c r="BE643">
        <f t="shared" si="108"/>
        <v>777799.68000000005</v>
      </c>
      <c r="BF643">
        <f t="shared" si="108"/>
        <v>972249.60000000009</v>
      </c>
      <c r="BG643">
        <f t="shared" si="108"/>
        <v>3240832.0000000005</v>
      </c>
      <c r="BH643">
        <f t="shared" si="108"/>
        <v>9722496.0000000019</v>
      </c>
      <c r="BI643">
        <f t="shared" si="108"/>
        <v>27547072.000000004</v>
      </c>
      <c r="BJ643">
        <f t="shared" si="108"/>
        <v>97224960.000000015</v>
      </c>
      <c r="BK643">
        <f t="shared" si="108"/>
        <v>324083200.00000006</v>
      </c>
      <c r="BL643">
        <v>638</v>
      </c>
    </row>
    <row r="644" spans="1:64" ht="17.25" thickBot="1" x14ac:dyDescent="0.25">
      <c r="A644" s="131">
        <v>640</v>
      </c>
      <c r="B644" s="132">
        <v>195845966</v>
      </c>
      <c r="D644" s="131">
        <v>640</v>
      </c>
      <c r="E644" s="132">
        <v>32.547649999999997</v>
      </c>
      <c r="AK644">
        <v>638</v>
      </c>
      <c r="AL644" s="24">
        <f t="shared" si="107"/>
        <v>32.454839999999997</v>
      </c>
      <c r="AM644">
        <f t="shared" si="109"/>
        <v>227.18387999999999</v>
      </c>
      <c r="AN644">
        <f t="shared" si="109"/>
        <v>324.54839999999996</v>
      </c>
      <c r="AO644">
        <f t="shared" si="109"/>
        <v>486.82259999999997</v>
      </c>
      <c r="AP644">
        <f t="shared" si="109"/>
        <v>649.09679999999992</v>
      </c>
      <c r="AQ644">
        <f t="shared" si="109"/>
        <v>1135.9194</v>
      </c>
      <c r="AR644">
        <f t="shared" si="109"/>
        <v>1622.742</v>
      </c>
      <c r="AS644">
        <f t="shared" si="109"/>
        <v>2596.3871999999997</v>
      </c>
      <c r="AT644">
        <f t="shared" si="109"/>
        <v>3894.5807999999997</v>
      </c>
      <c r="AU644">
        <f t="shared" si="109"/>
        <v>5517.3227999999999</v>
      </c>
      <c r="AV644">
        <f t="shared" si="109"/>
        <v>7789.1615999999995</v>
      </c>
      <c r="AW644">
        <f t="shared" si="109"/>
        <v>10710.097199999998</v>
      </c>
      <c r="AX644">
        <f t="shared" si="109"/>
        <v>14929.2264</v>
      </c>
      <c r="AY644">
        <f t="shared" si="109"/>
        <v>25963.871999999999</v>
      </c>
      <c r="AZ644">
        <f t="shared" si="109"/>
        <v>48682.259999999995</v>
      </c>
      <c r="BA644">
        <f t="shared" si="109"/>
        <v>81137.099999999991</v>
      </c>
      <c r="BB644">
        <f t="shared" si="109"/>
        <v>129819.35999999999</v>
      </c>
      <c r="BC644">
        <f t="shared" si="108"/>
        <v>324548.39999999997</v>
      </c>
      <c r="BD644">
        <f t="shared" si="108"/>
        <v>486822.6</v>
      </c>
      <c r="BE644">
        <f t="shared" si="108"/>
        <v>778916.15999999992</v>
      </c>
      <c r="BF644">
        <f t="shared" si="108"/>
        <v>973645.2</v>
      </c>
      <c r="BG644">
        <f t="shared" si="108"/>
        <v>3245483.9999999995</v>
      </c>
      <c r="BH644">
        <f t="shared" si="108"/>
        <v>9736452</v>
      </c>
      <c r="BI644">
        <f t="shared" si="108"/>
        <v>27586613.999999996</v>
      </c>
      <c r="BJ644">
        <f t="shared" si="108"/>
        <v>97364519.999999985</v>
      </c>
      <c r="BK644">
        <f t="shared" si="108"/>
        <v>324548400</v>
      </c>
      <c r="BL644">
        <v>639</v>
      </c>
    </row>
    <row r="645" spans="1:64" ht="17.25" thickBot="1" x14ac:dyDescent="0.25">
      <c r="A645" s="131">
        <v>641</v>
      </c>
      <c r="B645" s="132">
        <v>197184538</v>
      </c>
      <c r="D645" s="131">
        <v>641</v>
      </c>
      <c r="E645" s="132">
        <v>32.59395</v>
      </c>
      <c r="AK645">
        <v>639</v>
      </c>
      <c r="AL645" s="24">
        <f t="shared" si="107"/>
        <v>32.501280000000001</v>
      </c>
      <c r="AM645">
        <f t="shared" si="109"/>
        <v>227.50896</v>
      </c>
      <c r="AN645">
        <f t="shared" si="109"/>
        <v>325.01280000000003</v>
      </c>
      <c r="AO645">
        <f t="shared" si="109"/>
        <v>487.51920000000001</v>
      </c>
      <c r="AP645">
        <f t="shared" si="109"/>
        <v>650.02560000000005</v>
      </c>
      <c r="AQ645">
        <f t="shared" si="109"/>
        <v>1137.5448000000001</v>
      </c>
      <c r="AR645">
        <f t="shared" si="109"/>
        <v>1625.0640000000001</v>
      </c>
      <c r="AS645">
        <f t="shared" si="109"/>
        <v>2600.1024000000002</v>
      </c>
      <c r="AT645">
        <f t="shared" si="109"/>
        <v>3900.1536000000001</v>
      </c>
      <c r="AU645">
        <f t="shared" si="109"/>
        <v>5525.2175999999999</v>
      </c>
      <c r="AV645">
        <f t="shared" si="109"/>
        <v>7800.3072000000002</v>
      </c>
      <c r="AW645">
        <f t="shared" si="109"/>
        <v>10725.422400000001</v>
      </c>
      <c r="AX645">
        <f t="shared" si="109"/>
        <v>14950.588800000001</v>
      </c>
      <c r="AY645">
        <f t="shared" si="109"/>
        <v>26001.024000000001</v>
      </c>
      <c r="AZ645">
        <f t="shared" si="109"/>
        <v>48751.920000000006</v>
      </c>
      <c r="BA645">
        <f t="shared" si="109"/>
        <v>81253.2</v>
      </c>
      <c r="BB645">
        <f t="shared" si="109"/>
        <v>130005.12000000001</v>
      </c>
      <c r="BC645">
        <f t="shared" si="108"/>
        <v>325012.8</v>
      </c>
      <c r="BD645">
        <f t="shared" si="108"/>
        <v>487519.2</v>
      </c>
      <c r="BE645">
        <f t="shared" si="108"/>
        <v>780030.72000000009</v>
      </c>
      <c r="BF645">
        <f t="shared" si="108"/>
        <v>975038.4</v>
      </c>
      <c r="BG645">
        <f t="shared" si="108"/>
        <v>3250128</v>
      </c>
      <c r="BH645">
        <f t="shared" si="108"/>
        <v>9750384</v>
      </c>
      <c r="BI645">
        <f t="shared" si="108"/>
        <v>27626088</v>
      </c>
      <c r="BJ645">
        <f t="shared" si="108"/>
        <v>97503840</v>
      </c>
      <c r="BK645">
        <f t="shared" si="108"/>
        <v>325012800</v>
      </c>
      <c r="BL645">
        <v>640</v>
      </c>
    </row>
    <row r="646" spans="1:64" ht="17.25" thickBot="1" x14ac:dyDescent="0.25">
      <c r="A646" s="131">
        <v>642</v>
      </c>
      <c r="B646" s="132">
        <v>198534783</v>
      </c>
      <c r="D646" s="131">
        <v>642</v>
      </c>
      <c r="E646" s="132">
        <v>32.640180000000001</v>
      </c>
      <c r="AK646">
        <v>640</v>
      </c>
      <c r="AL646" s="24">
        <f t="shared" si="107"/>
        <v>32.547649999999997</v>
      </c>
      <c r="AM646">
        <f t="shared" si="109"/>
        <v>227.83354999999997</v>
      </c>
      <c r="AN646">
        <f t="shared" si="109"/>
        <v>325.47649999999999</v>
      </c>
      <c r="AO646">
        <f t="shared" si="109"/>
        <v>488.21474999999998</v>
      </c>
      <c r="AP646">
        <f t="shared" si="109"/>
        <v>650.95299999999997</v>
      </c>
      <c r="AQ646">
        <f t="shared" si="109"/>
        <v>1139.1677499999998</v>
      </c>
      <c r="AR646">
        <f t="shared" si="109"/>
        <v>1627.3824999999999</v>
      </c>
      <c r="AS646">
        <f t="shared" si="109"/>
        <v>2603.8119999999999</v>
      </c>
      <c r="AT646">
        <f t="shared" si="109"/>
        <v>3905.7179999999998</v>
      </c>
      <c r="AU646">
        <f t="shared" si="109"/>
        <v>5533.1004999999996</v>
      </c>
      <c r="AV646">
        <f t="shared" si="109"/>
        <v>7811.4359999999997</v>
      </c>
      <c r="AW646">
        <f t="shared" si="109"/>
        <v>10740.724499999998</v>
      </c>
      <c r="AX646">
        <f t="shared" si="109"/>
        <v>14971.918999999998</v>
      </c>
      <c r="AY646">
        <f t="shared" si="109"/>
        <v>26038.12</v>
      </c>
      <c r="AZ646">
        <f t="shared" si="109"/>
        <v>48821.474999999999</v>
      </c>
      <c r="BA646">
        <f t="shared" si="109"/>
        <v>81369.125</v>
      </c>
      <c r="BB646">
        <f t="shared" si="109"/>
        <v>130190.59999999999</v>
      </c>
      <c r="BC646">
        <f t="shared" si="108"/>
        <v>325476.5</v>
      </c>
      <c r="BD646">
        <f t="shared" si="108"/>
        <v>488214.74999999994</v>
      </c>
      <c r="BE646">
        <f t="shared" si="108"/>
        <v>781143.6</v>
      </c>
      <c r="BF646">
        <f t="shared" si="108"/>
        <v>976429.49999999988</v>
      </c>
      <c r="BG646">
        <f t="shared" si="108"/>
        <v>3254764.9999999995</v>
      </c>
      <c r="BH646">
        <f t="shared" si="108"/>
        <v>9764295</v>
      </c>
      <c r="BI646">
        <f t="shared" si="108"/>
        <v>27665502.499999996</v>
      </c>
      <c r="BJ646">
        <f t="shared" si="108"/>
        <v>97642949.999999985</v>
      </c>
      <c r="BK646">
        <f t="shared" si="108"/>
        <v>325476500</v>
      </c>
      <c r="BL646">
        <v>641</v>
      </c>
    </row>
    <row r="647" spans="1:64" ht="17.25" thickBot="1" x14ac:dyDescent="0.25">
      <c r="A647" s="131">
        <v>643</v>
      </c>
      <c r="B647" s="132">
        <v>199896772</v>
      </c>
      <c r="D647" s="131">
        <v>643</v>
      </c>
      <c r="E647" s="132">
        <v>32.686340000000001</v>
      </c>
      <c r="AK647">
        <v>641</v>
      </c>
      <c r="AL647" s="24">
        <f t="shared" si="107"/>
        <v>32.59395</v>
      </c>
      <c r="AM647">
        <f t="shared" si="109"/>
        <v>228.15764999999999</v>
      </c>
      <c r="AN647">
        <f t="shared" si="109"/>
        <v>325.93950000000001</v>
      </c>
      <c r="AO647">
        <f t="shared" si="109"/>
        <v>488.90924999999999</v>
      </c>
      <c r="AP647">
        <f t="shared" si="109"/>
        <v>651.87900000000002</v>
      </c>
      <c r="AQ647">
        <f t="shared" si="109"/>
        <v>1140.7882500000001</v>
      </c>
      <c r="AR647">
        <f t="shared" si="109"/>
        <v>1629.6975</v>
      </c>
      <c r="AS647">
        <f t="shared" si="109"/>
        <v>2607.5160000000001</v>
      </c>
      <c r="AT647">
        <f t="shared" si="109"/>
        <v>3911.2739999999999</v>
      </c>
      <c r="AU647">
        <f t="shared" si="109"/>
        <v>5540.9714999999997</v>
      </c>
      <c r="AV647">
        <f t="shared" si="109"/>
        <v>7822.5479999999998</v>
      </c>
      <c r="AW647">
        <f t="shared" si="109"/>
        <v>10756.003500000001</v>
      </c>
      <c r="AX647">
        <f t="shared" si="109"/>
        <v>14993.217000000001</v>
      </c>
      <c r="AY647">
        <f t="shared" si="109"/>
        <v>26075.16</v>
      </c>
      <c r="AZ647">
        <f t="shared" si="109"/>
        <v>48890.925000000003</v>
      </c>
      <c r="BA647">
        <f t="shared" si="109"/>
        <v>81484.875</v>
      </c>
      <c r="BB647">
        <f t="shared" si="109"/>
        <v>130375.8</v>
      </c>
      <c r="BC647">
        <f t="shared" si="108"/>
        <v>325939.5</v>
      </c>
      <c r="BD647">
        <f t="shared" si="108"/>
        <v>488909.25</v>
      </c>
      <c r="BE647">
        <f t="shared" si="108"/>
        <v>782254.8</v>
      </c>
      <c r="BF647">
        <f t="shared" si="108"/>
        <v>977818.5</v>
      </c>
      <c r="BG647">
        <f t="shared" si="108"/>
        <v>3259395</v>
      </c>
      <c r="BH647">
        <f t="shared" si="108"/>
        <v>9778185</v>
      </c>
      <c r="BI647">
        <f t="shared" si="108"/>
        <v>27704857.5</v>
      </c>
      <c r="BJ647">
        <f t="shared" si="108"/>
        <v>97781850</v>
      </c>
      <c r="BK647">
        <f t="shared" si="108"/>
        <v>325939500</v>
      </c>
      <c r="BL647">
        <v>642</v>
      </c>
    </row>
    <row r="648" spans="1:64" ht="17.25" thickBot="1" x14ac:dyDescent="0.25">
      <c r="A648" s="131">
        <v>644</v>
      </c>
      <c r="B648" s="132">
        <v>201270577</v>
      </c>
      <c r="D648" s="131">
        <v>644</v>
      </c>
      <c r="E648" s="132">
        <v>32.732430000000001</v>
      </c>
      <c r="AK648">
        <v>642</v>
      </c>
      <c r="AL648" s="24">
        <f t="shared" si="107"/>
        <v>32.640180000000001</v>
      </c>
      <c r="AM648">
        <f t="shared" si="109"/>
        <v>228.48126000000002</v>
      </c>
      <c r="AN648">
        <f t="shared" si="109"/>
        <v>326.40179999999998</v>
      </c>
      <c r="AO648">
        <f t="shared" si="109"/>
        <v>489.60270000000003</v>
      </c>
      <c r="AP648">
        <f t="shared" si="109"/>
        <v>652.80359999999996</v>
      </c>
      <c r="AQ648">
        <f t="shared" si="109"/>
        <v>1142.4063000000001</v>
      </c>
      <c r="AR648">
        <f t="shared" si="109"/>
        <v>1632.009</v>
      </c>
      <c r="AS648">
        <f t="shared" si="109"/>
        <v>2611.2143999999998</v>
      </c>
      <c r="AT648">
        <f t="shared" si="109"/>
        <v>3916.8216000000002</v>
      </c>
      <c r="AU648">
        <f t="shared" si="109"/>
        <v>5548.8306000000002</v>
      </c>
      <c r="AV648">
        <f t="shared" si="109"/>
        <v>7833.6432000000004</v>
      </c>
      <c r="AW648">
        <f t="shared" si="109"/>
        <v>10771.259400000001</v>
      </c>
      <c r="AX648">
        <f t="shared" si="109"/>
        <v>15014.4828</v>
      </c>
      <c r="AY648">
        <f t="shared" si="109"/>
        <v>26112.144</v>
      </c>
      <c r="AZ648">
        <f t="shared" si="109"/>
        <v>48960.270000000004</v>
      </c>
      <c r="BA648">
        <f t="shared" si="109"/>
        <v>81600.45</v>
      </c>
      <c r="BB648">
        <f t="shared" si="109"/>
        <v>130560.72</v>
      </c>
      <c r="BC648">
        <f t="shared" si="108"/>
        <v>326401.8</v>
      </c>
      <c r="BD648">
        <f t="shared" si="108"/>
        <v>489602.7</v>
      </c>
      <c r="BE648">
        <f t="shared" si="108"/>
        <v>783364.32000000007</v>
      </c>
      <c r="BF648">
        <f t="shared" si="108"/>
        <v>979205.4</v>
      </c>
      <c r="BG648">
        <f t="shared" si="108"/>
        <v>3264018</v>
      </c>
      <c r="BH648">
        <f t="shared" si="108"/>
        <v>9792054</v>
      </c>
      <c r="BI648">
        <f t="shared" si="108"/>
        <v>27744153</v>
      </c>
      <c r="BJ648">
        <f t="shared" si="108"/>
        <v>97920540</v>
      </c>
      <c r="BK648">
        <f t="shared" si="108"/>
        <v>326401800</v>
      </c>
      <c r="BL648">
        <v>643</v>
      </c>
    </row>
    <row r="649" spans="1:64" ht="17.25" thickBot="1" x14ac:dyDescent="0.25">
      <c r="A649" s="131">
        <v>645</v>
      </c>
      <c r="B649" s="132">
        <v>202656272</v>
      </c>
      <c r="D649" s="131">
        <v>645</v>
      </c>
      <c r="E649" s="132">
        <v>32.778449999999999</v>
      </c>
      <c r="AK649">
        <v>643</v>
      </c>
      <c r="AL649" s="24">
        <f t="shared" si="107"/>
        <v>32.686340000000001</v>
      </c>
      <c r="AM649">
        <f t="shared" si="109"/>
        <v>228.80438000000001</v>
      </c>
      <c r="AN649">
        <f t="shared" si="109"/>
        <v>326.86340000000001</v>
      </c>
      <c r="AO649">
        <f t="shared" si="109"/>
        <v>490.29510000000005</v>
      </c>
      <c r="AP649">
        <f t="shared" si="109"/>
        <v>653.72680000000003</v>
      </c>
      <c r="AQ649">
        <f t="shared" si="109"/>
        <v>1144.0219</v>
      </c>
      <c r="AR649">
        <f t="shared" si="109"/>
        <v>1634.317</v>
      </c>
      <c r="AS649">
        <f t="shared" si="109"/>
        <v>2614.9072000000001</v>
      </c>
      <c r="AT649">
        <f t="shared" si="109"/>
        <v>3922.3608000000004</v>
      </c>
      <c r="AU649">
        <f t="shared" si="109"/>
        <v>5556.6778000000004</v>
      </c>
      <c r="AV649">
        <f t="shared" si="109"/>
        <v>7844.7216000000008</v>
      </c>
      <c r="AW649">
        <f t="shared" si="109"/>
        <v>10786.492200000001</v>
      </c>
      <c r="AX649">
        <f t="shared" si="109"/>
        <v>15035.716400000001</v>
      </c>
      <c r="AY649">
        <f t="shared" si="109"/>
        <v>26149.072</v>
      </c>
      <c r="AZ649">
        <f t="shared" si="109"/>
        <v>49029.51</v>
      </c>
      <c r="BA649">
        <f t="shared" si="109"/>
        <v>81715.850000000006</v>
      </c>
      <c r="BB649">
        <f t="shared" si="109"/>
        <v>130745.36</v>
      </c>
      <c r="BC649">
        <f t="shared" si="108"/>
        <v>326863.40000000002</v>
      </c>
      <c r="BD649">
        <f t="shared" si="108"/>
        <v>490295.10000000003</v>
      </c>
      <c r="BE649">
        <f t="shared" si="108"/>
        <v>784472.16</v>
      </c>
      <c r="BF649">
        <f t="shared" si="108"/>
        <v>980590.20000000007</v>
      </c>
      <c r="BG649">
        <f t="shared" si="108"/>
        <v>3268634</v>
      </c>
      <c r="BH649">
        <f t="shared" si="108"/>
        <v>9805902</v>
      </c>
      <c r="BI649">
        <f t="shared" si="108"/>
        <v>27783389</v>
      </c>
      <c r="BJ649">
        <f t="shared" si="108"/>
        <v>98059020</v>
      </c>
      <c r="BK649">
        <f t="shared" si="108"/>
        <v>326863400</v>
      </c>
      <c r="BL649">
        <v>644</v>
      </c>
    </row>
    <row r="650" spans="1:64" ht="17.25" thickBot="1" x14ac:dyDescent="0.25">
      <c r="A650" s="131">
        <v>646</v>
      </c>
      <c r="B650" s="132">
        <v>204053922</v>
      </c>
      <c r="D650" s="131">
        <v>646</v>
      </c>
      <c r="E650" s="132">
        <v>32.824399999999997</v>
      </c>
      <c r="AK650">
        <v>644</v>
      </c>
      <c r="AL650" s="24">
        <f t="shared" si="107"/>
        <v>32.732430000000001</v>
      </c>
      <c r="AM650">
        <f t="shared" si="109"/>
        <v>229.12701000000001</v>
      </c>
      <c r="AN650">
        <f t="shared" si="109"/>
        <v>327.32429999999999</v>
      </c>
      <c r="AO650">
        <f t="shared" si="109"/>
        <v>490.98644999999999</v>
      </c>
      <c r="AP650">
        <f t="shared" si="109"/>
        <v>654.64859999999999</v>
      </c>
      <c r="AQ650">
        <f t="shared" si="109"/>
        <v>1145.6350500000001</v>
      </c>
      <c r="AR650">
        <f t="shared" si="109"/>
        <v>1636.6215</v>
      </c>
      <c r="AS650">
        <f t="shared" si="109"/>
        <v>2618.5944</v>
      </c>
      <c r="AT650">
        <f t="shared" si="109"/>
        <v>3927.8915999999999</v>
      </c>
      <c r="AU650">
        <f t="shared" si="109"/>
        <v>5564.5131000000001</v>
      </c>
      <c r="AV650">
        <f t="shared" si="109"/>
        <v>7855.7831999999999</v>
      </c>
      <c r="AW650">
        <f t="shared" si="109"/>
        <v>10801.7019</v>
      </c>
      <c r="AX650">
        <f t="shared" si="109"/>
        <v>15056.917800000001</v>
      </c>
      <c r="AY650">
        <f t="shared" si="109"/>
        <v>26185.944</v>
      </c>
      <c r="AZ650">
        <f t="shared" si="109"/>
        <v>49098.645000000004</v>
      </c>
      <c r="BA650">
        <f t="shared" si="109"/>
        <v>81831.074999999997</v>
      </c>
      <c r="BB650">
        <f t="shared" si="109"/>
        <v>130929.72</v>
      </c>
      <c r="BC650">
        <f t="shared" si="108"/>
        <v>327324.3</v>
      </c>
      <c r="BD650">
        <f t="shared" si="108"/>
        <v>490986.45</v>
      </c>
      <c r="BE650">
        <f t="shared" si="108"/>
        <v>785578.32000000007</v>
      </c>
      <c r="BF650">
        <f t="shared" si="108"/>
        <v>981972.9</v>
      </c>
      <c r="BG650">
        <f t="shared" si="108"/>
        <v>3273243</v>
      </c>
      <c r="BH650">
        <f t="shared" si="108"/>
        <v>9819729</v>
      </c>
      <c r="BI650">
        <f t="shared" si="108"/>
        <v>27822565.5</v>
      </c>
      <c r="BJ650">
        <f t="shared" si="108"/>
        <v>98197290</v>
      </c>
      <c r="BK650">
        <f t="shared" si="108"/>
        <v>327324300</v>
      </c>
      <c r="BL650">
        <v>645</v>
      </c>
    </row>
    <row r="651" spans="1:64" ht="17.25" thickBot="1" x14ac:dyDescent="0.25">
      <c r="A651" s="131">
        <v>647</v>
      </c>
      <c r="B651" s="132">
        <v>205463600</v>
      </c>
      <c r="D651" s="131">
        <v>647</v>
      </c>
      <c r="E651" s="132">
        <v>32.870280000000001</v>
      </c>
      <c r="AK651">
        <v>645</v>
      </c>
      <c r="AL651" s="24">
        <f t="shared" si="107"/>
        <v>32.778449999999999</v>
      </c>
      <c r="AM651">
        <f t="shared" si="109"/>
        <v>229.44915</v>
      </c>
      <c r="AN651">
        <f t="shared" si="109"/>
        <v>327.78449999999998</v>
      </c>
      <c r="AO651">
        <f t="shared" si="109"/>
        <v>491.67674999999997</v>
      </c>
      <c r="AP651">
        <f t="shared" si="109"/>
        <v>655.56899999999996</v>
      </c>
      <c r="AQ651">
        <f t="shared" si="109"/>
        <v>1147.24575</v>
      </c>
      <c r="AR651">
        <f t="shared" si="109"/>
        <v>1638.9224999999999</v>
      </c>
      <c r="AS651">
        <f t="shared" si="109"/>
        <v>2622.2759999999998</v>
      </c>
      <c r="AT651">
        <f t="shared" si="109"/>
        <v>3933.4139999999998</v>
      </c>
      <c r="AU651">
        <f t="shared" si="109"/>
        <v>5572.3365000000003</v>
      </c>
      <c r="AV651">
        <f t="shared" si="109"/>
        <v>7866.8279999999995</v>
      </c>
      <c r="AW651">
        <f t="shared" si="109"/>
        <v>10816.888499999999</v>
      </c>
      <c r="AX651">
        <f t="shared" si="109"/>
        <v>15078.087</v>
      </c>
      <c r="AY651">
        <f t="shared" si="109"/>
        <v>26222.76</v>
      </c>
      <c r="AZ651">
        <f t="shared" si="109"/>
        <v>49167.674999999996</v>
      </c>
      <c r="BA651">
        <f t="shared" si="109"/>
        <v>81946.125</v>
      </c>
      <c r="BB651">
        <f t="shared" si="109"/>
        <v>131113.79999999999</v>
      </c>
      <c r="BC651">
        <f t="shared" si="108"/>
        <v>327784.5</v>
      </c>
      <c r="BD651">
        <f t="shared" si="108"/>
        <v>491676.75</v>
      </c>
      <c r="BE651">
        <f t="shared" si="108"/>
        <v>786682.79999999993</v>
      </c>
      <c r="BF651">
        <f t="shared" si="108"/>
        <v>983353.5</v>
      </c>
      <c r="BG651">
        <f t="shared" si="108"/>
        <v>3277845</v>
      </c>
      <c r="BH651">
        <f t="shared" si="108"/>
        <v>9833535</v>
      </c>
      <c r="BI651">
        <f t="shared" si="108"/>
        <v>27861682.5</v>
      </c>
      <c r="BJ651">
        <f t="shared" si="108"/>
        <v>98335350</v>
      </c>
      <c r="BK651">
        <f t="shared" si="108"/>
        <v>327784500</v>
      </c>
      <c r="BL651">
        <v>646</v>
      </c>
    </row>
    <row r="652" spans="1:64" ht="17.25" thickBot="1" x14ac:dyDescent="0.25">
      <c r="A652" s="131">
        <v>648</v>
      </c>
      <c r="B652" s="132">
        <v>206885377</v>
      </c>
      <c r="D652" s="131">
        <v>648</v>
      </c>
      <c r="E652" s="132">
        <v>32.916089999999997</v>
      </c>
      <c r="AK652">
        <v>646</v>
      </c>
      <c r="AL652" s="24">
        <f t="shared" si="107"/>
        <v>32.824399999999997</v>
      </c>
      <c r="AM652">
        <f t="shared" si="109"/>
        <v>229.77079999999998</v>
      </c>
      <c r="AN652">
        <f t="shared" si="109"/>
        <v>328.24399999999997</v>
      </c>
      <c r="AO652">
        <f t="shared" si="109"/>
        <v>492.36599999999999</v>
      </c>
      <c r="AP652">
        <f t="shared" si="109"/>
        <v>656.48799999999994</v>
      </c>
      <c r="AQ652">
        <f t="shared" si="109"/>
        <v>1148.8539999999998</v>
      </c>
      <c r="AR652">
        <f t="shared" si="109"/>
        <v>1641.2199999999998</v>
      </c>
      <c r="AS652">
        <f t="shared" si="109"/>
        <v>2625.9519999999998</v>
      </c>
      <c r="AT652">
        <f t="shared" si="109"/>
        <v>3938.9279999999999</v>
      </c>
      <c r="AU652">
        <f t="shared" si="109"/>
        <v>5580.1479999999992</v>
      </c>
      <c r="AV652">
        <f t="shared" si="109"/>
        <v>7877.8559999999998</v>
      </c>
      <c r="AW652">
        <f t="shared" si="109"/>
        <v>10832.052</v>
      </c>
      <c r="AX652">
        <f t="shared" si="109"/>
        <v>15099.223999999998</v>
      </c>
      <c r="AY652">
        <f t="shared" si="109"/>
        <v>26259.519999999997</v>
      </c>
      <c r="AZ652">
        <f t="shared" si="109"/>
        <v>49236.6</v>
      </c>
      <c r="BA652">
        <f t="shared" si="109"/>
        <v>82061</v>
      </c>
      <c r="BB652">
        <f t="shared" si="109"/>
        <v>131297.59999999998</v>
      </c>
      <c r="BC652">
        <f t="shared" si="108"/>
        <v>328244</v>
      </c>
      <c r="BD652">
        <f t="shared" si="108"/>
        <v>492365.99999999994</v>
      </c>
      <c r="BE652">
        <f t="shared" si="108"/>
        <v>787785.6</v>
      </c>
      <c r="BF652">
        <f t="shared" si="108"/>
        <v>984731.99999999988</v>
      </c>
      <c r="BG652">
        <f t="shared" si="108"/>
        <v>3282439.9999999995</v>
      </c>
      <c r="BH652">
        <f t="shared" si="108"/>
        <v>9847320</v>
      </c>
      <c r="BI652">
        <f t="shared" si="108"/>
        <v>27900739.999999996</v>
      </c>
      <c r="BJ652">
        <f t="shared" si="108"/>
        <v>98473199.999999985</v>
      </c>
      <c r="BK652">
        <f t="shared" si="108"/>
        <v>328244000</v>
      </c>
      <c r="BL652">
        <v>647</v>
      </c>
    </row>
    <row r="653" spans="1:64" ht="17.25" thickBot="1" x14ac:dyDescent="0.25">
      <c r="A653" s="131">
        <v>649</v>
      </c>
      <c r="B653" s="132">
        <v>208319327</v>
      </c>
      <c r="D653" s="131">
        <v>649</v>
      </c>
      <c r="E653" s="132">
        <v>32.969450000000002</v>
      </c>
      <c r="AK653">
        <v>647</v>
      </c>
      <c r="AL653" s="24">
        <f t="shared" si="107"/>
        <v>32.870280000000001</v>
      </c>
      <c r="AM653">
        <f t="shared" si="109"/>
        <v>230.09196</v>
      </c>
      <c r="AN653">
        <f t="shared" si="109"/>
        <v>328.70280000000002</v>
      </c>
      <c r="AO653">
        <f t="shared" si="109"/>
        <v>493.05420000000004</v>
      </c>
      <c r="AP653">
        <f t="shared" si="109"/>
        <v>657.40560000000005</v>
      </c>
      <c r="AQ653">
        <f t="shared" si="109"/>
        <v>1150.4598000000001</v>
      </c>
      <c r="AR653">
        <f t="shared" si="109"/>
        <v>1643.5140000000001</v>
      </c>
      <c r="AS653">
        <f t="shared" si="109"/>
        <v>2629.6224000000002</v>
      </c>
      <c r="AT653">
        <f t="shared" si="109"/>
        <v>3944.4336000000003</v>
      </c>
      <c r="AU653">
        <f t="shared" si="109"/>
        <v>5587.9476000000004</v>
      </c>
      <c r="AV653">
        <f t="shared" si="109"/>
        <v>7888.8672000000006</v>
      </c>
      <c r="AW653">
        <f t="shared" si="109"/>
        <v>10847.1924</v>
      </c>
      <c r="AX653">
        <f t="shared" si="109"/>
        <v>15120.328800000001</v>
      </c>
      <c r="AY653">
        <f t="shared" si="109"/>
        <v>26296.224000000002</v>
      </c>
      <c r="AZ653">
        <f t="shared" si="109"/>
        <v>49305.42</v>
      </c>
      <c r="BA653">
        <f t="shared" si="109"/>
        <v>82175.7</v>
      </c>
      <c r="BB653">
        <f t="shared" si="109"/>
        <v>131481.12</v>
      </c>
      <c r="BC653">
        <f t="shared" si="108"/>
        <v>328702.8</v>
      </c>
      <c r="BD653">
        <f t="shared" si="108"/>
        <v>493054.2</v>
      </c>
      <c r="BE653">
        <f t="shared" si="108"/>
        <v>788886.72</v>
      </c>
      <c r="BF653">
        <f t="shared" si="108"/>
        <v>986108.4</v>
      </c>
      <c r="BG653">
        <f t="shared" si="108"/>
        <v>3287028</v>
      </c>
      <c r="BH653">
        <f t="shared" si="108"/>
        <v>9861084</v>
      </c>
      <c r="BI653">
        <f t="shared" si="108"/>
        <v>27939738</v>
      </c>
      <c r="BJ653">
        <f t="shared" si="108"/>
        <v>98610840</v>
      </c>
      <c r="BK653">
        <f t="shared" si="108"/>
        <v>328702800</v>
      </c>
      <c r="BL653">
        <v>648</v>
      </c>
    </row>
    <row r="654" spans="1:64" ht="17.25" thickBot="1" x14ac:dyDescent="0.25">
      <c r="A654" s="131">
        <v>650</v>
      </c>
      <c r="B654" s="132">
        <v>209765522</v>
      </c>
      <c r="D654" s="131">
        <v>650</v>
      </c>
      <c r="E654" s="132">
        <v>33.022730000000003</v>
      </c>
      <c r="AK654">
        <v>648</v>
      </c>
      <c r="AL654" s="24">
        <f t="shared" si="107"/>
        <v>32.916089999999997</v>
      </c>
      <c r="AM654">
        <f t="shared" si="109"/>
        <v>230.41262999999998</v>
      </c>
      <c r="AN654">
        <f t="shared" si="109"/>
        <v>329.16089999999997</v>
      </c>
      <c r="AO654">
        <f t="shared" si="109"/>
        <v>493.74134999999995</v>
      </c>
      <c r="AP654">
        <f t="shared" si="109"/>
        <v>658.32179999999994</v>
      </c>
      <c r="AQ654">
        <f t="shared" si="109"/>
        <v>1152.06315</v>
      </c>
      <c r="AR654">
        <f t="shared" si="109"/>
        <v>1645.8044999999997</v>
      </c>
      <c r="AS654">
        <f t="shared" si="109"/>
        <v>2633.2871999999998</v>
      </c>
      <c r="AT654">
        <f t="shared" si="109"/>
        <v>3949.9307999999996</v>
      </c>
      <c r="AU654">
        <f t="shared" si="109"/>
        <v>5595.7352999999994</v>
      </c>
      <c r="AV654">
        <f t="shared" si="109"/>
        <v>7899.8615999999993</v>
      </c>
      <c r="AW654">
        <f t="shared" si="109"/>
        <v>10862.3097</v>
      </c>
      <c r="AX654">
        <f t="shared" ref="AM654:BB670" si="110">AX$5*VLOOKUP($AK654,$D$2:$E$1404,2,FALSE)</f>
        <v>15141.401399999999</v>
      </c>
      <c r="AY654">
        <f t="shared" si="110"/>
        <v>26332.871999999996</v>
      </c>
      <c r="AZ654">
        <f t="shared" si="110"/>
        <v>49374.134999999995</v>
      </c>
      <c r="BA654">
        <f t="shared" si="110"/>
        <v>82290.224999999991</v>
      </c>
      <c r="BB654">
        <f t="shared" si="110"/>
        <v>131664.35999999999</v>
      </c>
      <c r="BC654">
        <f t="shared" si="108"/>
        <v>329160.89999999997</v>
      </c>
      <c r="BD654">
        <f t="shared" si="108"/>
        <v>493741.35</v>
      </c>
      <c r="BE654">
        <f t="shared" si="108"/>
        <v>789986.15999999992</v>
      </c>
      <c r="BF654">
        <f t="shared" si="108"/>
        <v>987482.7</v>
      </c>
      <c r="BG654">
        <f t="shared" si="108"/>
        <v>3291608.9999999995</v>
      </c>
      <c r="BH654">
        <f t="shared" si="108"/>
        <v>9874827</v>
      </c>
      <c r="BI654">
        <f t="shared" si="108"/>
        <v>27978676.499999996</v>
      </c>
      <c r="BJ654">
        <f t="shared" si="108"/>
        <v>98748269.999999985</v>
      </c>
      <c r="BK654">
        <f t="shared" si="108"/>
        <v>329160899.99999994</v>
      </c>
      <c r="BL654">
        <v>649</v>
      </c>
    </row>
    <row r="655" spans="1:64" ht="17.25" thickBot="1" x14ac:dyDescent="0.25">
      <c r="A655" s="131">
        <v>651</v>
      </c>
      <c r="B655" s="132">
        <v>211224033</v>
      </c>
      <c r="D655" s="131">
        <v>651</v>
      </c>
      <c r="E655" s="132">
        <v>33.07593</v>
      </c>
      <c r="AK655">
        <v>649</v>
      </c>
      <c r="AL655" s="24">
        <f t="shared" si="107"/>
        <v>32.969450000000002</v>
      </c>
      <c r="AM655">
        <f t="shared" si="110"/>
        <v>230.78615000000002</v>
      </c>
      <c r="AN655">
        <f t="shared" si="110"/>
        <v>329.69450000000001</v>
      </c>
      <c r="AO655">
        <f t="shared" si="110"/>
        <v>494.54175000000004</v>
      </c>
      <c r="AP655">
        <f t="shared" si="110"/>
        <v>659.38900000000001</v>
      </c>
      <c r="AQ655">
        <f t="shared" si="110"/>
        <v>1153.93075</v>
      </c>
      <c r="AR655">
        <f t="shared" si="110"/>
        <v>1648.4725000000001</v>
      </c>
      <c r="AS655">
        <f t="shared" si="110"/>
        <v>2637.556</v>
      </c>
      <c r="AT655">
        <f t="shared" si="110"/>
        <v>3956.3340000000003</v>
      </c>
      <c r="AU655">
        <f t="shared" si="110"/>
        <v>5604.8065000000006</v>
      </c>
      <c r="AV655">
        <f t="shared" si="110"/>
        <v>7912.6680000000006</v>
      </c>
      <c r="AW655">
        <f t="shared" si="110"/>
        <v>10879.9185</v>
      </c>
      <c r="AX655">
        <f t="shared" si="110"/>
        <v>15165.947</v>
      </c>
      <c r="AY655">
        <f t="shared" si="110"/>
        <v>26375.56</v>
      </c>
      <c r="AZ655">
        <f t="shared" si="110"/>
        <v>49454.175000000003</v>
      </c>
      <c r="BA655">
        <f t="shared" si="110"/>
        <v>82423.625</v>
      </c>
      <c r="BB655">
        <f t="shared" si="110"/>
        <v>131877.80000000002</v>
      </c>
      <c r="BC655">
        <f t="shared" si="108"/>
        <v>329694.5</v>
      </c>
      <c r="BD655">
        <f t="shared" si="108"/>
        <v>494541.75</v>
      </c>
      <c r="BE655">
        <f t="shared" si="108"/>
        <v>791266.8</v>
      </c>
      <c r="BF655">
        <f t="shared" si="108"/>
        <v>989083.5</v>
      </c>
      <c r="BG655">
        <f t="shared" si="108"/>
        <v>3296945</v>
      </c>
      <c r="BH655">
        <f t="shared" si="108"/>
        <v>9890835</v>
      </c>
      <c r="BI655">
        <f t="shared" si="108"/>
        <v>28024032.5</v>
      </c>
      <c r="BJ655">
        <f t="shared" si="108"/>
        <v>98908350</v>
      </c>
      <c r="BK655">
        <f t="shared" si="108"/>
        <v>329694500</v>
      </c>
      <c r="BL655">
        <v>650</v>
      </c>
    </row>
    <row r="656" spans="1:64" ht="17.25" thickBot="1" x14ac:dyDescent="0.25">
      <c r="A656" s="131">
        <v>652</v>
      </c>
      <c r="B656" s="132">
        <v>212694933</v>
      </c>
      <c r="D656" s="131">
        <v>652</v>
      </c>
      <c r="E656" s="132">
        <v>33.129049999999999</v>
      </c>
      <c r="AK656">
        <v>650</v>
      </c>
      <c r="AL656" s="24">
        <f t="shared" si="107"/>
        <v>33.022730000000003</v>
      </c>
      <c r="AM656">
        <f t="shared" si="110"/>
        <v>231.15911000000003</v>
      </c>
      <c r="AN656">
        <f t="shared" si="110"/>
        <v>330.22730000000001</v>
      </c>
      <c r="AO656">
        <f t="shared" si="110"/>
        <v>495.34095000000002</v>
      </c>
      <c r="AP656">
        <f t="shared" si="110"/>
        <v>660.45460000000003</v>
      </c>
      <c r="AQ656">
        <f t="shared" si="110"/>
        <v>1155.79555</v>
      </c>
      <c r="AR656">
        <f t="shared" si="110"/>
        <v>1651.1365000000001</v>
      </c>
      <c r="AS656">
        <f t="shared" si="110"/>
        <v>2641.8184000000001</v>
      </c>
      <c r="AT656">
        <f t="shared" si="110"/>
        <v>3962.7276000000002</v>
      </c>
      <c r="AU656">
        <f t="shared" si="110"/>
        <v>5613.8641000000007</v>
      </c>
      <c r="AV656">
        <f t="shared" si="110"/>
        <v>7925.4552000000003</v>
      </c>
      <c r="AW656">
        <f t="shared" si="110"/>
        <v>10897.500900000001</v>
      </c>
      <c r="AX656">
        <f t="shared" si="110"/>
        <v>15190.455800000002</v>
      </c>
      <c r="AY656">
        <f t="shared" si="110"/>
        <v>26418.184000000001</v>
      </c>
      <c r="AZ656">
        <f t="shared" si="110"/>
        <v>49534.095000000001</v>
      </c>
      <c r="BA656">
        <f t="shared" si="110"/>
        <v>82556.825000000012</v>
      </c>
      <c r="BB656">
        <f t="shared" si="110"/>
        <v>132090.92000000001</v>
      </c>
      <c r="BC656">
        <f t="shared" si="108"/>
        <v>330227.30000000005</v>
      </c>
      <c r="BD656">
        <f t="shared" si="108"/>
        <v>495340.95000000007</v>
      </c>
      <c r="BE656">
        <f t="shared" si="108"/>
        <v>792545.52</v>
      </c>
      <c r="BF656">
        <f t="shared" si="108"/>
        <v>990681.90000000014</v>
      </c>
      <c r="BG656">
        <f t="shared" si="108"/>
        <v>3302273.0000000005</v>
      </c>
      <c r="BH656">
        <f t="shared" si="108"/>
        <v>9906819</v>
      </c>
      <c r="BI656">
        <f t="shared" si="108"/>
        <v>28069320.500000004</v>
      </c>
      <c r="BJ656">
        <f t="shared" si="108"/>
        <v>99068190.000000015</v>
      </c>
      <c r="BK656">
        <f t="shared" si="108"/>
        <v>330227300</v>
      </c>
      <c r="BL656">
        <v>651</v>
      </c>
    </row>
    <row r="657" spans="1:64" ht="17.25" thickBot="1" x14ac:dyDescent="0.25">
      <c r="A657" s="131">
        <v>653</v>
      </c>
      <c r="B657" s="132">
        <v>214178294</v>
      </c>
      <c r="D657" s="131">
        <v>653</v>
      </c>
      <c r="E657" s="132">
        <v>33.182090000000002</v>
      </c>
      <c r="AK657">
        <v>651</v>
      </c>
      <c r="AL657" s="24">
        <f t="shared" si="107"/>
        <v>33.07593</v>
      </c>
      <c r="AM657">
        <f t="shared" si="110"/>
        <v>231.53151</v>
      </c>
      <c r="AN657">
        <f t="shared" si="110"/>
        <v>330.7593</v>
      </c>
      <c r="AO657">
        <f t="shared" si="110"/>
        <v>496.13895000000002</v>
      </c>
      <c r="AP657">
        <f t="shared" si="110"/>
        <v>661.51859999999999</v>
      </c>
      <c r="AQ657">
        <f t="shared" si="110"/>
        <v>1157.6575499999999</v>
      </c>
      <c r="AR657">
        <f t="shared" si="110"/>
        <v>1653.7964999999999</v>
      </c>
      <c r="AS657">
        <f t="shared" si="110"/>
        <v>2646.0744</v>
      </c>
      <c r="AT657">
        <f t="shared" si="110"/>
        <v>3969.1116000000002</v>
      </c>
      <c r="AU657">
        <f t="shared" si="110"/>
        <v>5622.9080999999996</v>
      </c>
      <c r="AV657">
        <f t="shared" si="110"/>
        <v>7938.2232000000004</v>
      </c>
      <c r="AW657">
        <f t="shared" si="110"/>
        <v>10915.0569</v>
      </c>
      <c r="AX657">
        <f t="shared" si="110"/>
        <v>15214.927799999999</v>
      </c>
      <c r="AY657">
        <f t="shared" si="110"/>
        <v>26460.743999999999</v>
      </c>
      <c r="AZ657">
        <f t="shared" si="110"/>
        <v>49613.894999999997</v>
      </c>
      <c r="BA657">
        <f t="shared" si="110"/>
        <v>82689.824999999997</v>
      </c>
      <c r="BB657">
        <f t="shared" si="110"/>
        <v>132303.72</v>
      </c>
      <c r="BC657">
        <f t="shared" si="108"/>
        <v>330759.3</v>
      </c>
      <c r="BD657">
        <f t="shared" si="108"/>
        <v>496138.95</v>
      </c>
      <c r="BE657">
        <f t="shared" si="108"/>
        <v>793822.32</v>
      </c>
      <c r="BF657">
        <f t="shared" si="108"/>
        <v>992277.9</v>
      </c>
      <c r="BG657">
        <f t="shared" si="108"/>
        <v>3307593</v>
      </c>
      <c r="BH657">
        <f t="shared" si="108"/>
        <v>9922779</v>
      </c>
      <c r="BI657">
        <f t="shared" si="108"/>
        <v>28114540.5</v>
      </c>
      <c r="BJ657">
        <f t="shared" si="108"/>
        <v>99227790</v>
      </c>
      <c r="BK657">
        <f t="shared" si="108"/>
        <v>330759300</v>
      </c>
      <c r="BL657">
        <v>652</v>
      </c>
    </row>
    <row r="658" spans="1:64" ht="17.25" thickBot="1" x14ac:dyDescent="0.25">
      <c r="A658" s="131">
        <v>654</v>
      </c>
      <c r="B658" s="132">
        <v>215674194</v>
      </c>
      <c r="D658" s="131">
        <v>654</v>
      </c>
      <c r="E658" s="132">
        <v>33.235050000000001</v>
      </c>
      <c r="AK658">
        <v>652</v>
      </c>
      <c r="AL658" s="24">
        <f t="shared" si="107"/>
        <v>33.129049999999999</v>
      </c>
      <c r="AM658">
        <f t="shared" si="110"/>
        <v>231.90334999999999</v>
      </c>
      <c r="AN658">
        <f t="shared" si="110"/>
        <v>331.29050000000001</v>
      </c>
      <c r="AO658">
        <f t="shared" si="110"/>
        <v>496.93574999999998</v>
      </c>
      <c r="AP658">
        <f t="shared" si="110"/>
        <v>662.58100000000002</v>
      </c>
      <c r="AQ658">
        <f t="shared" si="110"/>
        <v>1159.51675</v>
      </c>
      <c r="AR658">
        <f t="shared" si="110"/>
        <v>1656.4524999999999</v>
      </c>
      <c r="AS658">
        <f t="shared" si="110"/>
        <v>2650.3240000000001</v>
      </c>
      <c r="AT658">
        <f t="shared" si="110"/>
        <v>3975.4859999999999</v>
      </c>
      <c r="AU658">
        <f t="shared" si="110"/>
        <v>5631.9385000000002</v>
      </c>
      <c r="AV658">
        <f t="shared" si="110"/>
        <v>7950.9719999999998</v>
      </c>
      <c r="AW658">
        <f t="shared" si="110"/>
        <v>10932.586499999999</v>
      </c>
      <c r="AX658">
        <f t="shared" si="110"/>
        <v>15239.362999999999</v>
      </c>
      <c r="AY658">
        <f t="shared" si="110"/>
        <v>26503.239999999998</v>
      </c>
      <c r="AZ658">
        <f t="shared" si="110"/>
        <v>49693.574999999997</v>
      </c>
      <c r="BA658">
        <f t="shared" si="110"/>
        <v>82822.625</v>
      </c>
      <c r="BB658">
        <f t="shared" si="110"/>
        <v>132516.20000000001</v>
      </c>
      <c r="BC658">
        <f t="shared" si="108"/>
        <v>331290.5</v>
      </c>
      <c r="BD658">
        <f t="shared" si="108"/>
        <v>496935.75</v>
      </c>
      <c r="BE658">
        <f t="shared" si="108"/>
        <v>795097.2</v>
      </c>
      <c r="BF658">
        <f t="shared" si="108"/>
        <v>993871.5</v>
      </c>
      <c r="BG658">
        <f t="shared" si="108"/>
        <v>3312905</v>
      </c>
      <c r="BH658">
        <f t="shared" si="108"/>
        <v>9938715</v>
      </c>
      <c r="BI658">
        <f t="shared" si="108"/>
        <v>28159692.5</v>
      </c>
      <c r="BJ658">
        <f t="shared" si="108"/>
        <v>99387150</v>
      </c>
      <c r="BK658">
        <f t="shared" si="108"/>
        <v>331290500</v>
      </c>
      <c r="BL658">
        <v>653</v>
      </c>
    </row>
    <row r="659" spans="1:64" ht="17.25" thickBot="1" x14ac:dyDescent="0.25">
      <c r="A659" s="131">
        <v>655</v>
      </c>
      <c r="B659" s="132">
        <v>217182700</v>
      </c>
      <c r="D659" s="131">
        <v>655</v>
      </c>
      <c r="E659" s="132">
        <v>33.287930000000003</v>
      </c>
      <c r="AK659">
        <v>653</v>
      </c>
      <c r="AL659" s="24">
        <f t="shared" si="107"/>
        <v>33.182090000000002</v>
      </c>
      <c r="AM659">
        <f t="shared" si="110"/>
        <v>232.27463</v>
      </c>
      <c r="AN659">
        <f t="shared" si="110"/>
        <v>331.82090000000005</v>
      </c>
      <c r="AO659">
        <f t="shared" si="110"/>
        <v>497.73135000000002</v>
      </c>
      <c r="AP659">
        <f t="shared" si="110"/>
        <v>663.6418000000001</v>
      </c>
      <c r="AQ659">
        <f t="shared" si="110"/>
        <v>1161.3731500000001</v>
      </c>
      <c r="AR659">
        <f t="shared" si="110"/>
        <v>1659.1045000000001</v>
      </c>
      <c r="AS659">
        <f t="shared" si="110"/>
        <v>2654.5672000000004</v>
      </c>
      <c r="AT659">
        <f t="shared" si="110"/>
        <v>3981.8508000000002</v>
      </c>
      <c r="AU659">
        <f t="shared" si="110"/>
        <v>5640.9553000000005</v>
      </c>
      <c r="AV659">
        <f t="shared" si="110"/>
        <v>7963.7016000000003</v>
      </c>
      <c r="AW659">
        <f t="shared" si="110"/>
        <v>10950.0897</v>
      </c>
      <c r="AX659">
        <f t="shared" si="110"/>
        <v>15263.761400000001</v>
      </c>
      <c r="AY659">
        <f t="shared" si="110"/>
        <v>26545.672000000002</v>
      </c>
      <c r="AZ659">
        <f t="shared" si="110"/>
        <v>49773.135000000002</v>
      </c>
      <c r="BA659">
        <f t="shared" si="110"/>
        <v>82955.225000000006</v>
      </c>
      <c r="BB659">
        <f t="shared" si="110"/>
        <v>132728.36000000002</v>
      </c>
      <c r="BC659">
        <f t="shared" si="108"/>
        <v>331820.90000000002</v>
      </c>
      <c r="BD659">
        <f t="shared" si="108"/>
        <v>497731.35000000003</v>
      </c>
      <c r="BE659">
        <f t="shared" si="108"/>
        <v>796370.16</v>
      </c>
      <c r="BF659">
        <f t="shared" si="108"/>
        <v>995462.70000000007</v>
      </c>
      <c r="BG659">
        <f t="shared" si="108"/>
        <v>3318209</v>
      </c>
      <c r="BH659">
        <f t="shared" si="108"/>
        <v>9954627</v>
      </c>
      <c r="BI659">
        <f t="shared" si="108"/>
        <v>28204776.500000004</v>
      </c>
      <c r="BJ659">
        <f t="shared" si="108"/>
        <v>99546270</v>
      </c>
      <c r="BK659">
        <f t="shared" si="108"/>
        <v>331820900</v>
      </c>
      <c r="BL659">
        <v>654</v>
      </c>
    </row>
    <row r="660" spans="1:64" ht="17.25" thickBot="1" x14ac:dyDescent="0.25">
      <c r="A660" s="131">
        <v>656</v>
      </c>
      <c r="B660" s="132">
        <v>218703888</v>
      </c>
      <c r="D660" s="131">
        <v>656</v>
      </c>
      <c r="E660" s="132">
        <v>33.340730000000001</v>
      </c>
      <c r="AK660">
        <v>654</v>
      </c>
      <c r="AL660" s="24">
        <f t="shared" si="107"/>
        <v>33.235050000000001</v>
      </c>
      <c r="AM660">
        <f t="shared" si="110"/>
        <v>232.64535000000001</v>
      </c>
      <c r="AN660">
        <f t="shared" si="110"/>
        <v>332.35050000000001</v>
      </c>
      <c r="AO660">
        <f t="shared" si="110"/>
        <v>498.52575000000002</v>
      </c>
      <c r="AP660">
        <f t="shared" si="110"/>
        <v>664.70100000000002</v>
      </c>
      <c r="AQ660">
        <f t="shared" si="110"/>
        <v>1163.22675</v>
      </c>
      <c r="AR660">
        <f t="shared" si="110"/>
        <v>1661.7525000000001</v>
      </c>
      <c r="AS660">
        <f t="shared" si="110"/>
        <v>2658.8040000000001</v>
      </c>
      <c r="AT660">
        <f t="shared" si="110"/>
        <v>3988.2060000000001</v>
      </c>
      <c r="AU660">
        <f t="shared" si="110"/>
        <v>5649.9585000000006</v>
      </c>
      <c r="AV660">
        <f t="shared" si="110"/>
        <v>7976.4120000000003</v>
      </c>
      <c r="AW660">
        <f t="shared" si="110"/>
        <v>10967.566500000001</v>
      </c>
      <c r="AX660">
        <f t="shared" si="110"/>
        <v>15288.123</v>
      </c>
      <c r="AY660">
        <f t="shared" si="110"/>
        <v>26588.04</v>
      </c>
      <c r="AZ660">
        <f t="shared" si="110"/>
        <v>49852.575000000004</v>
      </c>
      <c r="BA660">
        <f t="shared" si="110"/>
        <v>83087.625</v>
      </c>
      <c r="BB660">
        <f t="shared" si="110"/>
        <v>132940.20000000001</v>
      </c>
      <c r="BC660">
        <f t="shared" si="108"/>
        <v>332350.5</v>
      </c>
      <c r="BD660">
        <f t="shared" si="108"/>
        <v>498525.75</v>
      </c>
      <c r="BE660">
        <f t="shared" si="108"/>
        <v>797641.20000000007</v>
      </c>
      <c r="BF660">
        <f t="shared" si="108"/>
        <v>997051.5</v>
      </c>
      <c r="BG660">
        <f t="shared" si="108"/>
        <v>3323505</v>
      </c>
      <c r="BH660">
        <f t="shared" si="108"/>
        <v>9970515</v>
      </c>
      <c r="BI660">
        <f t="shared" si="108"/>
        <v>28249792.5</v>
      </c>
      <c r="BJ660">
        <f t="shared" si="108"/>
        <v>99705150</v>
      </c>
      <c r="BK660">
        <f t="shared" si="108"/>
        <v>332350500</v>
      </c>
      <c r="BL660">
        <v>655</v>
      </c>
    </row>
    <row r="661" spans="1:64" ht="17.25" thickBot="1" x14ac:dyDescent="0.25">
      <c r="A661" s="131">
        <v>657</v>
      </c>
      <c r="B661" s="132">
        <v>220237833</v>
      </c>
      <c r="D661" s="131">
        <v>657</v>
      </c>
      <c r="E661" s="132">
        <v>33.393450000000001</v>
      </c>
      <c r="AK661">
        <v>655</v>
      </c>
      <c r="AL661" s="24">
        <f t="shared" si="107"/>
        <v>33.287930000000003</v>
      </c>
      <c r="AM661">
        <f t="shared" si="110"/>
        <v>233.01551000000001</v>
      </c>
      <c r="AN661">
        <f t="shared" si="110"/>
        <v>332.87930000000006</v>
      </c>
      <c r="AO661">
        <f t="shared" si="110"/>
        <v>499.31895000000003</v>
      </c>
      <c r="AP661">
        <f t="shared" si="110"/>
        <v>665.75860000000011</v>
      </c>
      <c r="AQ661">
        <f t="shared" si="110"/>
        <v>1165.0775500000002</v>
      </c>
      <c r="AR661">
        <f t="shared" si="110"/>
        <v>1664.3965000000001</v>
      </c>
      <c r="AS661">
        <f t="shared" si="110"/>
        <v>2663.0344000000005</v>
      </c>
      <c r="AT661">
        <f t="shared" si="110"/>
        <v>3994.5516000000002</v>
      </c>
      <c r="AU661">
        <f t="shared" si="110"/>
        <v>5658.9481000000005</v>
      </c>
      <c r="AV661">
        <f t="shared" si="110"/>
        <v>7989.1032000000005</v>
      </c>
      <c r="AW661">
        <f t="shared" si="110"/>
        <v>10985.016900000001</v>
      </c>
      <c r="AX661">
        <f t="shared" si="110"/>
        <v>15312.447800000002</v>
      </c>
      <c r="AY661">
        <f t="shared" si="110"/>
        <v>26630.344000000001</v>
      </c>
      <c r="AZ661">
        <f t="shared" si="110"/>
        <v>49931.895000000004</v>
      </c>
      <c r="BA661">
        <f t="shared" si="110"/>
        <v>83219.825000000012</v>
      </c>
      <c r="BB661">
        <f t="shared" si="110"/>
        <v>133151.72</v>
      </c>
      <c r="BC661">
        <f t="shared" si="108"/>
        <v>332879.30000000005</v>
      </c>
      <c r="BD661">
        <f t="shared" si="108"/>
        <v>499318.95000000007</v>
      </c>
      <c r="BE661">
        <f t="shared" si="108"/>
        <v>798910.32000000007</v>
      </c>
      <c r="BF661">
        <f t="shared" si="108"/>
        <v>998637.90000000014</v>
      </c>
      <c r="BG661">
        <f t="shared" si="108"/>
        <v>3328793.0000000005</v>
      </c>
      <c r="BH661">
        <f t="shared" si="108"/>
        <v>9986379</v>
      </c>
      <c r="BI661">
        <f t="shared" si="108"/>
        <v>28294740.500000004</v>
      </c>
      <c r="BJ661">
        <f t="shared" si="108"/>
        <v>99863790.000000015</v>
      </c>
      <c r="BK661">
        <f t="shared" si="108"/>
        <v>332879300</v>
      </c>
      <c r="BL661">
        <v>656</v>
      </c>
    </row>
    <row r="662" spans="1:64" ht="17.25" thickBot="1" x14ac:dyDescent="0.25">
      <c r="A662" s="131">
        <v>658</v>
      </c>
      <c r="B662" s="132">
        <v>221784605</v>
      </c>
      <c r="D662" s="131">
        <v>658</v>
      </c>
      <c r="E662" s="132">
        <v>33.446089999999998</v>
      </c>
      <c r="AK662">
        <v>656</v>
      </c>
      <c r="AL662" s="24">
        <f t="shared" si="107"/>
        <v>33.340730000000001</v>
      </c>
      <c r="AM662">
        <f t="shared" si="110"/>
        <v>233.38511</v>
      </c>
      <c r="AN662">
        <f t="shared" si="110"/>
        <v>333.40730000000002</v>
      </c>
      <c r="AO662">
        <f t="shared" si="110"/>
        <v>500.11095</v>
      </c>
      <c r="AP662">
        <f t="shared" si="110"/>
        <v>666.81460000000004</v>
      </c>
      <c r="AQ662">
        <f t="shared" si="110"/>
        <v>1166.9255499999999</v>
      </c>
      <c r="AR662">
        <f t="shared" si="110"/>
        <v>1667.0364999999999</v>
      </c>
      <c r="AS662">
        <f t="shared" si="110"/>
        <v>2667.2584000000002</v>
      </c>
      <c r="AT662">
        <f t="shared" si="110"/>
        <v>4000.8876</v>
      </c>
      <c r="AU662">
        <f t="shared" si="110"/>
        <v>5667.9241000000002</v>
      </c>
      <c r="AV662">
        <f t="shared" si="110"/>
        <v>8001.7752</v>
      </c>
      <c r="AW662">
        <f t="shared" si="110"/>
        <v>11002.4409</v>
      </c>
      <c r="AX662">
        <f t="shared" si="110"/>
        <v>15336.7358</v>
      </c>
      <c r="AY662">
        <f t="shared" si="110"/>
        <v>26672.583999999999</v>
      </c>
      <c r="AZ662">
        <f t="shared" si="110"/>
        <v>50011.095000000001</v>
      </c>
      <c r="BA662">
        <f t="shared" si="110"/>
        <v>83351.824999999997</v>
      </c>
      <c r="BB662">
        <f t="shared" si="110"/>
        <v>133362.92000000001</v>
      </c>
      <c r="BC662">
        <f t="shared" si="108"/>
        <v>333407.3</v>
      </c>
      <c r="BD662">
        <f t="shared" si="108"/>
        <v>500110.95</v>
      </c>
      <c r="BE662">
        <f t="shared" si="108"/>
        <v>800177.52</v>
      </c>
      <c r="BF662">
        <f t="shared" si="108"/>
        <v>1000221.9</v>
      </c>
      <c r="BG662">
        <f t="shared" si="108"/>
        <v>3334073</v>
      </c>
      <c r="BH662">
        <f t="shared" si="108"/>
        <v>10002219</v>
      </c>
      <c r="BI662">
        <f t="shared" si="108"/>
        <v>28339620.5</v>
      </c>
      <c r="BJ662">
        <f t="shared" si="108"/>
        <v>100022190</v>
      </c>
      <c r="BK662">
        <f t="shared" si="108"/>
        <v>333407300</v>
      </c>
      <c r="BL662">
        <v>657</v>
      </c>
    </row>
    <row r="663" spans="1:64" ht="17.25" thickBot="1" x14ac:dyDescent="0.25">
      <c r="A663" s="131">
        <v>659</v>
      </c>
      <c r="B663" s="132">
        <v>223344283</v>
      </c>
      <c r="D663" s="131">
        <v>659</v>
      </c>
      <c r="E663" s="132">
        <v>33.498649999999998</v>
      </c>
      <c r="AK663">
        <v>657</v>
      </c>
      <c r="AL663" s="24">
        <f t="shared" si="107"/>
        <v>33.393450000000001</v>
      </c>
      <c r="AM663">
        <f t="shared" si="110"/>
        <v>233.75415000000001</v>
      </c>
      <c r="AN663">
        <f t="shared" si="110"/>
        <v>333.93450000000001</v>
      </c>
      <c r="AO663">
        <f t="shared" si="110"/>
        <v>500.90174999999999</v>
      </c>
      <c r="AP663">
        <f t="shared" si="110"/>
        <v>667.86900000000003</v>
      </c>
      <c r="AQ663">
        <f t="shared" si="110"/>
        <v>1168.7707500000001</v>
      </c>
      <c r="AR663">
        <f t="shared" si="110"/>
        <v>1669.6725000000001</v>
      </c>
      <c r="AS663">
        <f t="shared" si="110"/>
        <v>2671.4760000000001</v>
      </c>
      <c r="AT663">
        <f t="shared" si="110"/>
        <v>4007.2139999999999</v>
      </c>
      <c r="AU663">
        <f t="shared" si="110"/>
        <v>5676.8865000000005</v>
      </c>
      <c r="AV663">
        <f t="shared" si="110"/>
        <v>8014.4279999999999</v>
      </c>
      <c r="AW663">
        <f t="shared" si="110"/>
        <v>11019.8385</v>
      </c>
      <c r="AX663">
        <f t="shared" si="110"/>
        <v>15360.987000000001</v>
      </c>
      <c r="AY663">
        <f t="shared" si="110"/>
        <v>26714.760000000002</v>
      </c>
      <c r="AZ663">
        <f t="shared" si="110"/>
        <v>50090.175000000003</v>
      </c>
      <c r="BA663">
        <f t="shared" si="110"/>
        <v>83483.625</v>
      </c>
      <c r="BB663">
        <f t="shared" si="110"/>
        <v>133573.80000000002</v>
      </c>
      <c r="BC663">
        <f t="shared" si="108"/>
        <v>333934.5</v>
      </c>
      <c r="BD663">
        <f t="shared" si="108"/>
        <v>500901.75</v>
      </c>
      <c r="BE663">
        <f t="shared" si="108"/>
        <v>801442.8</v>
      </c>
      <c r="BF663">
        <f t="shared" si="108"/>
        <v>1001803.5</v>
      </c>
      <c r="BG663">
        <f t="shared" si="108"/>
        <v>3339345</v>
      </c>
      <c r="BH663">
        <f t="shared" si="108"/>
        <v>10018035</v>
      </c>
      <c r="BI663">
        <f t="shared" si="108"/>
        <v>28384432.5</v>
      </c>
      <c r="BJ663">
        <f t="shared" si="108"/>
        <v>100180350</v>
      </c>
      <c r="BK663">
        <f t="shared" si="108"/>
        <v>333934500</v>
      </c>
      <c r="BL663">
        <v>658</v>
      </c>
    </row>
    <row r="664" spans="1:64" ht="17.25" thickBot="1" x14ac:dyDescent="0.25">
      <c r="A664" s="131">
        <v>660</v>
      </c>
      <c r="B664" s="132">
        <v>224916938</v>
      </c>
      <c r="D664" s="131">
        <v>660</v>
      </c>
      <c r="E664" s="132">
        <v>33.551130000000001</v>
      </c>
      <c r="AK664">
        <v>658</v>
      </c>
      <c r="AL664" s="24">
        <f t="shared" si="107"/>
        <v>33.446089999999998</v>
      </c>
      <c r="AM664">
        <f t="shared" si="110"/>
        <v>234.12262999999999</v>
      </c>
      <c r="AN664">
        <f t="shared" si="110"/>
        <v>334.46089999999998</v>
      </c>
      <c r="AO664">
        <f t="shared" si="110"/>
        <v>501.69134999999994</v>
      </c>
      <c r="AP664">
        <f t="shared" si="110"/>
        <v>668.92179999999996</v>
      </c>
      <c r="AQ664">
        <f t="shared" si="110"/>
        <v>1170.6131499999999</v>
      </c>
      <c r="AR664">
        <f t="shared" si="110"/>
        <v>1672.3045</v>
      </c>
      <c r="AS664">
        <f t="shared" si="110"/>
        <v>2675.6871999999998</v>
      </c>
      <c r="AT664">
        <f t="shared" si="110"/>
        <v>4013.5307999999995</v>
      </c>
      <c r="AU664">
        <f t="shared" si="110"/>
        <v>5685.8352999999997</v>
      </c>
      <c r="AV664">
        <f t="shared" si="110"/>
        <v>8027.0615999999991</v>
      </c>
      <c r="AW664">
        <f t="shared" si="110"/>
        <v>11037.209699999999</v>
      </c>
      <c r="AX664">
        <f t="shared" si="110"/>
        <v>15385.2014</v>
      </c>
      <c r="AY664">
        <f t="shared" si="110"/>
        <v>26756.871999999999</v>
      </c>
      <c r="AZ664">
        <f t="shared" si="110"/>
        <v>50169.134999999995</v>
      </c>
      <c r="BA664">
        <f t="shared" si="110"/>
        <v>83615.224999999991</v>
      </c>
      <c r="BB664">
        <f t="shared" si="110"/>
        <v>133784.35999999999</v>
      </c>
      <c r="BC664">
        <f t="shared" si="108"/>
        <v>334460.89999999997</v>
      </c>
      <c r="BD664">
        <f t="shared" si="108"/>
        <v>501691.35</v>
      </c>
      <c r="BE664">
        <f t="shared" si="108"/>
        <v>802706.15999999992</v>
      </c>
      <c r="BF664">
        <f t="shared" si="108"/>
        <v>1003382.7</v>
      </c>
      <c r="BG664">
        <f t="shared" si="108"/>
        <v>3344609</v>
      </c>
      <c r="BH664">
        <f t="shared" si="108"/>
        <v>10033827</v>
      </c>
      <c r="BI664">
        <f t="shared" si="108"/>
        <v>28429176.5</v>
      </c>
      <c r="BJ664">
        <f t="shared" si="108"/>
        <v>100338270</v>
      </c>
      <c r="BK664">
        <f t="shared" si="108"/>
        <v>334460900</v>
      </c>
      <c r="BL664">
        <v>659</v>
      </c>
    </row>
    <row r="665" spans="1:64" ht="17.25" thickBot="1" x14ac:dyDescent="0.25">
      <c r="A665" s="131">
        <v>661</v>
      </c>
      <c r="B665" s="132">
        <v>226502650</v>
      </c>
      <c r="D665" s="131">
        <v>661</v>
      </c>
      <c r="E665" s="132">
        <v>33.603529999999999</v>
      </c>
      <c r="AK665">
        <v>659</v>
      </c>
      <c r="AL665" s="24">
        <f t="shared" si="107"/>
        <v>33.498649999999998</v>
      </c>
      <c r="AM665">
        <f t="shared" si="110"/>
        <v>234.49054999999998</v>
      </c>
      <c r="AN665">
        <f t="shared" si="110"/>
        <v>334.98649999999998</v>
      </c>
      <c r="AO665">
        <f t="shared" si="110"/>
        <v>502.47974999999997</v>
      </c>
      <c r="AP665">
        <f t="shared" si="110"/>
        <v>669.97299999999996</v>
      </c>
      <c r="AQ665">
        <f t="shared" si="110"/>
        <v>1172.4527499999999</v>
      </c>
      <c r="AR665">
        <f t="shared" si="110"/>
        <v>1674.9324999999999</v>
      </c>
      <c r="AS665">
        <f t="shared" si="110"/>
        <v>2679.8919999999998</v>
      </c>
      <c r="AT665">
        <f t="shared" si="110"/>
        <v>4019.8379999999997</v>
      </c>
      <c r="AU665">
        <f t="shared" si="110"/>
        <v>5694.7704999999996</v>
      </c>
      <c r="AV665">
        <f t="shared" si="110"/>
        <v>8039.6759999999995</v>
      </c>
      <c r="AW665">
        <f t="shared" si="110"/>
        <v>11054.554499999998</v>
      </c>
      <c r="AX665">
        <f t="shared" si="110"/>
        <v>15409.378999999999</v>
      </c>
      <c r="AY665">
        <f t="shared" si="110"/>
        <v>26798.92</v>
      </c>
      <c r="AZ665">
        <f t="shared" si="110"/>
        <v>50247.974999999999</v>
      </c>
      <c r="BA665">
        <f t="shared" si="110"/>
        <v>83746.625</v>
      </c>
      <c r="BB665">
        <f t="shared" si="110"/>
        <v>133994.59999999998</v>
      </c>
      <c r="BC665">
        <f t="shared" ref="BC665:BK693" si="111">BC$5*VLOOKUP($AK665,$D$2:$E$1404,2,FALSE)</f>
        <v>334986.5</v>
      </c>
      <c r="BD665">
        <f t="shared" si="111"/>
        <v>502479.74999999994</v>
      </c>
      <c r="BE665">
        <f t="shared" si="111"/>
        <v>803967.6</v>
      </c>
      <c r="BF665">
        <f t="shared" si="111"/>
        <v>1004959.4999999999</v>
      </c>
      <c r="BG665">
        <f t="shared" si="111"/>
        <v>3349865</v>
      </c>
      <c r="BH665">
        <f t="shared" si="111"/>
        <v>10049595</v>
      </c>
      <c r="BI665">
        <f t="shared" si="111"/>
        <v>28473852.5</v>
      </c>
      <c r="BJ665">
        <f t="shared" si="111"/>
        <v>100495950</v>
      </c>
      <c r="BK665">
        <f t="shared" si="111"/>
        <v>334986500</v>
      </c>
      <c r="BL665">
        <v>660</v>
      </c>
    </row>
    <row r="666" spans="1:64" ht="17.25" thickBot="1" x14ac:dyDescent="0.25">
      <c r="A666" s="131">
        <v>662</v>
      </c>
      <c r="B666" s="132">
        <v>228101488</v>
      </c>
      <c r="D666" s="131">
        <v>662</v>
      </c>
      <c r="E666" s="132">
        <v>33.655850000000001</v>
      </c>
      <c r="AK666">
        <v>660</v>
      </c>
      <c r="AL666" s="24">
        <f t="shared" si="107"/>
        <v>33.551130000000001</v>
      </c>
      <c r="AM666">
        <f t="shared" si="110"/>
        <v>234.85791</v>
      </c>
      <c r="AN666">
        <f t="shared" si="110"/>
        <v>335.51130000000001</v>
      </c>
      <c r="AO666">
        <f t="shared" si="110"/>
        <v>503.26695000000001</v>
      </c>
      <c r="AP666">
        <f t="shared" si="110"/>
        <v>671.02260000000001</v>
      </c>
      <c r="AQ666">
        <f t="shared" si="110"/>
        <v>1174.28955</v>
      </c>
      <c r="AR666">
        <f t="shared" si="110"/>
        <v>1677.5565000000001</v>
      </c>
      <c r="AS666">
        <f t="shared" si="110"/>
        <v>2684.0904</v>
      </c>
      <c r="AT666">
        <f t="shared" si="110"/>
        <v>4026.1356000000001</v>
      </c>
      <c r="AU666">
        <f t="shared" si="110"/>
        <v>5703.6921000000002</v>
      </c>
      <c r="AV666">
        <f t="shared" si="110"/>
        <v>8052.2712000000001</v>
      </c>
      <c r="AW666">
        <f t="shared" si="110"/>
        <v>11071.8729</v>
      </c>
      <c r="AX666">
        <f t="shared" si="110"/>
        <v>15433.5198</v>
      </c>
      <c r="AY666">
        <f t="shared" si="110"/>
        <v>26840.904000000002</v>
      </c>
      <c r="AZ666">
        <f t="shared" si="110"/>
        <v>50326.695</v>
      </c>
      <c r="BA666">
        <f t="shared" si="110"/>
        <v>83877.824999999997</v>
      </c>
      <c r="BB666">
        <f t="shared" si="110"/>
        <v>134204.51999999999</v>
      </c>
      <c r="BC666">
        <f t="shared" si="111"/>
        <v>335511.3</v>
      </c>
      <c r="BD666">
        <f t="shared" si="111"/>
        <v>503266.95</v>
      </c>
      <c r="BE666">
        <f t="shared" si="111"/>
        <v>805227.12</v>
      </c>
      <c r="BF666">
        <f t="shared" si="111"/>
        <v>1006533.9</v>
      </c>
      <c r="BG666">
        <f t="shared" si="111"/>
        <v>3355113</v>
      </c>
      <c r="BH666">
        <f t="shared" si="111"/>
        <v>10065339</v>
      </c>
      <c r="BI666">
        <f t="shared" si="111"/>
        <v>28518460.5</v>
      </c>
      <c r="BJ666">
        <f t="shared" si="111"/>
        <v>100653390</v>
      </c>
      <c r="BK666">
        <f t="shared" si="111"/>
        <v>335511300</v>
      </c>
      <c r="BL666">
        <v>661</v>
      </c>
    </row>
    <row r="667" spans="1:64" ht="17.25" thickBot="1" x14ac:dyDescent="0.25">
      <c r="A667" s="131">
        <v>663</v>
      </c>
      <c r="B667" s="132">
        <v>229713533</v>
      </c>
      <c r="D667" s="131">
        <v>663</v>
      </c>
      <c r="E667" s="132">
        <v>33.708089999999999</v>
      </c>
      <c r="AK667">
        <v>661</v>
      </c>
      <c r="AL667" s="24">
        <f t="shared" si="107"/>
        <v>33.603529999999999</v>
      </c>
      <c r="AM667">
        <f t="shared" si="110"/>
        <v>235.22470999999999</v>
      </c>
      <c r="AN667">
        <f t="shared" si="110"/>
        <v>336.03530000000001</v>
      </c>
      <c r="AO667">
        <f t="shared" si="110"/>
        <v>504.05295000000001</v>
      </c>
      <c r="AP667">
        <f t="shared" si="110"/>
        <v>672.07060000000001</v>
      </c>
      <c r="AQ667">
        <f t="shared" si="110"/>
        <v>1176.12355</v>
      </c>
      <c r="AR667">
        <f t="shared" si="110"/>
        <v>1680.1765</v>
      </c>
      <c r="AS667">
        <f t="shared" si="110"/>
        <v>2688.2824000000001</v>
      </c>
      <c r="AT667">
        <f t="shared" si="110"/>
        <v>4032.4236000000001</v>
      </c>
      <c r="AU667">
        <f t="shared" si="110"/>
        <v>5712.6000999999997</v>
      </c>
      <c r="AV667">
        <f t="shared" si="110"/>
        <v>8064.8472000000002</v>
      </c>
      <c r="AW667">
        <f t="shared" si="110"/>
        <v>11089.1649</v>
      </c>
      <c r="AX667">
        <f t="shared" si="110"/>
        <v>15457.623799999999</v>
      </c>
      <c r="AY667">
        <f t="shared" si="110"/>
        <v>26882.824000000001</v>
      </c>
      <c r="AZ667">
        <f t="shared" si="110"/>
        <v>50405.294999999998</v>
      </c>
      <c r="BA667">
        <f t="shared" si="110"/>
        <v>84008.824999999997</v>
      </c>
      <c r="BB667">
        <f t="shared" si="110"/>
        <v>134414.12</v>
      </c>
      <c r="BC667">
        <f t="shared" si="111"/>
        <v>336035.3</v>
      </c>
      <c r="BD667">
        <f t="shared" si="111"/>
        <v>504052.95</v>
      </c>
      <c r="BE667">
        <f t="shared" si="111"/>
        <v>806484.72</v>
      </c>
      <c r="BF667">
        <f t="shared" si="111"/>
        <v>1008105.9</v>
      </c>
      <c r="BG667">
        <f t="shared" si="111"/>
        <v>3360353</v>
      </c>
      <c r="BH667">
        <f t="shared" si="111"/>
        <v>10081059</v>
      </c>
      <c r="BI667">
        <f t="shared" si="111"/>
        <v>28563000.5</v>
      </c>
      <c r="BJ667">
        <f t="shared" si="111"/>
        <v>100810590</v>
      </c>
      <c r="BK667">
        <f t="shared" si="111"/>
        <v>336035300</v>
      </c>
      <c r="BL667">
        <v>662</v>
      </c>
    </row>
    <row r="668" spans="1:64" ht="17.25" thickBot="1" x14ac:dyDescent="0.25">
      <c r="A668" s="131">
        <v>664</v>
      </c>
      <c r="B668" s="132">
        <v>231338861</v>
      </c>
      <c r="D668" s="131">
        <v>664</v>
      </c>
      <c r="E668" s="132">
        <v>33.760260000000002</v>
      </c>
      <c r="AK668">
        <v>662</v>
      </c>
      <c r="AL668" s="24">
        <f t="shared" si="107"/>
        <v>33.655850000000001</v>
      </c>
      <c r="AM668">
        <f t="shared" si="110"/>
        <v>235.59095000000002</v>
      </c>
      <c r="AN668">
        <f t="shared" si="110"/>
        <v>336.55849999999998</v>
      </c>
      <c r="AO668">
        <f t="shared" si="110"/>
        <v>504.83775000000003</v>
      </c>
      <c r="AP668">
        <f t="shared" si="110"/>
        <v>673.11699999999996</v>
      </c>
      <c r="AQ668">
        <f t="shared" si="110"/>
        <v>1177.9547500000001</v>
      </c>
      <c r="AR668">
        <f t="shared" si="110"/>
        <v>1682.7925</v>
      </c>
      <c r="AS668">
        <f t="shared" si="110"/>
        <v>2692.4679999999998</v>
      </c>
      <c r="AT668">
        <f t="shared" si="110"/>
        <v>4038.7020000000002</v>
      </c>
      <c r="AU668">
        <f t="shared" si="110"/>
        <v>5721.4944999999998</v>
      </c>
      <c r="AV668">
        <f t="shared" si="110"/>
        <v>8077.4040000000005</v>
      </c>
      <c r="AW668">
        <f t="shared" si="110"/>
        <v>11106.4305</v>
      </c>
      <c r="AX668">
        <f t="shared" si="110"/>
        <v>15481.691000000001</v>
      </c>
      <c r="AY668">
        <f t="shared" si="110"/>
        <v>26924.68</v>
      </c>
      <c r="AZ668">
        <f t="shared" si="110"/>
        <v>50483.775000000001</v>
      </c>
      <c r="BA668">
        <f t="shared" si="110"/>
        <v>84139.625</v>
      </c>
      <c r="BB668">
        <f t="shared" si="110"/>
        <v>134623.4</v>
      </c>
      <c r="BC668">
        <f t="shared" si="111"/>
        <v>336558.5</v>
      </c>
      <c r="BD668">
        <f t="shared" si="111"/>
        <v>504837.75</v>
      </c>
      <c r="BE668">
        <f t="shared" si="111"/>
        <v>807740.4</v>
      </c>
      <c r="BF668">
        <f t="shared" si="111"/>
        <v>1009675.5</v>
      </c>
      <c r="BG668">
        <f t="shared" si="111"/>
        <v>3365585</v>
      </c>
      <c r="BH668">
        <f t="shared" si="111"/>
        <v>10096755</v>
      </c>
      <c r="BI668">
        <f t="shared" si="111"/>
        <v>28607472.5</v>
      </c>
      <c r="BJ668">
        <f t="shared" si="111"/>
        <v>100967550</v>
      </c>
      <c r="BK668">
        <f t="shared" si="111"/>
        <v>336558500</v>
      </c>
      <c r="BL668">
        <v>663</v>
      </c>
    </row>
    <row r="669" spans="1:64" ht="17.25" thickBot="1" x14ac:dyDescent="0.25">
      <c r="A669" s="131">
        <v>665</v>
      </c>
      <c r="B669" s="132">
        <v>232977544</v>
      </c>
      <c r="D669" s="131">
        <v>665</v>
      </c>
      <c r="E669" s="132">
        <v>33.812350000000002</v>
      </c>
      <c r="AK669">
        <v>663</v>
      </c>
      <c r="AL669" s="24">
        <f t="shared" si="107"/>
        <v>33.708089999999999</v>
      </c>
      <c r="AM669">
        <f t="shared" si="110"/>
        <v>235.95662999999999</v>
      </c>
      <c r="AN669">
        <f t="shared" si="110"/>
        <v>337.08089999999999</v>
      </c>
      <c r="AO669">
        <f t="shared" si="110"/>
        <v>505.62135000000001</v>
      </c>
      <c r="AP669">
        <f t="shared" si="110"/>
        <v>674.16179999999997</v>
      </c>
      <c r="AQ669">
        <f t="shared" si="110"/>
        <v>1179.78315</v>
      </c>
      <c r="AR669">
        <f t="shared" si="110"/>
        <v>1685.4044999999999</v>
      </c>
      <c r="AS669">
        <f t="shared" si="110"/>
        <v>2696.6471999999999</v>
      </c>
      <c r="AT669">
        <f t="shared" si="110"/>
        <v>4044.9708000000001</v>
      </c>
      <c r="AU669">
        <f t="shared" si="110"/>
        <v>5730.3752999999997</v>
      </c>
      <c r="AV669">
        <f t="shared" si="110"/>
        <v>8089.9416000000001</v>
      </c>
      <c r="AW669">
        <f t="shared" si="110"/>
        <v>11123.6697</v>
      </c>
      <c r="AX669">
        <f t="shared" si="110"/>
        <v>15505.721399999999</v>
      </c>
      <c r="AY669">
        <f t="shared" si="110"/>
        <v>26966.471999999998</v>
      </c>
      <c r="AZ669">
        <f t="shared" si="110"/>
        <v>50562.134999999995</v>
      </c>
      <c r="BA669">
        <f t="shared" si="110"/>
        <v>84270.224999999991</v>
      </c>
      <c r="BB669">
        <f t="shared" si="110"/>
        <v>134832.35999999999</v>
      </c>
      <c r="BC669">
        <f t="shared" si="111"/>
        <v>337080.89999999997</v>
      </c>
      <c r="BD669">
        <f t="shared" si="111"/>
        <v>505621.35</v>
      </c>
      <c r="BE669">
        <f t="shared" si="111"/>
        <v>808994.15999999992</v>
      </c>
      <c r="BF669">
        <f t="shared" si="111"/>
        <v>1011242.7</v>
      </c>
      <c r="BG669">
        <f t="shared" si="111"/>
        <v>3370809</v>
      </c>
      <c r="BH669">
        <f t="shared" si="111"/>
        <v>10112427</v>
      </c>
      <c r="BI669">
        <f t="shared" si="111"/>
        <v>28651876.5</v>
      </c>
      <c r="BJ669">
        <f t="shared" si="111"/>
        <v>101124270</v>
      </c>
      <c r="BK669">
        <f t="shared" si="111"/>
        <v>337080900</v>
      </c>
      <c r="BL669">
        <v>664</v>
      </c>
    </row>
    <row r="670" spans="1:64" ht="17.25" thickBot="1" x14ac:dyDescent="0.25">
      <c r="A670" s="131">
        <v>666</v>
      </c>
      <c r="B670" s="132">
        <v>234629661</v>
      </c>
      <c r="D670" s="131">
        <v>666</v>
      </c>
      <c r="E670" s="132">
        <v>33.864359999999998</v>
      </c>
      <c r="AK670">
        <v>664</v>
      </c>
      <c r="AL670" s="24">
        <f t="shared" si="107"/>
        <v>33.760260000000002</v>
      </c>
      <c r="AM670">
        <f t="shared" si="110"/>
        <v>236.32182</v>
      </c>
      <c r="AN670">
        <f t="shared" si="110"/>
        <v>337.60260000000005</v>
      </c>
      <c r="AO670">
        <f t="shared" si="110"/>
        <v>506.40390000000002</v>
      </c>
      <c r="AP670">
        <f t="shared" si="110"/>
        <v>675.2052000000001</v>
      </c>
      <c r="AQ670">
        <f t="shared" si="110"/>
        <v>1181.6091000000001</v>
      </c>
      <c r="AR670">
        <f t="shared" si="110"/>
        <v>1688.0130000000001</v>
      </c>
      <c r="AS670">
        <f t="shared" si="110"/>
        <v>2700.8208000000004</v>
      </c>
      <c r="AT670">
        <f t="shared" si="110"/>
        <v>4051.2312000000002</v>
      </c>
      <c r="AU670">
        <f t="shared" si="110"/>
        <v>5739.2442000000001</v>
      </c>
      <c r="AV670">
        <f t="shared" si="110"/>
        <v>8102.4624000000003</v>
      </c>
      <c r="AW670">
        <f t="shared" ref="AM670:BB686" si="112">AW$5*VLOOKUP($AK670,$D$2:$E$1404,2,FALSE)</f>
        <v>11140.8858</v>
      </c>
      <c r="AX670">
        <f t="shared" si="112"/>
        <v>15529.7196</v>
      </c>
      <c r="AY670">
        <f t="shared" si="112"/>
        <v>27008.208000000002</v>
      </c>
      <c r="AZ670">
        <f t="shared" si="112"/>
        <v>50640.390000000007</v>
      </c>
      <c r="BA670">
        <f t="shared" si="112"/>
        <v>84400.650000000009</v>
      </c>
      <c r="BB670">
        <f t="shared" si="112"/>
        <v>135041.04</v>
      </c>
      <c r="BC670">
        <f t="shared" si="111"/>
        <v>337602.60000000003</v>
      </c>
      <c r="BD670">
        <f t="shared" si="111"/>
        <v>506403.9</v>
      </c>
      <c r="BE670">
        <f t="shared" si="111"/>
        <v>810246.24000000011</v>
      </c>
      <c r="BF670">
        <f t="shared" si="111"/>
        <v>1012807.8</v>
      </c>
      <c r="BG670">
        <f t="shared" si="111"/>
        <v>3376026.0000000005</v>
      </c>
      <c r="BH670">
        <f t="shared" si="111"/>
        <v>10128078</v>
      </c>
      <c r="BI670">
        <f t="shared" si="111"/>
        <v>28696221.000000004</v>
      </c>
      <c r="BJ670">
        <f t="shared" si="111"/>
        <v>101280780</v>
      </c>
      <c r="BK670">
        <f t="shared" si="111"/>
        <v>337602600</v>
      </c>
      <c r="BL670">
        <v>665</v>
      </c>
    </row>
    <row r="671" spans="1:64" ht="17.25" thickBot="1" x14ac:dyDescent="0.25">
      <c r="A671" s="131">
        <v>667</v>
      </c>
      <c r="B671" s="132">
        <v>236295288</v>
      </c>
      <c r="D671" s="131">
        <v>667</v>
      </c>
      <c r="E671" s="132">
        <v>33.916289999999996</v>
      </c>
      <c r="AK671">
        <v>665</v>
      </c>
      <c r="AL671" s="24">
        <f t="shared" si="107"/>
        <v>33.812350000000002</v>
      </c>
      <c r="AM671">
        <f t="shared" si="112"/>
        <v>236.68645000000001</v>
      </c>
      <c r="AN671">
        <f t="shared" si="112"/>
        <v>338.12350000000004</v>
      </c>
      <c r="AO671">
        <f t="shared" si="112"/>
        <v>507.18525000000005</v>
      </c>
      <c r="AP671">
        <f t="shared" si="112"/>
        <v>676.24700000000007</v>
      </c>
      <c r="AQ671">
        <f t="shared" si="112"/>
        <v>1183.4322500000001</v>
      </c>
      <c r="AR671">
        <f t="shared" si="112"/>
        <v>1690.6175000000001</v>
      </c>
      <c r="AS671">
        <f t="shared" si="112"/>
        <v>2704.9880000000003</v>
      </c>
      <c r="AT671">
        <f t="shared" si="112"/>
        <v>4057.4820000000004</v>
      </c>
      <c r="AU671">
        <f t="shared" si="112"/>
        <v>5748.0995000000003</v>
      </c>
      <c r="AV671">
        <f t="shared" si="112"/>
        <v>8114.9640000000009</v>
      </c>
      <c r="AW671">
        <f t="shared" si="112"/>
        <v>11158.075500000001</v>
      </c>
      <c r="AX671">
        <f t="shared" si="112"/>
        <v>15553.681</v>
      </c>
      <c r="AY671">
        <f t="shared" si="112"/>
        <v>27049.88</v>
      </c>
      <c r="AZ671">
        <f t="shared" si="112"/>
        <v>50718.525000000001</v>
      </c>
      <c r="BA671">
        <f t="shared" si="112"/>
        <v>84530.875</v>
      </c>
      <c r="BB671">
        <f t="shared" si="112"/>
        <v>135249.4</v>
      </c>
      <c r="BC671">
        <f t="shared" si="111"/>
        <v>338123.5</v>
      </c>
      <c r="BD671">
        <f t="shared" si="111"/>
        <v>507185.25000000006</v>
      </c>
      <c r="BE671">
        <f t="shared" si="111"/>
        <v>811496.4</v>
      </c>
      <c r="BF671">
        <f t="shared" si="111"/>
        <v>1014370.5000000001</v>
      </c>
      <c r="BG671">
        <f t="shared" si="111"/>
        <v>3381235</v>
      </c>
      <c r="BH671">
        <f t="shared" si="111"/>
        <v>10143705</v>
      </c>
      <c r="BI671">
        <f t="shared" si="111"/>
        <v>28740497.5</v>
      </c>
      <c r="BJ671">
        <f t="shared" si="111"/>
        <v>101437050</v>
      </c>
      <c r="BK671">
        <f t="shared" si="111"/>
        <v>338123500</v>
      </c>
      <c r="BL671">
        <v>666</v>
      </c>
    </row>
    <row r="672" spans="1:64" ht="17.25" thickBot="1" x14ac:dyDescent="0.25">
      <c r="A672" s="131">
        <v>668</v>
      </c>
      <c r="B672" s="132">
        <v>237974500</v>
      </c>
      <c r="D672" s="131">
        <v>668</v>
      </c>
      <c r="E672" s="132">
        <v>33.968150000000001</v>
      </c>
      <c r="AK672">
        <v>666</v>
      </c>
      <c r="AL672" s="24">
        <f t="shared" si="107"/>
        <v>33.864359999999998</v>
      </c>
      <c r="AM672">
        <f t="shared" si="112"/>
        <v>237.05051999999998</v>
      </c>
      <c r="AN672">
        <f t="shared" si="112"/>
        <v>338.64359999999999</v>
      </c>
      <c r="AO672">
        <f t="shared" si="112"/>
        <v>507.96539999999999</v>
      </c>
      <c r="AP672">
        <f t="shared" si="112"/>
        <v>677.28719999999998</v>
      </c>
      <c r="AQ672">
        <f t="shared" si="112"/>
        <v>1185.2526</v>
      </c>
      <c r="AR672">
        <f t="shared" si="112"/>
        <v>1693.2179999999998</v>
      </c>
      <c r="AS672">
        <f t="shared" si="112"/>
        <v>2709.1487999999999</v>
      </c>
      <c r="AT672">
        <f t="shared" si="112"/>
        <v>4063.7231999999999</v>
      </c>
      <c r="AU672">
        <f t="shared" si="112"/>
        <v>5756.9411999999993</v>
      </c>
      <c r="AV672">
        <f t="shared" si="112"/>
        <v>8127.4463999999998</v>
      </c>
      <c r="AW672">
        <f t="shared" si="112"/>
        <v>11175.238799999999</v>
      </c>
      <c r="AX672">
        <f t="shared" si="112"/>
        <v>15577.605599999999</v>
      </c>
      <c r="AY672">
        <f t="shared" si="112"/>
        <v>27091.487999999998</v>
      </c>
      <c r="AZ672">
        <f t="shared" si="112"/>
        <v>50796.539999999994</v>
      </c>
      <c r="BA672">
        <f t="shared" si="112"/>
        <v>84660.9</v>
      </c>
      <c r="BB672">
        <f t="shared" si="112"/>
        <v>135457.44</v>
      </c>
      <c r="BC672">
        <f t="shared" si="111"/>
        <v>338643.6</v>
      </c>
      <c r="BD672">
        <f t="shared" si="111"/>
        <v>507965.39999999997</v>
      </c>
      <c r="BE672">
        <f t="shared" si="111"/>
        <v>812744.6399999999</v>
      </c>
      <c r="BF672">
        <f t="shared" si="111"/>
        <v>1015930.7999999999</v>
      </c>
      <c r="BG672">
        <f t="shared" si="111"/>
        <v>3386436</v>
      </c>
      <c r="BH672">
        <f t="shared" si="111"/>
        <v>10159308</v>
      </c>
      <c r="BI672">
        <f t="shared" si="111"/>
        <v>28784705.999999996</v>
      </c>
      <c r="BJ672">
        <f t="shared" si="111"/>
        <v>101593080</v>
      </c>
      <c r="BK672">
        <f t="shared" si="111"/>
        <v>338643600</v>
      </c>
      <c r="BL672">
        <v>667</v>
      </c>
    </row>
    <row r="673" spans="1:64" ht="17.25" thickBot="1" x14ac:dyDescent="0.25">
      <c r="A673" s="131">
        <v>669</v>
      </c>
      <c r="B673" s="132">
        <v>239667377</v>
      </c>
      <c r="D673" s="131">
        <v>669</v>
      </c>
      <c r="E673" s="132">
        <v>34.019930000000002</v>
      </c>
      <c r="AK673">
        <v>667</v>
      </c>
      <c r="AL673" s="24">
        <f t="shared" si="107"/>
        <v>33.916289999999996</v>
      </c>
      <c r="AM673">
        <f t="shared" si="112"/>
        <v>237.41402999999997</v>
      </c>
      <c r="AN673">
        <f t="shared" si="112"/>
        <v>339.16289999999998</v>
      </c>
      <c r="AO673">
        <f t="shared" si="112"/>
        <v>508.74434999999994</v>
      </c>
      <c r="AP673">
        <f t="shared" si="112"/>
        <v>678.32579999999996</v>
      </c>
      <c r="AQ673">
        <f t="shared" si="112"/>
        <v>1187.0701499999998</v>
      </c>
      <c r="AR673">
        <f t="shared" si="112"/>
        <v>1695.8144999999997</v>
      </c>
      <c r="AS673">
        <f t="shared" si="112"/>
        <v>2713.3031999999998</v>
      </c>
      <c r="AT673">
        <f t="shared" si="112"/>
        <v>4069.9547999999995</v>
      </c>
      <c r="AU673">
        <f t="shared" si="112"/>
        <v>5765.769299999999</v>
      </c>
      <c r="AV673">
        <f t="shared" si="112"/>
        <v>8139.909599999999</v>
      </c>
      <c r="AW673">
        <f t="shared" si="112"/>
        <v>11192.375699999999</v>
      </c>
      <c r="AX673">
        <f t="shared" si="112"/>
        <v>15601.493399999998</v>
      </c>
      <c r="AY673">
        <f t="shared" si="112"/>
        <v>27133.031999999996</v>
      </c>
      <c r="AZ673">
        <f t="shared" si="112"/>
        <v>50874.434999999998</v>
      </c>
      <c r="BA673">
        <f t="shared" si="112"/>
        <v>84790.724999999991</v>
      </c>
      <c r="BB673">
        <f t="shared" si="112"/>
        <v>135665.15999999997</v>
      </c>
      <c r="BC673">
        <f t="shared" si="111"/>
        <v>339162.89999999997</v>
      </c>
      <c r="BD673">
        <f t="shared" si="111"/>
        <v>508744.34999999992</v>
      </c>
      <c r="BE673">
        <f t="shared" si="111"/>
        <v>813990.96</v>
      </c>
      <c r="BF673">
        <f t="shared" si="111"/>
        <v>1017488.6999999998</v>
      </c>
      <c r="BG673">
        <f t="shared" si="111"/>
        <v>3391628.9999999995</v>
      </c>
      <c r="BH673">
        <f t="shared" si="111"/>
        <v>10174886.999999998</v>
      </c>
      <c r="BI673">
        <f t="shared" si="111"/>
        <v>28828846.499999996</v>
      </c>
      <c r="BJ673">
        <f t="shared" si="111"/>
        <v>101748869.99999999</v>
      </c>
      <c r="BK673">
        <f t="shared" si="111"/>
        <v>339162899.99999994</v>
      </c>
      <c r="BL673">
        <v>668</v>
      </c>
    </row>
    <row r="674" spans="1:64" ht="17.25" thickBot="1" x14ac:dyDescent="0.25">
      <c r="A674" s="131">
        <v>670</v>
      </c>
      <c r="B674" s="132">
        <v>241373994</v>
      </c>
      <c r="D674" s="131">
        <v>670</v>
      </c>
      <c r="E674" s="132">
        <v>34.071629999999999</v>
      </c>
      <c r="AK674">
        <v>668</v>
      </c>
      <c r="AL674" s="24">
        <f t="shared" si="107"/>
        <v>33.968150000000001</v>
      </c>
      <c r="AM674">
        <f t="shared" si="112"/>
        <v>237.77705</v>
      </c>
      <c r="AN674">
        <f t="shared" si="112"/>
        <v>339.68150000000003</v>
      </c>
      <c r="AO674">
        <f t="shared" si="112"/>
        <v>509.52225000000004</v>
      </c>
      <c r="AP674">
        <f t="shared" si="112"/>
        <v>679.36300000000006</v>
      </c>
      <c r="AQ674">
        <f t="shared" si="112"/>
        <v>1188.88525</v>
      </c>
      <c r="AR674">
        <f t="shared" si="112"/>
        <v>1698.4075</v>
      </c>
      <c r="AS674">
        <f t="shared" si="112"/>
        <v>2717.4520000000002</v>
      </c>
      <c r="AT674">
        <f t="shared" si="112"/>
        <v>4076.1780000000003</v>
      </c>
      <c r="AU674">
        <f t="shared" si="112"/>
        <v>5774.5855000000001</v>
      </c>
      <c r="AV674">
        <f t="shared" si="112"/>
        <v>8152.3560000000007</v>
      </c>
      <c r="AW674">
        <f t="shared" si="112"/>
        <v>11209.4895</v>
      </c>
      <c r="AX674">
        <f t="shared" si="112"/>
        <v>15625.349</v>
      </c>
      <c r="AY674">
        <f t="shared" si="112"/>
        <v>27174.52</v>
      </c>
      <c r="AZ674">
        <f t="shared" si="112"/>
        <v>50952.224999999999</v>
      </c>
      <c r="BA674">
        <f t="shared" si="112"/>
        <v>84920.375</v>
      </c>
      <c r="BB674">
        <f t="shared" si="112"/>
        <v>135872.6</v>
      </c>
      <c r="BC674">
        <f t="shared" si="111"/>
        <v>339681.5</v>
      </c>
      <c r="BD674">
        <f t="shared" si="111"/>
        <v>509522.25</v>
      </c>
      <c r="BE674">
        <f t="shared" si="111"/>
        <v>815235.6</v>
      </c>
      <c r="BF674">
        <f t="shared" si="111"/>
        <v>1019044.5</v>
      </c>
      <c r="BG674">
        <f t="shared" si="111"/>
        <v>3396815</v>
      </c>
      <c r="BH674">
        <f t="shared" si="111"/>
        <v>10190445</v>
      </c>
      <c r="BI674">
        <f t="shared" si="111"/>
        <v>28872927.5</v>
      </c>
      <c r="BJ674">
        <f t="shared" si="111"/>
        <v>101904450</v>
      </c>
      <c r="BK674">
        <f t="shared" si="111"/>
        <v>339681500</v>
      </c>
      <c r="BL674">
        <v>669</v>
      </c>
    </row>
    <row r="675" spans="1:64" ht="17.25" thickBot="1" x14ac:dyDescent="0.25">
      <c r="A675" s="131">
        <v>671</v>
      </c>
      <c r="B675" s="132">
        <v>243094433</v>
      </c>
      <c r="D675" s="131">
        <v>671</v>
      </c>
      <c r="E675" s="132">
        <v>34.123260000000002</v>
      </c>
      <c r="AK675">
        <v>669</v>
      </c>
      <c r="AL675" s="24">
        <f t="shared" si="107"/>
        <v>34.019930000000002</v>
      </c>
      <c r="AM675">
        <f t="shared" si="112"/>
        <v>238.13951000000003</v>
      </c>
      <c r="AN675">
        <f t="shared" si="112"/>
        <v>340.19929999999999</v>
      </c>
      <c r="AO675">
        <f t="shared" si="112"/>
        <v>510.29895000000005</v>
      </c>
      <c r="AP675">
        <f t="shared" si="112"/>
        <v>680.39859999999999</v>
      </c>
      <c r="AQ675">
        <f t="shared" si="112"/>
        <v>1190.6975500000001</v>
      </c>
      <c r="AR675">
        <f t="shared" si="112"/>
        <v>1700.9965000000002</v>
      </c>
      <c r="AS675">
        <f t="shared" si="112"/>
        <v>2721.5944</v>
      </c>
      <c r="AT675">
        <f t="shared" si="112"/>
        <v>4082.3916000000004</v>
      </c>
      <c r="AU675">
        <f t="shared" si="112"/>
        <v>5783.3881000000001</v>
      </c>
      <c r="AV675">
        <f t="shared" si="112"/>
        <v>8164.7832000000008</v>
      </c>
      <c r="AW675">
        <f t="shared" si="112"/>
        <v>11226.5769</v>
      </c>
      <c r="AX675">
        <f t="shared" si="112"/>
        <v>15649.167800000001</v>
      </c>
      <c r="AY675">
        <f t="shared" si="112"/>
        <v>27215.944000000003</v>
      </c>
      <c r="AZ675">
        <f t="shared" si="112"/>
        <v>51029.895000000004</v>
      </c>
      <c r="BA675">
        <f t="shared" si="112"/>
        <v>85049.825000000012</v>
      </c>
      <c r="BB675">
        <f t="shared" si="112"/>
        <v>136079.72</v>
      </c>
      <c r="BC675">
        <f t="shared" si="111"/>
        <v>340199.30000000005</v>
      </c>
      <c r="BD675">
        <f t="shared" si="111"/>
        <v>510298.95</v>
      </c>
      <c r="BE675">
        <f t="shared" si="111"/>
        <v>816478.32000000007</v>
      </c>
      <c r="BF675">
        <f t="shared" si="111"/>
        <v>1020597.9</v>
      </c>
      <c r="BG675">
        <f t="shared" si="111"/>
        <v>3401993</v>
      </c>
      <c r="BH675">
        <f t="shared" si="111"/>
        <v>10205979</v>
      </c>
      <c r="BI675">
        <f t="shared" si="111"/>
        <v>28916940.500000004</v>
      </c>
      <c r="BJ675">
        <f t="shared" si="111"/>
        <v>102059790</v>
      </c>
      <c r="BK675">
        <f t="shared" si="111"/>
        <v>340199300</v>
      </c>
      <c r="BL675">
        <v>670</v>
      </c>
    </row>
    <row r="676" spans="1:64" ht="17.25" thickBot="1" x14ac:dyDescent="0.25">
      <c r="A676" s="131">
        <v>672</v>
      </c>
      <c r="B676" s="132">
        <v>244828766</v>
      </c>
      <c r="D676" s="131">
        <v>672</v>
      </c>
      <c r="E676" s="132">
        <v>34.174810000000001</v>
      </c>
      <c r="AK676">
        <v>670</v>
      </c>
      <c r="AL676" s="24">
        <f t="shared" si="107"/>
        <v>34.071629999999999</v>
      </c>
      <c r="AM676">
        <f t="shared" si="112"/>
        <v>238.50140999999999</v>
      </c>
      <c r="AN676">
        <f t="shared" si="112"/>
        <v>340.71629999999999</v>
      </c>
      <c r="AO676">
        <f t="shared" si="112"/>
        <v>511.07444999999996</v>
      </c>
      <c r="AP676">
        <f t="shared" si="112"/>
        <v>681.43259999999998</v>
      </c>
      <c r="AQ676">
        <f t="shared" si="112"/>
        <v>1192.5070499999999</v>
      </c>
      <c r="AR676">
        <f t="shared" si="112"/>
        <v>1703.5815</v>
      </c>
      <c r="AS676">
        <f t="shared" si="112"/>
        <v>2725.7303999999999</v>
      </c>
      <c r="AT676">
        <f t="shared" si="112"/>
        <v>4088.5955999999996</v>
      </c>
      <c r="AU676">
        <f t="shared" si="112"/>
        <v>5792.1770999999999</v>
      </c>
      <c r="AV676">
        <f t="shared" si="112"/>
        <v>8177.1911999999993</v>
      </c>
      <c r="AW676">
        <f t="shared" si="112"/>
        <v>11243.6379</v>
      </c>
      <c r="AX676">
        <f t="shared" si="112"/>
        <v>15672.9498</v>
      </c>
      <c r="AY676">
        <f t="shared" si="112"/>
        <v>27257.304</v>
      </c>
      <c r="AZ676">
        <f t="shared" si="112"/>
        <v>51107.445</v>
      </c>
      <c r="BA676">
        <f t="shared" si="112"/>
        <v>85179.074999999997</v>
      </c>
      <c r="BB676">
        <f t="shared" si="112"/>
        <v>136286.51999999999</v>
      </c>
      <c r="BC676">
        <f t="shared" si="111"/>
        <v>340716.3</v>
      </c>
      <c r="BD676">
        <f t="shared" si="111"/>
        <v>511074.45</v>
      </c>
      <c r="BE676">
        <f t="shared" si="111"/>
        <v>817719.12</v>
      </c>
      <c r="BF676">
        <f t="shared" si="111"/>
        <v>1022148.9</v>
      </c>
      <c r="BG676">
        <f t="shared" si="111"/>
        <v>3407163</v>
      </c>
      <c r="BH676">
        <f t="shared" si="111"/>
        <v>10221489</v>
      </c>
      <c r="BI676">
        <f t="shared" si="111"/>
        <v>28960885.5</v>
      </c>
      <c r="BJ676">
        <f t="shared" si="111"/>
        <v>102214890</v>
      </c>
      <c r="BK676">
        <f t="shared" si="111"/>
        <v>340716300</v>
      </c>
      <c r="BL676">
        <v>671</v>
      </c>
    </row>
    <row r="677" spans="1:64" ht="17.25" thickBot="1" x14ac:dyDescent="0.25">
      <c r="A677" s="131">
        <v>673</v>
      </c>
      <c r="B677" s="132">
        <v>246577077</v>
      </c>
      <c r="D677" s="131">
        <v>673</v>
      </c>
      <c r="E677" s="132">
        <v>34.226289999999999</v>
      </c>
      <c r="AK677">
        <v>671</v>
      </c>
      <c r="AL677" s="24">
        <f t="shared" si="107"/>
        <v>34.123260000000002</v>
      </c>
      <c r="AM677">
        <f t="shared" si="112"/>
        <v>238.86282</v>
      </c>
      <c r="AN677">
        <f t="shared" si="112"/>
        <v>341.23260000000005</v>
      </c>
      <c r="AO677">
        <f t="shared" si="112"/>
        <v>511.84890000000001</v>
      </c>
      <c r="AP677">
        <f t="shared" si="112"/>
        <v>682.4652000000001</v>
      </c>
      <c r="AQ677">
        <f t="shared" si="112"/>
        <v>1194.3141000000001</v>
      </c>
      <c r="AR677">
        <f t="shared" si="112"/>
        <v>1706.163</v>
      </c>
      <c r="AS677">
        <f t="shared" si="112"/>
        <v>2729.8608000000004</v>
      </c>
      <c r="AT677">
        <f t="shared" si="112"/>
        <v>4094.7912000000001</v>
      </c>
      <c r="AU677">
        <f t="shared" si="112"/>
        <v>5800.9542000000001</v>
      </c>
      <c r="AV677">
        <f t="shared" si="112"/>
        <v>8189.5824000000002</v>
      </c>
      <c r="AW677">
        <f t="shared" si="112"/>
        <v>11260.675800000001</v>
      </c>
      <c r="AX677">
        <f t="shared" si="112"/>
        <v>15696.699600000002</v>
      </c>
      <c r="AY677">
        <f t="shared" si="112"/>
        <v>27298.608</v>
      </c>
      <c r="AZ677">
        <f t="shared" si="112"/>
        <v>51184.89</v>
      </c>
      <c r="BA677">
        <f t="shared" si="112"/>
        <v>85308.150000000009</v>
      </c>
      <c r="BB677">
        <f t="shared" si="112"/>
        <v>136493.04</v>
      </c>
      <c r="BC677">
        <f t="shared" si="111"/>
        <v>341232.60000000003</v>
      </c>
      <c r="BD677">
        <f t="shared" si="111"/>
        <v>511848.9</v>
      </c>
      <c r="BE677">
        <f t="shared" si="111"/>
        <v>818958.24</v>
      </c>
      <c r="BF677">
        <f t="shared" si="111"/>
        <v>1023697.8</v>
      </c>
      <c r="BG677">
        <f t="shared" si="111"/>
        <v>3412326</v>
      </c>
      <c r="BH677">
        <f t="shared" si="111"/>
        <v>10236978</v>
      </c>
      <c r="BI677">
        <f t="shared" si="111"/>
        <v>29004771</v>
      </c>
      <c r="BJ677">
        <f t="shared" si="111"/>
        <v>102369780</v>
      </c>
      <c r="BK677">
        <f t="shared" si="111"/>
        <v>341232600</v>
      </c>
      <c r="BL677">
        <v>672</v>
      </c>
    </row>
    <row r="678" spans="1:64" ht="17.25" thickBot="1" x14ac:dyDescent="0.25">
      <c r="A678" s="131">
        <v>674</v>
      </c>
      <c r="B678" s="132">
        <v>248339444</v>
      </c>
      <c r="D678" s="131">
        <v>674</v>
      </c>
      <c r="E678" s="132">
        <v>34.27769</v>
      </c>
      <c r="AK678">
        <v>672</v>
      </c>
      <c r="AL678" s="24">
        <f t="shared" si="107"/>
        <v>34.174810000000001</v>
      </c>
      <c r="AM678">
        <f t="shared" si="112"/>
        <v>239.22367</v>
      </c>
      <c r="AN678">
        <f t="shared" si="112"/>
        <v>341.74810000000002</v>
      </c>
      <c r="AO678">
        <f t="shared" si="112"/>
        <v>512.62215000000003</v>
      </c>
      <c r="AP678">
        <f t="shared" si="112"/>
        <v>683.49620000000004</v>
      </c>
      <c r="AQ678">
        <f t="shared" si="112"/>
        <v>1196.11835</v>
      </c>
      <c r="AR678">
        <f t="shared" si="112"/>
        <v>1708.7405000000001</v>
      </c>
      <c r="AS678">
        <f t="shared" si="112"/>
        <v>2733.9848000000002</v>
      </c>
      <c r="AT678">
        <f t="shared" si="112"/>
        <v>4100.9772000000003</v>
      </c>
      <c r="AU678">
        <f t="shared" si="112"/>
        <v>5809.7177000000001</v>
      </c>
      <c r="AV678">
        <f t="shared" si="112"/>
        <v>8201.9544000000005</v>
      </c>
      <c r="AW678">
        <f t="shared" si="112"/>
        <v>11277.6873</v>
      </c>
      <c r="AX678">
        <f t="shared" si="112"/>
        <v>15720.4126</v>
      </c>
      <c r="AY678">
        <f t="shared" si="112"/>
        <v>27339.848000000002</v>
      </c>
      <c r="AZ678">
        <f t="shared" si="112"/>
        <v>51262.215000000004</v>
      </c>
      <c r="BA678">
        <f t="shared" si="112"/>
        <v>85437.025000000009</v>
      </c>
      <c r="BB678">
        <f t="shared" si="112"/>
        <v>136699.24</v>
      </c>
      <c r="BC678">
        <f t="shared" si="111"/>
        <v>341748.10000000003</v>
      </c>
      <c r="BD678">
        <f t="shared" si="111"/>
        <v>512622.15</v>
      </c>
      <c r="BE678">
        <f t="shared" si="111"/>
        <v>820195.44000000006</v>
      </c>
      <c r="BF678">
        <f t="shared" si="111"/>
        <v>1025244.3</v>
      </c>
      <c r="BG678">
        <f t="shared" si="111"/>
        <v>3417481</v>
      </c>
      <c r="BH678">
        <f t="shared" si="111"/>
        <v>10252443</v>
      </c>
      <c r="BI678">
        <f t="shared" si="111"/>
        <v>29048588.5</v>
      </c>
      <c r="BJ678">
        <f t="shared" si="111"/>
        <v>102524430</v>
      </c>
      <c r="BK678">
        <f t="shared" si="111"/>
        <v>341748100</v>
      </c>
      <c r="BL678">
        <v>673</v>
      </c>
    </row>
    <row r="679" spans="1:64" ht="17.25" thickBot="1" x14ac:dyDescent="0.25">
      <c r="A679" s="131">
        <v>675</v>
      </c>
      <c r="B679" s="132">
        <v>250115944</v>
      </c>
      <c r="D679" s="131">
        <v>675</v>
      </c>
      <c r="E679" s="132">
        <v>34.329009999999997</v>
      </c>
      <c r="AK679">
        <v>673</v>
      </c>
      <c r="AL679" s="24">
        <f t="shared" si="107"/>
        <v>34.226289999999999</v>
      </c>
      <c r="AM679">
        <f t="shared" si="112"/>
        <v>239.58402999999998</v>
      </c>
      <c r="AN679">
        <f t="shared" si="112"/>
        <v>342.2629</v>
      </c>
      <c r="AO679">
        <f t="shared" si="112"/>
        <v>513.39435000000003</v>
      </c>
      <c r="AP679">
        <f t="shared" si="112"/>
        <v>684.5258</v>
      </c>
      <c r="AQ679">
        <f t="shared" si="112"/>
        <v>1197.9201499999999</v>
      </c>
      <c r="AR679">
        <f t="shared" si="112"/>
        <v>1711.3145</v>
      </c>
      <c r="AS679">
        <f t="shared" si="112"/>
        <v>2738.1032</v>
      </c>
      <c r="AT679">
        <f t="shared" si="112"/>
        <v>4107.1548000000003</v>
      </c>
      <c r="AU679">
        <f t="shared" si="112"/>
        <v>5818.4692999999997</v>
      </c>
      <c r="AV679">
        <f t="shared" si="112"/>
        <v>8214.3096000000005</v>
      </c>
      <c r="AW679">
        <f t="shared" si="112"/>
        <v>11294.6757</v>
      </c>
      <c r="AX679">
        <f t="shared" si="112"/>
        <v>15744.0934</v>
      </c>
      <c r="AY679">
        <f t="shared" si="112"/>
        <v>27381.031999999999</v>
      </c>
      <c r="AZ679">
        <f t="shared" si="112"/>
        <v>51339.434999999998</v>
      </c>
      <c r="BA679">
        <f t="shared" si="112"/>
        <v>85565.724999999991</v>
      </c>
      <c r="BB679">
        <f t="shared" si="112"/>
        <v>136905.16</v>
      </c>
      <c r="BC679">
        <f t="shared" si="111"/>
        <v>342262.89999999997</v>
      </c>
      <c r="BD679">
        <f t="shared" si="111"/>
        <v>513394.35</v>
      </c>
      <c r="BE679">
        <f t="shared" si="111"/>
        <v>821430.96</v>
      </c>
      <c r="BF679">
        <f t="shared" si="111"/>
        <v>1026788.7</v>
      </c>
      <c r="BG679">
        <f t="shared" si="111"/>
        <v>3422629</v>
      </c>
      <c r="BH679">
        <f t="shared" si="111"/>
        <v>10267887</v>
      </c>
      <c r="BI679">
        <f t="shared" si="111"/>
        <v>29092346.5</v>
      </c>
      <c r="BJ679">
        <f t="shared" si="111"/>
        <v>102678870</v>
      </c>
      <c r="BK679">
        <f t="shared" si="111"/>
        <v>342262900</v>
      </c>
      <c r="BL679">
        <v>674</v>
      </c>
    </row>
    <row r="680" spans="1:64" ht="17.25" thickBot="1" x14ac:dyDescent="0.25">
      <c r="A680" s="131">
        <v>676</v>
      </c>
      <c r="B680" s="132">
        <v>251906655</v>
      </c>
      <c r="D680" s="131">
        <v>676</v>
      </c>
      <c r="E680" s="132">
        <v>34.38026</v>
      </c>
      <c r="AK680">
        <v>674</v>
      </c>
      <c r="AL680" s="24">
        <f t="shared" si="107"/>
        <v>34.27769</v>
      </c>
      <c r="AM680">
        <f t="shared" si="112"/>
        <v>239.94382999999999</v>
      </c>
      <c r="AN680">
        <f t="shared" si="112"/>
        <v>342.77690000000001</v>
      </c>
      <c r="AO680">
        <f t="shared" si="112"/>
        <v>514.16534999999999</v>
      </c>
      <c r="AP680">
        <f t="shared" si="112"/>
        <v>685.55380000000002</v>
      </c>
      <c r="AQ680">
        <f t="shared" si="112"/>
        <v>1199.7191499999999</v>
      </c>
      <c r="AR680">
        <f t="shared" si="112"/>
        <v>1713.8844999999999</v>
      </c>
      <c r="AS680">
        <f t="shared" si="112"/>
        <v>2742.2152000000001</v>
      </c>
      <c r="AT680">
        <f t="shared" si="112"/>
        <v>4113.3227999999999</v>
      </c>
      <c r="AU680">
        <f t="shared" si="112"/>
        <v>5827.2073</v>
      </c>
      <c r="AV680">
        <f t="shared" si="112"/>
        <v>8226.6455999999998</v>
      </c>
      <c r="AW680">
        <f t="shared" si="112"/>
        <v>11311.637699999999</v>
      </c>
      <c r="AX680">
        <f t="shared" si="112"/>
        <v>15767.7374</v>
      </c>
      <c r="AY680">
        <f t="shared" si="112"/>
        <v>27422.151999999998</v>
      </c>
      <c r="AZ680">
        <f t="shared" si="112"/>
        <v>51416.534999999996</v>
      </c>
      <c r="BA680">
        <f t="shared" si="112"/>
        <v>85694.225000000006</v>
      </c>
      <c r="BB680">
        <f t="shared" si="112"/>
        <v>137110.76</v>
      </c>
      <c r="BC680">
        <f t="shared" si="111"/>
        <v>342776.9</v>
      </c>
      <c r="BD680">
        <f t="shared" si="111"/>
        <v>514165.35</v>
      </c>
      <c r="BE680">
        <f t="shared" si="111"/>
        <v>822664.55999999994</v>
      </c>
      <c r="BF680">
        <f t="shared" si="111"/>
        <v>1028330.7</v>
      </c>
      <c r="BG680">
        <f t="shared" si="111"/>
        <v>3427769</v>
      </c>
      <c r="BH680">
        <f t="shared" si="111"/>
        <v>10283307</v>
      </c>
      <c r="BI680">
        <f t="shared" si="111"/>
        <v>29136036.5</v>
      </c>
      <c r="BJ680">
        <f t="shared" si="111"/>
        <v>102833070</v>
      </c>
      <c r="BK680">
        <f t="shared" si="111"/>
        <v>342776900</v>
      </c>
      <c r="BL680">
        <v>675</v>
      </c>
    </row>
    <row r="681" spans="1:64" ht="17.25" thickBot="1" x14ac:dyDescent="0.25">
      <c r="A681" s="131">
        <v>677</v>
      </c>
      <c r="B681" s="132">
        <v>253711661</v>
      </c>
      <c r="D681" s="131">
        <v>677</v>
      </c>
      <c r="E681" s="132">
        <v>34.431429999999999</v>
      </c>
      <c r="AK681">
        <v>675</v>
      </c>
      <c r="AL681" s="24">
        <f t="shared" si="107"/>
        <v>34.329009999999997</v>
      </c>
      <c r="AM681">
        <f t="shared" si="112"/>
        <v>240.30306999999999</v>
      </c>
      <c r="AN681">
        <f t="shared" si="112"/>
        <v>343.29009999999994</v>
      </c>
      <c r="AO681">
        <f t="shared" si="112"/>
        <v>514.93514999999991</v>
      </c>
      <c r="AP681">
        <f t="shared" si="112"/>
        <v>686.58019999999988</v>
      </c>
      <c r="AQ681">
        <f t="shared" si="112"/>
        <v>1201.5153499999999</v>
      </c>
      <c r="AR681">
        <f t="shared" si="112"/>
        <v>1716.4504999999999</v>
      </c>
      <c r="AS681">
        <f t="shared" si="112"/>
        <v>2746.3207999999995</v>
      </c>
      <c r="AT681">
        <f t="shared" si="112"/>
        <v>4119.4811999999993</v>
      </c>
      <c r="AU681">
        <f t="shared" si="112"/>
        <v>5835.9316999999992</v>
      </c>
      <c r="AV681">
        <f t="shared" si="112"/>
        <v>8238.9623999999985</v>
      </c>
      <c r="AW681">
        <f t="shared" si="112"/>
        <v>11328.573299999998</v>
      </c>
      <c r="AX681">
        <f t="shared" si="112"/>
        <v>15791.344599999999</v>
      </c>
      <c r="AY681">
        <f t="shared" si="112"/>
        <v>27463.207999999999</v>
      </c>
      <c r="AZ681">
        <f t="shared" si="112"/>
        <v>51493.514999999992</v>
      </c>
      <c r="BA681">
        <f t="shared" si="112"/>
        <v>85822.524999999994</v>
      </c>
      <c r="BB681">
        <f t="shared" si="112"/>
        <v>137316.03999999998</v>
      </c>
      <c r="BC681">
        <f t="shared" si="111"/>
        <v>343290.1</v>
      </c>
      <c r="BD681">
        <f t="shared" si="111"/>
        <v>514935.14999999997</v>
      </c>
      <c r="BE681">
        <f t="shared" si="111"/>
        <v>823896.23999999987</v>
      </c>
      <c r="BF681">
        <f t="shared" si="111"/>
        <v>1029870.2999999999</v>
      </c>
      <c r="BG681">
        <f t="shared" si="111"/>
        <v>3432900.9999999995</v>
      </c>
      <c r="BH681">
        <f t="shared" si="111"/>
        <v>10298702.999999998</v>
      </c>
      <c r="BI681">
        <f t="shared" si="111"/>
        <v>29179658.499999996</v>
      </c>
      <c r="BJ681">
        <f t="shared" si="111"/>
        <v>102987029.99999999</v>
      </c>
      <c r="BK681">
        <f t="shared" si="111"/>
        <v>343290099.99999994</v>
      </c>
      <c r="BL681">
        <v>676</v>
      </c>
    </row>
    <row r="682" spans="1:64" ht="17.25" thickBot="1" x14ac:dyDescent="0.25">
      <c r="A682" s="131">
        <v>678</v>
      </c>
      <c r="B682" s="132">
        <v>255531038</v>
      </c>
      <c r="D682" s="131">
        <v>678</v>
      </c>
      <c r="E682" s="132">
        <v>34.482529999999997</v>
      </c>
      <c r="AK682">
        <v>676</v>
      </c>
      <c r="AL682" s="24">
        <f t="shared" si="107"/>
        <v>34.38026</v>
      </c>
      <c r="AM682">
        <f t="shared" si="112"/>
        <v>240.66182000000001</v>
      </c>
      <c r="AN682">
        <f t="shared" si="112"/>
        <v>343.80259999999998</v>
      </c>
      <c r="AO682">
        <f t="shared" si="112"/>
        <v>515.70389999999998</v>
      </c>
      <c r="AP682">
        <f t="shared" si="112"/>
        <v>687.60519999999997</v>
      </c>
      <c r="AQ682">
        <f t="shared" si="112"/>
        <v>1203.3090999999999</v>
      </c>
      <c r="AR682">
        <f t="shared" si="112"/>
        <v>1719.0129999999999</v>
      </c>
      <c r="AS682">
        <f t="shared" si="112"/>
        <v>2750.4207999999999</v>
      </c>
      <c r="AT682">
        <f t="shared" si="112"/>
        <v>4125.6311999999998</v>
      </c>
      <c r="AU682">
        <f t="shared" si="112"/>
        <v>5844.6441999999997</v>
      </c>
      <c r="AV682">
        <f t="shared" si="112"/>
        <v>8251.2623999999996</v>
      </c>
      <c r="AW682">
        <f t="shared" si="112"/>
        <v>11345.4858</v>
      </c>
      <c r="AX682">
        <f t="shared" si="112"/>
        <v>15814.919599999999</v>
      </c>
      <c r="AY682">
        <f t="shared" si="112"/>
        <v>27504.207999999999</v>
      </c>
      <c r="AZ682">
        <f t="shared" si="112"/>
        <v>51570.39</v>
      </c>
      <c r="BA682">
        <f t="shared" si="112"/>
        <v>85950.65</v>
      </c>
      <c r="BB682">
        <f t="shared" si="112"/>
        <v>137521.04</v>
      </c>
      <c r="BC682">
        <f t="shared" si="111"/>
        <v>343802.6</v>
      </c>
      <c r="BD682">
        <f t="shared" si="111"/>
        <v>515703.9</v>
      </c>
      <c r="BE682">
        <f t="shared" si="111"/>
        <v>825126.24</v>
      </c>
      <c r="BF682">
        <f t="shared" si="111"/>
        <v>1031407.8</v>
      </c>
      <c r="BG682">
        <f t="shared" si="111"/>
        <v>3438026</v>
      </c>
      <c r="BH682">
        <f t="shared" si="111"/>
        <v>10314078</v>
      </c>
      <c r="BI682">
        <f t="shared" si="111"/>
        <v>29223221</v>
      </c>
      <c r="BJ682">
        <f t="shared" si="111"/>
        <v>103140780</v>
      </c>
      <c r="BK682">
        <f t="shared" si="111"/>
        <v>343802600</v>
      </c>
      <c r="BL682">
        <v>677</v>
      </c>
    </row>
    <row r="683" spans="1:64" ht="17.25" thickBot="1" x14ac:dyDescent="0.25">
      <c r="A683" s="131">
        <v>679</v>
      </c>
      <c r="B683" s="132">
        <v>257364866</v>
      </c>
      <c r="D683" s="131">
        <v>679</v>
      </c>
      <c r="E683" s="132">
        <v>34.533560000000001</v>
      </c>
      <c r="AK683">
        <v>677</v>
      </c>
      <c r="AL683" s="24">
        <f t="shared" si="107"/>
        <v>34.431429999999999</v>
      </c>
      <c r="AM683">
        <f t="shared" si="112"/>
        <v>241.02000999999998</v>
      </c>
      <c r="AN683">
        <f t="shared" si="112"/>
        <v>344.3143</v>
      </c>
      <c r="AO683">
        <f t="shared" si="112"/>
        <v>516.47145</v>
      </c>
      <c r="AP683">
        <f t="shared" si="112"/>
        <v>688.62860000000001</v>
      </c>
      <c r="AQ683">
        <f t="shared" si="112"/>
        <v>1205.10005</v>
      </c>
      <c r="AR683">
        <f t="shared" si="112"/>
        <v>1721.5715</v>
      </c>
      <c r="AS683">
        <f t="shared" si="112"/>
        <v>2754.5144</v>
      </c>
      <c r="AT683">
        <f t="shared" si="112"/>
        <v>4131.7716</v>
      </c>
      <c r="AU683">
        <f t="shared" si="112"/>
        <v>5853.3431</v>
      </c>
      <c r="AV683">
        <f t="shared" si="112"/>
        <v>8263.5432000000001</v>
      </c>
      <c r="AW683">
        <f t="shared" si="112"/>
        <v>11362.3719</v>
      </c>
      <c r="AX683">
        <f t="shared" si="112"/>
        <v>15838.4578</v>
      </c>
      <c r="AY683">
        <f t="shared" si="112"/>
        <v>27545.144</v>
      </c>
      <c r="AZ683">
        <f t="shared" si="112"/>
        <v>51647.144999999997</v>
      </c>
      <c r="BA683">
        <f t="shared" si="112"/>
        <v>86078.574999999997</v>
      </c>
      <c r="BB683">
        <f t="shared" si="112"/>
        <v>137725.72</v>
      </c>
      <c r="BC683">
        <f t="shared" si="111"/>
        <v>344314.3</v>
      </c>
      <c r="BD683">
        <f t="shared" si="111"/>
        <v>516471.45</v>
      </c>
      <c r="BE683">
        <f t="shared" si="111"/>
        <v>826354.32</v>
      </c>
      <c r="BF683">
        <f t="shared" si="111"/>
        <v>1032942.9</v>
      </c>
      <c r="BG683">
        <f t="shared" si="111"/>
        <v>3443143</v>
      </c>
      <c r="BH683">
        <f t="shared" si="111"/>
        <v>10329429</v>
      </c>
      <c r="BI683">
        <f t="shared" si="111"/>
        <v>29266715.5</v>
      </c>
      <c r="BJ683">
        <f t="shared" si="111"/>
        <v>103294290</v>
      </c>
      <c r="BK683">
        <f t="shared" si="111"/>
        <v>344314300</v>
      </c>
      <c r="BL683">
        <v>678</v>
      </c>
    </row>
    <row r="684" spans="1:64" ht="17.25" thickBot="1" x14ac:dyDescent="0.25">
      <c r="A684" s="131">
        <v>680</v>
      </c>
      <c r="B684" s="132">
        <v>259213227</v>
      </c>
      <c r="D684" s="131">
        <v>680</v>
      </c>
      <c r="E684" s="132">
        <v>34.584510000000002</v>
      </c>
      <c r="AK684">
        <v>678</v>
      </c>
      <c r="AL684" s="24">
        <f t="shared" si="107"/>
        <v>34.482529999999997</v>
      </c>
      <c r="AM684">
        <f t="shared" si="112"/>
        <v>241.37770999999998</v>
      </c>
      <c r="AN684">
        <f t="shared" si="112"/>
        <v>344.82529999999997</v>
      </c>
      <c r="AO684">
        <f t="shared" si="112"/>
        <v>517.23794999999996</v>
      </c>
      <c r="AP684">
        <f t="shared" si="112"/>
        <v>689.65059999999994</v>
      </c>
      <c r="AQ684">
        <f t="shared" si="112"/>
        <v>1206.8885499999999</v>
      </c>
      <c r="AR684">
        <f t="shared" si="112"/>
        <v>1724.1264999999999</v>
      </c>
      <c r="AS684">
        <f t="shared" si="112"/>
        <v>2758.6023999999998</v>
      </c>
      <c r="AT684">
        <f t="shared" si="112"/>
        <v>4137.9035999999996</v>
      </c>
      <c r="AU684">
        <f t="shared" si="112"/>
        <v>5862.0300999999999</v>
      </c>
      <c r="AV684">
        <f t="shared" si="112"/>
        <v>8275.8071999999993</v>
      </c>
      <c r="AW684">
        <f t="shared" si="112"/>
        <v>11379.234899999999</v>
      </c>
      <c r="AX684">
        <f t="shared" si="112"/>
        <v>15861.963799999998</v>
      </c>
      <c r="AY684">
        <f t="shared" si="112"/>
        <v>27586.023999999998</v>
      </c>
      <c r="AZ684">
        <f t="shared" si="112"/>
        <v>51723.794999999998</v>
      </c>
      <c r="BA684">
        <f t="shared" si="112"/>
        <v>86206.324999999997</v>
      </c>
      <c r="BB684">
        <f t="shared" si="112"/>
        <v>137930.12</v>
      </c>
      <c r="BC684">
        <f t="shared" si="111"/>
        <v>344825.3</v>
      </c>
      <c r="BD684">
        <f t="shared" si="111"/>
        <v>517237.94999999995</v>
      </c>
      <c r="BE684">
        <f t="shared" si="111"/>
        <v>827580.72</v>
      </c>
      <c r="BF684">
        <f t="shared" si="111"/>
        <v>1034475.8999999999</v>
      </c>
      <c r="BG684">
        <f t="shared" si="111"/>
        <v>3448252.9999999995</v>
      </c>
      <c r="BH684">
        <f t="shared" si="111"/>
        <v>10344759</v>
      </c>
      <c r="BI684">
        <f t="shared" si="111"/>
        <v>29310150.499999996</v>
      </c>
      <c r="BJ684">
        <f t="shared" si="111"/>
        <v>103447589.99999999</v>
      </c>
      <c r="BK684">
        <f t="shared" si="111"/>
        <v>344825299.99999994</v>
      </c>
      <c r="BL684">
        <v>679</v>
      </c>
    </row>
    <row r="685" spans="1:64" ht="17.25" thickBot="1" x14ac:dyDescent="0.25">
      <c r="A685" s="131">
        <v>681</v>
      </c>
      <c r="B685" s="132">
        <v>261076200</v>
      </c>
      <c r="D685" s="131">
        <v>681</v>
      </c>
      <c r="E685" s="132">
        <v>34.635390000000001</v>
      </c>
      <c r="AK685">
        <v>679</v>
      </c>
      <c r="AL685" s="24">
        <f t="shared" si="107"/>
        <v>34.533560000000001</v>
      </c>
      <c r="AM685">
        <f t="shared" si="112"/>
        <v>241.73492000000002</v>
      </c>
      <c r="AN685">
        <f t="shared" si="112"/>
        <v>345.3356</v>
      </c>
      <c r="AO685">
        <f t="shared" si="112"/>
        <v>518.00340000000006</v>
      </c>
      <c r="AP685">
        <f t="shared" si="112"/>
        <v>690.6712</v>
      </c>
      <c r="AQ685">
        <f t="shared" si="112"/>
        <v>1208.6746000000001</v>
      </c>
      <c r="AR685">
        <f t="shared" si="112"/>
        <v>1726.6780000000001</v>
      </c>
      <c r="AS685">
        <f t="shared" si="112"/>
        <v>2762.6848</v>
      </c>
      <c r="AT685">
        <f t="shared" si="112"/>
        <v>4144.0272000000004</v>
      </c>
      <c r="AU685">
        <f t="shared" si="112"/>
        <v>5870.7052000000003</v>
      </c>
      <c r="AV685">
        <f t="shared" si="112"/>
        <v>8288.0544000000009</v>
      </c>
      <c r="AW685">
        <f t="shared" si="112"/>
        <v>11396.0748</v>
      </c>
      <c r="AX685">
        <f t="shared" si="112"/>
        <v>15885.437600000001</v>
      </c>
      <c r="AY685">
        <f t="shared" si="112"/>
        <v>27626.848000000002</v>
      </c>
      <c r="AZ685">
        <f t="shared" si="112"/>
        <v>51800.340000000004</v>
      </c>
      <c r="BA685">
        <f t="shared" si="112"/>
        <v>86333.900000000009</v>
      </c>
      <c r="BB685">
        <f t="shared" si="112"/>
        <v>138134.24000000002</v>
      </c>
      <c r="BC685">
        <f t="shared" si="111"/>
        <v>345335.60000000003</v>
      </c>
      <c r="BD685">
        <f t="shared" si="111"/>
        <v>518003.4</v>
      </c>
      <c r="BE685">
        <f t="shared" si="111"/>
        <v>828805.44000000006</v>
      </c>
      <c r="BF685">
        <f t="shared" si="111"/>
        <v>1036006.8</v>
      </c>
      <c r="BG685">
        <f t="shared" si="111"/>
        <v>3453356</v>
      </c>
      <c r="BH685">
        <f t="shared" si="111"/>
        <v>10360068</v>
      </c>
      <c r="BI685">
        <f t="shared" si="111"/>
        <v>29353526</v>
      </c>
      <c r="BJ685">
        <f t="shared" si="111"/>
        <v>103600680</v>
      </c>
      <c r="BK685">
        <f t="shared" si="111"/>
        <v>345335600</v>
      </c>
      <c r="BL685">
        <v>680</v>
      </c>
    </row>
    <row r="686" spans="1:64" ht="17.25" thickBot="1" x14ac:dyDescent="0.25">
      <c r="A686" s="131">
        <v>682</v>
      </c>
      <c r="B686" s="132">
        <v>262953866</v>
      </c>
      <c r="D686" s="131">
        <v>682</v>
      </c>
      <c r="E686" s="132">
        <v>34.686190000000003</v>
      </c>
      <c r="AK686">
        <v>680</v>
      </c>
      <c r="AL686" s="24">
        <f t="shared" si="107"/>
        <v>34.584510000000002</v>
      </c>
      <c r="AM686">
        <f t="shared" si="112"/>
        <v>242.09157000000002</v>
      </c>
      <c r="AN686">
        <f t="shared" si="112"/>
        <v>345.8451</v>
      </c>
      <c r="AO686">
        <f t="shared" si="112"/>
        <v>518.76765</v>
      </c>
      <c r="AP686">
        <f t="shared" si="112"/>
        <v>691.6902</v>
      </c>
      <c r="AQ686">
        <f t="shared" si="112"/>
        <v>1210.45785</v>
      </c>
      <c r="AR686">
        <f t="shared" si="112"/>
        <v>1729.2255</v>
      </c>
      <c r="AS686">
        <f t="shared" si="112"/>
        <v>2766.7608</v>
      </c>
      <c r="AT686">
        <f t="shared" si="112"/>
        <v>4150.1412</v>
      </c>
      <c r="AU686">
        <f t="shared" si="112"/>
        <v>5879.3667000000005</v>
      </c>
      <c r="AV686">
        <f t="shared" ref="AM686:BB702" si="113">AV$5*VLOOKUP($AK686,$D$2:$E$1404,2,FALSE)</f>
        <v>8300.2824000000001</v>
      </c>
      <c r="AW686">
        <f t="shared" si="113"/>
        <v>11412.888300000001</v>
      </c>
      <c r="AX686">
        <f t="shared" si="113"/>
        <v>15908.874600000001</v>
      </c>
      <c r="AY686">
        <f t="shared" si="113"/>
        <v>27667.608</v>
      </c>
      <c r="AZ686">
        <f t="shared" si="113"/>
        <v>51876.764999999999</v>
      </c>
      <c r="BA686">
        <f t="shared" si="113"/>
        <v>86461.275000000009</v>
      </c>
      <c r="BB686">
        <f t="shared" si="113"/>
        <v>138338.04</v>
      </c>
      <c r="BC686">
        <f t="shared" si="111"/>
        <v>345845.10000000003</v>
      </c>
      <c r="BD686">
        <f t="shared" si="111"/>
        <v>518767.65</v>
      </c>
      <c r="BE686">
        <f t="shared" si="111"/>
        <v>830028.24</v>
      </c>
      <c r="BF686">
        <f t="shared" si="111"/>
        <v>1037535.3</v>
      </c>
      <c r="BG686">
        <f t="shared" si="111"/>
        <v>3458451</v>
      </c>
      <c r="BH686">
        <f t="shared" si="111"/>
        <v>10375353</v>
      </c>
      <c r="BI686">
        <f t="shared" si="111"/>
        <v>29396833.5</v>
      </c>
      <c r="BJ686">
        <f t="shared" si="111"/>
        <v>103753530</v>
      </c>
      <c r="BK686">
        <f t="shared" si="111"/>
        <v>345845100</v>
      </c>
      <c r="BL686">
        <v>681</v>
      </c>
    </row>
    <row r="687" spans="1:64" ht="17.25" thickBot="1" x14ac:dyDescent="0.25">
      <c r="A687" s="131">
        <v>683</v>
      </c>
      <c r="B687" s="132">
        <v>264846305</v>
      </c>
      <c r="D687" s="131">
        <v>683</v>
      </c>
      <c r="E687" s="132">
        <v>34.736919999999998</v>
      </c>
      <c r="AK687">
        <v>681</v>
      </c>
      <c r="AL687" s="24">
        <f t="shared" si="107"/>
        <v>34.635390000000001</v>
      </c>
      <c r="AM687">
        <f t="shared" si="113"/>
        <v>242.44773000000001</v>
      </c>
      <c r="AN687">
        <f t="shared" si="113"/>
        <v>346.35390000000001</v>
      </c>
      <c r="AO687">
        <f t="shared" si="113"/>
        <v>519.53084999999999</v>
      </c>
      <c r="AP687">
        <f t="shared" si="113"/>
        <v>692.70780000000002</v>
      </c>
      <c r="AQ687">
        <f t="shared" si="113"/>
        <v>1212.23865</v>
      </c>
      <c r="AR687">
        <f t="shared" si="113"/>
        <v>1731.7695000000001</v>
      </c>
      <c r="AS687">
        <f t="shared" si="113"/>
        <v>2770.8312000000001</v>
      </c>
      <c r="AT687">
        <f t="shared" si="113"/>
        <v>4156.2467999999999</v>
      </c>
      <c r="AU687">
        <f t="shared" si="113"/>
        <v>5888.0163000000002</v>
      </c>
      <c r="AV687">
        <f t="shared" si="113"/>
        <v>8312.4935999999998</v>
      </c>
      <c r="AW687">
        <f t="shared" si="113"/>
        <v>11429.6787</v>
      </c>
      <c r="AX687">
        <f t="shared" si="113"/>
        <v>15932.279400000001</v>
      </c>
      <c r="AY687">
        <f t="shared" si="113"/>
        <v>27708.312000000002</v>
      </c>
      <c r="AZ687">
        <f t="shared" si="113"/>
        <v>51953.084999999999</v>
      </c>
      <c r="BA687">
        <f t="shared" si="113"/>
        <v>86588.475000000006</v>
      </c>
      <c r="BB687">
        <f t="shared" si="113"/>
        <v>138541.56</v>
      </c>
      <c r="BC687">
        <f t="shared" si="111"/>
        <v>346353.9</v>
      </c>
      <c r="BD687">
        <f t="shared" si="111"/>
        <v>519530.85000000003</v>
      </c>
      <c r="BE687">
        <f t="shared" si="111"/>
        <v>831249.36</v>
      </c>
      <c r="BF687">
        <f t="shared" si="111"/>
        <v>1039061.7000000001</v>
      </c>
      <c r="BG687">
        <f t="shared" si="111"/>
        <v>3463539</v>
      </c>
      <c r="BH687">
        <f t="shared" si="111"/>
        <v>10390617</v>
      </c>
      <c r="BI687">
        <f t="shared" si="111"/>
        <v>29440081.5</v>
      </c>
      <c r="BJ687">
        <f t="shared" si="111"/>
        <v>103906170</v>
      </c>
      <c r="BK687">
        <f t="shared" si="111"/>
        <v>346353900</v>
      </c>
      <c r="BL687">
        <v>682</v>
      </c>
    </row>
    <row r="688" spans="1:64" ht="17.25" thickBot="1" x14ac:dyDescent="0.25">
      <c r="A688" s="131">
        <v>684</v>
      </c>
      <c r="B688" s="132">
        <v>266753605</v>
      </c>
      <c r="D688" s="131">
        <v>684</v>
      </c>
      <c r="E688" s="132">
        <v>34.787579999999998</v>
      </c>
      <c r="AK688">
        <v>682</v>
      </c>
      <c r="AL688" s="24">
        <f t="shared" si="107"/>
        <v>34.686190000000003</v>
      </c>
      <c r="AM688">
        <f t="shared" si="113"/>
        <v>242.80333000000002</v>
      </c>
      <c r="AN688">
        <f t="shared" si="113"/>
        <v>346.86190000000005</v>
      </c>
      <c r="AO688">
        <f t="shared" si="113"/>
        <v>520.29285000000004</v>
      </c>
      <c r="AP688">
        <f t="shared" si="113"/>
        <v>693.7238000000001</v>
      </c>
      <c r="AQ688">
        <f t="shared" si="113"/>
        <v>1214.01665</v>
      </c>
      <c r="AR688">
        <f t="shared" si="113"/>
        <v>1734.3095000000001</v>
      </c>
      <c r="AS688">
        <f t="shared" si="113"/>
        <v>2774.8952000000004</v>
      </c>
      <c r="AT688">
        <f t="shared" si="113"/>
        <v>4162.3428000000004</v>
      </c>
      <c r="AU688">
        <f t="shared" si="113"/>
        <v>5896.6523000000007</v>
      </c>
      <c r="AV688">
        <f t="shared" si="113"/>
        <v>8324.6856000000007</v>
      </c>
      <c r="AW688">
        <f t="shared" si="113"/>
        <v>11446.442700000001</v>
      </c>
      <c r="AX688">
        <f t="shared" si="113"/>
        <v>15955.647400000002</v>
      </c>
      <c r="AY688">
        <f t="shared" si="113"/>
        <v>27748.952000000001</v>
      </c>
      <c r="AZ688">
        <f t="shared" si="113"/>
        <v>52029.285000000003</v>
      </c>
      <c r="BA688">
        <f t="shared" si="113"/>
        <v>86715.475000000006</v>
      </c>
      <c r="BB688">
        <f t="shared" si="113"/>
        <v>138744.76</v>
      </c>
      <c r="BC688">
        <f t="shared" si="111"/>
        <v>346861.9</v>
      </c>
      <c r="BD688">
        <f t="shared" si="111"/>
        <v>520292.85000000003</v>
      </c>
      <c r="BE688">
        <f t="shared" si="111"/>
        <v>832468.56</v>
      </c>
      <c r="BF688">
        <f t="shared" si="111"/>
        <v>1040585.7000000001</v>
      </c>
      <c r="BG688">
        <f t="shared" si="111"/>
        <v>3468619.0000000005</v>
      </c>
      <c r="BH688">
        <f t="shared" si="111"/>
        <v>10405857.000000002</v>
      </c>
      <c r="BI688">
        <f t="shared" si="111"/>
        <v>29483261.500000004</v>
      </c>
      <c r="BJ688">
        <f t="shared" si="111"/>
        <v>104058570.00000001</v>
      </c>
      <c r="BK688">
        <f t="shared" si="111"/>
        <v>346861900.00000006</v>
      </c>
      <c r="BL688">
        <v>683</v>
      </c>
    </row>
    <row r="689" spans="1:64" ht="17.25" thickBot="1" x14ac:dyDescent="0.25">
      <c r="A689" s="131">
        <v>685</v>
      </c>
      <c r="B689" s="132">
        <v>268675838</v>
      </c>
      <c r="D689" s="131">
        <v>685</v>
      </c>
      <c r="E689" s="132">
        <v>34.838160000000002</v>
      </c>
      <c r="AK689">
        <v>683</v>
      </c>
      <c r="AL689" s="24">
        <f t="shared" si="107"/>
        <v>34.736919999999998</v>
      </c>
      <c r="AM689">
        <f t="shared" si="113"/>
        <v>243.15843999999998</v>
      </c>
      <c r="AN689">
        <f t="shared" si="113"/>
        <v>347.36919999999998</v>
      </c>
      <c r="AO689">
        <f t="shared" si="113"/>
        <v>521.05379999999991</v>
      </c>
      <c r="AP689">
        <f t="shared" si="113"/>
        <v>694.73839999999996</v>
      </c>
      <c r="AQ689">
        <f t="shared" si="113"/>
        <v>1215.7921999999999</v>
      </c>
      <c r="AR689">
        <f t="shared" si="113"/>
        <v>1736.846</v>
      </c>
      <c r="AS689">
        <f t="shared" si="113"/>
        <v>2778.9535999999998</v>
      </c>
      <c r="AT689">
        <f t="shared" si="113"/>
        <v>4168.4303999999993</v>
      </c>
      <c r="AU689">
        <f t="shared" si="113"/>
        <v>5905.2763999999997</v>
      </c>
      <c r="AV689">
        <f t="shared" si="113"/>
        <v>8336.8607999999986</v>
      </c>
      <c r="AW689">
        <f t="shared" si="113"/>
        <v>11463.183599999998</v>
      </c>
      <c r="AX689">
        <f t="shared" si="113"/>
        <v>15978.983199999999</v>
      </c>
      <c r="AY689">
        <f t="shared" si="113"/>
        <v>27789.536</v>
      </c>
      <c r="AZ689">
        <f t="shared" si="113"/>
        <v>52105.38</v>
      </c>
      <c r="BA689">
        <f t="shared" si="113"/>
        <v>86842.299999999988</v>
      </c>
      <c r="BB689">
        <f t="shared" si="113"/>
        <v>138947.68</v>
      </c>
      <c r="BC689">
        <f t="shared" si="111"/>
        <v>347369.19999999995</v>
      </c>
      <c r="BD689">
        <f t="shared" si="111"/>
        <v>521053.8</v>
      </c>
      <c r="BE689">
        <f t="shared" si="111"/>
        <v>833686.08</v>
      </c>
      <c r="BF689">
        <f t="shared" si="111"/>
        <v>1042107.6</v>
      </c>
      <c r="BG689">
        <f t="shared" si="111"/>
        <v>3473692</v>
      </c>
      <c r="BH689">
        <f t="shared" si="111"/>
        <v>10421076</v>
      </c>
      <c r="BI689">
        <f t="shared" si="111"/>
        <v>29526381.999999996</v>
      </c>
      <c r="BJ689">
        <f t="shared" si="111"/>
        <v>104210760</v>
      </c>
      <c r="BK689">
        <f t="shared" si="111"/>
        <v>347369200</v>
      </c>
      <c r="BL689">
        <v>684</v>
      </c>
    </row>
    <row r="690" spans="1:64" ht="17.25" thickBot="1" x14ac:dyDescent="0.25">
      <c r="A690" s="131">
        <v>686</v>
      </c>
      <c r="B690" s="132">
        <v>270613094</v>
      </c>
      <c r="D690" s="131">
        <v>686</v>
      </c>
      <c r="E690" s="132">
        <v>34.888669999999998</v>
      </c>
      <c r="AK690">
        <v>684</v>
      </c>
      <c r="AL690" s="24">
        <f t="shared" si="107"/>
        <v>34.787579999999998</v>
      </c>
      <c r="AM690">
        <f t="shared" si="113"/>
        <v>243.51306</v>
      </c>
      <c r="AN690">
        <f t="shared" si="113"/>
        <v>347.87579999999997</v>
      </c>
      <c r="AO690">
        <f t="shared" si="113"/>
        <v>521.81369999999993</v>
      </c>
      <c r="AP690">
        <f t="shared" si="113"/>
        <v>695.75159999999994</v>
      </c>
      <c r="AQ690">
        <f t="shared" si="113"/>
        <v>1217.5653</v>
      </c>
      <c r="AR690">
        <f t="shared" si="113"/>
        <v>1739.3789999999999</v>
      </c>
      <c r="AS690">
        <f t="shared" si="113"/>
        <v>2783.0063999999998</v>
      </c>
      <c r="AT690">
        <f t="shared" si="113"/>
        <v>4174.5095999999994</v>
      </c>
      <c r="AU690">
        <f t="shared" si="113"/>
        <v>5913.8885999999993</v>
      </c>
      <c r="AV690">
        <f t="shared" si="113"/>
        <v>8349.0191999999988</v>
      </c>
      <c r="AW690">
        <f t="shared" si="113"/>
        <v>11479.901399999999</v>
      </c>
      <c r="AX690">
        <f t="shared" si="113"/>
        <v>16002.2868</v>
      </c>
      <c r="AY690">
        <f t="shared" si="113"/>
        <v>27830.063999999998</v>
      </c>
      <c r="AZ690">
        <f t="shared" si="113"/>
        <v>52181.369999999995</v>
      </c>
      <c r="BA690">
        <f t="shared" si="113"/>
        <v>86968.95</v>
      </c>
      <c r="BB690">
        <f t="shared" si="113"/>
        <v>139150.32</v>
      </c>
      <c r="BC690">
        <f t="shared" si="111"/>
        <v>347875.8</v>
      </c>
      <c r="BD690">
        <f t="shared" si="111"/>
        <v>521813.69999999995</v>
      </c>
      <c r="BE690">
        <f t="shared" si="111"/>
        <v>834901.91999999993</v>
      </c>
      <c r="BF690">
        <f t="shared" si="111"/>
        <v>1043627.3999999999</v>
      </c>
      <c r="BG690">
        <f t="shared" si="111"/>
        <v>3478758</v>
      </c>
      <c r="BH690">
        <f t="shared" si="111"/>
        <v>10436274</v>
      </c>
      <c r="BI690">
        <f t="shared" si="111"/>
        <v>29569443</v>
      </c>
      <c r="BJ690">
        <f t="shared" si="111"/>
        <v>104362740</v>
      </c>
      <c r="BK690">
        <f t="shared" si="111"/>
        <v>347875800</v>
      </c>
      <c r="BL690">
        <v>685</v>
      </c>
    </row>
    <row r="691" spans="1:64" ht="17.25" thickBot="1" x14ac:dyDescent="0.25">
      <c r="A691" s="131">
        <v>687</v>
      </c>
      <c r="B691" s="132">
        <v>272565450</v>
      </c>
      <c r="D691" s="131">
        <v>687</v>
      </c>
      <c r="E691" s="132">
        <v>34.939109999999999</v>
      </c>
      <c r="AK691">
        <v>685</v>
      </c>
      <c r="AL691" s="24">
        <f t="shared" si="107"/>
        <v>34.838160000000002</v>
      </c>
      <c r="AM691">
        <f t="shared" si="113"/>
        <v>243.86712</v>
      </c>
      <c r="AN691">
        <f t="shared" si="113"/>
        <v>348.38160000000005</v>
      </c>
      <c r="AO691">
        <f t="shared" si="113"/>
        <v>522.57240000000002</v>
      </c>
      <c r="AP691">
        <f t="shared" si="113"/>
        <v>696.7632000000001</v>
      </c>
      <c r="AQ691">
        <f t="shared" si="113"/>
        <v>1219.3356000000001</v>
      </c>
      <c r="AR691">
        <f t="shared" si="113"/>
        <v>1741.9080000000001</v>
      </c>
      <c r="AS691">
        <f t="shared" si="113"/>
        <v>2787.0528000000004</v>
      </c>
      <c r="AT691">
        <f t="shared" si="113"/>
        <v>4180.5792000000001</v>
      </c>
      <c r="AU691">
        <f t="shared" si="113"/>
        <v>5922.4872000000005</v>
      </c>
      <c r="AV691">
        <f t="shared" si="113"/>
        <v>8361.1584000000003</v>
      </c>
      <c r="AW691">
        <f t="shared" si="113"/>
        <v>11496.5928</v>
      </c>
      <c r="AX691">
        <f t="shared" si="113"/>
        <v>16025.553600000001</v>
      </c>
      <c r="AY691">
        <f t="shared" si="113"/>
        <v>27870.528000000002</v>
      </c>
      <c r="AZ691">
        <f t="shared" si="113"/>
        <v>52257.240000000005</v>
      </c>
      <c r="BA691">
        <f t="shared" si="113"/>
        <v>87095.400000000009</v>
      </c>
      <c r="BB691">
        <f t="shared" si="113"/>
        <v>139352.64000000001</v>
      </c>
      <c r="BC691">
        <f t="shared" si="111"/>
        <v>348381.60000000003</v>
      </c>
      <c r="BD691">
        <f t="shared" si="111"/>
        <v>522572.4</v>
      </c>
      <c r="BE691">
        <f t="shared" si="111"/>
        <v>836115.84000000008</v>
      </c>
      <c r="BF691">
        <f t="shared" si="111"/>
        <v>1045144.8</v>
      </c>
      <c r="BG691">
        <f t="shared" si="111"/>
        <v>3483816</v>
      </c>
      <c r="BH691">
        <f t="shared" si="111"/>
        <v>10451448</v>
      </c>
      <c r="BI691">
        <f t="shared" si="111"/>
        <v>29612436</v>
      </c>
      <c r="BJ691">
        <f t="shared" si="111"/>
        <v>104514480</v>
      </c>
      <c r="BK691">
        <f t="shared" si="111"/>
        <v>348381600</v>
      </c>
      <c r="BL691">
        <v>686</v>
      </c>
    </row>
    <row r="692" spans="1:64" ht="17.25" thickBot="1" x14ac:dyDescent="0.25">
      <c r="A692" s="131">
        <v>688</v>
      </c>
      <c r="B692" s="132">
        <v>274532994</v>
      </c>
      <c r="D692" s="131">
        <v>688</v>
      </c>
      <c r="E692" s="132">
        <v>34.989469999999997</v>
      </c>
      <c r="AK692">
        <v>686</v>
      </c>
      <c r="AL692" s="24">
        <f t="shared" si="107"/>
        <v>34.888669999999998</v>
      </c>
      <c r="AM692">
        <f t="shared" si="113"/>
        <v>244.22068999999999</v>
      </c>
      <c r="AN692">
        <f t="shared" si="113"/>
        <v>348.88669999999996</v>
      </c>
      <c r="AO692">
        <f t="shared" si="113"/>
        <v>523.33004999999991</v>
      </c>
      <c r="AP692">
        <f t="shared" si="113"/>
        <v>697.77339999999992</v>
      </c>
      <c r="AQ692">
        <f t="shared" si="113"/>
        <v>1221.1034499999998</v>
      </c>
      <c r="AR692">
        <f t="shared" si="113"/>
        <v>1744.4334999999999</v>
      </c>
      <c r="AS692">
        <f t="shared" si="113"/>
        <v>2791.0935999999997</v>
      </c>
      <c r="AT692">
        <f t="shared" si="113"/>
        <v>4186.6403999999993</v>
      </c>
      <c r="AU692">
        <f t="shared" si="113"/>
        <v>5931.0738999999994</v>
      </c>
      <c r="AV692">
        <f t="shared" si="113"/>
        <v>8373.2807999999986</v>
      </c>
      <c r="AW692">
        <f t="shared" si="113"/>
        <v>11513.2611</v>
      </c>
      <c r="AX692">
        <f t="shared" si="113"/>
        <v>16048.788199999999</v>
      </c>
      <c r="AY692">
        <f t="shared" si="113"/>
        <v>27910.935999999998</v>
      </c>
      <c r="AZ692">
        <f t="shared" si="113"/>
        <v>52333.004999999997</v>
      </c>
      <c r="BA692">
        <f t="shared" si="113"/>
        <v>87221.674999999988</v>
      </c>
      <c r="BB692">
        <f t="shared" si="113"/>
        <v>139554.68</v>
      </c>
      <c r="BC692">
        <f t="shared" si="111"/>
        <v>348886.69999999995</v>
      </c>
      <c r="BD692">
        <f t="shared" si="111"/>
        <v>523330.05</v>
      </c>
      <c r="BE692">
        <f t="shared" si="111"/>
        <v>837328.08</v>
      </c>
      <c r="BF692">
        <f t="shared" si="111"/>
        <v>1046660.1</v>
      </c>
      <c r="BG692">
        <f t="shared" si="111"/>
        <v>3488866.9999999995</v>
      </c>
      <c r="BH692">
        <f t="shared" si="111"/>
        <v>10466601</v>
      </c>
      <c r="BI692">
        <f t="shared" si="111"/>
        <v>29655369.499999996</v>
      </c>
      <c r="BJ692">
        <f t="shared" si="111"/>
        <v>104666010</v>
      </c>
      <c r="BK692">
        <f t="shared" si="111"/>
        <v>348886700</v>
      </c>
      <c r="BL692">
        <v>687</v>
      </c>
    </row>
    <row r="693" spans="1:64" ht="17.25" thickBot="1" x14ac:dyDescent="0.25">
      <c r="A693" s="131">
        <v>689</v>
      </c>
      <c r="B693" s="132">
        <v>276515805</v>
      </c>
      <c r="D693" s="131">
        <v>689</v>
      </c>
      <c r="E693" s="132">
        <v>35.039760000000001</v>
      </c>
      <c r="AK693">
        <v>687</v>
      </c>
      <c r="AL693" s="24">
        <f t="shared" si="107"/>
        <v>34.939109999999999</v>
      </c>
      <c r="AM693">
        <f t="shared" si="113"/>
        <v>244.57377</v>
      </c>
      <c r="AN693">
        <f t="shared" si="113"/>
        <v>349.39109999999999</v>
      </c>
      <c r="AO693">
        <f t="shared" si="113"/>
        <v>524.08664999999996</v>
      </c>
      <c r="AP693">
        <f t="shared" si="113"/>
        <v>698.78219999999999</v>
      </c>
      <c r="AQ693">
        <f t="shared" si="113"/>
        <v>1222.8688500000001</v>
      </c>
      <c r="AR693">
        <f t="shared" si="113"/>
        <v>1746.9555</v>
      </c>
      <c r="AS693">
        <f t="shared" si="113"/>
        <v>2795.1288</v>
      </c>
      <c r="AT693">
        <f t="shared" si="113"/>
        <v>4192.6931999999997</v>
      </c>
      <c r="AU693">
        <f t="shared" si="113"/>
        <v>5939.6486999999997</v>
      </c>
      <c r="AV693">
        <f t="shared" si="113"/>
        <v>8385.3863999999994</v>
      </c>
      <c r="AW693">
        <f t="shared" si="113"/>
        <v>11529.906300000001</v>
      </c>
      <c r="AX693">
        <f t="shared" si="113"/>
        <v>16071.990599999999</v>
      </c>
      <c r="AY693">
        <f t="shared" si="113"/>
        <v>27951.288</v>
      </c>
      <c r="AZ693">
        <f t="shared" si="113"/>
        <v>52408.665000000001</v>
      </c>
      <c r="BA693">
        <f t="shared" si="113"/>
        <v>87347.774999999994</v>
      </c>
      <c r="BB693">
        <f t="shared" si="113"/>
        <v>139756.44</v>
      </c>
      <c r="BC693">
        <f t="shared" si="111"/>
        <v>349391.1</v>
      </c>
      <c r="BD693">
        <f t="shared" si="111"/>
        <v>524086.64999999997</v>
      </c>
      <c r="BE693">
        <f t="shared" si="111"/>
        <v>838538.64</v>
      </c>
      <c r="BF693">
        <f t="shared" ref="BC693:BK721" si="114">BF$5*VLOOKUP($AK693,$D$2:$E$1404,2,FALSE)</f>
        <v>1048173.2999999999</v>
      </c>
      <c r="BG693">
        <f t="shared" si="114"/>
        <v>3493911</v>
      </c>
      <c r="BH693">
        <f t="shared" si="114"/>
        <v>10481733</v>
      </c>
      <c r="BI693">
        <f t="shared" si="114"/>
        <v>29698243.5</v>
      </c>
      <c r="BJ693">
        <f t="shared" si="114"/>
        <v>104817330</v>
      </c>
      <c r="BK693">
        <f t="shared" si="114"/>
        <v>349391100</v>
      </c>
      <c r="BL693">
        <v>688</v>
      </c>
    </row>
    <row r="694" spans="1:64" ht="17.25" thickBot="1" x14ac:dyDescent="0.25">
      <c r="A694" s="131">
        <v>690</v>
      </c>
      <c r="B694" s="132">
        <v>278513966</v>
      </c>
      <c r="D694" s="131">
        <v>690</v>
      </c>
      <c r="E694" s="132">
        <v>35.089979999999997</v>
      </c>
      <c r="AK694">
        <v>688</v>
      </c>
      <c r="AL694" s="24">
        <f t="shared" si="107"/>
        <v>34.989469999999997</v>
      </c>
      <c r="AM694">
        <f t="shared" si="113"/>
        <v>244.92628999999999</v>
      </c>
      <c r="AN694">
        <f t="shared" si="113"/>
        <v>349.89469999999994</v>
      </c>
      <c r="AO694">
        <f t="shared" si="113"/>
        <v>524.84204999999997</v>
      </c>
      <c r="AP694">
        <f t="shared" si="113"/>
        <v>699.78939999999989</v>
      </c>
      <c r="AQ694">
        <f t="shared" si="113"/>
        <v>1224.6314499999999</v>
      </c>
      <c r="AR694">
        <f t="shared" si="113"/>
        <v>1749.4734999999998</v>
      </c>
      <c r="AS694">
        <f t="shared" si="113"/>
        <v>2799.1575999999995</v>
      </c>
      <c r="AT694">
        <f t="shared" si="113"/>
        <v>4198.7363999999998</v>
      </c>
      <c r="AU694">
        <f t="shared" si="113"/>
        <v>5948.2098999999998</v>
      </c>
      <c r="AV694">
        <f t="shared" si="113"/>
        <v>8397.4727999999996</v>
      </c>
      <c r="AW694">
        <f t="shared" si="113"/>
        <v>11546.525099999999</v>
      </c>
      <c r="AX694">
        <f t="shared" si="113"/>
        <v>16095.156199999999</v>
      </c>
      <c r="AY694">
        <f t="shared" si="113"/>
        <v>27991.575999999997</v>
      </c>
      <c r="AZ694">
        <f t="shared" si="113"/>
        <v>52484.204999999994</v>
      </c>
      <c r="BA694">
        <f t="shared" si="113"/>
        <v>87473.674999999988</v>
      </c>
      <c r="BB694">
        <f t="shared" si="113"/>
        <v>139957.87999999998</v>
      </c>
      <c r="BC694">
        <f t="shared" si="114"/>
        <v>349894.69999999995</v>
      </c>
      <c r="BD694">
        <f t="shared" si="114"/>
        <v>524842.04999999993</v>
      </c>
      <c r="BE694">
        <f t="shared" si="114"/>
        <v>839747.27999999991</v>
      </c>
      <c r="BF694">
        <f t="shared" si="114"/>
        <v>1049684.0999999999</v>
      </c>
      <c r="BG694">
        <f t="shared" si="114"/>
        <v>3498946.9999999995</v>
      </c>
      <c r="BH694">
        <f t="shared" si="114"/>
        <v>10496841</v>
      </c>
      <c r="BI694">
        <f t="shared" si="114"/>
        <v>29741049.499999996</v>
      </c>
      <c r="BJ694">
        <f t="shared" si="114"/>
        <v>104968409.99999999</v>
      </c>
      <c r="BK694">
        <f t="shared" si="114"/>
        <v>349894700</v>
      </c>
      <c r="BL694">
        <v>689</v>
      </c>
    </row>
    <row r="695" spans="1:64" ht="17.25" thickBot="1" x14ac:dyDescent="0.25">
      <c r="A695" s="131">
        <v>691</v>
      </c>
      <c r="B695" s="132">
        <v>280527561</v>
      </c>
      <c r="D695" s="131">
        <v>691</v>
      </c>
      <c r="E695" s="132">
        <v>35.140129999999999</v>
      </c>
      <c r="AK695">
        <v>689</v>
      </c>
      <c r="AL695" s="24">
        <f t="shared" ref="AL695:AL758" si="115">VLOOKUP(AK695,D$2:E$1404,2,FALSE)</f>
        <v>35.039760000000001</v>
      </c>
      <c r="AM695">
        <f t="shared" si="113"/>
        <v>245.27832000000001</v>
      </c>
      <c r="AN695">
        <f t="shared" si="113"/>
        <v>350.39760000000001</v>
      </c>
      <c r="AO695">
        <f t="shared" si="113"/>
        <v>525.59640000000002</v>
      </c>
      <c r="AP695">
        <f t="shared" si="113"/>
        <v>700.79520000000002</v>
      </c>
      <c r="AQ695">
        <f t="shared" si="113"/>
        <v>1226.3915999999999</v>
      </c>
      <c r="AR695">
        <f t="shared" si="113"/>
        <v>1751.9880000000001</v>
      </c>
      <c r="AS695">
        <f t="shared" si="113"/>
        <v>2803.1808000000001</v>
      </c>
      <c r="AT695">
        <f t="shared" si="113"/>
        <v>4204.7712000000001</v>
      </c>
      <c r="AU695">
        <f t="shared" si="113"/>
        <v>5956.7592000000004</v>
      </c>
      <c r="AV695">
        <f t="shared" si="113"/>
        <v>8409.5424000000003</v>
      </c>
      <c r="AW695">
        <f t="shared" si="113"/>
        <v>11563.120800000001</v>
      </c>
      <c r="AX695">
        <f t="shared" si="113"/>
        <v>16118.2896</v>
      </c>
      <c r="AY695">
        <f t="shared" si="113"/>
        <v>28031.808000000001</v>
      </c>
      <c r="AZ695">
        <f t="shared" si="113"/>
        <v>52559.64</v>
      </c>
      <c r="BA695">
        <f t="shared" si="113"/>
        <v>87599.400000000009</v>
      </c>
      <c r="BB695">
        <f t="shared" si="113"/>
        <v>140159.04000000001</v>
      </c>
      <c r="BC695">
        <f t="shared" si="114"/>
        <v>350397.60000000003</v>
      </c>
      <c r="BD695">
        <f t="shared" si="114"/>
        <v>525596.4</v>
      </c>
      <c r="BE695">
        <f t="shared" si="114"/>
        <v>840954.24</v>
      </c>
      <c r="BF695">
        <f t="shared" si="114"/>
        <v>1051192.8</v>
      </c>
      <c r="BG695">
        <f t="shared" si="114"/>
        <v>3503976</v>
      </c>
      <c r="BH695">
        <f t="shared" si="114"/>
        <v>10511928</v>
      </c>
      <c r="BI695">
        <f t="shared" si="114"/>
        <v>29783796</v>
      </c>
      <c r="BJ695">
        <f t="shared" si="114"/>
        <v>105119280</v>
      </c>
      <c r="BK695">
        <f t="shared" si="114"/>
        <v>350397600</v>
      </c>
      <c r="BL695">
        <v>690</v>
      </c>
    </row>
    <row r="696" spans="1:64" ht="17.25" thickBot="1" x14ac:dyDescent="0.25">
      <c r="A696" s="131">
        <v>692</v>
      </c>
      <c r="B696" s="132">
        <v>282556677</v>
      </c>
      <c r="D696" s="131">
        <v>692</v>
      </c>
      <c r="E696" s="132">
        <v>35.19021</v>
      </c>
      <c r="AK696">
        <v>690</v>
      </c>
      <c r="AL696" s="24">
        <f t="shared" si="115"/>
        <v>35.089979999999997</v>
      </c>
      <c r="AM696">
        <f t="shared" si="113"/>
        <v>245.62985999999998</v>
      </c>
      <c r="AN696">
        <f t="shared" si="113"/>
        <v>350.89979999999997</v>
      </c>
      <c r="AO696">
        <f t="shared" si="113"/>
        <v>526.34969999999998</v>
      </c>
      <c r="AP696">
        <f t="shared" si="113"/>
        <v>701.79959999999994</v>
      </c>
      <c r="AQ696">
        <f t="shared" si="113"/>
        <v>1228.1492999999998</v>
      </c>
      <c r="AR696">
        <f t="shared" si="113"/>
        <v>1754.4989999999998</v>
      </c>
      <c r="AS696">
        <f t="shared" si="113"/>
        <v>2807.1983999999998</v>
      </c>
      <c r="AT696">
        <f t="shared" si="113"/>
        <v>4210.7975999999999</v>
      </c>
      <c r="AU696">
        <f t="shared" si="113"/>
        <v>5965.2965999999997</v>
      </c>
      <c r="AV696">
        <f t="shared" si="113"/>
        <v>8421.5951999999997</v>
      </c>
      <c r="AW696">
        <f t="shared" si="113"/>
        <v>11579.693399999998</v>
      </c>
      <c r="AX696">
        <f t="shared" si="113"/>
        <v>16141.390799999999</v>
      </c>
      <c r="AY696">
        <f t="shared" si="113"/>
        <v>28071.983999999997</v>
      </c>
      <c r="AZ696">
        <f t="shared" si="113"/>
        <v>52634.969999999994</v>
      </c>
      <c r="BA696">
        <f t="shared" si="113"/>
        <v>87724.95</v>
      </c>
      <c r="BB696">
        <f t="shared" si="113"/>
        <v>140359.91999999998</v>
      </c>
      <c r="BC696">
        <f t="shared" si="114"/>
        <v>350899.8</v>
      </c>
      <c r="BD696">
        <f t="shared" si="114"/>
        <v>526349.69999999995</v>
      </c>
      <c r="BE696">
        <f t="shared" si="114"/>
        <v>842159.5199999999</v>
      </c>
      <c r="BF696">
        <f t="shared" si="114"/>
        <v>1052699.3999999999</v>
      </c>
      <c r="BG696">
        <f t="shared" si="114"/>
        <v>3508997.9999999995</v>
      </c>
      <c r="BH696">
        <f t="shared" si="114"/>
        <v>10526994</v>
      </c>
      <c r="BI696">
        <f t="shared" si="114"/>
        <v>29826482.999999996</v>
      </c>
      <c r="BJ696">
        <f t="shared" si="114"/>
        <v>105269939.99999999</v>
      </c>
      <c r="BK696">
        <f t="shared" si="114"/>
        <v>350899800</v>
      </c>
      <c r="BL696">
        <v>691</v>
      </c>
    </row>
    <row r="697" spans="1:64" ht="17.25" thickBot="1" x14ac:dyDescent="0.25">
      <c r="A697" s="131">
        <v>693</v>
      </c>
      <c r="B697" s="132">
        <v>284601394</v>
      </c>
      <c r="D697" s="131">
        <v>693</v>
      </c>
      <c r="E697" s="132">
        <v>35.240209999999998</v>
      </c>
      <c r="AK697">
        <v>691</v>
      </c>
      <c r="AL697" s="24">
        <f t="shared" si="115"/>
        <v>35.140129999999999</v>
      </c>
      <c r="AM697">
        <f t="shared" si="113"/>
        <v>245.98090999999999</v>
      </c>
      <c r="AN697">
        <f t="shared" si="113"/>
        <v>351.40129999999999</v>
      </c>
      <c r="AO697">
        <f t="shared" si="113"/>
        <v>527.10194999999999</v>
      </c>
      <c r="AP697">
        <f t="shared" si="113"/>
        <v>702.80259999999998</v>
      </c>
      <c r="AQ697">
        <f t="shared" si="113"/>
        <v>1229.90455</v>
      </c>
      <c r="AR697">
        <f t="shared" si="113"/>
        <v>1757.0065</v>
      </c>
      <c r="AS697">
        <f t="shared" si="113"/>
        <v>2811.2103999999999</v>
      </c>
      <c r="AT697">
        <f t="shared" si="113"/>
        <v>4216.8155999999999</v>
      </c>
      <c r="AU697">
        <f t="shared" si="113"/>
        <v>5973.8220999999994</v>
      </c>
      <c r="AV697">
        <f t="shared" si="113"/>
        <v>8433.6311999999998</v>
      </c>
      <c r="AW697">
        <f t="shared" si="113"/>
        <v>11596.242899999999</v>
      </c>
      <c r="AX697">
        <f t="shared" si="113"/>
        <v>16164.459800000001</v>
      </c>
      <c r="AY697">
        <f t="shared" si="113"/>
        <v>28112.103999999999</v>
      </c>
      <c r="AZ697">
        <f t="shared" si="113"/>
        <v>52710.195</v>
      </c>
      <c r="BA697">
        <f t="shared" si="113"/>
        <v>87850.324999999997</v>
      </c>
      <c r="BB697">
        <f t="shared" si="113"/>
        <v>140560.51999999999</v>
      </c>
      <c r="BC697">
        <f t="shared" si="114"/>
        <v>351401.3</v>
      </c>
      <c r="BD697">
        <f t="shared" si="114"/>
        <v>527101.94999999995</v>
      </c>
      <c r="BE697">
        <f t="shared" si="114"/>
        <v>843363.12</v>
      </c>
      <c r="BF697">
        <f t="shared" si="114"/>
        <v>1054203.8999999999</v>
      </c>
      <c r="BG697">
        <f t="shared" si="114"/>
        <v>3514013</v>
      </c>
      <c r="BH697">
        <f t="shared" si="114"/>
        <v>10542039</v>
      </c>
      <c r="BI697">
        <f t="shared" si="114"/>
        <v>29869110.5</v>
      </c>
      <c r="BJ697">
        <f t="shared" si="114"/>
        <v>105420390</v>
      </c>
      <c r="BK697">
        <f t="shared" si="114"/>
        <v>351401300</v>
      </c>
      <c r="BL697">
        <v>692</v>
      </c>
    </row>
    <row r="698" spans="1:64" ht="17.25" thickBot="1" x14ac:dyDescent="0.25">
      <c r="A698" s="131">
        <v>694</v>
      </c>
      <c r="B698" s="132">
        <v>286661800</v>
      </c>
      <c r="D698" s="131">
        <v>694</v>
      </c>
      <c r="E698" s="132">
        <v>35.290140000000001</v>
      </c>
      <c r="AK698">
        <v>692</v>
      </c>
      <c r="AL698" s="24">
        <f t="shared" si="115"/>
        <v>35.19021</v>
      </c>
      <c r="AM698">
        <f t="shared" si="113"/>
        <v>246.33147</v>
      </c>
      <c r="AN698">
        <f t="shared" si="113"/>
        <v>351.90210000000002</v>
      </c>
      <c r="AO698">
        <f t="shared" si="113"/>
        <v>527.85315000000003</v>
      </c>
      <c r="AP698">
        <f t="shared" si="113"/>
        <v>703.80420000000004</v>
      </c>
      <c r="AQ698">
        <f t="shared" si="113"/>
        <v>1231.65735</v>
      </c>
      <c r="AR698">
        <f t="shared" si="113"/>
        <v>1759.5105000000001</v>
      </c>
      <c r="AS698">
        <f t="shared" si="113"/>
        <v>2815.2168000000001</v>
      </c>
      <c r="AT698">
        <f t="shared" si="113"/>
        <v>4222.8252000000002</v>
      </c>
      <c r="AU698">
        <f t="shared" si="113"/>
        <v>5982.3356999999996</v>
      </c>
      <c r="AV698">
        <f t="shared" si="113"/>
        <v>8445.6504000000004</v>
      </c>
      <c r="AW698">
        <f t="shared" si="113"/>
        <v>11612.7693</v>
      </c>
      <c r="AX698">
        <f t="shared" si="113"/>
        <v>16187.4966</v>
      </c>
      <c r="AY698">
        <f t="shared" si="113"/>
        <v>28152.168000000001</v>
      </c>
      <c r="AZ698">
        <f t="shared" si="113"/>
        <v>52785.315000000002</v>
      </c>
      <c r="BA698">
        <f t="shared" si="113"/>
        <v>87975.524999999994</v>
      </c>
      <c r="BB698">
        <f t="shared" si="113"/>
        <v>140760.84</v>
      </c>
      <c r="BC698">
        <f t="shared" si="114"/>
        <v>351902.1</v>
      </c>
      <c r="BD698">
        <f t="shared" si="114"/>
        <v>527853.15</v>
      </c>
      <c r="BE698">
        <f t="shared" si="114"/>
        <v>844565.04</v>
      </c>
      <c r="BF698">
        <f t="shared" si="114"/>
        <v>1055706.3</v>
      </c>
      <c r="BG698">
        <f t="shared" si="114"/>
        <v>3519021</v>
      </c>
      <c r="BH698">
        <f t="shared" si="114"/>
        <v>10557063</v>
      </c>
      <c r="BI698">
        <f t="shared" si="114"/>
        <v>29911678.5</v>
      </c>
      <c r="BJ698">
        <f t="shared" si="114"/>
        <v>105570630</v>
      </c>
      <c r="BK698">
        <f t="shared" si="114"/>
        <v>351902100</v>
      </c>
      <c r="BL698">
        <v>693</v>
      </c>
    </row>
    <row r="699" spans="1:64" ht="17.25" thickBot="1" x14ac:dyDescent="0.25">
      <c r="A699" s="131">
        <v>695</v>
      </c>
      <c r="B699" s="132">
        <v>288737977</v>
      </c>
      <c r="D699" s="131">
        <v>695</v>
      </c>
      <c r="E699" s="132">
        <v>35.340000000000003</v>
      </c>
      <c r="AK699">
        <v>693</v>
      </c>
      <c r="AL699" s="24">
        <f t="shared" si="115"/>
        <v>35.240209999999998</v>
      </c>
      <c r="AM699">
        <f t="shared" si="113"/>
        <v>246.68146999999999</v>
      </c>
      <c r="AN699">
        <f t="shared" si="113"/>
        <v>352.40209999999996</v>
      </c>
      <c r="AO699">
        <f t="shared" si="113"/>
        <v>528.60314999999991</v>
      </c>
      <c r="AP699">
        <f t="shared" si="113"/>
        <v>704.80419999999992</v>
      </c>
      <c r="AQ699">
        <f t="shared" si="113"/>
        <v>1233.40735</v>
      </c>
      <c r="AR699">
        <f t="shared" si="113"/>
        <v>1762.0104999999999</v>
      </c>
      <c r="AS699">
        <f t="shared" si="113"/>
        <v>2819.2167999999997</v>
      </c>
      <c r="AT699">
        <f t="shared" si="113"/>
        <v>4228.8251999999993</v>
      </c>
      <c r="AU699">
        <f t="shared" si="113"/>
        <v>5990.8356999999996</v>
      </c>
      <c r="AV699">
        <f t="shared" si="113"/>
        <v>8457.6503999999986</v>
      </c>
      <c r="AW699">
        <f t="shared" si="113"/>
        <v>11629.2693</v>
      </c>
      <c r="AX699">
        <f t="shared" si="113"/>
        <v>16210.496599999999</v>
      </c>
      <c r="AY699">
        <f t="shared" si="113"/>
        <v>28192.167999999998</v>
      </c>
      <c r="AZ699">
        <f t="shared" si="113"/>
        <v>52860.314999999995</v>
      </c>
      <c r="BA699">
        <f t="shared" si="113"/>
        <v>88100.524999999994</v>
      </c>
      <c r="BB699">
        <f t="shared" si="113"/>
        <v>140960.84</v>
      </c>
      <c r="BC699">
        <f t="shared" si="114"/>
        <v>352402.1</v>
      </c>
      <c r="BD699">
        <f t="shared" si="114"/>
        <v>528603.14999999991</v>
      </c>
      <c r="BE699">
        <f t="shared" si="114"/>
        <v>845765.03999999992</v>
      </c>
      <c r="BF699">
        <f t="shared" si="114"/>
        <v>1057206.2999999998</v>
      </c>
      <c r="BG699">
        <f t="shared" si="114"/>
        <v>3524020.9999999995</v>
      </c>
      <c r="BH699">
        <f t="shared" si="114"/>
        <v>10572063</v>
      </c>
      <c r="BI699">
        <f t="shared" si="114"/>
        <v>29954178.499999996</v>
      </c>
      <c r="BJ699">
        <f t="shared" si="114"/>
        <v>105720630</v>
      </c>
      <c r="BK699">
        <f t="shared" si="114"/>
        <v>352402100</v>
      </c>
      <c r="BL699">
        <v>694</v>
      </c>
    </row>
    <row r="700" spans="1:64" ht="17.25" thickBot="1" x14ac:dyDescent="0.25">
      <c r="A700" s="131">
        <v>696</v>
      </c>
      <c r="B700" s="132">
        <v>290830011</v>
      </c>
      <c r="D700" s="131">
        <v>696</v>
      </c>
      <c r="E700" s="132">
        <v>35.389789999999998</v>
      </c>
      <c r="AK700">
        <v>694</v>
      </c>
      <c r="AL700" s="24">
        <f t="shared" si="115"/>
        <v>35.290140000000001</v>
      </c>
      <c r="AM700">
        <f t="shared" si="113"/>
        <v>247.03098</v>
      </c>
      <c r="AN700">
        <f t="shared" si="113"/>
        <v>352.90140000000002</v>
      </c>
      <c r="AO700">
        <f t="shared" si="113"/>
        <v>529.35210000000006</v>
      </c>
      <c r="AP700">
        <f t="shared" si="113"/>
        <v>705.80280000000005</v>
      </c>
      <c r="AQ700">
        <f t="shared" si="113"/>
        <v>1235.1549</v>
      </c>
      <c r="AR700">
        <f t="shared" si="113"/>
        <v>1764.5070000000001</v>
      </c>
      <c r="AS700">
        <f t="shared" si="113"/>
        <v>2823.2112000000002</v>
      </c>
      <c r="AT700">
        <f t="shared" si="113"/>
        <v>4234.8168000000005</v>
      </c>
      <c r="AU700">
        <f t="shared" si="113"/>
        <v>5999.3238000000001</v>
      </c>
      <c r="AV700">
        <f t="shared" si="113"/>
        <v>8469.633600000001</v>
      </c>
      <c r="AW700">
        <f t="shared" si="113"/>
        <v>11645.7462</v>
      </c>
      <c r="AX700">
        <f t="shared" si="113"/>
        <v>16233.464400000001</v>
      </c>
      <c r="AY700">
        <f t="shared" si="113"/>
        <v>28232.112000000001</v>
      </c>
      <c r="AZ700">
        <f t="shared" si="113"/>
        <v>52935.21</v>
      </c>
      <c r="BA700">
        <f t="shared" si="113"/>
        <v>88225.35</v>
      </c>
      <c r="BB700">
        <f t="shared" si="113"/>
        <v>141160.56</v>
      </c>
      <c r="BC700">
        <f t="shared" si="114"/>
        <v>352901.4</v>
      </c>
      <c r="BD700">
        <f t="shared" si="114"/>
        <v>529352.1</v>
      </c>
      <c r="BE700">
        <f t="shared" si="114"/>
        <v>846963.36</v>
      </c>
      <c r="BF700">
        <f t="shared" si="114"/>
        <v>1058704.2</v>
      </c>
      <c r="BG700">
        <f t="shared" si="114"/>
        <v>3529014</v>
      </c>
      <c r="BH700">
        <f t="shared" si="114"/>
        <v>10587042</v>
      </c>
      <c r="BI700">
        <f t="shared" si="114"/>
        <v>29996619</v>
      </c>
      <c r="BJ700">
        <f t="shared" si="114"/>
        <v>105870420</v>
      </c>
      <c r="BK700">
        <f t="shared" si="114"/>
        <v>352901400</v>
      </c>
      <c r="BL700">
        <v>695</v>
      </c>
    </row>
    <row r="701" spans="1:64" ht="17.25" thickBot="1" x14ac:dyDescent="0.25">
      <c r="A701" s="131">
        <v>697</v>
      </c>
      <c r="B701" s="132">
        <v>292937983</v>
      </c>
      <c r="D701" s="131">
        <v>697</v>
      </c>
      <c r="E701" s="132">
        <v>35.439509999999999</v>
      </c>
      <c r="AK701">
        <v>695</v>
      </c>
      <c r="AL701" s="24">
        <f t="shared" si="115"/>
        <v>35.340000000000003</v>
      </c>
      <c r="AM701">
        <f t="shared" si="113"/>
        <v>247.38000000000002</v>
      </c>
      <c r="AN701">
        <f t="shared" si="113"/>
        <v>353.40000000000003</v>
      </c>
      <c r="AO701">
        <f t="shared" si="113"/>
        <v>530.1</v>
      </c>
      <c r="AP701">
        <f t="shared" si="113"/>
        <v>706.80000000000007</v>
      </c>
      <c r="AQ701">
        <f t="shared" si="113"/>
        <v>1236.9000000000001</v>
      </c>
      <c r="AR701">
        <f t="shared" si="113"/>
        <v>1767.0000000000002</v>
      </c>
      <c r="AS701">
        <f t="shared" si="113"/>
        <v>2827.2000000000003</v>
      </c>
      <c r="AT701">
        <f t="shared" si="113"/>
        <v>4240.8</v>
      </c>
      <c r="AU701">
        <f t="shared" si="113"/>
        <v>6007.8</v>
      </c>
      <c r="AV701">
        <f t="shared" si="113"/>
        <v>8481.6</v>
      </c>
      <c r="AW701">
        <f t="shared" si="113"/>
        <v>11662.2</v>
      </c>
      <c r="AX701">
        <f t="shared" si="113"/>
        <v>16256.400000000001</v>
      </c>
      <c r="AY701">
        <f t="shared" si="113"/>
        <v>28272.000000000004</v>
      </c>
      <c r="AZ701">
        <f t="shared" si="113"/>
        <v>53010.000000000007</v>
      </c>
      <c r="BA701">
        <f t="shared" si="113"/>
        <v>88350.000000000015</v>
      </c>
      <c r="BB701">
        <f t="shared" si="113"/>
        <v>141360</v>
      </c>
      <c r="BC701">
        <f t="shared" si="114"/>
        <v>353400.00000000006</v>
      </c>
      <c r="BD701">
        <f t="shared" si="114"/>
        <v>530100</v>
      </c>
      <c r="BE701">
        <f t="shared" si="114"/>
        <v>848160.00000000012</v>
      </c>
      <c r="BF701">
        <f t="shared" si="114"/>
        <v>1060200</v>
      </c>
      <c r="BG701">
        <f t="shared" si="114"/>
        <v>3534000.0000000005</v>
      </c>
      <c r="BH701">
        <f t="shared" si="114"/>
        <v>10602000.000000002</v>
      </c>
      <c r="BI701">
        <f t="shared" si="114"/>
        <v>30039000.000000004</v>
      </c>
      <c r="BJ701">
        <f t="shared" si="114"/>
        <v>106020000.00000001</v>
      </c>
      <c r="BK701">
        <f t="shared" si="114"/>
        <v>353400000.00000006</v>
      </c>
      <c r="BL701">
        <v>696</v>
      </c>
    </row>
    <row r="702" spans="1:64" ht="17.25" thickBot="1" x14ac:dyDescent="0.25">
      <c r="A702" s="131">
        <v>698</v>
      </c>
      <c r="B702" s="132">
        <v>295061983</v>
      </c>
      <c r="D702" s="131">
        <v>698</v>
      </c>
      <c r="E702" s="132">
        <v>35.489159999999998</v>
      </c>
      <c r="AK702">
        <v>696</v>
      </c>
      <c r="AL702" s="24">
        <f t="shared" si="115"/>
        <v>35.389789999999998</v>
      </c>
      <c r="AM702">
        <f t="shared" si="113"/>
        <v>247.72852999999998</v>
      </c>
      <c r="AN702">
        <f t="shared" si="113"/>
        <v>353.89789999999999</v>
      </c>
      <c r="AO702">
        <f t="shared" si="113"/>
        <v>530.84685000000002</v>
      </c>
      <c r="AP702">
        <f t="shared" si="113"/>
        <v>707.79579999999999</v>
      </c>
      <c r="AQ702">
        <f t="shared" si="113"/>
        <v>1238.64265</v>
      </c>
      <c r="AR702">
        <f t="shared" si="113"/>
        <v>1769.4894999999999</v>
      </c>
      <c r="AS702">
        <f t="shared" si="113"/>
        <v>2831.1831999999999</v>
      </c>
      <c r="AT702">
        <f t="shared" si="113"/>
        <v>4246.7748000000001</v>
      </c>
      <c r="AU702">
        <f t="shared" ref="AM702:BB718" si="116">AU$5*VLOOKUP($AK702,$D$2:$E$1404,2,FALSE)</f>
        <v>6016.2642999999998</v>
      </c>
      <c r="AV702">
        <f t="shared" si="116"/>
        <v>8493.5496000000003</v>
      </c>
      <c r="AW702">
        <f t="shared" si="116"/>
        <v>11678.6307</v>
      </c>
      <c r="AX702">
        <f t="shared" si="116"/>
        <v>16279.303399999999</v>
      </c>
      <c r="AY702">
        <f t="shared" si="116"/>
        <v>28311.831999999999</v>
      </c>
      <c r="AZ702">
        <f t="shared" si="116"/>
        <v>53084.684999999998</v>
      </c>
      <c r="BA702">
        <f t="shared" si="116"/>
        <v>88474.474999999991</v>
      </c>
      <c r="BB702">
        <f t="shared" si="116"/>
        <v>141559.16</v>
      </c>
      <c r="BC702">
        <f t="shared" si="114"/>
        <v>353897.89999999997</v>
      </c>
      <c r="BD702">
        <f t="shared" si="114"/>
        <v>530846.85</v>
      </c>
      <c r="BE702">
        <f t="shared" si="114"/>
        <v>849354.96</v>
      </c>
      <c r="BF702">
        <f t="shared" si="114"/>
        <v>1061693.7</v>
      </c>
      <c r="BG702">
        <f t="shared" si="114"/>
        <v>3538979</v>
      </c>
      <c r="BH702">
        <f t="shared" si="114"/>
        <v>10616937</v>
      </c>
      <c r="BI702">
        <f t="shared" si="114"/>
        <v>30081321.5</v>
      </c>
      <c r="BJ702">
        <f t="shared" si="114"/>
        <v>106169370</v>
      </c>
      <c r="BK702">
        <f t="shared" si="114"/>
        <v>353897900</v>
      </c>
      <c r="BL702">
        <v>697</v>
      </c>
    </row>
    <row r="703" spans="1:64" ht="17.25" thickBot="1" x14ac:dyDescent="0.25">
      <c r="A703" s="131">
        <v>699</v>
      </c>
      <c r="B703" s="132">
        <v>297202100</v>
      </c>
      <c r="D703" s="131">
        <v>699</v>
      </c>
      <c r="E703" s="132">
        <v>35.538739999999997</v>
      </c>
      <c r="AK703">
        <v>697</v>
      </c>
      <c r="AL703" s="24">
        <f t="shared" si="115"/>
        <v>35.439509999999999</v>
      </c>
      <c r="AM703">
        <f t="shared" si="116"/>
        <v>248.07657</v>
      </c>
      <c r="AN703">
        <f t="shared" si="116"/>
        <v>354.39509999999996</v>
      </c>
      <c r="AO703">
        <f t="shared" si="116"/>
        <v>531.59264999999994</v>
      </c>
      <c r="AP703">
        <f t="shared" si="116"/>
        <v>708.79019999999991</v>
      </c>
      <c r="AQ703">
        <f t="shared" si="116"/>
        <v>1240.38285</v>
      </c>
      <c r="AR703">
        <f t="shared" si="116"/>
        <v>1771.9755</v>
      </c>
      <c r="AS703">
        <f t="shared" si="116"/>
        <v>2835.1607999999997</v>
      </c>
      <c r="AT703">
        <f t="shared" si="116"/>
        <v>4252.7411999999995</v>
      </c>
      <c r="AU703">
        <f t="shared" si="116"/>
        <v>6024.7166999999999</v>
      </c>
      <c r="AV703">
        <f t="shared" si="116"/>
        <v>8505.482399999999</v>
      </c>
      <c r="AW703">
        <f t="shared" si="116"/>
        <v>11695.0383</v>
      </c>
      <c r="AX703">
        <f t="shared" si="116"/>
        <v>16302.174599999998</v>
      </c>
      <c r="AY703">
        <f t="shared" si="116"/>
        <v>28351.608</v>
      </c>
      <c r="AZ703">
        <f t="shared" si="116"/>
        <v>53159.264999999999</v>
      </c>
      <c r="BA703">
        <f t="shared" si="116"/>
        <v>88598.774999999994</v>
      </c>
      <c r="BB703">
        <f t="shared" si="116"/>
        <v>141758.04</v>
      </c>
      <c r="BC703">
        <f t="shared" si="114"/>
        <v>354395.1</v>
      </c>
      <c r="BD703">
        <f t="shared" si="114"/>
        <v>531592.65</v>
      </c>
      <c r="BE703">
        <f t="shared" si="114"/>
        <v>850548.24</v>
      </c>
      <c r="BF703">
        <f t="shared" si="114"/>
        <v>1063185.3</v>
      </c>
      <c r="BG703">
        <f t="shared" si="114"/>
        <v>3543951</v>
      </c>
      <c r="BH703">
        <f t="shared" si="114"/>
        <v>10631853</v>
      </c>
      <c r="BI703">
        <f t="shared" si="114"/>
        <v>30123583.5</v>
      </c>
      <c r="BJ703">
        <f t="shared" si="114"/>
        <v>106318530</v>
      </c>
      <c r="BK703">
        <f t="shared" si="114"/>
        <v>354395100</v>
      </c>
      <c r="BL703">
        <v>698</v>
      </c>
    </row>
    <row r="704" spans="1:64" ht="17.25" thickBot="1" x14ac:dyDescent="0.25">
      <c r="A704" s="131">
        <v>700</v>
      </c>
      <c r="B704" s="132">
        <v>299358416</v>
      </c>
      <c r="D704" s="131">
        <v>700</v>
      </c>
      <c r="E704" s="132">
        <v>35.588250000000002</v>
      </c>
      <c r="AK704">
        <v>698</v>
      </c>
      <c r="AL704" s="24">
        <f t="shared" si="115"/>
        <v>35.489159999999998</v>
      </c>
      <c r="AM704">
        <f t="shared" si="116"/>
        <v>248.42411999999999</v>
      </c>
      <c r="AN704">
        <f t="shared" si="116"/>
        <v>354.89159999999998</v>
      </c>
      <c r="AO704">
        <f t="shared" si="116"/>
        <v>532.3374</v>
      </c>
      <c r="AP704">
        <f t="shared" si="116"/>
        <v>709.78319999999997</v>
      </c>
      <c r="AQ704">
        <f t="shared" si="116"/>
        <v>1242.1206</v>
      </c>
      <c r="AR704">
        <f t="shared" si="116"/>
        <v>1774.4579999999999</v>
      </c>
      <c r="AS704">
        <f t="shared" si="116"/>
        <v>2839.1327999999999</v>
      </c>
      <c r="AT704">
        <f t="shared" si="116"/>
        <v>4258.6992</v>
      </c>
      <c r="AU704">
        <f t="shared" si="116"/>
        <v>6033.1571999999996</v>
      </c>
      <c r="AV704">
        <f t="shared" si="116"/>
        <v>8517.3984</v>
      </c>
      <c r="AW704">
        <f t="shared" si="116"/>
        <v>11711.4228</v>
      </c>
      <c r="AX704">
        <f t="shared" si="116"/>
        <v>16325.013599999998</v>
      </c>
      <c r="AY704">
        <f t="shared" si="116"/>
        <v>28391.327999999998</v>
      </c>
      <c r="AZ704">
        <f t="shared" si="116"/>
        <v>53233.74</v>
      </c>
      <c r="BA704">
        <f t="shared" si="116"/>
        <v>88722.9</v>
      </c>
      <c r="BB704">
        <f t="shared" si="116"/>
        <v>141956.63999999998</v>
      </c>
      <c r="BC704">
        <f t="shared" si="114"/>
        <v>354891.6</v>
      </c>
      <c r="BD704">
        <f t="shared" si="114"/>
        <v>532337.4</v>
      </c>
      <c r="BE704">
        <f t="shared" si="114"/>
        <v>851739.84</v>
      </c>
      <c r="BF704">
        <f t="shared" si="114"/>
        <v>1064674.8</v>
      </c>
      <c r="BG704">
        <f t="shared" si="114"/>
        <v>3548916</v>
      </c>
      <c r="BH704">
        <f t="shared" si="114"/>
        <v>10646748</v>
      </c>
      <c r="BI704">
        <f t="shared" si="114"/>
        <v>30165786</v>
      </c>
      <c r="BJ704">
        <f t="shared" si="114"/>
        <v>106467480</v>
      </c>
      <c r="BK704">
        <f t="shared" si="114"/>
        <v>354891600</v>
      </c>
      <c r="BL704">
        <v>699</v>
      </c>
    </row>
    <row r="705" spans="1:64" ht="17.25" thickBot="1" x14ac:dyDescent="0.25">
      <c r="A705" s="131">
        <v>701</v>
      </c>
      <c r="B705" s="132">
        <v>301531016</v>
      </c>
      <c r="D705" s="131">
        <v>701</v>
      </c>
      <c r="E705" s="132">
        <v>35.637689999999999</v>
      </c>
      <c r="AK705">
        <v>699</v>
      </c>
      <c r="AL705" s="24">
        <f t="shared" si="115"/>
        <v>35.538739999999997</v>
      </c>
      <c r="AM705">
        <f t="shared" si="116"/>
        <v>248.77117999999999</v>
      </c>
      <c r="AN705">
        <f t="shared" si="116"/>
        <v>355.38739999999996</v>
      </c>
      <c r="AO705">
        <f t="shared" si="116"/>
        <v>533.08109999999999</v>
      </c>
      <c r="AP705">
        <f t="shared" si="116"/>
        <v>710.77479999999991</v>
      </c>
      <c r="AQ705">
        <f t="shared" si="116"/>
        <v>1243.8558999999998</v>
      </c>
      <c r="AR705">
        <f t="shared" si="116"/>
        <v>1776.9369999999999</v>
      </c>
      <c r="AS705">
        <f t="shared" si="116"/>
        <v>2843.0991999999997</v>
      </c>
      <c r="AT705">
        <f t="shared" si="116"/>
        <v>4264.6487999999999</v>
      </c>
      <c r="AU705">
        <f t="shared" si="116"/>
        <v>6041.5857999999998</v>
      </c>
      <c r="AV705">
        <f t="shared" si="116"/>
        <v>8529.2975999999999</v>
      </c>
      <c r="AW705">
        <f t="shared" si="116"/>
        <v>11727.784199999998</v>
      </c>
      <c r="AX705">
        <f t="shared" si="116"/>
        <v>16347.820399999999</v>
      </c>
      <c r="AY705">
        <f t="shared" si="116"/>
        <v>28430.991999999998</v>
      </c>
      <c r="AZ705">
        <f t="shared" si="116"/>
        <v>53308.109999999993</v>
      </c>
      <c r="BA705">
        <f t="shared" si="116"/>
        <v>88846.849999999991</v>
      </c>
      <c r="BB705">
        <f t="shared" si="116"/>
        <v>142154.96</v>
      </c>
      <c r="BC705">
        <f t="shared" si="114"/>
        <v>355387.39999999997</v>
      </c>
      <c r="BD705">
        <f t="shared" si="114"/>
        <v>533081.1</v>
      </c>
      <c r="BE705">
        <f t="shared" si="114"/>
        <v>852929.75999999989</v>
      </c>
      <c r="BF705">
        <f t="shared" si="114"/>
        <v>1066162.2</v>
      </c>
      <c r="BG705">
        <f t="shared" si="114"/>
        <v>3553873.9999999995</v>
      </c>
      <c r="BH705">
        <f t="shared" si="114"/>
        <v>10661622</v>
      </c>
      <c r="BI705">
        <f t="shared" si="114"/>
        <v>30207928.999999996</v>
      </c>
      <c r="BJ705">
        <f t="shared" si="114"/>
        <v>106616219.99999999</v>
      </c>
      <c r="BK705">
        <f t="shared" si="114"/>
        <v>355387400</v>
      </c>
      <c r="BL705">
        <v>700</v>
      </c>
    </row>
    <row r="706" spans="1:64" ht="17.25" thickBot="1" x14ac:dyDescent="0.25">
      <c r="A706" s="131">
        <v>702</v>
      </c>
      <c r="B706" s="132">
        <v>303719988</v>
      </c>
      <c r="D706" s="131">
        <v>702</v>
      </c>
      <c r="E706" s="132">
        <v>35.687060000000002</v>
      </c>
      <c r="AK706">
        <v>700</v>
      </c>
      <c r="AL706" s="24">
        <f t="shared" si="115"/>
        <v>35.588250000000002</v>
      </c>
      <c r="AM706">
        <f t="shared" si="116"/>
        <v>249.11775</v>
      </c>
      <c r="AN706">
        <f t="shared" si="116"/>
        <v>355.88250000000005</v>
      </c>
      <c r="AO706">
        <f t="shared" si="116"/>
        <v>533.82375000000002</v>
      </c>
      <c r="AP706">
        <f t="shared" si="116"/>
        <v>711.7650000000001</v>
      </c>
      <c r="AQ706">
        <f t="shared" si="116"/>
        <v>1245.5887500000001</v>
      </c>
      <c r="AR706">
        <f t="shared" si="116"/>
        <v>1779.4125000000001</v>
      </c>
      <c r="AS706">
        <f t="shared" si="116"/>
        <v>2847.0600000000004</v>
      </c>
      <c r="AT706">
        <f t="shared" si="116"/>
        <v>4270.59</v>
      </c>
      <c r="AU706">
        <f t="shared" si="116"/>
        <v>6050.0025000000005</v>
      </c>
      <c r="AV706">
        <f t="shared" si="116"/>
        <v>8541.18</v>
      </c>
      <c r="AW706">
        <f t="shared" si="116"/>
        <v>11744.122500000001</v>
      </c>
      <c r="AX706">
        <f t="shared" si="116"/>
        <v>16370.595000000001</v>
      </c>
      <c r="AY706">
        <f t="shared" si="116"/>
        <v>28470.600000000002</v>
      </c>
      <c r="AZ706">
        <f t="shared" si="116"/>
        <v>53382.375</v>
      </c>
      <c r="BA706">
        <f t="shared" si="116"/>
        <v>88970.625</v>
      </c>
      <c r="BB706">
        <f t="shared" si="116"/>
        <v>142353</v>
      </c>
      <c r="BC706">
        <f t="shared" si="114"/>
        <v>355882.5</v>
      </c>
      <c r="BD706">
        <f t="shared" si="114"/>
        <v>533823.75</v>
      </c>
      <c r="BE706">
        <f t="shared" si="114"/>
        <v>854118</v>
      </c>
      <c r="BF706">
        <f t="shared" si="114"/>
        <v>1067647.5</v>
      </c>
      <c r="BG706">
        <f t="shared" si="114"/>
        <v>3558825</v>
      </c>
      <c r="BH706">
        <f t="shared" si="114"/>
        <v>10676475</v>
      </c>
      <c r="BI706">
        <f t="shared" si="114"/>
        <v>30250012.5</v>
      </c>
      <c r="BJ706">
        <f t="shared" si="114"/>
        <v>106764750</v>
      </c>
      <c r="BK706">
        <f t="shared" si="114"/>
        <v>355882500</v>
      </c>
      <c r="BL706">
        <v>701</v>
      </c>
    </row>
    <row r="707" spans="1:64" ht="17.25" thickBot="1" x14ac:dyDescent="0.25">
      <c r="A707" s="131">
        <v>703</v>
      </c>
      <c r="B707" s="132">
        <v>305925422</v>
      </c>
      <c r="D707" s="131">
        <v>703</v>
      </c>
      <c r="E707" s="132">
        <v>35.736359999999998</v>
      </c>
      <c r="AK707">
        <v>701</v>
      </c>
      <c r="AL707" s="24">
        <f t="shared" si="115"/>
        <v>35.637689999999999</v>
      </c>
      <c r="AM707">
        <f t="shared" si="116"/>
        <v>249.46383</v>
      </c>
      <c r="AN707">
        <f t="shared" si="116"/>
        <v>356.37689999999998</v>
      </c>
      <c r="AO707">
        <f t="shared" si="116"/>
        <v>534.56534999999997</v>
      </c>
      <c r="AP707">
        <f t="shared" si="116"/>
        <v>712.75379999999996</v>
      </c>
      <c r="AQ707">
        <f t="shared" si="116"/>
        <v>1247.31915</v>
      </c>
      <c r="AR707">
        <f t="shared" si="116"/>
        <v>1781.8844999999999</v>
      </c>
      <c r="AS707">
        <f t="shared" si="116"/>
        <v>2851.0151999999998</v>
      </c>
      <c r="AT707">
        <f t="shared" si="116"/>
        <v>4276.5227999999997</v>
      </c>
      <c r="AU707">
        <f t="shared" si="116"/>
        <v>6058.4072999999999</v>
      </c>
      <c r="AV707">
        <f t="shared" si="116"/>
        <v>8553.0455999999995</v>
      </c>
      <c r="AW707">
        <f t="shared" si="116"/>
        <v>11760.4377</v>
      </c>
      <c r="AX707">
        <f t="shared" si="116"/>
        <v>16393.3374</v>
      </c>
      <c r="AY707">
        <f t="shared" si="116"/>
        <v>28510.151999999998</v>
      </c>
      <c r="AZ707">
        <f t="shared" si="116"/>
        <v>53456.534999999996</v>
      </c>
      <c r="BA707">
        <f t="shared" si="116"/>
        <v>89094.224999999991</v>
      </c>
      <c r="BB707">
        <f t="shared" si="116"/>
        <v>142550.76</v>
      </c>
      <c r="BC707">
        <f t="shared" si="114"/>
        <v>356376.89999999997</v>
      </c>
      <c r="BD707">
        <f t="shared" si="114"/>
        <v>534565.35</v>
      </c>
      <c r="BE707">
        <f t="shared" si="114"/>
        <v>855304.55999999994</v>
      </c>
      <c r="BF707">
        <f t="shared" si="114"/>
        <v>1069130.7</v>
      </c>
      <c r="BG707">
        <f t="shared" si="114"/>
        <v>3563769</v>
      </c>
      <c r="BH707">
        <f t="shared" si="114"/>
        <v>10691307</v>
      </c>
      <c r="BI707">
        <f t="shared" si="114"/>
        <v>30292036.5</v>
      </c>
      <c r="BJ707">
        <f t="shared" si="114"/>
        <v>106913070</v>
      </c>
      <c r="BK707">
        <f t="shared" si="114"/>
        <v>356376900</v>
      </c>
      <c r="BL707">
        <v>702</v>
      </c>
    </row>
    <row r="708" spans="1:64" ht="17.25" thickBot="1" x14ac:dyDescent="0.25">
      <c r="A708" s="131">
        <v>704</v>
      </c>
      <c r="B708" s="132">
        <v>308147400</v>
      </c>
      <c r="D708" s="131">
        <v>704</v>
      </c>
      <c r="E708" s="132">
        <v>35.785589999999999</v>
      </c>
      <c r="AK708">
        <v>702</v>
      </c>
      <c r="AL708" s="24">
        <f t="shared" si="115"/>
        <v>35.687060000000002</v>
      </c>
      <c r="AM708">
        <f t="shared" si="116"/>
        <v>249.80942000000002</v>
      </c>
      <c r="AN708">
        <f t="shared" si="116"/>
        <v>356.87060000000002</v>
      </c>
      <c r="AO708">
        <f t="shared" si="116"/>
        <v>535.30590000000007</v>
      </c>
      <c r="AP708">
        <f t="shared" si="116"/>
        <v>713.74120000000005</v>
      </c>
      <c r="AQ708">
        <f t="shared" si="116"/>
        <v>1249.0471</v>
      </c>
      <c r="AR708">
        <f t="shared" si="116"/>
        <v>1784.3530000000001</v>
      </c>
      <c r="AS708">
        <f t="shared" si="116"/>
        <v>2854.9648000000002</v>
      </c>
      <c r="AT708">
        <f t="shared" si="116"/>
        <v>4282.4472000000005</v>
      </c>
      <c r="AU708">
        <f t="shared" si="116"/>
        <v>6066.8002000000006</v>
      </c>
      <c r="AV708">
        <f t="shared" si="116"/>
        <v>8564.894400000001</v>
      </c>
      <c r="AW708">
        <f t="shared" si="116"/>
        <v>11776.729800000001</v>
      </c>
      <c r="AX708">
        <f t="shared" si="116"/>
        <v>16416.047600000002</v>
      </c>
      <c r="AY708">
        <f t="shared" si="116"/>
        <v>28549.648000000001</v>
      </c>
      <c r="AZ708">
        <f t="shared" si="116"/>
        <v>53530.590000000004</v>
      </c>
      <c r="BA708">
        <f t="shared" si="116"/>
        <v>89217.650000000009</v>
      </c>
      <c r="BB708">
        <f t="shared" si="116"/>
        <v>142748.24000000002</v>
      </c>
      <c r="BC708">
        <f t="shared" si="114"/>
        <v>356870.60000000003</v>
      </c>
      <c r="BD708">
        <f t="shared" si="114"/>
        <v>535305.9</v>
      </c>
      <c r="BE708">
        <f t="shared" si="114"/>
        <v>856489.44000000006</v>
      </c>
      <c r="BF708">
        <f t="shared" si="114"/>
        <v>1070611.8</v>
      </c>
      <c r="BG708">
        <f t="shared" si="114"/>
        <v>3568706.0000000005</v>
      </c>
      <c r="BH708">
        <f t="shared" si="114"/>
        <v>10706118</v>
      </c>
      <c r="BI708">
        <f t="shared" si="114"/>
        <v>30334001.000000004</v>
      </c>
      <c r="BJ708">
        <f t="shared" si="114"/>
        <v>107061180</v>
      </c>
      <c r="BK708">
        <f t="shared" si="114"/>
        <v>356870600</v>
      </c>
      <c r="BL708">
        <v>703</v>
      </c>
    </row>
    <row r="709" spans="1:64" ht="17.25" thickBot="1" x14ac:dyDescent="0.25">
      <c r="A709" s="131">
        <v>705</v>
      </c>
      <c r="B709" s="132">
        <v>310386011</v>
      </c>
      <c r="D709" s="131">
        <v>705</v>
      </c>
      <c r="E709" s="132">
        <v>35.83475</v>
      </c>
      <c r="AK709">
        <v>703</v>
      </c>
      <c r="AL709" s="24">
        <f t="shared" si="115"/>
        <v>35.736359999999998</v>
      </c>
      <c r="AM709">
        <f t="shared" si="116"/>
        <v>250.15451999999999</v>
      </c>
      <c r="AN709">
        <f t="shared" si="116"/>
        <v>357.36359999999996</v>
      </c>
      <c r="AO709">
        <f t="shared" si="116"/>
        <v>536.04539999999997</v>
      </c>
      <c r="AP709">
        <f t="shared" si="116"/>
        <v>714.72719999999993</v>
      </c>
      <c r="AQ709">
        <f t="shared" si="116"/>
        <v>1250.7726</v>
      </c>
      <c r="AR709">
        <f t="shared" si="116"/>
        <v>1786.818</v>
      </c>
      <c r="AS709">
        <f t="shared" si="116"/>
        <v>2858.9087999999997</v>
      </c>
      <c r="AT709">
        <f t="shared" si="116"/>
        <v>4288.3631999999998</v>
      </c>
      <c r="AU709">
        <f t="shared" si="116"/>
        <v>6075.1812</v>
      </c>
      <c r="AV709">
        <f t="shared" si="116"/>
        <v>8576.7263999999996</v>
      </c>
      <c r="AW709">
        <f t="shared" si="116"/>
        <v>11792.998799999999</v>
      </c>
      <c r="AX709">
        <f t="shared" si="116"/>
        <v>16438.725599999998</v>
      </c>
      <c r="AY709">
        <f t="shared" si="116"/>
        <v>28589.088</v>
      </c>
      <c r="AZ709">
        <f t="shared" si="116"/>
        <v>53604.539999999994</v>
      </c>
      <c r="BA709">
        <f t="shared" si="116"/>
        <v>89340.9</v>
      </c>
      <c r="BB709">
        <f t="shared" si="116"/>
        <v>142945.44</v>
      </c>
      <c r="BC709">
        <f t="shared" si="114"/>
        <v>357363.6</v>
      </c>
      <c r="BD709">
        <f t="shared" si="114"/>
        <v>536045.4</v>
      </c>
      <c r="BE709">
        <f t="shared" si="114"/>
        <v>857672.6399999999</v>
      </c>
      <c r="BF709">
        <f t="shared" si="114"/>
        <v>1072090.8</v>
      </c>
      <c r="BG709">
        <f t="shared" si="114"/>
        <v>3573636</v>
      </c>
      <c r="BH709">
        <f t="shared" si="114"/>
        <v>10720908</v>
      </c>
      <c r="BI709">
        <f t="shared" si="114"/>
        <v>30375905.999999996</v>
      </c>
      <c r="BJ709">
        <f t="shared" si="114"/>
        <v>107209080</v>
      </c>
      <c r="BK709">
        <f t="shared" si="114"/>
        <v>357363600</v>
      </c>
      <c r="BL709">
        <v>704</v>
      </c>
    </row>
    <row r="710" spans="1:64" ht="17.25" thickBot="1" x14ac:dyDescent="0.25">
      <c r="A710" s="131">
        <v>706</v>
      </c>
      <c r="B710" s="132">
        <v>312641344</v>
      </c>
      <c r="D710" s="131">
        <v>706</v>
      </c>
      <c r="E710" s="132">
        <v>35.883839999999999</v>
      </c>
      <c r="AK710">
        <v>704</v>
      </c>
      <c r="AL710" s="24">
        <f t="shared" si="115"/>
        <v>35.785589999999999</v>
      </c>
      <c r="AM710">
        <f t="shared" si="116"/>
        <v>250.49912999999998</v>
      </c>
      <c r="AN710">
        <f t="shared" si="116"/>
        <v>357.85590000000002</v>
      </c>
      <c r="AO710">
        <f t="shared" si="116"/>
        <v>536.78385000000003</v>
      </c>
      <c r="AP710">
        <f t="shared" si="116"/>
        <v>715.71180000000004</v>
      </c>
      <c r="AQ710">
        <f t="shared" si="116"/>
        <v>1252.4956500000001</v>
      </c>
      <c r="AR710">
        <f t="shared" si="116"/>
        <v>1789.2794999999999</v>
      </c>
      <c r="AS710">
        <f t="shared" si="116"/>
        <v>2862.8472000000002</v>
      </c>
      <c r="AT710">
        <f t="shared" si="116"/>
        <v>4294.2708000000002</v>
      </c>
      <c r="AU710">
        <f t="shared" si="116"/>
        <v>6083.5502999999999</v>
      </c>
      <c r="AV710">
        <f t="shared" si="116"/>
        <v>8588.5416000000005</v>
      </c>
      <c r="AW710">
        <f t="shared" si="116"/>
        <v>11809.244699999999</v>
      </c>
      <c r="AX710">
        <f t="shared" si="116"/>
        <v>16461.3714</v>
      </c>
      <c r="AY710">
        <f t="shared" si="116"/>
        <v>28628.471999999998</v>
      </c>
      <c r="AZ710">
        <f t="shared" si="116"/>
        <v>53678.385000000002</v>
      </c>
      <c r="BA710">
        <f t="shared" si="116"/>
        <v>89463.974999999991</v>
      </c>
      <c r="BB710">
        <f t="shared" si="116"/>
        <v>143142.35999999999</v>
      </c>
      <c r="BC710">
        <f t="shared" si="114"/>
        <v>357855.89999999997</v>
      </c>
      <c r="BD710">
        <f t="shared" si="114"/>
        <v>536783.85</v>
      </c>
      <c r="BE710">
        <f t="shared" si="114"/>
        <v>858854.16</v>
      </c>
      <c r="BF710">
        <f t="shared" si="114"/>
        <v>1073567.7</v>
      </c>
      <c r="BG710">
        <f t="shared" si="114"/>
        <v>3578559</v>
      </c>
      <c r="BH710">
        <f t="shared" si="114"/>
        <v>10735677</v>
      </c>
      <c r="BI710">
        <f t="shared" si="114"/>
        <v>30417751.5</v>
      </c>
      <c r="BJ710">
        <f t="shared" si="114"/>
        <v>107356770</v>
      </c>
      <c r="BK710">
        <f t="shared" si="114"/>
        <v>357855900</v>
      </c>
      <c r="BL710">
        <v>705</v>
      </c>
    </row>
    <row r="711" spans="1:64" ht="17.25" thickBot="1" x14ac:dyDescent="0.25">
      <c r="A711" s="131">
        <v>707</v>
      </c>
      <c r="B711" s="132">
        <v>314913488</v>
      </c>
      <c r="D711" s="131">
        <v>707</v>
      </c>
      <c r="E711" s="132">
        <v>35.932859999999998</v>
      </c>
      <c r="AK711">
        <v>705</v>
      </c>
      <c r="AL711" s="24">
        <f t="shared" si="115"/>
        <v>35.83475</v>
      </c>
      <c r="AM711">
        <f t="shared" si="116"/>
        <v>250.84325000000001</v>
      </c>
      <c r="AN711">
        <f t="shared" si="116"/>
        <v>358.34749999999997</v>
      </c>
      <c r="AO711">
        <f t="shared" si="116"/>
        <v>537.52125000000001</v>
      </c>
      <c r="AP711">
        <f t="shared" si="116"/>
        <v>716.69499999999994</v>
      </c>
      <c r="AQ711">
        <f t="shared" si="116"/>
        <v>1254.2162499999999</v>
      </c>
      <c r="AR711">
        <f t="shared" si="116"/>
        <v>1791.7375</v>
      </c>
      <c r="AS711">
        <f t="shared" si="116"/>
        <v>2866.7799999999997</v>
      </c>
      <c r="AT711">
        <f t="shared" si="116"/>
        <v>4300.17</v>
      </c>
      <c r="AU711">
        <f t="shared" si="116"/>
        <v>6091.9075000000003</v>
      </c>
      <c r="AV711">
        <f t="shared" si="116"/>
        <v>8600.34</v>
      </c>
      <c r="AW711">
        <f t="shared" si="116"/>
        <v>11825.467500000001</v>
      </c>
      <c r="AX711">
        <f t="shared" si="116"/>
        <v>16483.985000000001</v>
      </c>
      <c r="AY711">
        <f t="shared" si="116"/>
        <v>28667.8</v>
      </c>
      <c r="AZ711">
        <f t="shared" si="116"/>
        <v>53752.125</v>
      </c>
      <c r="BA711">
        <f t="shared" si="116"/>
        <v>89586.875</v>
      </c>
      <c r="BB711">
        <f t="shared" si="116"/>
        <v>143339</v>
      </c>
      <c r="BC711">
        <f t="shared" si="114"/>
        <v>358347.5</v>
      </c>
      <c r="BD711">
        <f t="shared" si="114"/>
        <v>537521.25</v>
      </c>
      <c r="BE711">
        <f t="shared" si="114"/>
        <v>860034</v>
      </c>
      <c r="BF711">
        <f t="shared" si="114"/>
        <v>1075042.5</v>
      </c>
      <c r="BG711">
        <f t="shared" si="114"/>
        <v>3583475</v>
      </c>
      <c r="BH711">
        <f t="shared" si="114"/>
        <v>10750425</v>
      </c>
      <c r="BI711">
        <f t="shared" si="114"/>
        <v>30459537.5</v>
      </c>
      <c r="BJ711">
        <f t="shared" si="114"/>
        <v>107504250</v>
      </c>
      <c r="BK711">
        <f t="shared" si="114"/>
        <v>358347500</v>
      </c>
      <c r="BL711">
        <v>706</v>
      </c>
    </row>
    <row r="712" spans="1:64" ht="17.25" thickBot="1" x14ac:dyDescent="0.25">
      <c r="A712" s="131">
        <v>708</v>
      </c>
      <c r="B712" s="132">
        <v>317202533</v>
      </c>
      <c r="D712" s="131">
        <v>708</v>
      </c>
      <c r="E712" s="132">
        <v>35.981819999999999</v>
      </c>
      <c r="AK712">
        <v>706</v>
      </c>
      <c r="AL712" s="24">
        <f t="shared" si="115"/>
        <v>35.883839999999999</v>
      </c>
      <c r="AM712">
        <f t="shared" si="116"/>
        <v>251.18688</v>
      </c>
      <c r="AN712">
        <f t="shared" si="116"/>
        <v>358.83839999999998</v>
      </c>
      <c r="AO712">
        <f t="shared" si="116"/>
        <v>538.25760000000002</v>
      </c>
      <c r="AP712">
        <f t="shared" si="116"/>
        <v>717.67679999999996</v>
      </c>
      <c r="AQ712">
        <f t="shared" si="116"/>
        <v>1255.9343999999999</v>
      </c>
      <c r="AR712">
        <f t="shared" si="116"/>
        <v>1794.192</v>
      </c>
      <c r="AS712">
        <f t="shared" si="116"/>
        <v>2870.7071999999998</v>
      </c>
      <c r="AT712">
        <f t="shared" si="116"/>
        <v>4306.0608000000002</v>
      </c>
      <c r="AU712">
        <f t="shared" si="116"/>
        <v>6100.2528000000002</v>
      </c>
      <c r="AV712">
        <f t="shared" si="116"/>
        <v>8612.1216000000004</v>
      </c>
      <c r="AW712">
        <f t="shared" si="116"/>
        <v>11841.6672</v>
      </c>
      <c r="AX712">
        <f t="shared" si="116"/>
        <v>16506.5664</v>
      </c>
      <c r="AY712">
        <f t="shared" si="116"/>
        <v>28707.072</v>
      </c>
      <c r="AZ712">
        <f t="shared" si="116"/>
        <v>53825.760000000002</v>
      </c>
      <c r="BA712">
        <f t="shared" si="116"/>
        <v>89709.599999999991</v>
      </c>
      <c r="BB712">
        <f t="shared" si="116"/>
        <v>143535.35999999999</v>
      </c>
      <c r="BC712">
        <f t="shared" si="114"/>
        <v>358838.39999999997</v>
      </c>
      <c r="BD712">
        <f t="shared" si="114"/>
        <v>538257.6</v>
      </c>
      <c r="BE712">
        <f t="shared" si="114"/>
        <v>861212.16000000003</v>
      </c>
      <c r="BF712">
        <f t="shared" si="114"/>
        <v>1076515.2</v>
      </c>
      <c r="BG712">
        <f t="shared" si="114"/>
        <v>3588384</v>
      </c>
      <c r="BH712">
        <f t="shared" si="114"/>
        <v>10765152</v>
      </c>
      <c r="BI712">
        <f t="shared" si="114"/>
        <v>30501264</v>
      </c>
      <c r="BJ712">
        <f t="shared" si="114"/>
        <v>107651520</v>
      </c>
      <c r="BK712">
        <f t="shared" si="114"/>
        <v>358838400</v>
      </c>
      <c r="BL712">
        <v>707</v>
      </c>
    </row>
    <row r="713" spans="1:64" ht="17.25" thickBot="1" x14ac:dyDescent="0.25">
      <c r="A713" s="131">
        <v>709</v>
      </c>
      <c r="B713" s="132">
        <v>319508566</v>
      </c>
      <c r="D713" s="131">
        <v>709</v>
      </c>
      <c r="E713" s="132">
        <v>36.030709999999999</v>
      </c>
      <c r="AK713">
        <v>707</v>
      </c>
      <c r="AL713" s="24">
        <f t="shared" si="115"/>
        <v>35.932859999999998</v>
      </c>
      <c r="AM713">
        <f t="shared" si="116"/>
        <v>251.53001999999998</v>
      </c>
      <c r="AN713">
        <f t="shared" si="116"/>
        <v>359.32859999999999</v>
      </c>
      <c r="AO713">
        <f t="shared" si="116"/>
        <v>538.99289999999996</v>
      </c>
      <c r="AP713">
        <f t="shared" si="116"/>
        <v>718.65719999999999</v>
      </c>
      <c r="AQ713">
        <f t="shared" si="116"/>
        <v>1257.6500999999998</v>
      </c>
      <c r="AR713">
        <f t="shared" si="116"/>
        <v>1796.6429999999998</v>
      </c>
      <c r="AS713">
        <f t="shared" si="116"/>
        <v>2874.6288</v>
      </c>
      <c r="AT713">
        <f t="shared" si="116"/>
        <v>4311.9431999999997</v>
      </c>
      <c r="AU713">
        <f t="shared" si="116"/>
        <v>6108.5861999999997</v>
      </c>
      <c r="AV713">
        <f t="shared" si="116"/>
        <v>8623.8863999999994</v>
      </c>
      <c r="AW713">
        <f t="shared" si="116"/>
        <v>11857.843799999999</v>
      </c>
      <c r="AX713">
        <f t="shared" si="116"/>
        <v>16529.115599999997</v>
      </c>
      <c r="AY713">
        <f t="shared" si="116"/>
        <v>28746.287999999997</v>
      </c>
      <c r="AZ713">
        <f t="shared" si="116"/>
        <v>53899.289999999994</v>
      </c>
      <c r="BA713">
        <f t="shared" si="116"/>
        <v>89832.15</v>
      </c>
      <c r="BB713">
        <f t="shared" si="116"/>
        <v>143731.44</v>
      </c>
      <c r="BC713">
        <f t="shared" si="114"/>
        <v>359328.6</v>
      </c>
      <c r="BD713">
        <f t="shared" si="114"/>
        <v>538992.9</v>
      </c>
      <c r="BE713">
        <f t="shared" si="114"/>
        <v>862388.6399999999</v>
      </c>
      <c r="BF713">
        <f t="shared" si="114"/>
        <v>1077985.8</v>
      </c>
      <c r="BG713">
        <f t="shared" si="114"/>
        <v>3593286</v>
      </c>
      <c r="BH713">
        <f t="shared" si="114"/>
        <v>10779858</v>
      </c>
      <c r="BI713">
        <f t="shared" si="114"/>
        <v>30542931</v>
      </c>
      <c r="BJ713">
        <f t="shared" si="114"/>
        <v>107798580</v>
      </c>
      <c r="BK713">
        <f t="shared" si="114"/>
        <v>359328600</v>
      </c>
      <c r="BL713">
        <v>708</v>
      </c>
    </row>
    <row r="714" spans="1:64" ht="17.25" thickBot="1" x14ac:dyDescent="0.25">
      <c r="A714" s="131">
        <v>710</v>
      </c>
      <c r="B714" s="132">
        <v>321831672</v>
      </c>
      <c r="D714" s="131">
        <v>710</v>
      </c>
      <c r="E714" s="132">
        <v>36.079529999999998</v>
      </c>
      <c r="AK714">
        <v>708</v>
      </c>
      <c r="AL714" s="24">
        <f t="shared" si="115"/>
        <v>35.981819999999999</v>
      </c>
      <c r="AM714">
        <f t="shared" si="116"/>
        <v>251.87273999999999</v>
      </c>
      <c r="AN714">
        <f t="shared" si="116"/>
        <v>359.81819999999999</v>
      </c>
      <c r="AO714">
        <f t="shared" si="116"/>
        <v>539.72730000000001</v>
      </c>
      <c r="AP714">
        <f t="shared" si="116"/>
        <v>719.63639999999998</v>
      </c>
      <c r="AQ714">
        <f t="shared" si="116"/>
        <v>1259.3636999999999</v>
      </c>
      <c r="AR714">
        <f t="shared" si="116"/>
        <v>1799.0909999999999</v>
      </c>
      <c r="AS714">
        <f t="shared" si="116"/>
        <v>2878.5455999999999</v>
      </c>
      <c r="AT714">
        <f t="shared" si="116"/>
        <v>4317.8184000000001</v>
      </c>
      <c r="AU714">
        <f t="shared" si="116"/>
        <v>6116.9093999999996</v>
      </c>
      <c r="AV714">
        <f t="shared" si="116"/>
        <v>8635.6368000000002</v>
      </c>
      <c r="AW714">
        <f t="shared" si="116"/>
        <v>11874.000599999999</v>
      </c>
      <c r="AX714">
        <f t="shared" si="116"/>
        <v>16551.637200000001</v>
      </c>
      <c r="AY714">
        <f t="shared" si="116"/>
        <v>28785.455999999998</v>
      </c>
      <c r="AZ714">
        <f t="shared" si="116"/>
        <v>53972.729999999996</v>
      </c>
      <c r="BA714">
        <f t="shared" si="116"/>
        <v>89954.55</v>
      </c>
      <c r="BB714">
        <f t="shared" si="116"/>
        <v>143927.28</v>
      </c>
      <c r="BC714">
        <f t="shared" si="114"/>
        <v>359818.2</v>
      </c>
      <c r="BD714">
        <f t="shared" si="114"/>
        <v>539727.29999999993</v>
      </c>
      <c r="BE714">
        <f t="shared" si="114"/>
        <v>863563.67999999993</v>
      </c>
      <c r="BF714">
        <f t="shared" si="114"/>
        <v>1079454.5999999999</v>
      </c>
      <c r="BG714">
        <f t="shared" si="114"/>
        <v>3598182</v>
      </c>
      <c r="BH714">
        <f t="shared" si="114"/>
        <v>10794546</v>
      </c>
      <c r="BI714">
        <f t="shared" si="114"/>
        <v>30584547</v>
      </c>
      <c r="BJ714">
        <f t="shared" si="114"/>
        <v>107945460</v>
      </c>
      <c r="BK714">
        <f t="shared" si="114"/>
        <v>359818200</v>
      </c>
      <c r="BL714">
        <v>709</v>
      </c>
    </row>
    <row r="715" spans="1:64" ht="17.25" thickBot="1" x14ac:dyDescent="0.25">
      <c r="A715" s="131">
        <v>711</v>
      </c>
      <c r="B715" s="132">
        <v>324171944</v>
      </c>
      <c r="D715" s="131">
        <v>711</v>
      </c>
      <c r="E715" s="132">
        <v>36.128279999999997</v>
      </c>
      <c r="AK715">
        <v>709</v>
      </c>
      <c r="AL715" s="24">
        <f t="shared" si="115"/>
        <v>36.030709999999999</v>
      </c>
      <c r="AM715">
        <f t="shared" si="116"/>
        <v>252.21496999999999</v>
      </c>
      <c r="AN715">
        <f t="shared" si="116"/>
        <v>360.30709999999999</v>
      </c>
      <c r="AO715">
        <f t="shared" si="116"/>
        <v>540.46064999999999</v>
      </c>
      <c r="AP715">
        <f t="shared" si="116"/>
        <v>720.61419999999998</v>
      </c>
      <c r="AQ715">
        <f t="shared" si="116"/>
        <v>1261.07485</v>
      </c>
      <c r="AR715">
        <f t="shared" si="116"/>
        <v>1801.5355</v>
      </c>
      <c r="AS715">
        <f t="shared" si="116"/>
        <v>2882.4567999999999</v>
      </c>
      <c r="AT715">
        <f t="shared" si="116"/>
        <v>4323.6851999999999</v>
      </c>
      <c r="AU715">
        <f t="shared" si="116"/>
        <v>6125.2206999999999</v>
      </c>
      <c r="AV715">
        <f t="shared" si="116"/>
        <v>8647.3703999999998</v>
      </c>
      <c r="AW715">
        <f t="shared" si="116"/>
        <v>11890.1343</v>
      </c>
      <c r="AX715">
        <f t="shared" si="116"/>
        <v>16574.1266</v>
      </c>
      <c r="AY715">
        <f t="shared" si="116"/>
        <v>28824.567999999999</v>
      </c>
      <c r="AZ715">
        <f t="shared" si="116"/>
        <v>54046.065000000002</v>
      </c>
      <c r="BA715">
        <f t="shared" si="116"/>
        <v>90076.774999999994</v>
      </c>
      <c r="BB715">
        <f t="shared" si="116"/>
        <v>144122.84</v>
      </c>
      <c r="BC715">
        <f t="shared" si="114"/>
        <v>360307.1</v>
      </c>
      <c r="BD715">
        <f t="shared" si="114"/>
        <v>540460.65</v>
      </c>
      <c r="BE715">
        <f t="shared" si="114"/>
        <v>864737.04</v>
      </c>
      <c r="BF715">
        <f t="shared" si="114"/>
        <v>1080921.3</v>
      </c>
      <c r="BG715">
        <f t="shared" si="114"/>
        <v>3603071</v>
      </c>
      <c r="BH715">
        <f t="shared" si="114"/>
        <v>10809213</v>
      </c>
      <c r="BI715">
        <f t="shared" si="114"/>
        <v>30626103.5</v>
      </c>
      <c r="BJ715">
        <f t="shared" si="114"/>
        <v>108092130</v>
      </c>
      <c r="BK715">
        <f t="shared" si="114"/>
        <v>360307100</v>
      </c>
      <c r="BL715">
        <v>710</v>
      </c>
    </row>
    <row r="716" spans="1:64" ht="17.25" thickBot="1" x14ac:dyDescent="0.25">
      <c r="A716" s="131">
        <v>712</v>
      </c>
      <c r="B716" s="132">
        <v>326529472</v>
      </c>
      <c r="D716" s="131">
        <v>712</v>
      </c>
      <c r="E716" s="132">
        <v>36.176960000000001</v>
      </c>
      <c r="AK716">
        <v>710</v>
      </c>
      <c r="AL716" s="24">
        <f t="shared" si="115"/>
        <v>36.079529999999998</v>
      </c>
      <c r="AM716">
        <f t="shared" si="116"/>
        <v>252.55670999999998</v>
      </c>
      <c r="AN716">
        <f t="shared" si="116"/>
        <v>360.7953</v>
      </c>
      <c r="AO716">
        <f t="shared" si="116"/>
        <v>541.19295</v>
      </c>
      <c r="AP716">
        <f t="shared" si="116"/>
        <v>721.59059999999999</v>
      </c>
      <c r="AQ716">
        <f t="shared" si="116"/>
        <v>1262.7835499999999</v>
      </c>
      <c r="AR716">
        <f t="shared" si="116"/>
        <v>1803.9765</v>
      </c>
      <c r="AS716">
        <f t="shared" si="116"/>
        <v>2886.3624</v>
      </c>
      <c r="AT716">
        <f t="shared" si="116"/>
        <v>4329.5436</v>
      </c>
      <c r="AU716">
        <f t="shared" si="116"/>
        <v>6133.5200999999997</v>
      </c>
      <c r="AV716">
        <f t="shared" si="116"/>
        <v>8659.0871999999999</v>
      </c>
      <c r="AW716">
        <f t="shared" si="116"/>
        <v>11906.2449</v>
      </c>
      <c r="AX716">
        <f t="shared" si="116"/>
        <v>16596.5838</v>
      </c>
      <c r="AY716">
        <f t="shared" si="116"/>
        <v>28863.624</v>
      </c>
      <c r="AZ716">
        <f t="shared" si="116"/>
        <v>54119.294999999998</v>
      </c>
      <c r="BA716">
        <f t="shared" si="116"/>
        <v>90198.824999999997</v>
      </c>
      <c r="BB716">
        <f t="shared" si="116"/>
        <v>144318.12</v>
      </c>
      <c r="BC716">
        <f t="shared" si="114"/>
        <v>360795.3</v>
      </c>
      <c r="BD716">
        <f t="shared" si="114"/>
        <v>541192.94999999995</v>
      </c>
      <c r="BE716">
        <f t="shared" si="114"/>
        <v>865908.72</v>
      </c>
      <c r="BF716">
        <f t="shared" si="114"/>
        <v>1082385.8999999999</v>
      </c>
      <c r="BG716">
        <f t="shared" si="114"/>
        <v>3607953</v>
      </c>
      <c r="BH716">
        <f t="shared" si="114"/>
        <v>10823859</v>
      </c>
      <c r="BI716">
        <f t="shared" si="114"/>
        <v>30667600.5</v>
      </c>
      <c r="BJ716">
        <f t="shared" si="114"/>
        <v>108238590</v>
      </c>
      <c r="BK716">
        <f t="shared" si="114"/>
        <v>360795300</v>
      </c>
      <c r="BL716">
        <v>711</v>
      </c>
    </row>
    <row r="717" spans="1:64" ht="17.25" thickBot="1" x14ac:dyDescent="0.25">
      <c r="A717" s="131">
        <v>713</v>
      </c>
      <c r="B717" s="132">
        <v>328904350</v>
      </c>
      <c r="D717" s="131">
        <v>713</v>
      </c>
      <c r="E717" s="132">
        <v>36.225580000000001</v>
      </c>
      <c r="AK717">
        <v>711</v>
      </c>
      <c r="AL717" s="24">
        <f t="shared" si="115"/>
        <v>36.128279999999997</v>
      </c>
      <c r="AM717">
        <f t="shared" si="116"/>
        <v>252.89795999999998</v>
      </c>
      <c r="AN717">
        <f t="shared" si="116"/>
        <v>361.28279999999995</v>
      </c>
      <c r="AO717">
        <f t="shared" si="116"/>
        <v>541.92419999999993</v>
      </c>
      <c r="AP717">
        <f t="shared" si="116"/>
        <v>722.5655999999999</v>
      </c>
      <c r="AQ717">
        <f t="shared" si="116"/>
        <v>1264.4897999999998</v>
      </c>
      <c r="AR717">
        <f t="shared" si="116"/>
        <v>1806.4139999999998</v>
      </c>
      <c r="AS717">
        <f t="shared" si="116"/>
        <v>2890.2623999999996</v>
      </c>
      <c r="AT717">
        <f t="shared" si="116"/>
        <v>4335.3935999999994</v>
      </c>
      <c r="AU717">
        <f t="shared" si="116"/>
        <v>6141.8075999999992</v>
      </c>
      <c r="AV717">
        <f t="shared" si="116"/>
        <v>8670.7871999999988</v>
      </c>
      <c r="AW717">
        <f t="shared" si="116"/>
        <v>11922.332399999999</v>
      </c>
      <c r="AX717">
        <f t="shared" si="116"/>
        <v>16619.0088</v>
      </c>
      <c r="AY717">
        <f t="shared" si="116"/>
        <v>28902.623999999996</v>
      </c>
      <c r="AZ717">
        <f t="shared" si="116"/>
        <v>54192.42</v>
      </c>
      <c r="BA717">
        <f t="shared" si="116"/>
        <v>90320.7</v>
      </c>
      <c r="BB717">
        <f t="shared" si="116"/>
        <v>144513.12</v>
      </c>
      <c r="BC717">
        <f t="shared" si="114"/>
        <v>361282.8</v>
      </c>
      <c r="BD717">
        <f t="shared" si="114"/>
        <v>541924.19999999995</v>
      </c>
      <c r="BE717">
        <f t="shared" si="114"/>
        <v>867078.72</v>
      </c>
      <c r="BF717">
        <f t="shared" si="114"/>
        <v>1083848.3999999999</v>
      </c>
      <c r="BG717">
        <f t="shared" si="114"/>
        <v>3612827.9999999995</v>
      </c>
      <c r="BH717">
        <f t="shared" si="114"/>
        <v>10838483.999999998</v>
      </c>
      <c r="BI717">
        <f t="shared" si="114"/>
        <v>30709037.999999996</v>
      </c>
      <c r="BJ717">
        <f t="shared" si="114"/>
        <v>108384839.99999999</v>
      </c>
      <c r="BK717">
        <f t="shared" si="114"/>
        <v>361282799.99999994</v>
      </c>
      <c r="BL717">
        <v>712</v>
      </c>
    </row>
    <row r="718" spans="1:64" ht="17.25" thickBot="1" x14ac:dyDescent="0.25">
      <c r="A718" s="131">
        <v>714</v>
      </c>
      <c r="B718" s="132">
        <v>331296661</v>
      </c>
      <c r="D718" s="131">
        <v>714</v>
      </c>
      <c r="E718" s="132">
        <v>36.27413</v>
      </c>
      <c r="AK718">
        <v>712</v>
      </c>
      <c r="AL718" s="24">
        <f t="shared" si="115"/>
        <v>36.176960000000001</v>
      </c>
      <c r="AM718">
        <f t="shared" si="116"/>
        <v>253.23872</v>
      </c>
      <c r="AN718">
        <f t="shared" si="116"/>
        <v>361.76960000000003</v>
      </c>
      <c r="AO718">
        <f t="shared" si="116"/>
        <v>542.65440000000001</v>
      </c>
      <c r="AP718">
        <f t="shared" si="116"/>
        <v>723.53920000000005</v>
      </c>
      <c r="AQ718">
        <f t="shared" si="116"/>
        <v>1266.1936000000001</v>
      </c>
      <c r="AR718">
        <f t="shared" si="116"/>
        <v>1808.848</v>
      </c>
      <c r="AS718">
        <f t="shared" si="116"/>
        <v>2894.1568000000002</v>
      </c>
      <c r="AT718">
        <f t="shared" ref="AM718:BB734" si="117">AT$5*VLOOKUP($AK718,$D$2:$E$1404,2,FALSE)</f>
        <v>4341.2352000000001</v>
      </c>
      <c r="AU718">
        <f t="shared" si="117"/>
        <v>6150.0832</v>
      </c>
      <c r="AV718">
        <f t="shared" si="117"/>
        <v>8682.4704000000002</v>
      </c>
      <c r="AW718">
        <f t="shared" si="117"/>
        <v>11938.3968</v>
      </c>
      <c r="AX718">
        <f t="shared" si="117"/>
        <v>16641.401600000001</v>
      </c>
      <c r="AY718">
        <f t="shared" si="117"/>
        <v>28941.567999999999</v>
      </c>
      <c r="AZ718">
        <f t="shared" si="117"/>
        <v>54265.440000000002</v>
      </c>
      <c r="BA718">
        <f t="shared" si="117"/>
        <v>90442.400000000009</v>
      </c>
      <c r="BB718">
        <f t="shared" si="117"/>
        <v>144707.84</v>
      </c>
      <c r="BC718">
        <f t="shared" si="114"/>
        <v>361769.60000000003</v>
      </c>
      <c r="BD718">
        <f t="shared" si="114"/>
        <v>542654.4</v>
      </c>
      <c r="BE718">
        <f t="shared" si="114"/>
        <v>868247.04000000004</v>
      </c>
      <c r="BF718">
        <f t="shared" si="114"/>
        <v>1085308.8</v>
      </c>
      <c r="BG718">
        <f t="shared" si="114"/>
        <v>3617696</v>
      </c>
      <c r="BH718">
        <f t="shared" si="114"/>
        <v>10853088</v>
      </c>
      <c r="BI718">
        <f t="shared" si="114"/>
        <v>30750416</v>
      </c>
      <c r="BJ718">
        <f t="shared" si="114"/>
        <v>108530880</v>
      </c>
      <c r="BK718">
        <f t="shared" si="114"/>
        <v>361769600</v>
      </c>
      <c r="BL718">
        <v>713</v>
      </c>
    </row>
    <row r="719" spans="1:64" ht="17.25" thickBot="1" x14ac:dyDescent="0.25">
      <c r="A719" s="131">
        <v>715</v>
      </c>
      <c r="B719" s="132">
        <v>333706500</v>
      </c>
      <c r="D719" s="131">
        <v>715</v>
      </c>
      <c r="E719" s="132">
        <v>36.322609999999997</v>
      </c>
      <c r="AK719">
        <v>713</v>
      </c>
      <c r="AL719" s="24">
        <f t="shared" si="115"/>
        <v>36.225580000000001</v>
      </c>
      <c r="AM719">
        <f t="shared" si="117"/>
        <v>253.57906</v>
      </c>
      <c r="AN719">
        <f t="shared" si="117"/>
        <v>362.25580000000002</v>
      </c>
      <c r="AO719">
        <f t="shared" si="117"/>
        <v>543.38369999999998</v>
      </c>
      <c r="AP719">
        <f t="shared" si="117"/>
        <v>724.51160000000004</v>
      </c>
      <c r="AQ719">
        <f t="shared" si="117"/>
        <v>1267.8953000000001</v>
      </c>
      <c r="AR719">
        <f t="shared" si="117"/>
        <v>1811.279</v>
      </c>
      <c r="AS719">
        <f t="shared" si="117"/>
        <v>2898.0464000000002</v>
      </c>
      <c r="AT719">
        <f t="shared" si="117"/>
        <v>4347.0695999999998</v>
      </c>
      <c r="AU719">
        <f t="shared" si="117"/>
        <v>6158.3486000000003</v>
      </c>
      <c r="AV719">
        <f t="shared" si="117"/>
        <v>8694.1391999999996</v>
      </c>
      <c r="AW719">
        <f t="shared" si="117"/>
        <v>11954.4414</v>
      </c>
      <c r="AX719">
        <f t="shared" si="117"/>
        <v>16663.766800000001</v>
      </c>
      <c r="AY719">
        <f t="shared" si="117"/>
        <v>28980.464</v>
      </c>
      <c r="AZ719">
        <f t="shared" si="117"/>
        <v>54338.37</v>
      </c>
      <c r="BA719">
        <f t="shared" si="117"/>
        <v>90563.95</v>
      </c>
      <c r="BB719">
        <f t="shared" si="117"/>
        <v>144902.32</v>
      </c>
      <c r="BC719">
        <f t="shared" si="114"/>
        <v>362255.8</v>
      </c>
      <c r="BD719">
        <f t="shared" si="114"/>
        <v>543383.70000000007</v>
      </c>
      <c r="BE719">
        <f t="shared" si="114"/>
        <v>869413.92</v>
      </c>
      <c r="BF719">
        <f t="shared" si="114"/>
        <v>1086767.4000000001</v>
      </c>
      <c r="BG719">
        <f t="shared" si="114"/>
        <v>3622558</v>
      </c>
      <c r="BH719">
        <f t="shared" si="114"/>
        <v>10867674</v>
      </c>
      <c r="BI719">
        <f t="shared" si="114"/>
        <v>30791743</v>
      </c>
      <c r="BJ719">
        <f t="shared" si="114"/>
        <v>108676740</v>
      </c>
      <c r="BK719">
        <f t="shared" si="114"/>
        <v>362255800</v>
      </c>
      <c r="BL719">
        <v>714</v>
      </c>
    </row>
    <row r="720" spans="1:64" ht="17.25" thickBot="1" x14ac:dyDescent="0.25">
      <c r="A720" s="131">
        <v>716</v>
      </c>
      <c r="B720" s="132">
        <v>336133955</v>
      </c>
      <c r="D720" s="131">
        <v>716</v>
      </c>
      <c r="E720" s="132">
        <v>36.371020000000001</v>
      </c>
      <c r="AK720">
        <v>714</v>
      </c>
      <c r="AL720" s="24">
        <f t="shared" si="115"/>
        <v>36.27413</v>
      </c>
      <c r="AM720">
        <f t="shared" si="117"/>
        <v>253.91890999999998</v>
      </c>
      <c r="AN720">
        <f t="shared" si="117"/>
        <v>362.74130000000002</v>
      </c>
      <c r="AO720">
        <f t="shared" si="117"/>
        <v>544.11194999999998</v>
      </c>
      <c r="AP720">
        <f t="shared" si="117"/>
        <v>725.48260000000005</v>
      </c>
      <c r="AQ720">
        <f t="shared" si="117"/>
        <v>1269.59455</v>
      </c>
      <c r="AR720">
        <f t="shared" si="117"/>
        <v>1813.7065</v>
      </c>
      <c r="AS720">
        <f t="shared" si="117"/>
        <v>2901.9304000000002</v>
      </c>
      <c r="AT720">
        <f t="shared" si="117"/>
        <v>4352.8955999999998</v>
      </c>
      <c r="AU720">
        <f t="shared" si="117"/>
        <v>6166.6021000000001</v>
      </c>
      <c r="AV720">
        <f t="shared" si="117"/>
        <v>8705.7911999999997</v>
      </c>
      <c r="AW720">
        <f t="shared" si="117"/>
        <v>11970.4629</v>
      </c>
      <c r="AX720">
        <f t="shared" si="117"/>
        <v>16686.0998</v>
      </c>
      <c r="AY720">
        <f t="shared" si="117"/>
        <v>29019.304</v>
      </c>
      <c r="AZ720">
        <f t="shared" si="117"/>
        <v>54411.195</v>
      </c>
      <c r="BA720">
        <f t="shared" si="117"/>
        <v>90685.324999999997</v>
      </c>
      <c r="BB720">
        <f t="shared" si="117"/>
        <v>145096.51999999999</v>
      </c>
      <c r="BC720">
        <f t="shared" si="114"/>
        <v>362741.3</v>
      </c>
      <c r="BD720">
        <f t="shared" si="114"/>
        <v>544111.94999999995</v>
      </c>
      <c r="BE720">
        <f t="shared" si="114"/>
        <v>870579.12</v>
      </c>
      <c r="BF720">
        <f t="shared" si="114"/>
        <v>1088223.8999999999</v>
      </c>
      <c r="BG720">
        <f t="shared" si="114"/>
        <v>3627413</v>
      </c>
      <c r="BH720">
        <f t="shared" si="114"/>
        <v>10882239</v>
      </c>
      <c r="BI720">
        <f t="shared" si="114"/>
        <v>30833010.5</v>
      </c>
      <c r="BJ720">
        <f t="shared" si="114"/>
        <v>108822390</v>
      </c>
      <c r="BK720">
        <f t="shared" si="114"/>
        <v>362741300</v>
      </c>
      <c r="BL720">
        <v>715</v>
      </c>
    </row>
    <row r="721" spans="1:64" ht="17.25" thickBot="1" x14ac:dyDescent="0.25">
      <c r="A721" s="131">
        <v>717</v>
      </c>
      <c r="B721" s="132">
        <v>338579116</v>
      </c>
      <c r="D721" s="131">
        <v>717</v>
      </c>
      <c r="E721" s="132">
        <v>36.419370000000001</v>
      </c>
      <c r="AK721">
        <v>715</v>
      </c>
      <c r="AL721" s="24">
        <f t="shared" si="115"/>
        <v>36.322609999999997</v>
      </c>
      <c r="AM721">
        <f t="shared" si="117"/>
        <v>254.25826999999998</v>
      </c>
      <c r="AN721">
        <f t="shared" si="117"/>
        <v>363.22609999999997</v>
      </c>
      <c r="AO721">
        <f t="shared" si="117"/>
        <v>544.83915000000002</v>
      </c>
      <c r="AP721">
        <f t="shared" si="117"/>
        <v>726.45219999999995</v>
      </c>
      <c r="AQ721">
        <f t="shared" si="117"/>
        <v>1271.29135</v>
      </c>
      <c r="AR721">
        <f t="shared" si="117"/>
        <v>1816.1304999999998</v>
      </c>
      <c r="AS721">
        <f t="shared" si="117"/>
        <v>2905.8087999999998</v>
      </c>
      <c r="AT721">
        <f t="shared" si="117"/>
        <v>4358.7132000000001</v>
      </c>
      <c r="AU721">
        <f t="shared" si="117"/>
        <v>6174.8436999999994</v>
      </c>
      <c r="AV721">
        <f t="shared" si="117"/>
        <v>8717.4264000000003</v>
      </c>
      <c r="AW721">
        <f t="shared" si="117"/>
        <v>11986.461299999999</v>
      </c>
      <c r="AX721">
        <f t="shared" si="117"/>
        <v>16708.400599999997</v>
      </c>
      <c r="AY721">
        <f t="shared" si="117"/>
        <v>29058.087999999996</v>
      </c>
      <c r="AZ721">
        <f t="shared" si="117"/>
        <v>54483.914999999994</v>
      </c>
      <c r="BA721">
        <f t="shared" si="117"/>
        <v>90806.524999999994</v>
      </c>
      <c r="BB721">
        <f t="shared" si="117"/>
        <v>145290.44</v>
      </c>
      <c r="BC721">
        <f t="shared" si="114"/>
        <v>363226.1</v>
      </c>
      <c r="BD721">
        <f t="shared" si="114"/>
        <v>544839.14999999991</v>
      </c>
      <c r="BE721">
        <f t="shared" si="114"/>
        <v>871742.6399999999</v>
      </c>
      <c r="BF721">
        <f t="shared" si="114"/>
        <v>1089678.2999999998</v>
      </c>
      <c r="BG721">
        <f t="shared" si="114"/>
        <v>3632260.9999999995</v>
      </c>
      <c r="BH721">
        <f t="shared" si="114"/>
        <v>10896783</v>
      </c>
      <c r="BI721">
        <f t="shared" ref="BC721:BK749" si="118">BI$5*VLOOKUP($AK721,$D$2:$E$1404,2,FALSE)</f>
        <v>30874218.499999996</v>
      </c>
      <c r="BJ721">
        <f t="shared" si="118"/>
        <v>108967829.99999999</v>
      </c>
      <c r="BK721">
        <f t="shared" si="118"/>
        <v>363226100</v>
      </c>
      <c r="BL721">
        <v>716</v>
      </c>
    </row>
    <row r="722" spans="1:64" ht="17.25" thickBot="1" x14ac:dyDescent="0.25">
      <c r="A722" s="131">
        <v>718</v>
      </c>
      <c r="B722" s="132">
        <v>341042083</v>
      </c>
      <c r="D722" s="131">
        <v>718</v>
      </c>
      <c r="E722" s="132">
        <v>36.467649999999999</v>
      </c>
      <c r="AK722">
        <v>716</v>
      </c>
      <c r="AL722" s="24">
        <f t="shared" si="115"/>
        <v>36.371020000000001</v>
      </c>
      <c r="AM722">
        <f t="shared" si="117"/>
        <v>254.59714000000002</v>
      </c>
      <c r="AN722">
        <f t="shared" si="117"/>
        <v>363.71019999999999</v>
      </c>
      <c r="AO722">
        <f t="shared" si="117"/>
        <v>545.56529999999998</v>
      </c>
      <c r="AP722">
        <f t="shared" si="117"/>
        <v>727.42039999999997</v>
      </c>
      <c r="AQ722">
        <f t="shared" si="117"/>
        <v>1272.9857</v>
      </c>
      <c r="AR722">
        <f t="shared" si="117"/>
        <v>1818.5510000000002</v>
      </c>
      <c r="AS722">
        <f t="shared" si="117"/>
        <v>2909.6815999999999</v>
      </c>
      <c r="AT722">
        <f t="shared" si="117"/>
        <v>4364.5223999999998</v>
      </c>
      <c r="AU722">
        <f t="shared" si="117"/>
        <v>6183.0734000000002</v>
      </c>
      <c r="AV722">
        <f t="shared" si="117"/>
        <v>8729.0447999999997</v>
      </c>
      <c r="AW722">
        <f t="shared" si="117"/>
        <v>12002.436600000001</v>
      </c>
      <c r="AX722">
        <f t="shared" si="117"/>
        <v>16730.6692</v>
      </c>
      <c r="AY722">
        <f t="shared" si="117"/>
        <v>29096.816000000003</v>
      </c>
      <c r="AZ722">
        <f t="shared" si="117"/>
        <v>54556.53</v>
      </c>
      <c r="BA722">
        <f t="shared" si="117"/>
        <v>90927.55</v>
      </c>
      <c r="BB722">
        <f t="shared" si="117"/>
        <v>145484.08000000002</v>
      </c>
      <c r="BC722">
        <f t="shared" si="118"/>
        <v>363710.2</v>
      </c>
      <c r="BD722">
        <f t="shared" si="118"/>
        <v>545565.30000000005</v>
      </c>
      <c r="BE722">
        <f t="shared" si="118"/>
        <v>872904.48</v>
      </c>
      <c r="BF722">
        <f t="shared" si="118"/>
        <v>1091130.6000000001</v>
      </c>
      <c r="BG722">
        <f t="shared" si="118"/>
        <v>3637102</v>
      </c>
      <c r="BH722">
        <f t="shared" si="118"/>
        <v>10911306</v>
      </c>
      <c r="BI722">
        <f t="shared" si="118"/>
        <v>30915367</v>
      </c>
      <c r="BJ722">
        <f t="shared" si="118"/>
        <v>109113060</v>
      </c>
      <c r="BK722">
        <f t="shared" si="118"/>
        <v>363710200</v>
      </c>
      <c r="BL722">
        <v>717</v>
      </c>
    </row>
    <row r="723" spans="1:64" ht="17.25" thickBot="1" x14ac:dyDescent="0.25">
      <c r="A723" s="131">
        <v>719</v>
      </c>
      <c r="B723" s="132">
        <v>343522938</v>
      </c>
      <c r="D723" s="131">
        <v>719</v>
      </c>
      <c r="E723" s="132">
        <v>36.515860000000004</v>
      </c>
      <c r="AK723">
        <v>717</v>
      </c>
      <c r="AL723" s="24">
        <f t="shared" si="115"/>
        <v>36.419370000000001</v>
      </c>
      <c r="AM723">
        <f t="shared" si="117"/>
        <v>254.93558999999999</v>
      </c>
      <c r="AN723">
        <f t="shared" si="117"/>
        <v>364.19370000000004</v>
      </c>
      <c r="AO723">
        <f t="shared" si="117"/>
        <v>546.29055000000005</v>
      </c>
      <c r="AP723">
        <f t="shared" si="117"/>
        <v>728.38740000000007</v>
      </c>
      <c r="AQ723">
        <f t="shared" si="117"/>
        <v>1274.67795</v>
      </c>
      <c r="AR723">
        <f t="shared" si="117"/>
        <v>1820.9684999999999</v>
      </c>
      <c r="AS723">
        <f t="shared" si="117"/>
        <v>2913.5496000000003</v>
      </c>
      <c r="AT723">
        <f t="shared" si="117"/>
        <v>4370.3244000000004</v>
      </c>
      <c r="AU723">
        <f t="shared" si="117"/>
        <v>6191.2929000000004</v>
      </c>
      <c r="AV723">
        <f t="shared" si="117"/>
        <v>8740.6488000000008</v>
      </c>
      <c r="AW723">
        <f t="shared" si="117"/>
        <v>12018.392100000001</v>
      </c>
      <c r="AX723">
        <f t="shared" si="117"/>
        <v>16752.910200000002</v>
      </c>
      <c r="AY723">
        <f t="shared" si="117"/>
        <v>29135.495999999999</v>
      </c>
      <c r="AZ723">
        <f t="shared" si="117"/>
        <v>54629.055</v>
      </c>
      <c r="BA723">
        <f t="shared" si="117"/>
        <v>91048.425000000003</v>
      </c>
      <c r="BB723">
        <f t="shared" si="117"/>
        <v>145677.48000000001</v>
      </c>
      <c r="BC723">
        <f t="shared" si="118"/>
        <v>364193.7</v>
      </c>
      <c r="BD723">
        <f t="shared" si="118"/>
        <v>546290.55000000005</v>
      </c>
      <c r="BE723">
        <f t="shared" si="118"/>
        <v>874064.88</v>
      </c>
      <c r="BF723">
        <f t="shared" si="118"/>
        <v>1092581.1000000001</v>
      </c>
      <c r="BG723">
        <f t="shared" si="118"/>
        <v>3641937</v>
      </c>
      <c r="BH723">
        <f t="shared" si="118"/>
        <v>10925811</v>
      </c>
      <c r="BI723">
        <f t="shared" si="118"/>
        <v>30956464.5</v>
      </c>
      <c r="BJ723">
        <f t="shared" si="118"/>
        <v>109258110</v>
      </c>
      <c r="BK723">
        <f t="shared" si="118"/>
        <v>364193700</v>
      </c>
      <c r="BL723">
        <v>718</v>
      </c>
    </row>
    <row r="724" spans="1:64" ht="17.25" thickBot="1" x14ac:dyDescent="0.25">
      <c r="A724" s="131">
        <v>720</v>
      </c>
      <c r="B724" s="132">
        <v>346021777</v>
      </c>
      <c r="D724" s="131">
        <v>720</v>
      </c>
      <c r="E724" s="132">
        <v>36.564010000000003</v>
      </c>
      <c r="AK724">
        <v>718</v>
      </c>
      <c r="AL724" s="24">
        <f t="shared" si="115"/>
        <v>36.467649999999999</v>
      </c>
      <c r="AM724">
        <f t="shared" si="117"/>
        <v>255.27355</v>
      </c>
      <c r="AN724">
        <f t="shared" si="117"/>
        <v>364.67649999999998</v>
      </c>
      <c r="AO724">
        <f t="shared" si="117"/>
        <v>547.01474999999994</v>
      </c>
      <c r="AP724">
        <f t="shared" si="117"/>
        <v>729.35299999999995</v>
      </c>
      <c r="AQ724">
        <f t="shared" si="117"/>
        <v>1276.3677499999999</v>
      </c>
      <c r="AR724">
        <f t="shared" si="117"/>
        <v>1823.3824999999999</v>
      </c>
      <c r="AS724">
        <f t="shared" si="117"/>
        <v>2917.4119999999998</v>
      </c>
      <c r="AT724">
        <f t="shared" si="117"/>
        <v>4376.1179999999995</v>
      </c>
      <c r="AU724">
        <f t="shared" si="117"/>
        <v>6199.5005000000001</v>
      </c>
      <c r="AV724">
        <f t="shared" si="117"/>
        <v>8752.235999999999</v>
      </c>
      <c r="AW724">
        <f t="shared" si="117"/>
        <v>12034.324499999999</v>
      </c>
      <c r="AX724">
        <f t="shared" si="117"/>
        <v>16775.118999999999</v>
      </c>
      <c r="AY724">
        <f t="shared" si="117"/>
        <v>29174.12</v>
      </c>
      <c r="AZ724">
        <f t="shared" si="117"/>
        <v>54701.474999999999</v>
      </c>
      <c r="BA724">
        <f t="shared" si="117"/>
        <v>91169.125</v>
      </c>
      <c r="BB724">
        <f t="shared" si="117"/>
        <v>145870.6</v>
      </c>
      <c r="BC724">
        <f t="shared" si="118"/>
        <v>364676.5</v>
      </c>
      <c r="BD724">
        <f t="shared" si="118"/>
        <v>547014.75</v>
      </c>
      <c r="BE724">
        <f t="shared" si="118"/>
        <v>875223.6</v>
      </c>
      <c r="BF724">
        <f t="shared" si="118"/>
        <v>1094029.5</v>
      </c>
      <c r="BG724">
        <f t="shared" si="118"/>
        <v>3646765</v>
      </c>
      <c r="BH724">
        <f t="shared" si="118"/>
        <v>10940295</v>
      </c>
      <c r="BI724">
        <f t="shared" si="118"/>
        <v>30997502.5</v>
      </c>
      <c r="BJ724">
        <f t="shared" si="118"/>
        <v>109402950</v>
      </c>
      <c r="BK724">
        <f t="shared" si="118"/>
        <v>364676500</v>
      </c>
      <c r="BL724">
        <v>719</v>
      </c>
    </row>
    <row r="725" spans="1:64" ht="17.25" thickBot="1" x14ac:dyDescent="0.25">
      <c r="A725" s="131">
        <v>721</v>
      </c>
      <c r="B725" s="132">
        <v>348538694</v>
      </c>
      <c r="D725" s="131">
        <v>721</v>
      </c>
      <c r="E725" s="132">
        <v>36.612090000000002</v>
      </c>
      <c r="AK725">
        <v>719</v>
      </c>
      <c r="AL725" s="24">
        <f t="shared" si="115"/>
        <v>36.515860000000004</v>
      </c>
      <c r="AM725">
        <f t="shared" si="117"/>
        <v>255.61102000000002</v>
      </c>
      <c r="AN725">
        <f t="shared" si="117"/>
        <v>365.15860000000004</v>
      </c>
      <c r="AO725">
        <f t="shared" si="117"/>
        <v>547.73790000000008</v>
      </c>
      <c r="AP725">
        <f t="shared" si="117"/>
        <v>730.31720000000007</v>
      </c>
      <c r="AQ725">
        <f t="shared" si="117"/>
        <v>1278.0551</v>
      </c>
      <c r="AR725">
        <f t="shared" si="117"/>
        <v>1825.7930000000001</v>
      </c>
      <c r="AS725">
        <f t="shared" si="117"/>
        <v>2921.2688000000003</v>
      </c>
      <c r="AT725">
        <f t="shared" si="117"/>
        <v>4381.9032000000007</v>
      </c>
      <c r="AU725">
        <f t="shared" si="117"/>
        <v>6207.6962000000003</v>
      </c>
      <c r="AV725">
        <f t="shared" si="117"/>
        <v>8763.8064000000013</v>
      </c>
      <c r="AW725">
        <f t="shared" si="117"/>
        <v>12050.233800000002</v>
      </c>
      <c r="AX725">
        <f t="shared" si="117"/>
        <v>16797.295600000001</v>
      </c>
      <c r="AY725">
        <f t="shared" si="117"/>
        <v>29212.688000000002</v>
      </c>
      <c r="AZ725">
        <f t="shared" si="117"/>
        <v>54773.790000000008</v>
      </c>
      <c r="BA725">
        <f t="shared" si="117"/>
        <v>91289.650000000009</v>
      </c>
      <c r="BB725">
        <f t="shared" si="117"/>
        <v>146063.44</v>
      </c>
      <c r="BC725">
        <f t="shared" si="118"/>
        <v>365158.60000000003</v>
      </c>
      <c r="BD725">
        <f t="shared" si="118"/>
        <v>547737.9</v>
      </c>
      <c r="BE725">
        <f t="shared" si="118"/>
        <v>876380.64000000013</v>
      </c>
      <c r="BF725">
        <f t="shared" si="118"/>
        <v>1095475.8</v>
      </c>
      <c r="BG725">
        <f t="shared" si="118"/>
        <v>3651586.0000000005</v>
      </c>
      <c r="BH725">
        <f t="shared" si="118"/>
        <v>10954758.000000002</v>
      </c>
      <c r="BI725">
        <f t="shared" si="118"/>
        <v>31038481.000000004</v>
      </c>
      <c r="BJ725">
        <f t="shared" si="118"/>
        <v>109547580.00000001</v>
      </c>
      <c r="BK725">
        <f t="shared" si="118"/>
        <v>365158600.00000006</v>
      </c>
      <c r="BL725">
        <v>720</v>
      </c>
    </row>
    <row r="726" spans="1:64" ht="17.25" thickBot="1" x14ac:dyDescent="0.25">
      <c r="A726" s="131">
        <v>722</v>
      </c>
      <c r="B726" s="132">
        <v>351073777</v>
      </c>
      <c r="D726" s="131">
        <v>722</v>
      </c>
      <c r="E726" s="132">
        <v>36.660110000000003</v>
      </c>
      <c r="AK726">
        <v>720</v>
      </c>
      <c r="AL726" s="24">
        <f t="shared" si="115"/>
        <v>36.564010000000003</v>
      </c>
      <c r="AM726">
        <f t="shared" si="117"/>
        <v>255.94807000000003</v>
      </c>
      <c r="AN726">
        <f t="shared" si="117"/>
        <v>365.64010000000002</v>
      </c>
      <c r="AO726">
        <f t="shared" si="117"/>
        <v>548.46015</v>
      </c>
      <c r="AP726">
        <f t="shared" si="117"/>
        <v>731.28020000000004</v>
      </c>
      <c r="AQ726">
        <f t="shared" si="117"/>
        <v>1279.74035</v>
      </c>
      <c r="AR726">
        <f t="shared" si="117"/>
        <v>1828.2005000000001</v>
      </c>
      <c r="AS726">
        <f t="shared" si="117"/>
        <v>2925.1208000000001</v>
      </c>
      <c r="AT726">
        <f t="shared" si="117"/>
        <v>4387.6812</v>
      </c>
      <c r="AU726">
        <f t="shared" si="117"/>
        <v>6215.8817000000008</v>
      </c>
      <c r="AV726">
        <f t="shared" si="117"/>
        <v>8775.3624</v>
      </c>
      <c r="AW726">
        <f t="shared" si="117"/>
        <v>12066.123300000001</v>
      </c>
      <c r="AX726">
        <f t="shared" si="117"/>
        <v>16819.444600000003</v>
      </c>
      <c r="AY726">
        <f t="shared" si="117"/>
        <v>29251.208000000002</v>
      </c>
      <c r="AZ726">
        <f t="shared" si="117"/>
        <v>54846.015000000007</v>
      </c>
      <c r="BA726">
        <f t="shared" si="117"/>
        <v>91410.025000000009</v>
      </c>
      <c r="BB726">
        <f t="shared" si="117"/>
        <v>146256.04</v>
      </c>
      <c r="BC726">
        <f t="shared" si="118"/>
        <v>365640.10000000003</v>
      </c>
      <c r="BD726">
        <f t="shared" si="118"/>
        <v>548460.15</v>
      </c>
      <c r="BE726">
        <f t="shared" si="118"/>
        <v>877536.24000000011</v>
      </c>
      <c r="BF726">
        <f t="shared" si="118"/>
        <v>1096920.3</v>
      </c>
      <c r="BG726">
        <f t="shared" si="118"/>
        <v>3656401.0000000005</v>
      </c>
      <c r="BH726">
        <f t="shared" si="118"/>
        <v>10969203.000000002</v>
      </c>
      <c r="BI726">
        <f t="shared" si="118"/>
        <v>31079408.500000004</v>
      </c>
      <c r="BJ726">
        <f t="shared" si="118"/>
        <v>109692030.00000001</v>
      </c>
      <c r="BK726">
        <f t="shared" si="118"/>
        <v>365640100.00000006</v>
      </c>
      <c r="BL726">
        <v>721</v>
      </c>
    </row>
    <row r="727" spans="1:64" ht="17.25" thickBot="1" x14ac:dyDescent="0.25">
      <c r="A727" s="131">
        <v>723</v>
      </c>
      <c r="B727" s="132">
        <v>353627127</v>
      </c>
      <c r="D727" s="131">
        <v>723</v>
      </c>
      <c r="E727" s="132">
        <v>36.708060000000003</v>
      </c>
      <c r="AK727">
        <v>721</v>
      </c>
      <c r="AL727" s="24">
        <f t="shared" si="115"/>
        <v>36.612090000000002</v>
      </c>
      <c r="AM727">
        <f t="shared" si="117"/>
        <v>256.28462999999999</v>
      </c>
      <c r="AN727">
        <f t="shared" si="117"/>
        <v>366.12090000000001</v>
      </c>
      <c r="AO727">
        <f t="shared" si="117"/>
        <v>549.18135000000007</v>
      </c>
      <c r="AP727">
        <f t="shared" si="117"/>
        <v>732.24180000000001</v>
      </c>
      <c r="AQ727">
        <f t="shared" si="117"/>
        <v>1281.4231500000001</v>
      </c>
      <c r="AR727">
        <f t="shared" si="117"/>
        <v>1830.6045000000001</v>
      </c>
      <c r="AS727">
        <f t="shared" si="117"/>
        <v>2928.9672</v>
      </c>
      <c r="AT727">
        <f t="shared" si="117"/>
        <v>4393.4508000000005</v>
      </c>
      <c r="AU727">
        <f t="shared" si="117"/>
        <v>6224.0553</v>
      </c>
      <c r="AV727">
        <f t="shared" si="117"/>
        <v>8786.9016000000011</v>
      </c>
      <c r="AW727">
        <f t="shared" si="117"/>
        <v>12081.9897</v>
      </c>
      <c r="AX727">
        <f t="shared" si="117"/>
        <v>16841.561400000002</v>
      </c>
      <c r="AY727">
        <f t="shared" si="117"/>
        <v>29289.672000000002</v>
      </c>
      <c r="AZ727">
        <f t="shared" si="117"/>
        <v>54918.135000000002</v>
      </c>
      <c r="BA727">
        <f t="shared" si="117"/>
        <v>91530.225000000006</v>
      </c>
      <c r="BB727">
        <f t="shared" si="117"/>
        <v>146448.36000000002</v>
      </c>
      <c r="BC727">
        <f t="shared" si="118"/>
        <v>366120.9</v>
      </c>
      <c r="BD727">
        <f t="shared" si="118"/>
        <v>549181.35</v>
      </c>
      <c r="BE727">
        <f t="shared" si="118"/>
        <v>878690.16</v>
      </c>
      <c r="BF727">
        <f t="shared" si="118"/>
        <v>1098362.7</v>
      </c>
      <c r="BG727">
        <f t="shared" si="118"/>
        <v>3661209</v>
      </c>
      <c r="BH727">
        <f t="shared" si="118"/>
        <v>10983627</v>
      </c>
      <c r="BI727">
        <f t="shared" si="118"/>
        <v>31120276.5</v>
      </c>
      <c r="BJ727">
        <f t="shared" si="118"/>
        <v>109836270</v>
      </c>
      <c r="BK727">
        <f t="shared" si="118"/>
        <v>366120900</v>
      </c>
      <c r="BL727">
        <v>722</v>
      </c>
    </row>
    <row r="728" spans="1:64" ht="17.25" thickBot="1" x14ac:dyDescent="0.25">
      <c r="A728" s="131">
        <v>724</v>
      </c>
      <c r="B728" s="132">
        <v>356198833</v>
      </c>
      <c r="D728" s="131">
        <v>724</v>
      </c>
      <c r="E728" s="132">
        <v>36.755940000000002</v>
      </c>
      <c r="AK728">
        <v>722</v>
      </c>
      <c r="AL728" s="24">
        <f t="shared" si="115"/>
        <v>36.660110000000003</v>
      </c>
      <c r="AM728">
        <f t="shared" si="117"/>
        <v>256.62076999999999</v>
      </c>
      <c r="AN728">
        <f t="shared" si="117"/>
        <v>366.60110000000003</v>
      </c>
      <c r="AO728">
        <f t="shared" si="117"/>
        <v>549.90165000000002</v>
      </c>
      <c r="AP728">
        <f t="shared" si="117"/>
        <v>733.20220000000006</v>
      </c>
      <c r="AQ728">
        <f t="shared" si="117"/>
        <v>1283.1038500000002</v>
      </c>
      <c r="AR728">
        <f t="shared" si="117"/>
        <v>1833.0055000000002</v>
      </c>
      <c r="AS728">
        <f t="shared" si="117"/>
        <v>2932.8088000000002</v>
      </c>
      <c r="AT728">
        <f t="shared" si="117"/>
        <v>4399.2132000000001</v>
      </c>
      <c r="AU728">
        <f t="shared" si="117"/>
        <v>6232.2187000000004</v>
      </c>
      <c r="AV728">
        <f t="shared" si="117"/>
        <v>8798.4264000000003</v>
      </c>
      <c r="AW728">
        <f t="shared" si="117"/>
        <v>12097.836300000001</v>
      </c>
      <c r="AX728">
        <f t="shared" si="117"/>
        <v>16863.650600000001</v>
      </c>
      <c r="AY728">
        <f t="shared" si="117"/>
        <v>29328.088000000003</v>
      </c>
      <c r="AZ728">
        <f t="shared" si="117"/>
        <v>54990.165000000008</v>
      </c>
      <c r="BA728">
        <f t="shared" si="117"/>
        <v>91650.275000000009</v>
      </c>
      <c r="BB728">
        <f t="shared" si="117"/>
        <v>146640.44</v>
      </c>
      <c r="BC728">
        <f t="shared" si="118"/>
        <v>366601.10000000003</v>
      </c>
      <c r="BD728">
        <f t="shared" si="118"/>
        <v>549901.65</v>
      </c>
      <c r="BE728">
        <f t="shared" si="118"/>
        <v>879842.64000000013</v>
      </c>
      <c r="BF728">
        <f t="shared" si="118"/>
        <v>1099803.3</v>
      </c>
      <c r="BG728">
        <f t="shared" si="118"/>
        <v>3666011.0000000005</v>
      </c>
      <c r="BH728">
        <f t="shared" si="118"/>
        <v>10998033</v>
      </c>
      <c r="BI728">
        <f t="shared" si="118"/>
        <v>31161093.500000004</v>
      </c>
      <c r="BJ728">
        <f t="shared" si="118"/>
        <v>109980330.00000001</v>
      </c>
      <c r="BK728">
        <f t="shared" si="118"/>
        <v>366601100.00000006</v>
      </c>
      <c r="BL728">
        <v>723</v>
      </c>
    </row>
    <row r="729" spans="1:64" ht="17.25" thickBot="1" x14ac:dyDescent="0.25">
      <c r="A729" s="131">
        <v>725</v>
      </c>
      <c r="B729" s="132">
        <v>358788983</v>
      </c>
      <c r="D729" s="131">
        <v>725</v>
      </c>
      <c r="E729" s="132">
        <v>36.803759999999997</v>
      </c>
      <c r="AK729">
        <v>723</v>
      </c>
      <c r="AL729" s="24">
        <f t="shared" si="115"/>
        <v>36.708060000000003</v>
      </c>
      <c r="AM729">
        <f t="shared" si="117"/>
        <v>256.95642000000004</v>
      </c>
      <c r="AN729">
        <f t="shared" si="117"/>
        <v>367.0806</v>
      </c>
      <c r="AO729">
        <f t="shared" si="117"/>
        <v>550.62090000000001</v>
      </c>
      <c r="AP729">
        <f t="shared" si="117"/>
        <v>734.16120000000001</v>
      </c>
      <c r="AQ729">
        <f t="shared" si="117"/>
        <v>1284.7821000000001</v>
      </c>
      <c r="AR729">
        <f t="shared" si="117"/>
        <v>1835.4030000000002</v>
      </c>
      <c r="AS729">
        <f t="shared" si="117"/>
        <v>2936.6448</v>
      </c>
      <c r="AT729">
        <f t="shared" si="117"/>
        <v>4404.9672</v>
      </c>
      <c r="AU729">
        <f t="shared" si="117"/>
        <v>6240.3702000000003</v>
      </c>
      <c r="AV729">
        <f t="shared" si="117"/>
        <v>8809.9344000000001</v>
      </c>
      <c r="AW729">
        <f t="shared" si="117"/>
        <v>12113.659800000001</v>
      </c>
      <c r="AX729">
        <f t="shared" si="117"/>
        <v>16885.707600000002</v>
      </c>
      <c r="AY729">
        <f t="shared" si="117"/>
        <v>29366.448000000004</v>
      </c>
      <c r="AZ729">
        <f t="shared" si="117"/>
        <v>55062.090000000004</v>
      </c>
      <c r="BA729">
        <f t="shared" si="117"/>
        <v>91770.150000000009</v>
      </c>
      <c r="BB729">
        <f t="shared" si="117"/>
        <v>146832.24000000002</v>
      </c>
      <c r="BC729">
        <f t="shared" si="118"/>
        <v>367080.60000000003</v>
      </c>
      <c r="BD729">
        <f t="shared" si="118"/>
        <v>550620.9</v>
      </c>
      <c r="BE729">
        <f t="shared" si="118"/>
        <v>880993.44000000006</v>
      </c>
      <c r="BF729">
        <f t="shared" si="118"/>
        <v>1101241.8</v>
      </c>
      <c r="BG729">
        <f t="shared" si="118"/>
        <v>3670806.0000000005</v>
      </c>
      <c r="BH729">
        <f t="shared" si="118"/>
        <v>11012418.000000002</v>
      </c>
      <c r="BI729">
        <f t="shared" si="118"/>
        <v>31201851.000000004</v>
      </c>
      <c r="BJ729">
        <f t="shared" si="118"/>
        <v>110124180.00000001</v>
      </c>
      <c r="BK729">
        <f t="shared" si="118"/>
        <v>367080600.00000006</v>
      </c>
      <c r="BL729">
        <v>724</v>
      </c>
    </row>
    <row r="730" spans="1:64" ht="17.25" thickBot="1" x14ac:dyDescent="0.25">
      <c r="A730" s="131">
        <v>726</v>
      </c>
      <c r="B730" s="132">
        <v>361397677</v>
      </c>
      <c r="D730" s="131">
        <v>726</v>
      </c>
      <c r="E730" s="132">
        <v>36.851509999999998</v>
      </c>
      <c r="AK730">
        <v>724</v>
      </c>
      <c r="AL730" s="24">
        <f t="shared" si="115"/>
        <v>36.755940000000002</v>
      </c>
      <c r="AM730">
        <f t="shared" si="117"/>
        <v>257.29158000000001</v>
      </c>
      <c r="AN730">
        <f t="shared" si="117"/>
        <v>367.55940000000004</v>
      </c>
      <c r="AO730">
        <f t="shared" si="117"/>
        <v>551.33910000000003</v>
      </c>
      <c r="AP730">
        <f t="shared" si="117"/>
        <v>735.11880000000008</v>
      </c>
      <c r="AQ730">
        <f t="shared" si="117"/>
        <v>1286.4579000000001</v>
      </c>
      <c r="AR730">
        <f t="shared" si="117"/>
        <v>1837.797</v>
      </c>
      <c r="AS730">
        <f t="shared" si="117"/>
        <v>2940.4752000000003</v>
      </c>
      <c r="AT730">
        <f t="shared" si="117"/>
        <v>4410.7128000000002</v>
      </c>
      <c r="AU730">
        <f t="shared" si="117"/>
        <v>6248.5098000000007</v>
      </c>
      <c r="AV730">
        <f t="shared" si="117"/>
        <v>8821.4256000000005</v>
      </c>
      <c r="AW730">
        <f t="shared" si="117"/>
        <v>12129.460200000001</v>
      </c>
      <c r="AX730">
        <f t="shared" si="117"/>
        <v>16907.732400000001</v>
      </c>
      <c r="AY730">
        <f t="shared" si="117"/>
        <v>29404.752</v>
      </c>
      <c r="AZ730">
        <f t="shared" si="117"/>
        <v>55133.91</v>
      </c>
      <c r="BA730">
        <f t="shared" si="117"/>
        <v>91889.85</v>
      </c>
      <c r="BB730">
        <f t="shared" si="117"/>
        <v>147023.76</v>
      </c>
      <c r="BC730">
        <f t="shared" si="118"/>
        <v>367559.4</v>
      </c>
      <c r="BD730">
        <f t="shared" si="118"/>
        <v>551339.10000000009</v>
      </c>
      <c r="BE730">
        <f t="shared" si="118"/>
        <v>882142.56</v>
      </c>
      <c r="BF730">
        <f t="shared" si="118"/>
        <v>1102678.2000000002</v>
      </c>
      <c r="BG730">
        <f t="shared" si="118"/>
        <v>3675594.0000000005</v>
      </c>
      <c r="BH730">
        <f t="shared" si="118"/>
        <v>11026782</v>
      </c>
      <c r="BI730">
        <f t="shared" si="118"/>
        <v>31242549.000000004</v>
      </c>
      <c r="BJ730">
        <f t="shared" si="118"/>
        <v>110267820.00000001</v>
      </c>
      <c r="BK730">
        <f t="shared" si="118"/>
        <v>367559400</v>
      </c>
      <c r="BL730">
        <v>725</v>
      </c>
    </row>
    <row r="731" spans="1:64" ht="17.25" thickBot="1" x14ac:dyDescent="0.25">
      <c r="A731" s="131">
        <v>727</v>
      </c>
      <c r="B731" s="132">
        <v>364025011</v>
      </c>
      <c r="D731" s="131">
        <v>727</v>
      </c>
      <c r="E731" s="132">
        <v>36.8992</v>
      </c>
      <c r="AK731">
        <v>725</v>
      </c>
      <c r="AL731" s="24">
        <f t="shared" si="115"/>
        <v>36.803759999999997</v>
      </c>
      <c r="AM731">
        <f t="shared" si="117"/>
        <v>257.62631999999996</v>
      </c>
      <c r="AN731">
        <f t="shared" si="117"/>
        <v>368.0376</v>
      </c>
      <c r="AO731">
        <f t="shared" si="117"/>
        <v>552.05639999999994</v>
      </c>
      <c r="AP731">
        <f t="shared" si="117"/>
        <v>736.0752</v>
      </c>
      <c r="AQ731">
        <f t="shared" si="117"/>
        <v>1288.1315999999999</v>
      </c>
      <c r="AR731">
        <f t="shared" si="117"/>
        <v>1840.1879999999999</v>
      </c>
      <c r="AS731">
        <f t="shared" si="117"/>
        <v>2944.3008</v>
      </c>
      <c r="AT731">
        <f t="shared" si="117"/>
        <v>4416.4511999999995</v>
      </c>
      <c r="AU731">
        <f t="shared" si="117"/>
        <v>6256.6391999999996</v>
      </c>
      <c r="AV731">
        <f t="shared" si="117"/>
        <v>8832.902399999999</v>
      </c>
      <c r="AW731">
        <f t="shared" si="117"/>
        <v>12145.2408</v>
      </c>
      <c r="AX731">
        <f t="shared" si="117"/>
        <v>16929.729599999999</v>
      </c>
      <c r="AY731">
        <f t="shared" si="117"/>
        <v>29443.007999999998</v>
      </c>
      <c r="AZ731">
        <f t="shared" si="117"/>
        <v>55205.639999999992</v>
      </c>
      <c r="BA731">
        <f t="shared" si="117"/>
        <v>92009.4</v>
      </c>
      <c r="BB731">
        <f t="shared" si="117"/>
        <v>147215.03999999998</v>
      </c>
      <c r="BC731">
        <f t="shared" si="118"/>
        <v>368037.6</v>
      </c>
      <c r="BD731">
        <f t="shared" si="118"/>
        <v>552056.39999999991</v>
      </c>
      <c r="BE731">
        <f t="shared" si="118"/>
        <v>883290.23999999987</v>
      </c>
      <c r="BF731">
        <f t="shared" si="118"/>
        <v>1104112.7999999998</v>
      </c>
      <c r="BG731">
        <f t="shared" si="118"/>
        <v>3680375.9999999995</v>
      </c>
      <c r="BH731">
        <f t="shared" si="118"/>
        <v>11041128</v>
      </c>
      <c r="BI731">
        <f t="shared" si="118"/>
        <v>31283195.999999996</v>
      </c>
      <c r="BJ731">
        <f t="shared" si="118"/>
        <v>110411279.99999999</v>
      </c>
      <c r="BK731">
        <f t="shared" si="118"/>
        <v>368037599.99999994</v>
      </c>
      <c r="BL731">
        <v>726</v>
      </c>
    </row>
    <row r="732" spans="1:64" ht="17.25" thickBot="1" x14ac:dyDescent="0.25">
      <c r="A732" s="131">
        <v>728</v>
      </c>
      <c r="B732" s="132">
        <v>366671077</v>
      </c>
      <c r="D732" s="131">
        <v>728</v>
      </c>
      <c r="E732" s="132">
        <v>36.946820000000002</v>
      </c>
      <c r="AK732">
        <v>726</v>
      </c>
      <c r="AL732" s="24">
        <f t="shared" si="115"/>
        <v>36.851509999999998</v>
      </c>
      <c r="AM732">
        <f t="shared" si="117"/>
        <v>257.96056999999996</v>
      </c>
      <c r="AN732">
        <f t="shared" si="117"/>
        <v>368.51509999999996</v>
      </c>
      <c r="AO732">
        <f t="shared" si="117"/>
        <v>552.77265</v>
      </c>
      <c r="AP732">
        <f t="shared" si="117"/>
        <v>737.03019999999992</v>
      </c>
      <c r="AQ732">
        <f t="shared" si="117"/>
        <v>1289.8028499999998</v>
      </c>
      <c r="AR732">
        <f t="shared" si="117"/>
        <v>1842.5754999999999</v>
      </c>
      <c r="AS732">
        <f t="shared" si="117"/>
        <v>2948.1207999999997</v>
      </c>
      <c r="AT732">
        <f t="shared" si="117"/>
        <v>4422.1812</v>
      </c>
      <c r="AU732">
        <f t="shared" si="117"/>
        <v>6264.7566999999999</v>
      </c>
      <c r="AV732">
        <f t="shared" si="117"/>
        <v>8844.3624</v>
      </c>
      <c r="AW732">
        <f t="shared" si="117"/>
        <v>12160.998299999999</v>
      </c>
      <c r="AX732">
        <f t="shared" si="117"/>
        <v>16951.694599999999</v>
      </c>
      <c r="AY732">
        <f t="shared" si="117"/>
        <v>29481.207999999999</v>
      </c>
      <c r="AZ732">
        <f t="shared" si="117"/>
        <v>55277.264999999999</v>
      </c>
      <c r="BA732">
        <f t="shared" si="117"/>
        <v>92128.774999999994</v>
      </c>
      <c r="BB732">
        <f t="shared" si="117"/>
        <v>147406.03999999998</v>
      </c>
      <c r="BC732">
        <f t="shared" si="118"/>
        <v>368515.1</v>
      </c>
      <c r="BD732">
        <f t="shared" si="118"/>
        <v>552772.64999999991</v>
      </c>
      <c r="BE732">
        <f t="shared" si="118"/>
        <v>884436.24</v>
      </c>
      <c r="BF732">
        <f t="shared" si="118"/>
        <v>1105545.2999999998</v>
      </c>
      <c r="BG732">
        <f t="shared" si="118"/>
        <v>3685150.9999999995</v>
      </c>
      <c r="BH732">
        <f t="shared" si="118"/>
        <v>11055453</v>
      </c>
      <c r="BI732">
        <f t="shared" si="118"/>
        <v>31323783.499999996</v>
      </c>
      <c r="BJ732">
        <f t="shared" si="118"/>
        <v>110554530</v>
      </c>
      <c r="BK732">
        <f t="shared" si="118"/>
        <v>368515100</v>
      </c>
      <c r="BL732">
        <v>727</v>
      </c>
    </row>
    <row r="733" spans="1:64" ht="17.25" thickBot="1" x14ac:dyDescent="0.25">
      <c r="A733" s="131">
        <v>729</v>
      </c>
      <c r="B733" s="132">
        <v>369335972</v>
      </c>
      <c r="D733" s="131">
        <v>729</v>
      </c>
      <c r="E733" s="132">
        <v>36.99438</v>
      </c>
      <c r="AK733">
        <v>727</v>
      </c>
      <c r="AL733" s="24">
        <f t="shared" si="115"/>
        <v>36.8992</v>
      </c>
      <c r="AM733">
        <f t="shared" si="117"/>
        <v>258.2944</v>
      </c>
      <c r="AN733">
        <f t="shared" si="117"/>
        <v>368.99200000000002</v>
      </c>
      <c r="AO733">
        <f t="shared" si="117"/>
        <v>553.48800000000006</v>
      </c>
      <c r="AP733">
        <f t="shared" si="117"/>
        <v>737.98400000000004</v>
      </c>
      <c r="AQ733">
        <f t="shared" si="117"/>
        <v>1291.472</v>
      </c>
      <c r="AR733">
        <f t="shared" si="117"/>
        <v>1844.96</v>
      </c>
      <c r="AS733">
        <f t="shared" si="117"/>
        <v>2951.9360000000001</v>
      </c>
      <c r="AT733">
        <f t="shared" si="117"/>
        <v>4427.9040000000005</v>
      </c>
      <c r="AU733">
        <f t="shared" si="117"/>
        <v>6272.8640000000005</v>
      </c>
      <c r="AV733">
        <f t="shared" si="117"/>
        <v>8855.8080000000009</v>
      </c>
      <c r="AW733">
        <f t="shared" si="117"/>
        <v>12176.736000000001</v>
      </c>
      <c r="AX733">
        <f t="shared" si="117"/>
        <v>16973.632000000001</v>
      </c>
      <c r="AY733">
        <f t="shared" si="117"/>
        <v>29519.360000000001</v>
      </c>
      <c r="AZ733">
        <f t="shared" si="117"/>
        <v>55348.800000000003</v>
      </c>
      <c r="BA733">
        <f t="shared" si="117"/>
        <v>92248</v>
      </c>
      <c r="BB733">
        <f t="shared" si="117"/>
        <v>147596.79999999999</v>
      </c>
      <c r="BC733">
        <f t="shared" si="118"/>
        <v>368992</v>
      </c>
      <c r="BD733">
        <f t="shared" si="118"/>
        <v>553488</v>
      </c>
      <c r="BE733">
        <f t="shared" si="118"/>
        <v>885580.80000000005</v>
      </c>
      <c r="BF733">
        <f t="shared" si="118"/>
        <v>1106976</v>
      </c>
      <c r="BG733">
        <f t="shared" si="118"/>
        <v>3689920</v>
      </c>
      <c r="BH733">
        <f t="shared" si="118"/>
        <v>11069760</v>
      </c>
      <c r="BI733">
        <f t="shared" si="118"/>
        <v>31364320</v>
      </c>
      <c r="BJ733">
        <f t="shared" si="118"/>
        <v>110697600</v>
      </c>
      <c r="BK733">
        <f t="shared" si="118"/>
        <v>368992000</v>
      </c>
      <c r="BL733">
        <v>728</v>
      </c>
    </row>
    <row r="734" spans="1:64" ht="17.25" thickBot="1" x14ac:dyDescent="0.25">
      <c r="A734" s="131">
        <v>730</v>
      </c>
      <c r="B734" s="132">
        <v>372019783</v>
      </c>
      <c r="D734" s="131">
        <v>730</v>
      </c>
      <c r="E734" s="132">
        <v>37.041870000000003</v>
      </c>
      <c r="AK734">
        <v>728</v>
      </c>
      <c r="AL734" s="24">
        <f t="shared" si="115"/>
        <v>36.946820000000002</v>
      </c>
      <c r="AM734">
        <f t="shared" si="117"/>
        <v>258.62774000000002</v>
      </c>
      <c r="AN734">
        <f t="shared" si="117"/>
        <v>369.46820000000002</v>
      </c>
      <c r="AO734">
        <f t="shared" si="117"/>
        <v>554.20230000000004</v>
      </c>
      <c r="AP734">
        <f t="shared" si="117"/>
        <v>738.93640000000005</v>
      </c>
      <c r="AQ734">
        <f t="shared" si="117"/>
        <v>1293.1387</v>
      </c>
      <c r="AR734">
        <f t="shared" si="117"/>
        <v>1847.3410000000001</v>
      </c>
      <c r="AS734">
        <f t="shared" ref="AM734:BB750" si="119">AS$5*VLOOKUP($AK734,$D$2:$E$1404,2,FALSE)</f>
        <v>2955.7456000000002</v>
      </c>
      <c r="AT734">
        <f t="shared" si="119"/>
        <v>4433.6184000000003</v>
      </c>
      <c r="AU734">
        <f t="shared" si="119"/>
        <v>6280.9594000000006</v>
      </c>
      <c r="AV734">
        <f t="shared" si="119"/>
        <v>8867.2368000000006</v>
      </c>
      <c r="AW734">
        <f t="shared" si="119"/>
        <v>12192.4506</v>
      </c>
      <c r="AX734">
        <f t="shared" si="119"/>
        <v>16995.537200000002</v>
      </c>
      <c r="AY734">
        <f t="shared" si="119"/>
        <v>29557.456000000002</v>
      </c>
      <c r="AZ734">
        <f t="shared" si="119"/>
        <v>55420.23</v>
      </c>
      <c r="BA734">
        <f t="shared" si="119"/>
        <v>92367.05</v>
      </c>
      <c r="BB734">
        <f t="shared" si="119"/>
        <v>147787.28</v>
      </c>
      <c r="BC734">
        <f t="shared" si="118"/>
        <v>369468.2</v>
      </c>
      <c r="BD734">
        <f t="shared" si="118"/>
        <v>554202.30000000005</v>
      </c>
      <c r="BE734">
        <f t="shared" si="118"/>
        <v>886723.68</v>
      </c>
      <c r="BF734">
        <f t="shared" si="118"/>
        <v>1108404.6000000001</v>
      </c>
      <c r="BG734">
        <f t="shared" si="118"/>
        <v>3694682.0000000005</v>
      </c>
      <c r="BH734">
        <f t="shared" si="118"/>
        <v>11084046</v>
      </c>
      <c r="BI734">
        <f t="shared" si="118"/>
        <v>31404797.000000004</v>
      </c>
      <c r="BJ734">
        <f t="shared" si="118"/>
        <v>110840460</v>
      </c>
      <c r="BK734">
        <f t="shared" si="118"/>
        <v>369468200</v>
      </c>
      <c r="BL734">
        <v>729</v>
      </c>
    </row>
    <row r="735" spans="1:64" ht="17.25" thickBot="1" x14ac:dyDescent="0.25">
      <c r="A735" s="131">
        <v>731</v>
      </c>
      <c r="B735" s="132">
        <v>374722616</v>
      </c>
      <c r="D735" s="131">
        <v>731</v>
      </c>
      <c r="E735" s="132">
        <v>37.089300000000001</v>
      </c>
      <c r="AK735">
        <v>729</v>
      </c>
      <c r="AL735" s="24">
        <f t="shared" si="115"/>
        <v>36.99438</v>
      </c>
      <c r="AM735">
        <f t="shared" si="119"/>
        <v>258.96066000000002</v>
      </c>
      <c r="AN735">
        <f t="shared" si="119"/>
        <v>369.94380000000001</v>
      </c>
      <c r="AO735">
        <f t="shared" si="119"/>
        <v>554.91570000000002</v>
      </c>
      <c r="AP735">
        <f t="shared" si="119"/>
        <v>739.88760000000002</v>
      </c>
      <c r="AQ735">
        <f t="shared" si="119"/>
        <v>1294.8033</v>
      </c>
      <c r="AR735">
        <f t="shared" si="119"/>
        <v>1849.7190000000001</v>
      </c>
      <c r="AS735">
        <f t="shared" si="119"/>
        <v>2959.5504000000001</v>
      </c>
      <c r="AT735">
        <f t="shared" si="119"/>
        <v>4439.3256000000001</v>
      </c>
      <c r="AU735">
        <f t="shared" si="119"/>
        <v>6289.0446000000002</v>
      </c>
      <c r="AV735">
        <f t="shared" si="119"/>
        <v>8878.6512000000002</v>
      </c>
      <c r="AW735">
        <f t="shared" si="119"/>
        <v>12208.145399999999</v>
      </c>
      <c r="AX735">
        <f t="shared" si="119"/>
        <v>17017.414799999999</v>
      </c>
      <c r="AY735">
        <f t="shared" si="119"/>
        <v>29595.504000000001</v>
      </c>
      <c r="AZ735">
        <f t="shared" si="119"/>
        <v>55491.57</v>
      </c>
      <c r="BA735">
        <f t="shared" si="119"/>
        <v>92485.95</v>
      </c>
      <c r="BB735">
        <f t="shared" si="119"/>
        <v>147977.51999999999</v>
      </c>
      <c r="BC735">
        <f t="shared" si="118"/>
        <v>369943.8</v>
      </c>
      <c r="BD735">
        <f t="shared" si="118"/>
        <v>554915.69999999995</v>
      </c>
      <c r="BE735">
        <f t="shared" si="118"/>
        <v>887865.12</v>
      </c>
      <c r="BF735">
        <f t="shared" si="118"/>
        <v>1109831.3999999999</v>
      </c>
      <c r="BG735">
        <f t="shared" si="118"/>
        <v>3699438</v>
      </c>
      <c r="BH735">
        <f t="shared" si="118"/>
        <v>11098314</v>
      </c>
      <c r="BI735">
        <f t="shared" si="118"/>
        <v>31445223</v>
      </c>
      <c r="BJ735">
        <f t="shared" si="118"/>
        <v>110983140</v>
      </c>
      <c r="BK735">
        <f t="shared" si="118"/>
        <v>369943800</v>
      </c>
      <c r="BL735">
        <v>730</v>
      </c>
    </row>
    <row r="736" spans="1:64" ht="17.25" thickBot="1" x14ac:dyDescent="0.25">
      <c r="A736" s="131">
        <v>732</v>
      </c>
      <c r="B736" s="132">
        <v>377444561</v>
      </c>
      <c r="D736" s="131">
        <v>732</v>
      </c>
      <c r="E736" s="132">
        <v>37.136670000000002</v>
      </c>
      <c r="AK736">
        <v>730</v>
      </c>
      <c r="AL736" s="24">
        <f t="shared" si="115"/>
        <v>37.041870000000003</v>
      </c>
      <c r="AM736">
        <f t="shared" si="119"/>
        <v>259.29309000000001</v>
      </c>
      <c r="AN736">
        <f t="shared" si="119"/>
        <v>370.41870000000006</v>
      </c>
      <c r="AO736">
        <f t="shared" si="119"/>
        <v>555.62805000000003</v>
      </c>
      <c r="AP736">
        <f t="shared" si="119"/>
        <v>740.83740000000012</v>
      </c>
      <c r="AQ736">
        <f t="shared" si="119"/>
        <v>1296.4654500000001</v>
      </c>
      <c r="AR736">
        <f t="shared" si="119"/>
        <v>1852.0935000000002</v>
      </c>
      <c r="AS736">
        <f t="shared" si="119"/>
        <v>2963.3496000000005</v>
      </c>
      <c r="AT736">
        <f t="shared" si="119"/>
        <v>4445.0244000000002</v>
      </c>
      <c r="AU736">
        <f t="shared" si="119"/>
        <v>6297.1179000000002</v>
      </c>
      <c r="AV736">
        <f t="shared" si="119"/>
        <v>8890.0488000000005</v>
      </c>
      <c r="AW736">
        <f t="shared" si="119"/>
        <v>12223.8171</v>
      </c>
      <c r="AX736">
        <f t="shared" si="119"/>
        <v>17039.260200000001</v>
      </c>
      <c r="AY736">
        <f t="shared" si="119"/>
        <v>29633.496000000003</v>
      </c>
      <c r="AZ736">
        <f t="shared" si="119"/>
        <v>55562.805000000008</v>
      </c>
      <c r="BA736">
        <f t="shared" si="119"/>
        <v>92604.675000000003</v>
      </c>
      <c r="BB736">
        <f t="shared" si="119"/>
        <v>148167.48000000001</v>
      </c>
      <c r="BC736">
        <f t="shared" si="118"/>
        <v>370418.7</v>
      </c>
      <c r="BD736">
        <f t="shared" si="118"/>
        <v>555628.05000000005</v>
      </c>
      <c r="BE736">
        <f t="shared" si="118"/>
        <v>889004.88000000012</v>
      </c>
      <c r="BF736">
        <f t="shared" si="118"/>
        <v>1111256.1000000001</v>
      </c>
      <c r="BG736">
        <f t="shared" si="118"/>
        <v>3704187.0000000005</v>
      </c>
      <c r="BH736">
        <f t="shared" si="118"/>
        <v>11112561</v>
      </c>
      <c r="BI736">
        <f t="shared" si="118"/>
        <v>31485589.500000004</v>
      </c>
      <c r="BJ736">
        <f t="shared" si="118"/>
        <v>111125610.00000001</v>
      </c>
      <c r="BK736">
        <f t="shared" si="118"/>
        <v>370418700</v>
      </c>
      <c r="BL736">
        <v>731</v>
      </c>
    </row>
    <row r="737" spans="1:64" ht="17.25" thickBot="1" x14ac:dyDescent="0.25">
      <c r="A737" s="131">
        <v>733</v>
      </c>
      <c r="B737" s="132">
        <v>380185716</v>
      </c>
      <c r="D737" s="131">
        <v>733</v>
      </c>
      <c r="E737" s="132">
        <v>37.183970000000002</v>
      </c>
      <c r="AK737">
        <v>731</v>
      </c>
      <c r="AL737" s="24">
        <f t="shared" si="115"/>
        <v>37.089300000000001</v>
      </c>
      <c r="AM737">
        <f t="shared" si="119"/>
        <v>259.62510000000003</v>
      </c>
      <c r="AN737">
        <f t="shared" si="119"/>
        <v>370.89300000000003</v>
      </c>
      <c r="AO737">
        <f t="shared" si="119"/>
        <v>556.33950000000004</v>
      </c>
      <c r="AP737">
        <f t="shared" si="119"/>
        <v>741.78600000000006</v>
      </c>
      <c r="AQ737">
        <f t="shared" si="119"/>
        <v>1298.1255000000001</v>
      </c>
      <c r="AR737">
        <f t="shared" si="119"/>
        <v>1854.4650000000001</v>
      </c>
      <c r="AS737">
        <f t="shared" si="119"/>
        <v>2967.1440000000002</v>
      </c>
      <c r="AT737">
        <f t="shared" si="119"/>
        <v>4450.7160000000003</v>
      </c>
      <c r="AU737">
        <f t="shared" si="119"/>
        <v>6305.1810000000005</v>
      </c>
      <c r="AV737">
        <f t="shared" si="119"/>
        <v>8901.4320000000007</v>
      </c>
      <c r="AW737">
        <f t="shared" si="119"/>
        <v>12239.469000000001</v>
      </c>
      <c r="AX737">
        <f t="shared" si="119"/>
        <v>17061.078000000001</v>
      </c>
      <c r="AY737">
        <f t="shared" si="119"/>
        <v>29671.440000000002</v>
      </c>
      <c r="AZ737">
        <f t="shared" si="119"/>
        <v>55633.950000000004</v>
      </c>
      <c r="BA737">
        <f t="shared" si="119"/>
        <v>92723.25</v>
      </c>
      <c r="BB737">
        <f t="shared" si="119"/>
        <v>148357.20000000001</v>
      </c>
      <c r="BC737">
        <f t="shared" si="118"/>
        <v>370893</v>
      </c>
      <c r="BD737">
        <f t="shared" si="118"/>
        <v>556339.5</v>
      </c>
      <c r="BE737">
        <f t="shared" si="118"/>
        <v>890143.20000000007</v>
      </c>
      <c r="BF737">
        <f t="shared" si="118"/>
        <v>1112679</v>
      </c>
      <c r="BG737">
        <f t="shared" si="118"/>
        <v>3708930</v>
      </c>
      <c r="BH737">
        <f t="shared" si="118"/>
        <v>11126790</v>
      </c>
      <c r="BI737">
        <f t="shared" si="118"/>
        <v>31525905</v>
      </c>
      <c r="BJ737">
        <f t="shared" si="118"/>
        <v>111267900</v>
      </c>
      <c r="BK737">
        <f t="shared" si="118"/>
        <v>370893000</v>
      </c>
      <c r="BL737">
        <v>732</v>
      </c>
    </row>
    <row r="738" spans="1:64" ht="17.25" thickBot="1" x14ac:dyDescent="0.25">
      <c r="A738" s="131">
        <v>734</v>
      </c>
      <c r="B738" s="132">
        <v>382946177</v>
      </c>
      <c r="D738" s="131">
        <v>734</v>
      </c>
      <c r="E738" s="132">
        <v>37.231209999999997</v>
      </c>
      <c r="AK738">
        <v>732</v>
      </c>
      <c r="AL738" s="24">
        <f t="shared" si="115"/>
        <v>37.136670000000002</v>
      </c>
      <c r="AM738">
        <f t="shared" si="119"/>
        <v>259.95669000000004</v>
      </c>
      <c r="AN738">
        <f t="shared" si="119"/>
        <v>371.36670000000004</v>
      </c>
      <c r="AO738">
        <f t="shared" si="119"/>
        <v>557.05005000000006</v>
      </c>
      <c r="AP738">
        <f t="shared" si="119"/>
        <v>742.73340000000007</v>
      </c>
      <c r="AQ738">
        <f t="shared" si="119"/>
        <v>1299.7834500000001</v>
      </c>
      <c r="AR738">
        <f t="shared" si="119"/>
        <v>1856.8335000000002</v>
      </c>
      <c r="AS738">
        <f t="shared" si="119"/>
        <v>2970.9336000000003</v>
      </c>
      <c r="AT738">
        <f t="shared" si="119"/>
        <v>4456.4004000000004</v>
      </c>
      <c r="AU738">
        <f t="shared" si="119"/>
        <v>6313.2339000000002</v>
      </c>
      <c r="AV738">
        <f t="shared" si="119"/>
        <v>8912.8008000000009</v>
      </c>
      <c r="AW738">
        <f t="shared" si="119"/>
        <v>12255.1011</v>
      </c>
      <c r="AX738">
        <f t="shared" si="119"/>
        <v>17082.868200000001</v>
      </c>
      <c r="AY738">
        <f t="shared" si="119"/>
        <v>29709.336000000003</v>
      </c>
      <c r="AZ738">
        <f t="shared" si="119"/>
        <v>55705.005000000005</v>
      </c>
      <c r="BA738">
        <f t="shared" si="119"/>
        <v>92841.675000000003</v>
      </c>
      <c r="BB738">
        <f t="shared" si="119"/>
        <v>148546.68000000002</v>
      </c>
      <c r="BC738">
        <f t="shared" si="118"/>
        <v>371366.7</v>
      </c>
      <c r="BD738">
        <f t="shared" si="118"/>
        <v>557050.05000000005</v>
      </c>
      <c r="BE738">
        <f t="shared" si="118"/>
        <v>891280.08000000007</v>
      </c>
      <c r="BF738">
        <f t="shared" si="118"/>
        <v>1114100.1000000001</v>
      </c>
      <c r="BG738">
        <f t="shared" si="118"/>
        <v>3713667</v>
      </c>
      <c r="BH738">
        <f t="shared" si="118"/>
        <v>11141001</v>
      </c>
      <c r="BI738">
        <f t="shared" si="118"/>
        <v>31566169.500000004</v>
      </c>
      <c r="BJ738">
        <f t="shared" si="118"/>
        <v>111410010</v>
      </c>
      <c r="BK738">
        <f t="shared" si="118"/>
        <v>371366700</v>
      </c>
      <c r="BL738">
        <v>733</v>
      </c>
    </row>
    <row r="739" spans="1:64" ht="17.25" thickBot="1" x14ac:dyDescent="0.25">
      <c r="A739" s="131">
        <v>735</v>
      </c>
      <c r="B739" s="132">
        <v>385726038</v>
      </c>
      <c r="D739" s="131">
        <v>735</v>
      </c>
      <c r="E739" s="132">
        <v>37.278379999999999</v>
      </c>
      <c r="AK739">
        <v>733</v>
      </c>
      <c r="AL739" s="24">
        <f t="shared" si="115"/>
        <v>37.183970000000002</v>
      </c>
      <c r="AM739">
        <f t="shared" si="119"/>
        <v>260.28779000000003</v>
      </c>
      <c r="AN739">
        <f t="shared" si="119"/>
        <v>371.83969999999999</v>
      </c>
      <c r="AO739">
        <f t="shared" si="119"/>
        <v>557.75954999999999</v>
      </c>
      <c r="AP739">
        <f t="shared" si="119"/>
        <v>743.67939999999999</v>
      </c>
      <c r="AQ739">
        <f t="shared" si="119"/>
        <v>1301.43895</v>
      </c>
      <c r="AR739">
        <f t="shared" si="119"/>
        <v>1859.1985000000002</v>
      </c>
      <c r="AS739">
        <f t="shared" si="119"/>
        <v>2974.7175999999999</v>
      </c>
      <c r="AT739">
        <f t="shared" si="119"/>
        <v>4462.0763999999999</v>
      </c>
      <c r="AU739">
        <f t="shared" si="119"/>
        <v>6321.2749000000003</v>
      </c>
      <c r="AV739">
        <f t="shared" si="119"/>
        <v>8924.1527999999998</v>
      </c>
      <c r="AW739">
        <f t="shared" si="119"/>
        <v>12270.7101</v>
      </c>
      <c r="AX739">
        <f t="shared" si="119"/>
        <v>17104.626200000002</v>
      </c>
      <c r="AY739">
        <f t="shared" si="119"/>
        <v>29747.176000000003</v>
      </c>
      <c r="AZ739">
        <f t="shared" si="119"/>
        <v>55775.955000000002</v>
      </c>
      <c r="BA739">
        <f t="shared" si="119"/>
        <v>92959.925000000003</v>
      </c>
      <c r="BB739">
        <f t="shared" si="119"/>
        <v>148735.88</v>
      </c>
      <c r="BC739">
        <f t="shared" si="118"/>
        <v>371839.7</v>
      </c>
      <c r="BD739">
        <f t="shared" si="118"/>
        <v>557759.55000000005</v>
      </c>
      <c r="BE739">
        <f t="shared" si="118"/>
        <v>892415.28</v>
      </c>
      <c r="BF739">
        <f t="shared" si="118"/>
        <v>1115519.1000000001</v>
      </c>
      <c r="BG739">
        <f t="shared" si="118"/>
        <v>3718397</v>
      </c>
      <c r="BH739">
        <f t="shared" si="118"/>
        <v>11155191</v>
      </c>
      <c r="BI739">
        <f t="shared" si="118"/>
        <v>31606374.5</v>
      </c>
      <c r="BJ739">
        <f t="shared" si="118"/>
        <v>111551910</v>
      </c>
      <c r="BK739">
        <f t="shared" si="118"/>
        <v>371839700</v>
      </c>
      <c r="BL739">
        <v>734</v>
      </c>
    </row>
    <row r="740" spans="1:64" ht="17.25" thickBot="1" x14ac:dyDescent="0.25">
      <c r="A740" s="131">
        <v>736</v>
      </c>
      <c r="B740" s="132">
        <v>388525400</v>
      </c>
      <c r="D740" s="131">
        <v>736</v>
      </c>
      <c r="E740" s="132">
        <v>37.325490000000002</v>
      </c>
      <c r="AK740">
        <v>734</v>
      </c>
      <c r="AL740" s="24">
        <f t="shared" si="115"/>
        <v>37.231209999999997</v>
      </c>
      <c r="AM740">
        <f t="shared" si="119"/>
        <v>260.61847</v>
      </c>
      <c r="AN740">
        <f t="shared" si="119"/>
        <v>372.31209999999999</v>
      </c>
      <c r="AO740">
        <f t="shared" si="119"/>
        <v>558.46814999999992</v>
      </c>
      <c r="AP740">
        <f t="shared" si="119"/>
        <v>744.62419999999997</v>
      </c>
      <c r="AQ740">
        <f t="shared" si="119"/>
        <v>1303.0923499999999</v>
      </c>
      <c r="AR740">
        <f t="shared" si="119"/>
        <v>1861.5604999999998</v>
      </c>
      <c r="AS740">
        <f t="shared" si="119"/>
        <v>2978.4967999999999</v>
      </c>
      <c r="AT740">
        <f t="shared" si="119"/>
        <v>4467.7451999999994</v>
      </c>
      <c r="AU740">
        <f t="shared" si="119"/>
        <v>6329.3056999999999</v>
      </c>
      <c r="AV740">
        <f t="shared" si="119"/>
        <v>8935.4903999999988</v>
      </c>
      <c r="AW740">
        <f t="shared" si="119"/>
        <v>12286.299299999999</v>
      </c>
      <c r="AX740">
        <f t="shared" si="119"/>
        <v>17126.356599999999</v>
      </c>
      <c r="AY740">
        <f t="shared" si="119"/>
        <v>29784.967999999997</v>
      </c>
      <c r="AZ740">
        <f t="shared" si="119"/>
        <v>55846.814999999995</v>
      </c>
      <c r="BA740">
        <f t="shared" si="119"/>
        <v>93078.024999999994</v>
      </c>
      <c r="BB740">
        <f t="shared" si="119"/>
        <v>148924.84</v>
      </c>
      <c r="BC740">
        <f t="shared" si="118"/>
        <v>372312.1</v>
      </c>
      <c r="BD740">
        <f t="shared" si="118"/>
        <v>558468.14999999991</v>
      </c>
      <c r="BE740">
        <f t="shared" si="118"/>
        <v>893549.03999999992</v>
      </c>
      <c r="BF740">
        <f t="shared" si="118"/>
        <v>1116936.2999999998</v>
      </c>
      <c r="BG740">
        <f t="shared" si="118"/>
        <v>3723120.9999999995</v>
      </c>
      <c r="BH740">
        <f t="shared" si="118"/>
        <v>11169363</v>
      </c>
      <c r="BI740">
        <f t="shared" si="118"/>
        <v>31646528.499999996</v>
      </c>
      <c r="BJ740">
        <f t="shared" si="118"/>
        <v>111693629.99999999</v>
      </c>
      <c r="BK740">
        <f t="shared" si="118"/>
        <v>372312100</v>
      </c>
      <c r="BL740">
        <v>735</v>
      </c>
    </row>
    <row r="741" spans="1:64" ht="17.25" thickBot="1" x14ac:dyDescent="0.25">
      <c r="A741" s="131">
        <v>737</v>
      </c>
      <c r="B741" s="132">
        <v>391344355</v>
      </c>
      <c r="D741" s="131">
        <v>737</v>
      </c>
      <c r="E741" s="132">
        <v>37.372540000000001</v>
      </c>
      <c r="AK741">
        <v>735</v>
      </c>
      <c r="AL741" s="24">
        <f t="shared" si="115"/>
        <v>37.278379999999999</v>
      </c>
      <c r="AM741">
        <f t="shared" si="119"/>
        <v>260.94866000000002</v>
      </c>
      <c r="AN741">
        <f t="shared" si="119"/>
        <v>372.78379999999999</v>
      </c>
      <c r="AO741">
        <f t="shared" si="119"/>
        <v>559.17570000000001</v>
      </c>
      <c r="AP741">
        <f t="shared" si="119"/>
        <v>745.56759999999997</v>
      </c>
      <c r="AQ741">
        <f t="shared" si="119"/>
        <v>1304.7432999999999</v>
      </c>
      <c r="AR741">
        <f t="shared" si="119"/>
        <v>1863.9189999999999</v>
      </c>
      <c r="AS741">
        <f t="shared" si="119"/>
        <v>2982.2703999999999</v>
      </c>
      <c r="AT741">
        <f t="shared" si="119"/>
        <v>4473.4056</v>
      </c>
      <c r="AU741">
        <f t="shared" si="119"/>
        <v>6337.3245999999999</v>
      </c>
      <c r="AV741">
        <f t="shared" si="119"/>
        <v>8946.8112000000001</v>
      </c>
      <c r="AW741">
        <f t="shared" si="119"/>
        <v>12301.865399999999</v>
      </c>
      <c r="AX741">
        <f t="shared" si="119"/>
        <v>17148.054799999998</v>
      </c>
      <c r="AY741">
        <f t="shared" si="119"/>
        <v>29822.703999999998</v>
      </c>
      <c r="AZ741">
        <f t="shared" si="119"/>
        <v>55917.57</v>
      </c>
      <c r="BA741">
        <f t="shared" si="119"/>
        <v>93195.95</v>
      </c>
      <c r="BB741">
        <f t="shared" si="119"/>
        <v>149113.51999999999</v>
      </c>
      <c r="BC741">
        <f t="shared" si="118"/>
        <v>372783.8</v>
      </c>
      <c r="BD741">
        <f t="shared" si="118"/>
        <v>559175.69999999995</v>
      </c>
      <c r="BE741">
        <f t="shared" si="118"/>
        <v>894681.12</v>
      </c>
      <c r="BF741">
        <f t="shared" si="118"/>
        <v>1118351.3999999999</v>
      </c>
      <c r="BG741">
        <f t="shared" si="118"/>
        <v>3727838</v>
      </c>
      <c r="BH741">
        <f t="shared" si="118"/>
        <v>11183514</v>
      </c>
      <c r="BI741">
        <f t="shared" si="118"/>
        <v>31686623</v>
      </c>
      <c r="BJ741">
        <f t="shared" si="118"/>
        <v>111835140</v>
      </c>
      <c r="BK741">
        <f t="shared" si="118"/>
        <v>372783800</v>
      </c>
      <c r="BL741">
        <v>736</v>
      </c>
    </row>
    <row r="742" spans="1:64" ht="17.25" thickBot="1" x14ac:dyDescent="0.25">
      <c r="A742" s="131">
        <v>738</v>
      </c>
      <c r="B742" s="132">
        <v>394183005</v>
      </c>
      <c r="D742" s="131">
        <v>738</v>
      </c>
      <c r="E742" s="132">
        <v>37.419519999999999</v>
      </c>
      <c r="AK742">
        <v>736</v>
      </c>
      <c r="AL742" s="24">
        <f t="shared" si="115"/>
        <v>37.325490000000002</v>
      </c>
      <c r="AM742">
        <f t="shared" si="119"/>
        <v>261.27843000000001</v>
      </c>
      <c r="AN742">
        <f t="shared" si="119"/>
        <v>373.25490000000002</v>
      </c>
      <c r="AO742">
        <f t="shared" si="119"/>
        <v>559.88235000000009</v>
      </c>
      <c r="AP742">
        <f t="shared" si="119"/>
        <v>746.50980000000004</v>
      </c>
      <c r="AQ742">
        <f t="shared" si="119"/>
        <v>1306.3921500000001</v>
      </c>
      <c r="AR742">
        <f t="shared" si="119"/>
        <v>1866.2745</v>
      </c>
      <c r="AS742">
        <f t="shared" si="119"/>
        <v>2986.0392000000002</v>
      </c>
      <c r="AT742">
        <f t="shared" si="119"/>
        <v>4479.0588000000007</v>
      </c>
      <c r="AU742">
        <f t="shared" si="119"/>
        <v>6345.3333000000002</v>
      </c>
      <c r="AV742">
        <f t="shared" si="119"/>
        <v>8958.1176000000014</v>
      </c>
      <c r="AW742">
        <f t="shared" si="119"/>
        <v>12317.411700000001</v>
      </c>
      <c r="AX742">
        <f t="shared" si="119"/>
        <v>17169.725399999999</v>
      </c>
      <c r="AY742">
        <f t="shared" si="119"/>
        <v>29860.392</v>
      </c>
      <c r="AZ742">
        <f t="shared" si="119"/>
        <v>55988.235000000001</v>
      </c>
      <c r="BA742">
        <f t="shared" si="119"/>
        <v>93313.725000000006</v>
      </c>
      <c r="BB742">
        <f t="shared" si="119"/>
        <v>149301.96000000002</v>
      </c>
      <c r="BC742">
        <f t="shared" si="118"/>
        <v>373254.9</v>
      </c>
      <c r="BD742">
        <f t="shared" si="118"/>
        <v>559882.35</v>
      </c>
      <c r="BE742">
        <f t="shared" si="118"/>
        <v>895811.76</v>
      </c>
      <c r="BF742">
        <f t="shared" si="118"/>
        <v>1119764.7</v>
      </c>
      <c r="BG742">
        <f t="shared" si="118"/>
        <v>3732549</v>
      </c>
      <c r="BH742">
        <f t="shared" si="118"/>
        <v>11197647</v>
      </c>
      <c r="BI742">
        <f t="shared" si="118"/>
        <v>31726666.5</v>
      </c>
      <c r="BJ742">
        <f t="shared" si="118"/>
        <v>111976470</v>
      </c>
      <c r="BK742">
        <f t="shared" si="118"/>
        <v>373254900</v>
      </c>
      <c r="BL742">
        <v>737</v>
      </c>
    </row>
    <row r="743" spans="1:64" ht="17.25" thickBot="1" x14ac:dyDescent="0.25">
      <c r="A743" s="131">
        <v>739</v>
      </c>
      <c r="B743" s="132">
        <v>397041450</v>
      </c>
      <c r="D743" s="131">
        <v>739</v>
      </c>
      <c r="E743" s="132">
        <v>37.466439999999999</v>
      </c>
      <c r="AK743">
        <v>737</v>
      </c>
      <c r="AL743" s="24">
        <f t="shared" si="115"/>
        <v>37.372540000000001</v>
      </c>
      <c r="AM743">
        <f t="shared" si="119"/>
        <v>261.60777999999999</v>
      </c>
      <c r="AN743">
        <f t="shared" si="119"/>
        <v>373.72540000000004</v>
      </c>
      <c r="AO743">
        <f t="shared" si="119"/>
        <v>560.58810000000005</v>
      </c>
      <c r="AP743">
        <f t="shared" si="119"/>
        <v>747.45080000000007</v>
      </c>
      <c r="AQ743">
        <f t="shared" si="119"/>
        <v>1308.0389</v>
      </c>
      <c r="AR743">
        <f t="shared" si="119"/>
        <v>1868.627</v>
      </c>
      <c r="AS743">
        <f t="shared" si="119"/>
        <v>2989.8032000000003</v>
      </c>
      <c r="AT743">
        <f t="shared" si="119"/>
        <v>4484.7048000000004</v>
      </c>
      <c r="AU743">
        <f t="shared" si="119"/>
        <v>6353.3317999999999</v>
      </c>
      <c r="AV743">
        <f t="shared" si="119"/>
        <v>8969.4096000000009</v>
      </c>
      <c r="AW743">
        <f t="shared" si="119"/>
        <v>12332.938200000001</v>
      </c>
      <c r="AX743">
        <f t="shared" si="119"/>
        <v>17191.368399999999</v>
      </c>
      <c r="AY743">
        <f t="shared" si="119"/>
        <v>29898.031999999999</v>
      </c>
      <c r="AZ743">
        <f t="shared" si="119"/>
        <v>56058.81</v>
      </c>
      <c r="BA743">
        <f t="shared" si="119"/>
        <v>93431.35</v>
      </c>
      <c r="BB743">
        <f t="shared" si="119"/>
        <v>149490.16</v>
      </c>
      <c r="BC743">
        <f t="shared" si="118"/>
        <v>373725.4</v>
      </c>
      <c r="BD743">
        <f t="shared" si="118"/>
        <v>560588.1</v>
      </c>
      <c r="BE743">
        <f t="shared" si="118"/>
        <v>896940.96</v>
      </c>
      <c r="BF743">
        <f t="shared" si="118"/>
        <v>1121176.2</v>
      </c>
      <c r="BG743">
        <f t="shared" si="118"/>
        <v>3737254</v>
      </c>
      <c r="BH743">
        <f t="shared" si="118"/>
        <v>11211762</v>
      </c>
      <c r="BI743">
        <f t="shared" si="118"/>
        <v>31766659</v>
      </c>
      <c r="BJ743">
        <f t="shared" si="118"/>
        <v>112117620</v>
      </c>
      <c r="BK743">
        <f t="shared" si="118"/>
        <v>373725400</v>
      </c>
      <c r="BL743">
        <v>738</v>
      </c>
    </row>
    <row r="744" spans="1:64" ht="17.25" thickBot="1" x14ac:dyDescent="0.25">
      <c r="A744" s="131">
        <v>740</v>
      </c>
      <c r="B744" s="132">
        <v>399919783</v>
      </c>
      <c r="D744" s="131">
        <v>740</v>
      </c>
      <c r="E744" s="132">
        <v>37.513300000000001</v>
      </c>
      <c r="AK744">
        <v>738</v>
      </c>
      <c r="AL744" s="24">
        <f t="shared" si="115"/>
        <v>37.419519999999999</v>
      </c>
      <c r="AM744">
        <f t="shared" si="119"/>
        <v>261.93664000000001</v>
      </c>
      <c r="AN744">
        <f t="shared" si="119"/>
        <v>374.1952</v>
      </c>
      <c r="AO744">
        <f t="shared" si="119"/>
        <v>561.29279999999994</v>
      </c>
      <c r="AP744">
        <f t="shared" si="119"/>
        <v>748.3904</v>
      </c>
      <c r="AQ744">
        <f t="shared" si="119"/>
        <v>1309.6831999999999</v>
      </c>
      <c r="AR744">
        <f t="shared" si="119"/>
        <v>1870.9759999999999</v>
      </c>
      <c r="AS744">
        <f t="shared" si="119"/>
        <v>2993.5616</v>
      </c>
      <c r="AT744">
        <f t="shared" si="119"/>
        <v>4490.3423999999995</v>
      </c>
      <c r="AU744">
        <f t="shared" si="119"/>
        <v>6361.3184000000001</v>
      </c>
      <c r="AV744">
        <f t="shared" si="119"/>
        <v>8980.6847999999991</v>
      </c>
      <c r="AW744">
        <f t="shared" si="119"/>
        <v>12348.4416</v>
      </c>
      <c r="AX744">
        <f t="shared" si="119"/>
        <v>17212.979199999998</v>
      </c>
      <c r="AY744">
        <f t="shared" si="119"/>
        <v>29935.615999999998</v>
      </c>
      <c r="AZ744">
        <f t="shared" si="119"/>
        <v>56129.279999999999</v>
      </c>
      <c r="BA744">
        <f t="shared" si="119"/>
        <v>93548.800000000003</v>
      </c>
      <c r="BB744">
        <f t="shared" si="119"/>
        <v>149678.07999999999</v>
      </c>
      <c r="BC744">
        <f t="shared" si="118"/>
        <v>374195.20000000001</v>
      </c>
      <c r="BD744">
        <f t="shared" si="118"/>
        <v>561292.79999999993</v>
      </c>
      <c r="BE744">
        <f t="shared" si="118"/>
        <v>898068.47999999998</v>
      </c>
      <c r="BF744">
        <f t="shared" si="118"/>
        <v>1122585.5999999999</v>
      </c>
      <c r="BG744">
        <f t="shared" si="118"/>
        <v>3741952</v>
      </c>
      <c r="BH744">
        <f t="shared" si="118"/>
        <v>11225856</v>
      </c>
      <c r="BI744">
        <f t="shared" si="118"/>
        <v>31806592</v>
      </c>
      <c r="BJ744">
        <f t="shared" si="118"/>
        <v>112258560</v>
      </c>
      <c r="BK744">
        <f t="shared" si="118"/>
        <v>374195200</v>
      </c>
      <c r="BL744">
        <v>739</v>
      </c>
    </row>
    <row r="745" spans="1:64" ht="17.25" thickBot="1" x14ac:dyDescent="0.25">
      <c r="A745" s="131">
        <v>741</v>
      </c>
      <c r="B745" s="132">
        <v>402818111</v>
      </c>
      <c r="D745" s="131">
        <v>741</v>
      </c>
      <c r="E745" s="132">
        <v>37.560099999999998</v>
      </c>
      <c r="AK745">
        <v>739</v>
      </c>
      <c r="AL745" s="24">
        <f t="shared" si="115"/>
        <v>37.466439999999999</v>
      </c>
      <c r="AM745">
        <f t="shared" si="119"/>
        <v>262.26508000000001</v>
      </c>
      <c r="AN745">
        <f t="shared" si="119"/>
        <v>374.6644</v>
      </c>
      <c r="AO745">
        <f t="shared" si="119"/>
        <v>561.99659999999994</v>
      </c>
      <c r="AP745">
        <f t="shared" si="119"/>
        <v>749.3288</v>
      </c>
      <c r="AQ745">
        <f t="shared" si="119"/>
        <v>1311.3253999999999</v>
      </c>
      <c r="AR745">
        <f t="shared" si="119"/>
        <v>1873.3219999999999</v>
      </c>
      <c r="AS745">
        <f t="shared" si="119"/>
        <v>2997.3152</v>
      </c>
      <c r="AT745">
        <f t="shared" si="119"/>
        <v>4495.9727999999996</v>
      </c>
      <c r="AU745">
        <f t="shared" si="119"/>
        <v>6369.2947999999997</v>
      </c>
      <c r="AV745">
        <f t="shared" si="119"/>
        <v>8991.9455999999991</v>
      </c>
      <c r="AW745">
        <f t="shared" si="119"/>
        <v>12363.9252</v>
      </c>
      <c r="AX745">
        <f t="shared" si="119"/>
        <v>17234.562399999999</v>
      </c>
      <c r="AY745">
        <f t="shared" si="119"/>
        <v>29973.151999999998</v>
      </c>
      <c r="AZ745">
        <f t="shared" si="119"/>
        <v>56199.659999999996</v>
      </c>
      <c r="BA745">
        <f t="shared" si="119"/>
        <v>93666.099999999991</v>
      </c>
      <c r="BB745">
        <f t="shared" si="119"/>
        <v>149865.75999999998</v>
      </c>
      <c r="BC745">
        <f t="shared" si="118"/>
        <v>374664.39999999997</v>
      </c>
      <c r="BD745">
        <f t="shared" si="118"/>
        <v>561996.6</v>
      </c>
      <c r="BE745">
        <f t="shared" si="118"/>
        <v>899194.55999999994</v>
      </c>
      <c r="BF745">
        <f t="shared" si="118"/>
        <v>1123993.2</v>
      </c>
      <c r="BG745">
        <f t="shared" si="118"/>
        <v>3746644</v>
      </c>
      <c r="BH745">
        <f t="shared" si="118"/>
        <v>11239932</v>
      </c>
      <c r="BI745">
        <f t="shared" si="118"/>
        <v>31846474</v>
      </c>
      <c r="BJ745">
        <f t="shared" si="118"/>
        <v>112399320</v>
      </c>
      <c r="BK745">
        <f t="shared" si="118"/>
        <v>374664400</v>
      </c>
      <c r="BL745">
        <v>740</v>
      </c>
    </row>
    <row r="746" spans="1:64" ht="17.25" thickBot="1" x14ac:dyDescent="0.25">
      <c r="A746" s="131">
        <v>742</v>
      </c>
      <c r="B746" s="132">
        <v>405736522</v>
      </c>
      <c r="D746" s="131">
        <v>742</v>
      </c>
      <c r="E746" s="132">
        <v>37.606830000000002</v>
      </c>
      <c r="AK746">
        <v>740</v>
      </c>
      <c r="AL746" s="24">
        <f t="shared" si="115"/>
        <v>37.513300000000001</v>
      </c>
      <c r="AM746">
        <f t="shared" si="119"/>
        <v>262.59309999999999</v>
      </c>
      <c r="AN746">
        <f t="shared" si="119"/>
        <v>375.13300000000004</v>
      </c>
      <c r="AO746">
        <f t="shared" si="119"/>
        <v>562.69950000000006</v>
      </c>
      <c r="AP746">
        <f t="shared" si="119"/>
        <v>750.26600000000008</v>
      </c>
      <c r="AQ746">
        <f t="shared" si="119"/>
        <v>1312.9655</v>
      </c>
      <c r="AR746">
        <f t="shared" si="119"/>
        <v>1875.665</v>
      </c>
      <c r="AS746">
        <f t="shared" si="119"/>
        <v>3001.0640000000003</v>
      </c>
      <c r="AT746">
        <f t="shared" si="119"/>
        <v>4501.5960000000005</v>
      </c>
      <c r="AU746">
        <f t="shared" si="119"/>
        <v>6377.2610000000004</v>
      </c>
      <c r="AV746">
        <f t="shared" si="119"/>
        <v>9003.1920000000009</v>
      </c>
      <c r="AW746">
        <f t="shared" si="119"/>
        <v>12379.389000000001</v>
      </c>
      <c r="AX746">
        <f t="shared" si="119"/>
        <v>17256.118000000002</v>
      </c>
      <c r="AY746">
        <f t="shared" si="119"/>
        <v>30010.639999999999</v>
      </c>
      <c r="AZ746">
        <f t="shared" si="119"/>
        <v>56269.950000000004</v>
      </c>
      <c r="BA746">
        <f t="shared" si="119"/>
        <v>93783.25</v>
      </c>
      <c r="BB746">
        <f t="shared" si="119"/>
        <v>150053.20000000001</v>
      </c>
      <c r="BC746">
        <f t="shared" si="118"/>
        <v>375133</v>
      </c>
      <c r="BD746">
        <f t="shared" si="118"/>
        <v>562699.5</v>
      </c>
      <c r="BE746">
        <f t="shared" si="118"/>
        <v>900319.20000000007</v>
      </c>
      <c r="BF746">
        <f t="shared" si="118"/>
        <v>1125399</v>
      </c>
      <c r="BG746">
        <f t="shared" si="118"/>
        <v>3751330</v>
      </c>
      <c r="BH746">
        <f t="shared" si="118"/>
        <v>11253990</v>
      </c>
      <c r="BI746">
        <f t="shared" si="118"/>
        <v>31886305</v>
      </c>
      <c r="BJ746">
        <f t="shared" si="118"/>
        <v>112539900</v>
      </c>
      <c r="BK746">
        <f t="shared" si="118"/>
        <v>375133000</v>
      </c>
      <c r="BL746">
        <v>741</v>
      </c>
    </row>
    <row r="747" spans="1:64" ht="17.25" thickBot="1" x14ac:dyDescent="0.25">
      <c r="A747" s="131">
        <v>743</v>
      </c>
      <c r="B747" s="132">
        <v>408675122</v>
      </c>
      <c r="D747" s="131">
        <v>743</v>
      </c>
      <c r="E747" s="132">
        <v>37.653500000000001</v>
      </c>
      <c r="AK747">
        <v>741</v>
      </c>
      <c r="AL747" s="24">
        <f t="shared" si="115"/>
        <v>37.560099999999998</v>
      </c>
      <c r="AM747">
        <f t="shared" si="119"/>
        <v>262.92070000000001</v>
      </c>
      <c r="AN747">
        <f t="shared" si="119"/>
        <v>375.601</v>
      </c>
      <c r="AO747">
        <f t="shared" si="119"/>
        <v>563.40149999999994</v>
      </c>
      <c r="AP747">
        <f t="shared" si="119"/>
        <v>751.202</v>
      </c>
      <c r="AQ747">
        <f t="shared" si="119"/>
        <v>1314.6034999999999</v>
      </c>
      <c r="AR747">
        <f t="shared" si="119"/>
        <v>1878.0049999999999</v>
      </c>
      <c r="AS747">
        <f t="shared" si="119"/>
        <v>3004.808</v>
      </c>
      <c r="AT747">
        <f t="shared" si="119"/>
        <v>4507.2119999999995</v>
      </c>
      <c r="AU747">
        <f t="shared" si="119"/>
        <v>6385.2169999999996</v>
      </c>
      <c r="AV747">
        <f t="shared" si="119"/>
        <v>9014.4239999999991</v>
      </c>
      <c r="AW747">
        <f t="shared" si="119"/>
        <v>12394.832999999999</v>
      </c>
      <c r="AX747">
        <f t="shared" si="119"/>
        <v>17277.646000000001</v>
      </c>
      <c r="AY747">
        <f t="shared" si="119"/>
        <v>30048.079999999998</v>
      </c>
      <c r="AZ747">
        <f t="shared" si="119"/>
        <v>56340.149999999994</v>
      </c>
      <c r="BA747">
        <f t="shared" si="119"/>
        <v>93900.25</v>
      </c>
      <c r="BB747">
        <f t="shared" si="119"/>
        <v>150240.4</v>
      </c>
      <c r="BC747">
        <f t="shared" si="118"/>
        <v>375601</v>
      </c>
      <c r="BD747">
        <f t="shared" si="118"/>
        <v>563401.5</v>
      </c>
      <c r="BE747">
        <f t="shared" si="118"/>
        <v>901442.39999999991</v>
      </c>
      <c r="BF747">
        <f t="shared" si="118"/>
        <v>1126803</v>
      </c>
      <c r="BG747">
        <f t="shared" si="118"/>
        <v>3756010</v>
      </c>
      <c r="BH747">
        <f t="shared" si="118"/>
        <v>11268030</v>
      </c>
      <c r="BI747">
        <f t="shared" si="118"/>
        <v>31926085</v>
      </c>
      <c r="BJ747">
        <f t="shared" si="118"/>
        <v>112680300</v>
      </c>
      <c r="BK747">
        <f t="shared" si="118"/>
        <v>375601000</v>
      </c>
      <c r="BL747">
        <v>742</v>
      </c>
    </row>
    <row r="748" spans="1:64" ht="17.25" thickBot="1" x14ac:dyDescent="0.25">
      <c r="A748" s="131">
        <v>744</v>
      </c>
      <c r="B748" s="132">
        <v>411634011</v>
      </c>
      <c r="D748" s="131">
        <v>744</v>
      </c>
      <c r="E748" s="132">
        <v>37.700110000000002</v>
      </c>
      <c r="AK748">
        <v>742</v>
      </c>
      <c r="AL748" s="24">
        <f t="shared" si="115"/>
        <v>37.606830000000002</v>
      </c>
      <c r="AM748">
        <f t="shared" si="119"/>
        <v>263.24781000000002</v>
      </c>
      <c r="AN748">
        <f t="shared" si="119"/>
        <v>376.06830000000002</v>
      </c>
      <c r="AO748">
        <f t="shared" si="119"/>
        <v>564.10245000000009</v>
      </c>
      <c r="AP748">
        <f t="shared" si="119"/>
        <v>752.13660000000004</v>
      </c>
      <c r="AQ748">
        <f t="shared" si="119"/>
        <v>1316.2390500000001</v>
      </c>
      <c r="AR748">
        <f t="shared" si="119"/>
        <v>1880.3415</v>
      </c>
      <c r="AS748">
        <f t="shared" si="119"/>
        <v>3008.5464000000002</v>
      </c>
      <c r="AT748">
        <f t="shared" si="119"/>
        <v>4512.8196000000007</v>
      </c>
      <c r="AU748">
        <f t="shared" si="119"/>
        <v>6393.1611000000003</v>
      </c>
      <c r="AV748">
        <f t="shared" si="119"/>
        <v>9025.6392000000014</v>
      </c>
      <c r="AW748">
        <f t="shared" si="119"/>
        <v>12410.253900000002</v>
      </c>
      <c r="AX748">
        <f t="shared" si="119"/>
        <v>17299.141800000001</v>
      </c>
      <c r="AY748">
        <f t="shared" si="119"/>
        <v>30085.464</v>
      </c>
      <c r="AZ748">
        <f t="shared" si="119"/>
        <v>56410.245000000003</v>
      </c>
      <c r="BA748">
        <f t="shared" si="119"/>
        <v>94017.075000000012</v>
      </c>
      <c r="BB748">
        <f t="shared" si="119"/>
        <v>150427.32</v>
      </c>
      <c r="BC748">
        <f t="shared" si="118"/>
        <v>376068.30000000005</v>
      </c>
      <c r="BD748">
        <f t="shared" si="118"/>
        <v>564102.45000000007</v>
      </c>
      <c r="BE748">
        <f t="shared" si="118"/>
        <v>902563.92</v>
      </c>
      <c r="BF748">
        <f t="shared" si="118"/>
        <v>1128204.9000000001</v>
      </c>
      <c r="BG748">
        <f t="shared" si="118"/>
        <v>3760683</v>
      </c>
      <c r="BH748">
        <f t="shared" si="118"/>
        <v>11282049</v>
      </c>
      <c r="BI748">
        <f t="shared" si="118"/>
        <v>31965805.500000004</v>
      </c>
      <c r="BJ748">
        <f t="shared" si="118"/>
        <v>112820490</v>
      </c>
      <c r="BK748">
        <f t="shared" si="118"/>
        <v>376068300</v>
      </c>
      <c r="BL748">
        <v>743</v>
      </c>
    </row>
    <row r="749" spans="1:64" ht="17.25" thickBot="1" x14ac:dyDescent="0.25">
      <c r="A749" s="131">
        <v>745</v>
      </c>
      <c r="B749" s="132">
        <v>414613283</v>
      </c>
      <c r="D749" s="131">
        <v>745</v>
      </c>
      <c r="E749" s="132">
        <v>37.746659999999999</v>
      </c>
      <c r="AK749">
        <v>743</v>
      </c>
      <c r="AL749" s="24">
        <f t="shared" si="115"/>
        <v>37.653500000000001</v>
      </c>
      <c r="AM749">
        <f t="shared" si="119"/>
        <v>263.5745</v>
      </c>
      <c r="AN749">
        <f t="shared" si="119"/>
        <v>376.53500000000003</v>
      </c>
      <c r="AO749">
        <f t="shared" si="119"/>
        <v>564.80250000000001</v>
      </c>
      <c r="AP749">
        <f t="shared" si="119"/>
        <v>753.07</v>
      </c>
      <c r="AQ749">
        <f t="shared" si="119"/>
        <v>1317.8724999999999</v>
      </c>
      <c r="AR749">
        <f t="shared" si="119"/>
        <v>1882.675</v>
      </c>
      <c r="AS749">
        <f t="shared" si="119"/>
        <v>3012.28</v>
      </c>
      <c r="AT749">
        <f t="shared" si="119"/>
        <v>4518.42</v>
      </c>
      <c r="AU749">
        <f t="shared" si="119"/>
        <v>6401.0950000000003</v>
      </c>
      <c r="AV749">
        <f t="shared" si="119"/>
        <v>9036.84</v>
      </c>
      <c r="AW749">
        <f t="shared" si="119"/>
        <v>12425.655000000001</v>
      </c>
      <c r="AX749">
        <f t="shared" si="119"/>
        <v>17320.61</v>
      </c>
      <c r="AY749">
        <f t="shared" si="119"/>
        <v>30122.799999999999</v>
      </c>
      <c r="AZ749">
        <f t="shared" si="119"/>
        <v>56480.25</v>
      </c>
      <c r="BA749">
        <f t="shared" si="119"/>
        <v>94133.75</v>
      </c>
      <c r="BB749">
        <f t="shared" si="119"/>
        <v>150614</v>
      </c>
      <c r="BC749">
        <f t="shared" si="118"/>
        <v>376535</v>
      </c>
      <c r="BD749">
        <f t="shared" si="118"/>
        <v>564802.5</v>
      </c>
      <c r="BE749">
        <f t="shared" si="118"/>
        <v>903684</v>
      </c>
      <c r="BF749">
        <f t="shared" si="118"/>
        <v>1129605</v>
      </c>
      <c r="BG749">
        <f t="shared" si="118"/>
        <v>3765350</v>
      </c>
      <c r="BH749">
        <f t="shared" si="118"/>
        <v>11296050</v>
      </c>
      <c r="BI749">
        <f t="shared" si="118"/>
        <v>32005475</v>
      </c>
      <c r="BJ749">
        <f t="shared" si="118"/>
        <v>112960500</v>
      </c>
      <c r="BK749">
        <f t="shared" si="118"/>
        <v>376535000</v>
      </c>
      <c r="BL749">
        <v>744</v>
      </c>
    </row>
    <row r="750" spans="1:64" ht="17.25" thickBot="1" x14ac:dyDescent="0.25">
      <c r="A750" s="131">
        <v>746</v>
      </c>
      <c r="B750" s="132">
        <v>417613044</v>
      </c>
      <c r="D750" s="131">
        <v>746</v>
      </c>
      <c r="E750" s="132">
        <v>37.793149999999997</v>
      </c>
      <c r="AK750">
        <v>744</v>
      </c>
      <c r="AL750" s="24">
        <f t="shared" si="115"/>
        <v>37.700110000000002</v>
      </c>
      <c r="AM750">
        <f t="shared" si="119"/>
        <v>263.90077000000002</v>
      </c>
      <c r="AN750">
        <f t="shared" si="119"/>
        <v>377.00110000000001</v>
      </c>
      <c r="AO750">
        <f t="shared" si="119"/>
        <v>565.50165000000004</v>
      </c>
      <c r="AP750">
        <f t="shared" si="119"/>
        <v>754.00220000000002</v>
      </c>
      <c r="AQ750">
        <f t="shared" si="119"/>
        <v>1319.5038500000001</v>
      </c>
      <c r="AR750">
        <f t="shared" ref="AR750:BG750" si="120">AR$5*VLOOKUP($AK750,$D$2:$E$1404,2,FALSE)</f>
        <v>1885.0055000000002</v>
      </c>
      <c r="AS750">
        <f t="shared" si="120"/>
        <v>3016.0088000000001</v>
      </c>
      <c r="AT750">
        <f t="shared" si="120"/>
        <v>4524.0132000000003</v>
      </c>
      <c r="AU750">
        <f t="shared" si="120"/>
        <v>6409.0187000000005</v>
      </c>
      <c r="AV750">
        <f t="shared" si="120"/>
        <v>9048.0264000000006</v>
      </c>
      <c r="AW750">
        <f t="shared" si="120"/>
        <v>12441.036300000002</v>
      </c>
      <c r="AX750">
        <f t="shared" si="120"/>
        <v>17342.050600000002</v>
      </c>
      <c r="AY750">
        <f t="shared" si="120"/>
        <v>30160.088000000003</v>
      </c>
      <c r="AZ750">
        <f t="shared" si="120"/>
        <v>56550.165000000001</v>
      </c>
      <c r="BA750">
        <f t="shared" si="120"/>
        <v>94250.275000000009</v>
      </c>
      <c r="BB750">
        <f t="shared" si="120"/>
        <v>150800.44</v>
      </c>
      <c r="BC750">
        <f t="shared" si="120"/>
        <v>377001.10000000003</v>
      </c>
      <c r="BD750">
        <f t="shared" si="120"/>
        <v>565501.65</v>
      </c>
      <c r="BE750">
        <f t="shared" si="120"/>
        <v>904802.64</v>
      </c>
      <c r="BF750">
        <f t="shared" si="120"/>
        <v>1131003.3</v>
      </c>
      <c r="BG750">
        <f t="shared" si="120"/>
        <v>3770011</v>
      </c>
      <c r="BH750">
        <f t="shared" ref="BC750:BK778" si="121">BH$5*VLOOKUP($AK750,$D$2:$E$1404,2,FALSE)</f>
        <v>11310033</v>
      </c>
      <c r="BI750">
        <f t="shared" si="121"/>
        <v>32045093.500000004</v>
      </c>
      <c r="BJ750">
        <f t="shared" si="121"/>
        <v>113100330</v>
      </c>
      <c r="BK750">
        <f t="shared" si="121"/>
        <v>377001100</v>
      </c>
      <c r="BL750">
        <v>745</v>
      </c>
    </row>
    <row r="751" spans="1:64" ht="17.25" thickBot="1" x14ac:dyDescent="0.25">
      <c r="A751" s="131">
        <v>747</v>
      </c>
      <c r="B751" s="132">
        <v>420633394</v>
      </c>
      <c r="D751" s="131">
        <v>747</v>
      </c>
      <c r="E751" s="132">
        <v>37.839570000000002</v>
      </c>
      <c r="AK751">
        <v>745</v>
      </c>
      <c r="AL751" s="24">
        <f t="shared" si="115"/>
        <v>37.746659999999999</v>
      </c>
      <c r="AM751">
        <f t="shared" ref="AM751:BB766" si="122">AM$5*VLOOKUP($AK751,$D$2:$E$1404,2,FALSE)</f>
        <v>264.22661999999997</v>
      </c>
      <c r="AN751">
        <f t="shared" si="122"/>
        <v>377.46659999999997</v>
      </c>
      <c r="AO751">
        <f t="shared" si="122"/>
        <v>566.19989999999996</v>
      </c>
      <c r="AP751">
        <f t="shared" si="122"/>
        <v>754.93319999999994</v>
      </c>
      <c r="AQ751">
        <f t="shared" si="122"/>
        <v>1321.1331</v>
      </c>
      <c r="AR751">
        <f t="shared" si="122"/>
        <v>1887.3329999999999</v>
      </c>
      <c r="AS751">
        <f t="shared" si="122"/>
        <v>3019.7327999999998</v>
      </c>
      <c r="AT751">
        <f t="shared" si="122"/>
        <v>4529.5991999999997</v>
      </c>
      <c r="AU751">
        <f t="shared" si="122"/>
        <v>6416.9322000000002</v>
      </c>
      <c r="AV751">
        <f t="shared" si="122"/>
        <v>9059.1983999999993</v>
      </c>
      <c r="AW751">
        <f t="shared" si="122"/>
        <v>12456.397799999999</v>
      </c>
      <c r="AX751">
        <f t="shared" si="122"/>
        <v>17363.463599999999</v>
      </c>
      <c r="AY751">
        <f t="shared" si="122"/>
        <v>30197.327999999998</v>
      </c>
      <c r="AZ751">
        <f t="shared" si="122"/>
        <v>56619.99</v>
      </c>
      <c r="BA751">
        <f t="shared" si="122"/>
        <v>94366.65</v>
      </c>
      <c r="BB751">
        <f t="shared" si="122"/>
        <v>150986.63999999998</v>
      </c>
      <c r="BC751">
        <f t="shared" si="121"/>
        <v>377466.6</v>
      </c>
      <c r="BD751">
        <f t="shared" si="121"/>
        <v>566199.9</v>
      </c>
      <c r="BE751">
        <f t="shared" si="121"/>
        <v>905919.84</v>
      </c>
      <c r="BF751">
        <f t="shared" si="121"/>
        <v>1132399.8</v>
      </c>
      <c r="BG751">
        <f t="shared" si="121"/>
        <v>3774666</v>
      </c>
      <c r="BH751">
        <f t="shared" si="121"/>
        <v>11323998</v>
      </c>
      <c r="BI751">
        <f t="shared" si="121"/>
        <v>32084661</v>
      </c>
      <c r="BJ751">
        <f t="shared" si="121"/>
        <v>113239980</v>
      </c>
      <c r="BK751">
        <f t="shared" si="121"/>
        <v>377466600</v>
      </c>
      <c r="BL751">
        <v>746</v>
      </c>
    </row>
    <row r="752" spans="1:64" ht="17.25" thickBot="1" x14ac:dyDescent="0.25">
      <c r="A752" s="131">
        <v>748</v>
      </c>
      <c r="B752" s="132">
        <v>423674433</v>
      </c>
      <c r="D752" s="131">
        <v>748</v>
      </c>
      <c r="E752" s="132">
        <v>37.885930000000002</v>
      </c>
      <c r="AK752">
        <v>746</v>
      </c>
      <c r="AL752" s="24">
        <f t="shared" si="115"/>
        <v>37.793149999999997</v>
      </c>
      <c r="AM752">
        <f t="shared" si="122"/>
        <v>264.55205000000001</v>
      </c>
      <c r="AN752">
        <f t="shared" si="122"/>
        <v>377.93149999999997</v>
      </c>
      <c r="AO752">
        <f t="shared" si="122"/>
        <v>566.89724999999999</v>
      </c>
      <c r="AP752">
        <f t="shared" si="122"/>
        <v>755.86299999999994</v>
      </c>
      <c r="AQ752">
        <f t="shared" si="122"/>
        <v>1322.7602499999998</v>
      </c>
      <c r="AR752">
        <f t="shared" si="122"/>
        <v>1889.6574999999998</v>
      </c>
      <c r="AS752">
        <f t="shared" si="122"/>
        <v>3023.4519999999998</v>
      </c>
      <c r="AT752">
        <f t="shared" si="122"/>
        <v>4535.1779999999999</v>
      </c>
      <c r="AU752">
        <f t="shared" si="122"/>
        <v>6424.8354999999992</v>
      </c>
      <c r="AV752">
        <f t="shared" si="122"/>
        <v>9070.3559999999998</v>
      </c>
      <c r="AW752">
        <f t="shared" si="122"/>
        <v>12471.7395</v>
      </c>
      <c r="AX752">
        <f t="shared" si="122"/>
        <v>17384.848999999998</v>
      </c>
      <c r="AY752">
        <f t="shared" si="122"/>
        <v>30234.519999999997</v>
      </c>
      <c r="AZ752">
        <f t="shared" si="122"/>
        <v>56689.724999999999</v>
      </c>
      <c r="BA752">
        <f t="shared" si="122"/>
        <v>94482.875</v>
      </c>
      <c r="BB752">
        <f t="shared" si="122"/>
        <v>151172.59999999998</v>
      </c>
      <c r="BC752">
        <f t="shared" si="121"/>
        <v>377931.5</v>
      </c>
      <c r="BD752">
        <f t="shared" si="121"/>
        <v>566897.25</v>
      </c>
      <c r="BE752">
        <f t="shared" si="121"/>
        <v>907035.6</v>
      </c>
      <c r="BF752">
        <f t="shared" si="121"/>
        <v>1133794.5</v>
      </c>
      <c r="BG752">
        <f t="shared" si="121"/>
        <v>3779314.9999999995</v>
      </c>
      <c r="BH752">
        <f t="shared" si="121"/>
        <v>11337945</v>
      </c>
      <c r="BI752">
        <f t="shared" si="121"/>
        <v>32124177.499999996</v>
      </c>
      <c r="BJ752">
        <f t="shared" si="121"/>
        <v>113379449.99999999</v>
      </c>
      <c r="BK752">
        <f t="shared" si="121"/>
        <v>377931500</v>
      </c>
      <c r="BL752">
        <v>747</v>
      </c>
    </row>
    <row r="753" spans="1:64" ht="17.25" thickBot="1" x14ac:dyDescent="0.25">
      <c r="A753" s="131">
        <v>749</v>
      </c>
      <c r="B753" s="132">
        <v>426736261</v>
      </c>
      <c r="D753" s="131">
        <v>749</v>
      </c>
      <c r="E753" s="132">
        <v>37.938850000000002</v>
      </c>
      <c r="AK753">
        <v>747</v>
      </c>
      <c r="AL753" s="24">
        <f t="shared" si="115"/>
        <v>37.839570000000002</v>
      </c>
      <c r="AM753">
        <f t="shared" si="122"/>
        <v>264.87699000000003</v>
      </c>
      <c r="AN753">
        <f t="shared" si="122"/>
        <v>378.39570000000003</v>
      </c>
      <c r="AO753">
        <f t="shared" si="122"/>
        <v>567.59355000000005</v>
      </c>
      <c r="AP753">
        <f t="shared" si="122"/>
        <v>756.79140000000007</v>
      </c>
      <c r="AQ753">
        <f t="shared" si="122"/>
        <v>1324.3849500000001</v>
      </c>
      <c r="AR753">
        <f t="shared" si="122"/>
        <v>1891.9785000000002</v>
      </c>
      <c r="AS753">
        <f t="shared" si="122"/>
        <v>3027.1656000000003</v>
      </c>
      <c r="AT753">
        <f t="shared" si="122"/>
        <v>4540.7484000000004</v>
      </c>
      <c r="AU753">
        <f t="shared" si="122"/>
        <v>6432.7269000000006</v>
      </c>
      <c r="AV753">
        <f t="shared" si="122"/>
        <v>9081.4968000000008</v>
      </c>
      <c r="AW753">
        <f t="shared" si="122"/>
        <v>12487.0581</v>
      </c>
      <c r="AX753">
        <f t="shared" si="122"/>
        <v>17406.2022</v>
      </c>
      <c r="AY753">
        <f t="shared" si="122"/>
        <v>30271.656000000003</v>
      </c>
      <c r="AZ753">
        <f t="shared" si="122"/>
        <v>56759.355000000003</v>
      </c>
      <c r="BA753">
        <f t="shared" si="122"/>
        <v>94598.925000000003</v>
      </c>
      <c r="BB753">
        <f t="shared" si="122"/>
        <v>151358.28</v>
      </c>
      <c r="BC753">
        <f t="shared" si="121"/>
        <v>378395.7</v>
      </c>
      <c r="BD753">
        <f t="shared" si="121"/>
        <v>567593.55000000005</v>
      </c>
      <c r="BE753">
        <f t="shared" si="121"/>
        <v>908149.68</v>
      </c>
      <c r="BF753">
        <f t="shared" si="121"/>
        <v>1135187.1000000001</v>
      </c>
      <c r="BG753">
        <f t="shared" si="121"/>
        <v>3783957</v>
      </c>
      <c r="BH753">
        <f t="shared" si="121"/>
        <v>11351871</v>
      </c>
      <c r="BI753">
        <f t="shared" si="121"/>
        <v>32163634.5</v>
      </c>
      <c r="BJ753">
        <f t="shared" si="121"/>
        <v>113518710</v>
      </c>
      <c r="BK753">
        <f t="shared" si="121"/>
        <v>378395700</v>
      </c>
      <c r="BL753">
        <v>748</v>
      </c>
    </row>
    <row r="754" spans="1:64" ht="17.25" thickBot="1" x14ac:dyDescent="0.25">
      <c r="A754" s="131">
        <v>750</v>
      </c>
      <c r="B754" s="132">
        <v>429818977</v>
      </c>
      <c r="D754" s="131">
        <v>750</v>
      </c>
      <c r="E754" s="132">
        <v>37.991700000000002</v>
      </c>
      <c r="AK754">
        <v>748</v>
      </c>
      <c r="AL754" s="24">
        <f t="shared" si="115"/>
        <v>37.885930000000002</v>
      </c>
      <c r="AM754">
        <f t="shared" si="122"/>
        <v>265.20150999999998</v>
      </c>
      <c r="AN754">
        <f t="shared" si="122"/>
        <v>378.85930000000002</v>
      </c>
      <c r="AO754">
        <f t="shared" si="122"/>
        <v>568.28895</v>
      </c>
      <c r="AP754">
        <f t="shared" si="122"/>
        <v>757.71860000000004</v>
      </c>
      <c r="AQ754">
        <f t="shared" si="122"/>
        <v>1326.00755</v>
      </c>
      <c r="AR754">
        <f t="shared" si="122"/>
        <v>1894.2965000000002</v>
      </c>
      <c r="AS754">
        <f t="shared" si="122"/>
        <v>3030.8744000000002</v>
      </c>
      <c r="AT754">
        <f t="shared" si="122"/>
        <v>4546.3116</v>
      </c>
      <c r="AU754">
        <f t="shared" si="122"/>
        <v>6440.6081000000004</v>
      </c>
      <c r="AV754">
        <f t="shared" si="122"/>
        <v>9092.6232</v>
      </c>
      <c r="AW754">
        <f t="shared" si="122"/>
        <v>12502.356900000001</v>
      </c>
      <c r="AX754">
        <f t="shared" si="122"/>
        <v>17427.5278</v>
      </c>
      <c r="AY754">
        <f t="shared" si="122"/>
        <v>30308.744000000002</v>
      </c>
      <c r="AZ754">
        <f t="shared" si="122"/>
        <v>56828.895000000004</v>
      </c>
      <c r="BA754">
        <f t="shared" si="122"/>
        <v>94714.825000000012</v>
      </c>
      <c r="BB754">
        <f t="shared" si="122"/>
        <v>151543.72</v>
      </c>
      <c r="BC754">
        <f t="shared" si="121"/>
        <v>378859.30000000005</v>
      </c>
      <c r="BD754">
        <f t="shared" si="121"/>
        <v>568288.95000000007</v>
      </c>
      <c r="BE754">
        <f t="shared" si="121"/>
        <v>909262.32000000007</v>
      </c>
      <c r="BF754">
        <f t="shared" si="121"/>
        <v>1136577.9000000001</v>
      </c>
      <c r="BG754">
        <f t="shared" si="121"/>
        <v>3788593</v>
      </c>
      <c r="BH754">
        <f t="shared" si="121"/>
        <v>11365779</v>
      </c>
      <c r="BI754">
        <f t="shared" si="121"/>
        <v>32203040.5</v>
      </c>
      <c r="BJ754">
        <f t="shared" si="121"/>
        <v>113657790</v>
      </c>
      <c r="BK754">
        <f t="shared" si="121"/>
        <v>378859300</v>
      </c>
      <c r="BL754">
        <v>749</v>
      </c>
    </row>
    <row r="755" spans="1:64" ht="17.25" thickBot="1" x14ac:dyDescent="0.25">
      <c r="A755" s="131">
        <v>751</v>
      </c>
      <c r="B755" s="132">
        <v>432922688</v>
      </c>
      <c r="D755" s="131">
        <v>751</v>
      </c>
      <c r="E755" s="132">
        <v>38.04448</v>
      </c>
      <c r="AK755">
        <v>749</v>
      </c>
      <c r="AL755" s="24">
        <f t="shared" si="115"/>
        <v>37.938850000000002</v>
      </c>
      <c r="AM755">
        <f t="shared" si="122"/>
        <v>265.57195000000002</v>
      </c>
      <c r="AN755">
        <f t="shared" si="122"/>
        <v>379.38850000000002</v>
      </c>
      <c r="AO755">
        <f t="shared" si="122"/>
        <v>569.08275000000003</v>
      </c>
      <c r="AP755">
        <f t="shared" si="122"/>
        <v>758.77700000000004</v>
      </c>
      <c r="AQ755">
        <f t="shared" si="122"/>
        <v>1327.8597500000001</v>
      </c>
      <c r="AR755">
        <f t="shared" si="122"/>
        <v>1896.9425000000001</v>
      </c>
      <c r="AS755">
        <f t="shared" si="122"/>
        <v>3035.1080000000002</v>
      </c>
      <c r="AT755">
        <f t="shared" si="122"/>
        <v>4552.6620000000003</v>
      </c>
      <c r="AU755">
        <f t="shared" si="122"/>
        <v>6449.6045000000004</v>
      </c>
      <c r="AV755">
        <f t="shared" si="122"/>
        <v>9105.3240000000005</v>
      </c>
      <c r="AW755">
        <f t="shared" si="122"/>
        <v>12519.820500000002</v>
      </c>
      <c r="AX755">
        <f t="shared" si="122"/>
        <v>17451.870999999999</v>
      </c>
      <c r="AY755">
        <f t="shared" si="122"/>
        <v>30351.08</v>
      </c>
      <c r="AZ755">
        <f t="shared" si="122"/>
        <v>56908.275000000001</v>
      </c>
      <c r="BA755">
        <f t="shared" si="122"/>
        <v>94847.125</v>
      </c>
      <c r="BB755">
        <f t="shared" si="122"/>
        <v>151755.40000000002</v>
      </c>
      <c r="BC755">
        <f t="shared" si="121"/>
        <v>379388.5</v>
      </c>
      <c r="BD755">
        <f t="shared" si="121"/>
        <v>569082.75</v>
      </c>
      <c r="BE755">
        <f t="shared" si="121"/>
        <v>910532.4</v>
      </c>
      <c r="BF755">
        <f t="shared" si="121"/>
        <v>1138165.5</v>
      </c>
      <c r="BG755">
        <f t="shared" si="121"/>
        <v>3793885</v>
      </c>
      <c r="BH755">
        <f t="shared" si="121"/>
        <v>11381655</v>
      </c>
      <c r="BI755">
        <f t="shared" si="121"/>
        <v>32248022.5</v>
      </c>
      <c r="BJ755">
        <f t="shared" si="121"/>
        <v>113816550</v>
      </c>
      <c r="BK755">
        <f t="shared" si="121"/>
        <v>379388500</v>
      </c>
      <c r="BL755">
        <v>750</v>
      </c>
    </row>
    <row r="756" spans="1:64" ht="17.25" thickBot="1" x14ac:dyDescent="0.25">
      <c r="A756" s="131">
        <v>752</v>
      </c>
      <c r="B756" s="132">
        <v>436047494</v>
      </c>
      <c r="D756" s="131">
        <v>752</v>
      </c>
      <c r="E756" s="132">
        <v>38.097189999999998</v>
      </c>
      <c r="AK756">
        <v>750</v>
      </c>
      <c r="AL756" s="24">
        <f t="shared" si="115"/>
        <v>37.991700000000002</v>
      </c>
      <c r="AM756">
        <f t="shared" si="122"/>
        <v>265.94190000000003</v>
      </c>
      <c r="AN756">
        <f t="shared" si="122"/>
        <v>379.91700000000003</v>
      </c>
      <c r="AO756">
        <f t="shared" si="122"/>
        <v>569.87549999999999</v>
      </c>
      <c r="AP756">
        <f t="shared" si="122"/>
        <v>759.83400000000006</v>
      </c>
      <c r="AQ756">
        <f t="shared" si="122"/>
        <v>1329.7095000000002</v>
      </c>
      <c r="AR756">
        <f t="shared" si="122"/>
        <v>1899.585</v>
      </c>
      <c r="AS756">
        <f t="shared" si="122"/>
        <v>3039.3360000000002</v>
      </c>
      <c r="AT756">
        <f t="shared" si="122"/>
        <v>4559.0039999999999</v>
      </c>
      <c r="AU756">
        <f t="shared" si="122"/>
        <v>6458.5889999999999</v>
      </c>
      <c r="AV756">
        <f t="shared" si="122"/>
        <v>9118.0079999999998</v>
      </c>
      <c r="AW756">
        <f t="shared" si="122"/>
        <v>12537.261</v>
      </c>
      <c r="AX756">
        <f t="shared" si="122"/>
        <v>17476.182000000001</v>
      </c>
      <c r="AY756">
        <f t="shared" si="122"/>
        <v>30393.360000000001</v>
      </c>
      <c r="AZ756">
        <f t="shared" si="122"/>
        <v>56987.55</v>
      </c>
      <c r="BA756">
        <f t="shared" si="122"/>
        <v>94979.25</v>
      </c>
      <c r="BB756">
        <f t="shared" si="122"/>
        <v>151966.80000000002</v>
      </c>
      <c r="BC756">
        <f t="shared" si="121"/>
        <v>379917</v>
      </c>
      <c r="BD756">
        <f t="shared" si="121"/>
        <v>569875.5</v>
      </c>
      <c r="BE756">
        <f t="shared" si="121"/>
        <v>911800.8</v>
      </c>
      <c r="BF756">
        <f t="shared" si="121"/>
        <v>1139751</v>
      </c>
      <c r="BG756">
        <f t="shared" si="121"/>
        <v>3799170</v>
      </c>
      <c r="BH756">
        <f t="shared" si="121"/>
        <v>11397510</v>
      </c>
      <c r="BI756">
        <f t="shared" si="121"/>
        <v>32292945</v>
      </c>
      <c r="BJ756">
        <f t="shared" si="121"/>
        <v>113975100</v>
      </c>
      <c r="BK756">
        <f t="shared" si="121"/>
        <v>379917000</v>
      </c>
      <c r="BL756">
        <v>751</v>
      </c>
    </row>
    <row r="757" spans="1:64" ht="17.25" thickBot="1" x14ac:dyDescent="0.25">
      <c r="A757" s="131">
        <v>753</v>
      </c>
      <c r="B757" s="132">
        <v>439193500</v>
      </c>
      <c r="D757" s="131">
        <v>753</v>
      </c>
      <c r="E757" s="132">
        <v>38.149830000000001</v>
      </c>
      <c r="AK757">
        <v>751</v>
      </c>
      <c r="AL757" s="24">
        <f t="shared" si="115"/>
        <v>38.04448</v>
      </c>
      <c r="AM757">
        <f t="shared" si="122"/>
        <v>266.31135999999998</v>
      </c>
      <c r="AN757">
        <f t="shared" si="122"/>
        <v>380.44479999999999</v>
      </c>
      <c r="AO757">
        <f t="shared" si="122"/>
        <v>570.66719999999998</v>
      </c>
      <c r="AP757">
        <f t="shared" si="122"/>
        <v>760.88959999999997</v>
      </c>
      <c r="AQ757">
        <f t="shared" si="122"/>
        <v>1331.5568000000001</v>
      </c>
      <c r="AR757">
        <f t="shared" si="122"/>
        <v>1902.2239999999999</v>
      </c>
      <c r="AS757">
        <f t="shared" si="122"/>
        <v>3043.5583999999999</v>
      </c>
      <c r="AT757">
        <f t="shared" si="122"/>
        <v>4565.3375999999998</v>
      </c>
      <c r="AU757">
        <f t="shared" si="122"/>
        <v>6467.5616</v>
      </c>
      <c r="AV757">
        <f t="shared" si="122"/>
        <v>9130.6751999999997</v>
      </c>
      <c r="AW757">
        <f t="shared" si="122"/>
        <v>12554.678400000001</v>
      </c>
      <c r="AX757">
        <f t="shared" si="122"/>
        <v>17500.460800000001</v>
      </c>
      <c r="AY757">
        <f t="shared" si="122"/>
        <v>30435.583999999999</v>
      </c>
      <c r="AZ757">
        <f t="shared" si="122"/>
        <v>57066.720000000001</v>
      </c>
      <c r="BA757">
        <f t="shared" si="122"/>
        <v>95111.2</v>
      </c>
      <c r="BB757">
        <f t="shared" si="122"/>
        <v>152177.92000000001</v>
      </c>
      <c r="BC757">
        <f t="shared" si="121"/>
        <v>380444.8</v>
      </c>
      <c r="BD757">
        <f t="shared" si="121"/>
        <v>570667.19999999995</v>
      </c>
      <c r="BE757">
        <f t="shared" si="121"/>
        <v>913067.52000000002</v>
      </c>
      <c r="BF757">
        <f t="shared" si="121"/>
        <v>1141334.3999999999</v>
      </c>
      <c r="BG757">
        <f t="shared" si="121"/>
        <v>3804448</v>
      </c>
      <c r="BH757">
        <f t="shared" si="121"/>
        <v>11413344</v>
      </c>
      <c r="BI757">
        <f t="shared" si="121"/>
        <v>32337808</v>
      </c>
      <c r="BJ757">
        <f t="shared" si="121"/>
        <v>114133440</v>
      </c>
      <c r="BK757">
        <f t="shared" si="121"/>
        <v>380444800</v>
      </c>
      <c r="BL757">
        <v>752</v>
      </c>
    </row>
    <row r="758" spans="1:64" ht="17.25" thickBot="1" x14ac:dyDescent="0.25">
      <c r="A758" s="131">
        <v>754</v>
      </c>
      <c r="B758" s="132">
        <v>442360805</v>
      </c>
      <c r="D758" s="131">
        <v>754</v>
      </c>
      <c r="E758" s="132">
        <v>38.202399999999997</v>
      </c>
      <c r="AK758">
        <v>752</v>
      </c>
      <c r="AL758" s="24">
        <f t="shared" si="115"/>
        <v>38.097189999999998</v>
      </c>
      <c r="AM758">
        <f t="shared" si="122"/>
        <v>266.68032999999997</v>
      </c>
      <c r="AN758">
        <f t="shared" si="122"/>
        <v>380.97190000000001</v>
      </c>
      <c r="AO758">
        <f t="shared" si="122"/>
        <v>571.45785000000001</v>
      </c>
      <c r="AP758">
        <f t="shared" si="122"/>
        <v>761.94380000000001</v>
      </c>
      <c r="AQ758">
        <f t="shared" si="122"/>
        <v>1333.40165</v>
      </c>
      <c r="AR758">
        <f t="shared" si="122"/>
        <v>1904.8594999999998</v>
      </c>
      <c r="AS758">
        <f t="shared" si="122"/>
        <v>3047.7752</v>
      </c>
      <c r="AT758">
        <f t="shared" si="122"/>
        <v>4571.6628000000001</v>
      </c>
      <c r="AU758">
        <f t="shared" si="122"/>
        <v>6476.5222999999996</v>
      </c>
      <c r="AV758">
        <f t="shared" si="122"/>
        <v>9143.3256000000001</v>
      </c>
      <c r="AW758">
        <f t="shared" si="122"/>
        <v>12572.072699999999</v>
      </c>
      <c r="AX758">
        <f t="shared" si="122"/>
        <v>17524.707399999999</v>
      </c>
      <c r="AY758">
        <f t="shared" si="122"/>
        <v>30477.751999999997</v>
      </c>
      <c r="AZ758">
        <f t="shared" si="122"/>
        <v>57145.784999999996</v>
      </c>
      <c r="BA758">
        <f t="shared" si="122"/>
        <v>95242.974999999991</v>
      </c>
      <c r="BB758">
        <f t="shared" si="122"/>
        <v>152388.75999999998</v>
      </c>
      <c r="BC758">
        <f t="shared" si="121"/>
        <v>380971.89999999997</v>
      </c>
      <c r="BD758">
        <f t="shared" si="121"/>
        <v>571457.85</v>
      </c>
      <c r="BE758">
        <f t="shared" si="121"/>
        <v>914332.55999999994</v>
      </c>
      <c r="BF758">
        <f t="shared" si="121"/>
        <v>1142915.7</v>
      </c>
      <c r="BG758">
        <f t="shared" si="121"/>
        <v>3809718.9999999995</v>
      </c>
      <c r="BH758">
        <f t="shared" si="121"/>
        <v>11429157</v>
      </c>
      <c r="BI758">
        <f t="shared" si="121"/>
        <v>32382611.499999996</v>
      </c>
      <c r="BJ758">
        <f t="shared" si="121"/>
        <v>114291570</v>
      </c>
      <c r="BK758">
        <f t="shared" si="121"/>
        <v>380971900</v>
      </c>
      <c r="BL758">
        <v>753</v>
      </c>
    </row>
    <row r="759" spans="1:64" ht="17.25" thickBot="1" x14ac:dyDescent="0.25">
      <c r="A759" s="131">
        <v>755</v>
      </c>
      <c r="B759" s="132">
        <v>445549511</v>
      </c>
      <c r="D759" s="131">
        <v>755</v>
      </c>
      <c r="E759" s="132">
        <v>38.254899999999999</v>
      </c>
      <c r="AK759">
        <v>753</v>
      </c>
      <c r="AL759" s="24">
        <f t="shared" ref="AL759:AL822" si="123">VLOOKUP(AK759,D$2:E$1404,2,FALSE)</f>
        <v>38.149830000000001</v>
      </c>
      <c r="AM759">
        <f t="shared" si="122"/>
        <v>267.04881</v>
      </c>
      <c r="AN759">
        <f t="shared" si="122"/>
        <v>381.49830000000003</v>
      </c>
      <c r="AO759">
        <f t="shared" si="122"/>
        <v>572.24745000000007</v>
      </c>
      <c r="AP759">
        <f t="shared" si="122"/>
        <v>762.99660000000006</v>
      </c>
      <c r="AQ759">
        <f t="shared" si="122"/>
        <v>1335.24405</v>
      </c>
      <c r="AR759">
        <f t="shared" si="122"/>
        <v>1907.4915000000001</v>
      </c>
      <c r="AS759">
        <f t="shared" si="122"/>
        <v>3051.9864000000002</v>
      </c>
      <c r="AT759">
        <f t="shared" si="122"/>
        <v>4577.9796000000006</v>
      </c>
      <c r="AU759">
        <f t="shared" si="122"/>
        <v>6485.4711000000007</v>
      </c>
      <c r="AV759">
        <f t="shared" si="122"/>
        <v>9155.9592000000011</v>
      </c>
      <c r="AW759">
        <f t="shared" si="122"/>
        <v>12589.4439</v>
      </c>
      <c r="AX759">
        <f t="shared" si="122"/>
        <v>17548.9218</v>
      </c>
      <c r="AY759">
        <f t="shared" si="122"/>
        <v>30519.864000000001</v>
      </c>
      <c r="AZ759">
        <f t="shared" si="122"/>
        <v>57224.745000000003</v>
      </c>
      <c r="BA759">
        <f t="shared" si="122"/>
        <v>95374.574999999997</v>
      </c>
      <c r="BB759">
        <f t="shared" si="122"/>
        <v>152599.32</v>
      </c>
      <c r="BC759">
        <f t="shared" si="121"/>
        <v>381498.3</v>
      </c>
      <c r="BD759">
        <f t="shared" si="121"/>
        <v>572247.45000000007</v>
      </c>
      <c r="BE759">
        <f t="shared" si="121"/>
        <v>915595.92</v>
      </c>
      <c r="BF759">
        <f t="shared" si="121"/>
        <v>1144494.9000000001</v>
      </c>
      <c r="BG759">
        <f t="shared" si="121"/>
        <v>3814983</v>
      </c>
      <c r="BH759">
        <f t="shared" si="121"/>
        <v>11444949</v>
      </c>
      <c r="BI759">
        <f t="shared" si="121"/>
        <v>32427355.5</v>
      </c>
      <c r="BJ759">
        <f t="shared" si="121"/>
        <v>114449490</v>
      </c>
      <c r="BK759">
        <f t="shared" si="121"/>
        <v>381498300</v>
      </c>
      <c r="BL759">
        <v>754</v>
      </c>
    </row>
    <row r="760" spans="1:64" ht="17.25" thickBot="1" x14ac:dyDescent="0.25">
      <c r="A760" s="131">
        <v>756</v>
      </c>
      <c r="B760" s="132">
        <v>448759722</v>
      </c>
      <c r="D760" s="131">
        <v>756</v>
      </c>
      <c r="E760" s="132">
        <v>38.30733</v>
      </c>
      <c r="AK760">
        <v>754</v>
      </c>
      <c r="AL760" s="24">
        <f t="shared" si="123"/>
        <v>38.202399999999997</v>
      </c>
      <c r="AM760">
        <f t="shared" si="122"/>
        <v>267.41679999999997</v>
      </c>
      <c r="AN760">
        <f t="shared" si="122"/>
        <v>382.024</v>
      </c>
      <c r="AO760">
        <f t="shared" si="122"/>
        <v>573.03599999999994</v>
      </c>
      <c r="AP760">
        <f t="shared" si="122"/>
        <v>764.048</v>
      </c>
      <c r="AQ760">
        <f t="shared" si="122"/>
        <v>1337.0839999999998</v>
      </c>
      <c r="AR760">
        <f t="shared" si="122"/>
        <v>1910.12</v>
      </c>
      <c r="AS760">
        <f t="shared" si="122"/>
        <v>3056.192</v>
      </c>
      <c r="AT760">
        <f t="shared" si="122"/>
        <v>4584.2879999999996</v>
      </c>
      <c r="AU760">
        <f t="shared" si="122"/>
        <v>6494.4079999999994</v>
      </c>
      <c r="AV760">
        <f t="shared" si="122"/>
        <v>9168.5759999999991</v>
      </c>
      <c r="AW760">
        <f t="shared" si="122"/>
        <v>12606.791999999999</v>
      </c>
      <c r="AX760">
        <f t="shared" si="122"/>
        <v>17573.103999999999</v>
      </c>
      <c r="AY760">
        <f t="shared" si="122"/>
        <v>30561.919999999998</v>
      </c>
      <c r="AZ760">
        <f t="shared" si="122"/>
        <v>57303.6</v>
      </c>
      <c r="BA760">
        <f t="shared" si="122"/>
        <v>95506</v>
      </c>
      <c r="BB760">
        <f t="shared" si="122"/>
        <v>152809.59999999998</v>
      </c>
      <c r="BC760">
        <f t="shared" si="121"/>
        <v>382024</v>
      </c>
      <c r="BD760">
        <f t="shared" si="121"/>
        <v>573036</v>
      </c>
      <c r="BE760">
        <f t="shared" si="121"/>
        <v>916857.6</v>
      </c>
      <c r="BF760">
        <f t="shared" si="121"/>
        <v>1146072</v>
      </c>
      <c r="BG760">
        <f t="shared" si="121"/>
        <v>3820239.9999999995</v>
      </c>
      <c r="BH760">
        <f t="shared" si="121"/>
        <v>11460720</v>
      </c>
      <c r="BI760">
        <f t="shared" si="121"/>
        <v>32472039.999999996</v>
      </c>
      <c r="BJ760">
        <f t="shared" si="121"/>
        <v>114607199.99999999</v>
      </c>
      <c r="BK760">
        <f t="shared" si="121"/>
        <v>382024000</v>
      </c>
      <c r="BL760">
        <v>755</v>
      </c>
    </row>
    <row r="761" spans="1:64" ht="17.25" thickBot="1" x14ac:dyDescent="0.25">
      <c r="A761" s="131">
        <v>757</v>
      </c>
      <c r="B761" s="132">
        <v>451991544</v>
      </c>
      <c r="D761" s="131">
        <v>757</v>
      </c>
      <c r="E761" s="132">
        <v>38.359690000000001</v>
      </c>
      <c r="AK761">
        <v>755</v>
      </c>
      <c r="AL761" s="24">
        <f t="shared" si="123"/>
        <v>38.254899999999999</v>
      </c>
      <c r="AM761">
        <f t="shared" si="122"/>
        <v>267.78429999999997</v>
      </c>
      <c r="AN761">
        <f t="shared" si="122"/>
        <v>382.54899999999998</v>
      </c>
      <c r="AO761">
        <f t="shared" si="122"/>
        <v>573.82349999999997</v>
      </c>
      <c r="AP761">
        <f t="shared" si="122"/>
        <v>765.09799999999996</v>
      </c>
      <c r="AQ761">
        <f t="shared" si="122"/>
        <v>1338.9214999999999</v>
      </c>
      <c r="AR761">
        <f t="shared" si="122"/>
        <v>1912.7449999999999</v>
      </c>
      <c r="AS761">
        <f t="shared" si="122"/>
        <v>3060.3919999999998</v>
      </c>
      <c r="AT761">
        <f t="shared" si="122"/>
        <v>4590.5879999999997</v>
      </c>
      <c r="AU761">
        <f t="shared" si="122"/>
        <v>6503.3329999999996</v>
      </c>
      <c r="AV761">
        <f t="shared" si="122"/>
        <v>9181.1759999999995</v>
      </c>
      <c r="AW761">
        <f t="shared" si="122"/>
        <v>12624.117</v>
      </c>
      <c r="AX761">
        <f t="shared" si="122"/>
        <v>17597.254000000001</v>
      </c>
      <c r="AY761">
        <f t="shared" si="122"/>
        <v>30603.919999999998</v>
      </c>
      <c r="AZ761">
        <f t="shared" si="122"/>
        <v>57382.35</v>
      </c>
      <c r="BA761">
        <f t="shared" si="122"/>
        <v>95637.25</v>
      </c>
      <c r="BB761">
        <f t="shared" si="122"/>
        <v>153019.6</v>
      </c>
      <c r="BC761">
        <f t="shared" si="121"/>
        <v>382549</v>
      </c>
      <c r="BD761">
        <f t="shared" si="121"/>
        <v>573823.5</v>
      </c>
      <c r="BE761">
        <f t="shared" si="121"/>
        <v>918117.6</v>
      </c>
      <c r="BF761">
        <f t="shared" si="121"/>
        <v>1147647</v>
      </c>
      <c r="BG761">
        <f t="shared" si="121"/>
        <v>3825490</v>
      </c>
      <c r="BH761">
        <f t="shared" si="121"/>
        <v>11476470</v>
      </c>
      <c r="BI761">
        <f t="shared" si="121"/>
        <v>32516665</v>
      </c>
      <c r="BJ761">
        <f t="shared" si="121"/>
        <v>114764700</v>
      </c>
      <c r="BK761">
        <f t="shared" si="121"/>
        <v>382549000</v>
      </c>
      <c r="BL761">
        <v>756</v>
      </c>
    </row>
    <row r="762" spans="1:64" ht="17.25" thickBot="1" x14ac:dyDescent="0.25">
      <c r="A762" s="131">
        <v>758</v>
      </c>
      <c r="B762" s="132">
        <v>455245083</v>
      </c>
      <c r="D762" s="131">
        <v>758</v>
      </c>
      <c r="E762" s="132">
        <v>38.41198</v>
      </c>
      <c r="AK762">
        <v>756</v>
      </c>
      <c r="AL762" s="24">
        <f t="shared" si="123"/>
        <v>38.30733</v>
      </c>
      <c r="AM762">
        <f t="shared" si="122"/>
        <v>268.15131000000002</v>
      </c>
      <c r="AN762">
        <f t="shared" si="122"/>
        <v>383.07330000000002</v>
      </c>
      <c r="AO762">
        <f t="shared" si="122"/>
        <v>574.60995000000003</v>
      </c>
      <c r="AP762">
        <f t="shared" si="122"/>
        <v>766.14660000000003</v>
      </c>
      <c r="AQ762">
        <f t="shared" si="122"/>
        <v>1340.7565500000001</v>
      </c>
      <c r="AR762">
        <f t="shared" si="122"/>
        <v>1915.3665000000001</v>
      </c>
      <c r="AS762">
        <f t="shared" si="122"/>
        <v>3064.5864000000001</v>
      </c>
      <c r="AT762">
        <f t="shared" si="122"/>
        <v>4596.8796000000002</v>
      </c>
      <c r="AU762">
        <f t="shared" si="122"/>
        <v>6512.2461000000003</v>
      </c>
      <c r="AV762">
        <f t="shared" si="122"/>
        <v>9193.7592000000004</v>
      </c>
      <c r="AW762">
        <f t="shared" si="122"/>
        <v>12641.418900000001</v>
      </c>
      <c r="AX762">
        <f t="shared" si="122"/>
        <v>17621.371800000001</v>
      </c>
      <c r="AY762">
        <f t="shared" si="122"/>
        <v>30645.864000000001</v>
      </c>
      <c r="AZ762">
        <f t="shared" si="122"/>
        <v>57460.995000000003</v>
      </c>
      <c r="BA762">
        <f t="shared" si="122"/>
        <v>95768.324999999997</v>
      </c>
      <c r="BB762">
        <f t="shared" si="122"/>
        <v>153229.32</v>
      </c>
      <c r="BC762">
        <f t="shared" si="121"/>
        <v>383073.3</v>
      </c>
      <c r="BD762">
        <f t="shared" si="121"/>
        <v>574609.94999999995</v>
      </c>
      <c r="BE762">
        <f t="shared" si="121"/>
        <v>919375.92</v>
      </c>
      <c r="BF762">
        <f t="shared" si="121"/>
        <v>1149219.8999999999</v>
      </c>
      <c r="BG762">
        <f t="shared" si="121"/>
        <v>3830733</v>
      </c>
      <c r="BH762">
        <f t="shared" si="121"/>
        <v>11492199</v>
      </c>
      <c r="BI762">
        <f t="shared" si="121"/>
        <v>32561230.5</v>
      </c>
      <c r="BJ762">
        <f t="shared" si="121"/>
        <v>114921990</v>
      </c>
      <c r="BK762">
        <f t="shared" si="121"/>
        <v>383073300</v>
      </c>
      <c r="BL762">
        <v>757</v>
      </c>
    </row>
    <row r="763" spans="1:64" ht="17.25" thickBot="1" x14ac:dyDescent="0.25">
      <c r="A763" s="131">
        <v>759</v>
      </c>
      <c r="B763" s="132">
        <v>458520438</v>
      </c>
      <c r="D763" s="131">
        <v>759</v>
      </c>
      <c r="E763" s="132">
        <v>38.464199999999998</v>
      </c>
      <c r="AK763">
        <v>757</v>
      </c>
      <c r="AL763" s="24">
        <f t="shared" si="123"/>
        <v>38.359690000000001</v>
      </c>
      <c r="AM763">
        <f t="shared" si="122"/>
        <v>268.51783</v>
      </c>
      <c r="AN763">
        <f t="shared" si="122"/>
        <v>383.59690000000001</v>
      </c>
      <c r="AO763">
        <f t="shared" si="122"/>
        <v>575.39535000000001</v>
      </c>
      <c r="AP763">
        <f t="shared" si="122"/>
        <v>767.19380000000001</v>
      </c>
      <c r="AQ763">
        <f t="shared" si="122"/>
        <v>1342.58915</v>
      </c>
      <c r="AR763">
        <f t="shared" si="122"/>
        <v>1917.9845</v>
      </c>
      <c r="AS763">
        <f t="shared" si="122"/>
        <v>3068.7752</v>
      </c>
      <c r="AT763">
        <f t="shared" si="122"/>
        <v>4603.1628000000001</v>
      </c>
      <c r="AU763">
        <f t="shared" si="122"/>
        <v>6521.1473000000005</v>
      </c>
      <c r="AV763">
        <f t="shared" si="122"/>
        <v>9206.3256000000001</v>
      </c>
      <c r="AW763">
        <f t="shared" si="122"/>
        <v>12658.697700000001</v>
      </c>
      <c r="AX763">
        <f t="shared" si="122"/>
        <v>17645.457399999999</v>
      </c>
      <c r="AY763">
        <f t="shared" si="122"/>
        <v>30687.752</v>
      </c>
      <c r="AZ763">
        <f t="shared" si="122"/>
        <v>57539.535000000003</v>
      </c>
      <c r="BA763">
        <f t="shared" si="122"/>
        <v>95899.225000000006</v>
      </c>
      <c r="BB763">
        <f t="shared" si="122"/>
        <v>153438.76</v>
      </c>
      <c r="BC763">
        <f t="shared" si="121"/>
        <v>383596.9</v>
      </c>
      <c r="BD763">
        <f t="shared" si="121"/>
        <v>575395.35</v>
      </c>
      <c r="BE763">
        <f t="shared" si="121"/>
        <v>920632.56</v>
      </c>
      <c r="BF763">
        <f t="shared" si="121"/>
        <v>1150790.7</v>
      </c>
      <c r="BG763">
        <f t="shared" si="121"/>
        <v>3835969</v>
      </c>
      <c r="BH763">
        <f t="shared" si="121"/>
        <v>11507907</v>
      </c>
      <c r="BI763">
        <f t="shared" si="121"/>
        <v>32605736.5</v>
      </c>
      <c r="BJ763">
        <f t="shared" si="121"/>
        <v>115079070</v>
      </c>
      <c r="BK763">
        <f t="shared" si="121"/>
        <v>383596900</v>
      </c>
      <c r="BL763">
        <v>758</v>
      </c>
    </row>
    <row r="764" spans="1:64" ht="17.25" thickBot="1" x14ac:dyDescent="0.25">
      <c r="A764" s="131">
        <v>760</v>
      </c>
      <c r="B764" s="132">
        <v>461817716</v>
      </c>
      <c r="D764" s="131">
        <v>760</v>
      </c>
      <c r="E764" s="132">
        <v>38.516359999999999</v>
      </c>
      <c r="AK764">
        <v>758</v>
      </c>
      <c r="AL764" s="24">
        <f t="shared" si="123"/>
        <v>38.41198</v>
      </c>
      <c r="AM764">
        <f t="shared" si="122"/>
        <v>268.88386000000003</v>
      </c>
      <c r="AN764">
        <f t="shared" si="122"/>
        <v>384.1198</v>
      </c>
      <c r="AO764">
        <f t="shared" si="122"/>
        <v>576.17970000000003</v>
      </c>
      <c r="AP764">
        <f t="shared" si="122"/>
        <v>768.2396</v>
      </c>
      <c r="AQ764">
        <f t="shared" si="122"/>
        <v>1344.4193</v>
      </c>
      <c r="AR764">
        <f t="shared" si="122"/>
        <v>1920.5989999999999</v>
      </c>
      <c r="AS764">
        <f t="shared" si="122"/>
        <v>3072.9584</v>
      </c>
      <c r="AT764">
        <f t="shared" si="122"/>
        <v>4609.4376000000002</v>
      </c>
      <c r="AU764">
        <f t="shared" si="122"/>
        <v>6530.0366000000004</v>
      </c>
      <c r="AV764">
        <f t="shared" si="122"/>
        <v>9218.8752000000004</v>
      </c>
      <c r="AW764">
        <f t="shared" si="122"/>
        <v>12675.9534</v>
      </c>
      <c r="AX764">
        <f t="shared" si="122"/>
        <v>17669.5108</v>
      </c>
      <c r="AY764">
        <f t="shared" si="122"/>
        <v>30729.583999999999</v>
      </c>
      <c r="AZ764">
        <f t="shared" si="122"/>
        <v>57617.97</v>
      </c>
      <c r="BA764">
        <f t="shared" si="122"/>
        <v>96029.95</v>
      </c>
      <c r="BB764">
        <f t="shared" si="122"/>
        <v>153647.92000000001</v>
      </c>
      <c r="BC764">
        <f t="shared" si="121"/>
        <v>384119.8</v>
      </c>
      <c r="BD764">
        <f t="shared" si="121"/>
        <v>576179.69999999995</v>
      </c>
      <c r="BE764">
        <f t="shared" si="121"/>
        <v>921887.52</v>
      </c>
      <c r="BF764">
        <f t="shared" si="121"/>
        <v>1152359.3999999999</v>
      </c>
      <c r="BG764">
        <f t="shared" si="121"/>
        <v>3841198</v>
      </c>
      <c r="BH764">
        <f t="shared" si="121"/>
        <v>11523594</v>
      </c>
      <c r="BI764">
        <f t="shared" si="121"/>
        <v>32650183</v>
      </c>
      <c r="BJ764">
        <f t="shared" si="121"/>
        <v>115235940</v>
      </c>
      <c r="BK764">
        <f t="shared" si="121"/>
        <v>384119800</v>
      </c>
      <c r="BL764">
        <v>759</v>
      </c>
    </row>
    <row r="765" spans="1:64" ht="17.25" thickBot="1" x14ac:dyDescent="0.25">
      <c r="A765" s="131">
        <v>761</v>
      </c>
      <c r="B765" s="132">
        <v>465137022</v>
      </c>
      <c r="D765" s="131">
        <v>761</v>
      </c>
      <c r="E765" s="132">
        <v>38.568449999999999</v>
      </c>
      <c r="AK765">
        <v>759</v>
      </c>
      <c r="AL765" s="24">
        <f t="shared" si="123"/>
        <v>38.464199999999998</v>
      </c>
      <c r="AM765">
        <f t="shared" si="122"/>
        <v>269.24939999999998</v>
      </c>
      <c r="AN765">
        <f t="shared" si="122"/>
        <v>384.642</v>
      </c>
      <c r="AO765">
        <f t="shared" si="122"/>
        <v>576.96299999999997</v>
      </c>
      <c r="AP765">
        <f t="shared" si="122"/>
        <v>769.28399999999999</v>
      </c>
      <c r="AQ765">
        <f t="shared" si="122"/>
        <v>1346.2469999999998</v>
      </c>
      <c r="AR765">
        <f t="shared" si="122"/>
        <v>1923.2099999999998</v>
      </c>
      <c r="AS765">
        <f t="shared" si="122"/>
        <v>3077.136</v>
      </c>
      <c r="AT765">
        <f t="shared" si="122"/>
        <v>4615.7039999999997</v>
      </c>
      <c r="AU765">
        <f t="shared" si="122"/>
        <v>6538.9139999999998</v>
      </c>
      <c r="AV765">
        <f t="shared" si="122"/>
        <v>9231.4079999999994</v>
      </c>
      <c r="AW765">
        <f t="shared" si="122"/>
        <v>12693.186</v>
      </c>
      <c r="AX765">
        <f t="shared" si="122"/>
        <v>17693.531999999999</v>
      </c>
      <c r="AY765">
        <f t="shared" si="122"/>
        <v>30771.359999999997</v>
      </c>
      <c r="AZ765">
        <f t="shared" si="122"/>
        <v>57696.299999999996</v>
      </c>
      <c r="BA765">
        <f t="shared" si="122"/>
        <v>96160.5</v>
      </c>
      <c r="BB765">
        <f t="shared" si="122"/>
        <v>153856.79999999999</v>
      </c>
      <c r="BC765">
        <f t="shared" si="121"/>
        <v>384642</v>
      </c>
      <c r="BD765">
        <f t="shared" si="121"/>
        <v>576963</v>
      </c>
      <c r="BE765">
        <f t="shared" si="121"/>
        <v>923140.79999999993</v>
      </c>
      <c r="BF765">
        <f t="shared" si="121"/>
        <v>1153926</v>
      </c>
      <c r="BG765">
        <f t="shared" si="121"/>
        <v>3846420</v>
      </c>
      <c r="BH765">
        <f t="shared" si="121"/>
        <v>11539260</v>
      </c>
      <c r="BI765">
        <f t="shared" si="121"/>
        <v>32694570</v>
      </c>
      <c r="BJ765">
        <f t="shared" si="121"/>
        <v>115392600</v>
      </c>
      <c r="BK765">
        <f t="shared" si="121"/>
        <v>384642000</v>
      </c>
      <c r="BL765">
        <v>760</v>
      </c>
    </row>
    <row r="766" spans="1:64" ht="17.25" thickBot="1" x14ac:dyDescent="0.25">
      <c r="A766" s="131">
        <v>762</v>
      </c>
      <c r="B766" s="132">
        <v>468478461</v>
      </c>
      <c r="D766" s="131">
        <v>762</v>
      </c>
      <c r="E766" s="132">
        <v>38.620469999999997</v>
      </c>
      <c r="AK766">
        <v>760</v>
      </c>
      <c r="AL766" s="24">
        <f t="shared" si="123"/>
        <v>38.516359999999999</v>
      </c>
      <c r="AM766">
        <f t="shared" si="122"/>
        <v>269.61451999999997</v>
      </c>
      <c r="AN766">
        <f t="shared" si="122"/>
        <v>385.16359999999997</v>
      </c>
      <c r="AO766">
        <f t="shared" si="122"/>
        <v>577.74540000000002</v>
      </c>
      <c r="AP766">
        <f t="shared" si="122"/>
        <v>770.32719999999995</v>
      </c>
      <c r="AQ766">
        <f t="shared" si="122"/>
        <v>1348.0726</v>
      </c>
      <c r="AR766">
        <f t="shared" si="122"/>
        <v>1925.818</v>
      </c>
      <c r="AS766">
        <f t="shared" si="122"/>
        <v>3081.3087999999998</v>
      </c>
      <c r="AT766">
        <f t="shared" si="122"/>
        <v>4621.9632000000001</v>
      </c>
      <c r="AU766">
        <f t="shared" si="122"/>
        <v>6547.7811999999994</v>
      </c>
      <c r="AV766">
        <f t="shared" si="122"/>
        <v>9243.9264000000003</v>
      </c>
      <c r="AW766">
        <f t="shared" si="122"/>
        <v>12710.398799999999</v>
      </c>
      <c r="AX766">
        <f t="shared" si="122"/>
        <v>17717.525600000001</v>
      </c>
      <c r="AY766">
        <f t="shared" si="122"/>
        <v>30813.088</v>
      </c>
      <c r="AZ766">
        <f t="shared" si="122"/>
        <v>57774.54</v>
      </c>
      <c r="BA766">
        <f t="shared" si="122"/>
        <v>96290.9</v>
      </c>
      <c r="BB766">
        <f t="shared" ref="AM766:BB782" si="124">BB$5*VLOOKUP($AK766,$D$2:$E$1404,2,FALSE)</f>
        <v>154065.44</v>
      </c>
      <c r="BC766">
        <f t="shared" si="121"/>
        <v>385163.6</v>
      </c>
      <c r="BD766">
        <f t="shared" si="121"/>
        <v>577745.4</v>
      </c>
      <c r="BE766">
        <f t="shared" si="121"/>
        <v>924392.64</v>
      </c>
      <c r="BF766">
        <f t="shared" si="121"/>
        <v>1155490.8</v>
      </c>
      <c r="BG766">
        <f t="shared" si="121"/>
        <v>3851636</v>
      </c>
      <c r="BH766">
        <f t="shared" si="121"/>
        <v>11554908</v>
      </c>
      <c r="BI766">
        <f t="shared" si="121"/>
        <v>32738906</v>
      </c>
      <c r="BJ766">
        <f t="shared" si="121"/>
        <v>115549080</v>
      </c>
      <c r="BK766">
        <f t="shared" si="121"/>
        <v>385163600</v>
      </c>
      <c r="BL766">
        <v>761</v>
      </c>
    </row>
    <row r="767" spans="1:64" ht="17.25" thickBot="1" x14ac:dyDescent="0.25">
      <c r="A767" s="131">
        <v>763</v>
      </c>
      <c r="B767" s="132">
        <v>471842138</v>
      </c>
      <c r="D767" s="131">
        <v>763</v>
      </c>
      <c r="E767" s="132">
        <v>38.672420000000002</v>
      </c>
      <c r="AK767">
        <v>761</v>
      </c>
      <c r="AL767" s="24">
        <f t="shared" si="123"/>
        <v>38.568449999999999</v>
      </c>
      <c r="AM767">
        <f t="shared" si="124"/>
        <v>269.97915</v>
      </c>
      <c r="AN767">
        <f t="shared" si="124"/>
        <v>385.68449999999996</v>
      </c>
      <c r="AO767">
        <f t="shared" si="124"/>
        <v>578.52674999999999</v>
      </c>
      <c r="AP767">
        <f t="shared" si="124"/>
        <v>771.36899999999991</v>
      </c>
      <c r="AQ767">
        <f t="shared" si="124"/>
        <v>1349.8957499999999</v>
      </c>
      <c r="AR767">
        <f t="shared" si="124"/>
        <v>1928.4224999999999</v>
      </c>
      <c r="AS767">
        <f t="shared" si="124"/>
        <v>3085.4759999999997</v>
      </c>
      <c r="AT767">
        <f t="shared" si="124"/>
        <v>4628.2139999999999</v>
      </c>
      <c r="AU767">
        <f t="shared" si="124"/>
        <v>6556.6364999999996</v>
      </c>
      <c r="AV767">
        <f t="shared" si="124"/>
        <v>9256.4279999999999</v>
      </c>
      <c r="AW767">
        <f t="shared" si="124"/>
        <v>12727.5885</v>
      </c>
      <c r="AX767">
        <f t="shared" si="124"/>
        <v>17741.487000000001</v>
      </c>
      <c r="AY767">
        <f t="shared" si="124"/>
        <v>30854.76</v>
      </c>
      <c r="AZ767">
        <f t="shared" si="124"/>
        <v>57852.674999999996</v>
      </c>
      <c r="BA767">
        <f t="shared" si="124"/>
        <v>96421.125</v>
      </c>
      <c r="BB767">
        <f t="shared" si="124"/>
        <v>154273.79999999999</v>
      </c>
      <c r="BC767">
        <f t="shared" si="121"/>
        <v>385684.5</v>
      </c>
      <c r="BD767">
        <f t="shared" si="121"/>
        <v>578526.75</v>
      </c>
      <c r="BE767">
        <f t="shared" si="121"/>
        <v>925642.79999999993</v>
      </c>
      <c r="BF767">
        <f t="shared" si="121"/>
        <v>1157053.5</v>
      </c>
      <c r="BG767">
        <f t="shared" si="121"/>
        <v>3856845</v>
      </c>
      <c r="BH767">
        <f t="shared" si="121"/>
        <v>11570535</v>
      </c>
      <c r="BI767">
        <f t="shared" si="121"/>
        <v>32783182.5</v>
      </c>
      <c r="BJ767">
        <f t="shared" si="121"/>
        <v>115705350</v>
      </c>
      <c r="BK767">
        <f t="shared" si="121"/>
        <v>385684500</v>
      </c>
      <c r="BL767">
        <v>762</v>
      </c>
    </row>
    <row r="768" spans="1:64" ht="17.25" thickBot="1" x14ac:dyDescent="0.25">
      <c r="A768" s="131">
        <v>764</v>
      </c>
      <c r="B768" s="132">
        <v>475228161</v>
      </c>
      <c r="D768" s="131">
        <v>764</v>
      </c>
      <c r="E768" s="132">
        <v>38.724310000000003</v>
      </c>
      <c r="AK768">
        <v>762</v>
      </c>
      <c r="AL768" s="24">
        <f t="shared" si="123"/>
        <v>38.620469999999997</v>
      </c>
      <c r="AM768">
        <f t="shared" si="124"/>
        <v>270.34328999999997</v>
      </c>
      <c r="AN768">
        <f t="shared" si="124"/>
        <v>386.2047</v>
      </c>
      <c r="AO768">
        <f t="shared" si="124"/>
        <v>579.30705</v>
      </c>
      <c r="AP768">
        <f t="shared" si="124"/>
        <v>772.40940000000001</v>
      </c>
      <c r="AQ768">
        <f t="shared" si="124"/>
        <v>1351.7164499999999</v>
      </c>
      <c r="AR768">
        <f t="shared" si="124"/>
        <v>1931.0234999999998</v>
      </c>
      <c r="AS768">
        <f t="shared" si="124"/>
        <v>3089.6376</v>
      </c>
      <c r="AT768">
        <f t="shared" si="124"/>
        <v>4634.4564</v>
      </c>
      <c r="AU768">
        <f t="shared" si="124"/>
        <v>6565.4798999999994</v>
      </c>
      <c r="AV768">
        <f t="shared" si="124"/>
        <v>9268.9128000000001</v>
      </c>
      <c r="AW768">
        <f t="shared" si="124"/>
        <v>12744.755099999998</v>
      </c>
      <c r="AX768">
        <f t="shared" si="124"/>
        <v>17765.4162</v>
      </c>
      <c r="AY768">
        <f t="shared" si="124"/>
        <v>30896.375999999997</v>
      </c>
      <c r="AZ768">
        <f t="shared" si="124"/>
        <v>57930.704999999994</v>
      </c>
      <c r="BA768">
        <f t="shared" si="124"/>
        <v>96551.174999999988</v>
      </c>
      <c r="BB768">
        <f t="shared" si="124"/>
        <v>154481.87999999998</v>
      </c>
      <c r="BC768">
        <f t="shared" si="121"/>
        <v>386204.69999999995</v>
      </c>
      <c r="BD768">
        <f t="shared" si="121"/>
        <v>579307.04999999993</v>
      </c>
      <c r="BE768">
        <f t="shared" si="121"/>
        <v>926891.27999999991</v>
      </c>
      <c r="BF768">
        <f t="shared" si="121"/>
        <v>1158614.0999999999</v>
      </c>
      <c r="BG768">
        <f t="shared" si="121"/>
        <v>3862046.9999999995</v>
      </c>
      <c r="BH768">
        <f t="shared" si="121"/>
        <v>11586141</v>
      </c>
      <c r="BI768">
        <f t="shared" si="121"/>
        <v>32827399.499999996</v>
      </c>
      <c r="BJ768">
        <f t="shared" si="121"/>
        <v>115861409.99999999</v>
      </c>
      <c r="BK768">
        <f t="shared" si="121"/>
        <v>386204700</v>
      </c>
      <c r="BL768">
        <v>763</v>
      </c>
    </row>
    <row r="769" spans="1:64" ht="17.25" thickBot="1" x14ac:dyDescent="0.25">
      <c r="A769" s="131">
        <v>765</v>
      </c>
      <c r="B769" s="132">
        <v>478636638</v>
      </c>
      <c r="D769" s="131">
        <v>765</v>
      </c>
      <c r="E769" s="132">
        <v>38.776130000000002</v>
      </c>
      <c r="AK769">
        <v>763</v>
      </c>
      <c r="AL769" s="24">
        <f t="shared" si="123"/>
        <v>38.672420000000002</v>
      </c>
      <c r="AM769">
        <f t="shared" si="124"/>
        <v>270.70694000000003</v>
      </c>
      <c r="AN769">
        <f t="shared" si="124"/>
        <v>386.7242</v>
      </c>
      <c r="AO769">
        <f t="shared" si="124"/>
        <v>580.08630000000005</v>
      </c>
      <c r="AP769">
        <f t="shared" si="124"/>
        <v>773.44839999999999</v>
      </c>
      <c r="AQ769">
        <f t="shared" si="124"/>
        <v>1353.5347000000002</v>
      </c>
      <c r="AR769">
        <f t="shared" si="124"/>
        <v>1933.6210000000001</v>
      </c>
      <c r="AS769">
        <f t="shared" si="124"/>
        <v>3093.7936</v>
      </c>
      <c r="AT769">
        <f t="shared" si="124"/>
        <v>4640.6904000000004</v>
      </c>
      <c r="AU769">
        <f t="shared" si="124"/>
        <v>6574.3114000000005</v>
      </c>
      <c r="AV769">
        <f t="shared" si="124"/>
        <v>9281.3808000000008</v>
      </c>
      <c r="AW769">
        <f t="shared" si="124"/>
        <v>12761.8986</v>
      </c>
      <c r="AX769">
        <f t="shared" si="124"/>
        <v>17789.313200000001</v>
      </c>
      <c r="AY769">
        <f t="shared" si="124"/>
        <v>30937.936000000002</v>
      </c>
      <c r="AZ769">
        <f t="shared" si="124"/>
        <v>58008.630000000005</v>
      </c>
      <c r="BA769">
        <f t="shared" si="124"/>
        <v>96681.05</v>
      </c>
      <c r="BB769">
        <f t="shared" si="124"/>
        <v>154689.68000000002</v>
      </c>
      <c r="BC769">
        <f t="shared" si="121"/>
        <v>386724.2</v>
      </c>
      <c r="BD769">
        <f t="shared" si="121"/>
        <v>580086.30000000005</v>
      </c>
      <c r="BE769">
        <f t="shared" si="121"/>
        <v>928138.08000000007</v>
      </c>
      <c r="BF769">
        <f t="shared" si="121"/>
        <v>1160172.6000000001</v>
      </c>
      <c r="BG769">
        <f t="shared" si="121"/>
        <v>3867242.0000000005</v>
      </c>
      <c r="BH769">
        <f t="shared" si="121"/>
        <v>11601726</v>
      </c>
      <c r="BI769">
        <f t="shared" si="121"/>
        <v>32871557.000000004</v>
      </c>
      <c r="BJ769">
        <f t="shared" si="121"/>
        <v>116017260</v>
      </c>
      <c r="BK769">
        <f t="shared" si="121"/>
        <v>386724200</v>
      </c>
      <c r="BL769">
        <v>764</v>
      </c>
    </row>
    <row r="770" spans="1:64" ht="17.25" thickBot="1" x14ac:dyDescent="0.25">
      <c r="A770" s="131">
        <v>766</v>
      </c>
      <c r="B770" s="132">
        <v>482067672</v>
      </c>
      <c r="D770" s="131">
        <v>766</v>
      </c>
      <c r="E770" s="132">
        <v>38.82788</v>
      </c>
      <c r="AK770">
        <v>764</v>
      </c>
      <c r="AL770" s="24">
        <f t="shared" si="123"/>
        <v>38.724310000000003</v>
      </c>
      <c r="AM770">
        <f t="shared" si="124"/>
        <v>271.07017000000002</v>
      </c>
      <c r="AN770">
        <f t="shared" si="124"/>
        <v>387.24310000000003</v>
      </c>
      <c r="AO770">
        <f t="shared" si="124"/>
        <v>580.86464999999998</v>
      </c>
      <c r="AP770">
        <f t="shared" si="124"/>
        <v>774.48620000000005</v>
      </c>
      <c r="AQ770">
        <f t="shared" si="124"/>
        <v>1355.35085</v>
      </c>
      <c r="AR770">
        <f t="shared" si="124"/>
        <v>1936.2155000000002</v>
      </c>
      <c r="AS770">
        <f t="shared" si="124"/>
        <v>3097.9448000000002</v>
      </c>
      <c r="AT770">
        <f t="shared" si="124"/>
        <v>4646.9171999999999</v>
      </c>
      <c r="AU770">
        <f t="shared" si="124"/>
        <v>6583.1327000000001</v>
      </c>
      <c r="AV770">
        <f t="shared" si="124"/>
        <v>9293.8343999999997</v>
      </c>
      <c r="AW770">
        <f t="shared" si="124"/>
        <v>12779.022300000001</v>
      </c>
      <c r="AX770">
        <f t="shared" si="124"/>
        <v>17813.1826</v>
      </c>
      <c r="AY770">
        <f t="shared" si="124"/>
        <v>30979.448000000004</v>
      </c>
      <c r="AZ770">
        <f t="shared" si="124"/>
        <v>58086.465000000004</v>
      </c>
      <c r="BA770">
        <f t="shared" si="124"/>
        <v>96810.775000000009</v>
      </c>
      <c r="BB770">
        <f t="shared" si="124"/>
        <v>154897.24000000002</v>
      </c>
      <c r="BC770">
        <f t="shared" si="121"/>
        <v>387243.10000000003</v>
      </c>
      <c r="BD770">
        <f t="shared" si="121"/>
        <v>580864.65</v>
      </c>
      <c r="BE770">
        <f t="shared" si="121"/>
        <v>929383.44000000006</v>
      </c>
      <c r="BF770">
        <f t="shared" si="121"/>
        <v>1161729.3</v>
      </c>
      <c r="BG770">
        <f t="shared" si="121"/>
        <v>3872431.0000000005</v>
      </c>
      <c r="BH770">
        <f t="shared" si="121"/>
        <v>11617293</v>
      </c>
      <c r="BI770">
        <f t="shared" si="121"/>
        <v>32915663.500000004</v>
      </c>
      <c r="BJ770">
        <f t="shared" si="121"/>
        <v>116172930.00000001</v>
      </c>
      <c r="BK770">
        <f t="shared" si="121"/>
        <v>387243100</v>
      </c>
      <c r="BL770">
        <v>765</v>
      </c>
    </row>
    <row r="771" spans="1:64" ht="17.25" thickBot="1" x14ac:dyDescent="0.25">
      <c r="A771" s="131">
        <v>767</v>
      </c>
      <c r="B771" s="132">
        <v>485521372</v>
      </c>
      <c r="D771" s="131">
        <v>767</v>
      </c>
      <c r="E771" s="132">
        <v>38.879559999999998</v>
      </c>
      <c r="AK771">
        <v>765</v>
      </c>
      <c r="AL771" s="24">
        <f t="shared" si="123"/>
        <v>38.776130000000002</v>
      </c>
      <c r="AM771">
        <f t="shared" si="124"/>
        <v>271.43290999999999</v>
      </c>
      <c r="AN771">
        <f t="shared" si="124"/>
        <v>387.76130000000001</v>
      </c>
      <c r="AO771">
        <f t="shared" si="124"/>
        <v>581.64195000000007</v>
      </c>
      <c r="AP771">
        <f t="shared" si="124"/>
        <v>775.52260000000001</v>
      </c>
      <c r="AQ771">
        <f t="shared" si="124"/>
        <v>1357.16455</v>
      </c>
      <c r="AR771">
        <f t="shared" si="124"/>
        <v>1938.8065000000001</v>
      </c>
      <c r="AS771">
        <f t="shared" si="124"/>
        <v>3102.0904</v>
      </c>
      <c r="AT771">
        <f t="shared" si="124"/>
        <v>4653.1356000000005</v>
      </c>
      <c r="AU771">
        <f t="shared" si="124"/>
        <v>6591.9421000000002</v>
      </c>
      <c r="AV771">
        <f t="shared" si="124"/>
        <v>9306.271200000001</v>
      </c>
      <c r="AW771">
        <f t="shared" si="124"/>
        <v>12796.1229</v>
      </c>
      <c r="AX771">
        <f t="shared" si="124"/>
        <v>17837.019800000002</v>
      </c>
      <c r="AY771">
        <f t="shared" si="124"/>
        <v>31020.904000000002</v>
      </c>
      <c r="AZ771">
        <f t="shared" si="124"/>
        <v>58164.195</v>
      </c>
      <c r="BA771">
        <f t="shared" si="124"/>
        <v>96940.325000000012</v>
      </c>
      <c r="BB771">
        <f t="shared" si="124"/>
        <v>155104.52000000002</v>
      </c>
      <c r="BC771">
        <f t="shared" si="121"/>
        <v>387761.30000000005</v>
      </c>
      <c r="BD771">
        <f t="shared" si="121"/>
        <v>581641.95000000007</v>
      </c>
      <c r="BE771">
        <f t="shared" si="121"/>
        <v>930627.12</v>
      </c>
      <c r="BF771">
        <f t="shared" si="121"/>
        <v>1163283.9000000001</v>
      </c>
      <c r="BG771">
        <f t="shared" si="121"/>
        <v>3877613</v>
      </c>
      <c r="BH771">
        <f t="shared" si="121"/>
        <v>11632839</v>
      </c>
      <c r="BI771">
        <f t="shared" si="121"/>
        <v>32959710.5</v>
      </c>
      <c r="BJ771">
        <f t="shared" si="121"/>
        <v>116328390</v>
      </c>
      <c r="BK771">
        <f t="shared" si="121"/>
        <v>387761300</v>
      </c>
      <c r="BL771">
        <v>766</v>
      </c>
    </row>
    <row r="772" spans="1:64" ht="17.25" thickBot="1" x14ac:dyDescent="0.25">
      <c r="A772" s="131">
        <v>768</v>
      </c>
      <c r="B772" s="132">
        <v>488997844</v>
      </c>
      <c r="D772" s="131">
        <v>768</v>
      </c>
      <c r="E772" s="132">
        <v>38.931179999999998</v>
      </c>
      <c r="AK772">
        <v>766</v>
      </c>
      <c r="AL772" s="24">
        <f t="shared" si="123"/>
        <v>38.82788</v>
      </c>
      <c r="AM772">
        <f t="shared" si="124"/>
        <v>271.79516000000001</v>
      </c>
      <c r="AN772">
        <f t="shared" si="124"/>
        <v>388.27879999999999</v>
      </c>
      <c r="AO772">
        <f t="shared" si="124"/>
        <v>582.41819999999996</v>
      </c>
      <c r="AP772">
        <f t="shared" si="124"/>
        <v>776.55759999999998</v>
      </c>
      <c r="AQ772">
        <f t="shared" si="124"/>
        <v>1358.9757999999999</v>
      </c>
      <c r="AR772">
        <f t="shared" si="124"/>
        <v>1941.394</v>
      </c>
      <c r="AS772">
        <f t="shared" si="124"/>
        <v>3106.2303999999999</v>
      </c>
      <c r="AT772">
        <f t="shared" si="124"/>
        <v>4659.3455999999996</v>
      </c>
      <c r="AU772">
        <f t="shared" si="124"/>
        <v>6600.7395999999999</v>
      </c>
      <c r="AV772">
        <f t="shared" si="124"/>
        <v>9318.6911999999993</v>
      </c>
      <c r="AW772">
        <f t="shared" si="124"/>
        <v>12813.2004</v>
      </c>
      <c r="AX772">
        <f t="shared" si="124"/>
        <v>17860.824799999999</v>
      </c>
      <c r="AY772">
        <f t="shared" si="124"/>
        <v>31062.304</v>
      </c>
      <c r="AZ772">
        <f t="shared" si="124"/>
        <v>58241.82</v>
      </c>
      <c r="BA772">
        <f t="shared" si="124"/>
        <v>97069.7</v>
      </c>
      <c r="BB772">
        <f t="shared" si="124"/>
        <v>155311.51999999999</v>
      </c>
      <c r="BC772">
        <f t="shared" si="121"/>
        <v>388278.8</v>
      </c>
      <c r="BD772">
        <f t="shared" si="121"/>
        <v>582418.19999999995</v>
      </c>
      <c r="BE772">
        <f t="shared" si="121"/>
        <v>931869.12</v>
      </c>
      <c r="BF772">
        <f t="shared" si="121"/>
        <v>1164836.3999999999</v>
      </c>
      <c r="BG772">
        <f t="shared" si="121"/>
        <v>3882788</v>
      </c>
      <c r="BH772">
        <f t="shared" si="121"/>
        <v>11648364</v>
      </c>
      <c r="BI772">
        <f t="shared" si="121"/>
        <v>33003698</v>
      </c>
      <c r="BJ772">
        <f t="shared" si="121"/>
        <v>116483640</v>
      </c>
      <c r="BK772">
        <f t="shared" si="121"/>
        <v>388278800</v>
      </c>
      <c r="BL772">
        <v>767</v>
      </c>
    </row>
    <row r="773" spans="1:64" ht="17.25" thickBot="1" x14ac:dyDescent="0.25">
      <c r="A773" s="131">
        <v>769</v>
      </c>
      <c r="B773" s="132">
        <v>492497194</v>
      </c>
      <c r="D773" s="131">
        <v>769</v>
      </c>
      <c r="E773" s="132">
        <v>38.982729999999997</v>
      </c>
      <c r="AK773">
        <v>767</v>
      </c>
      <c r="AL773" s="24">
        <f t="shared" si="123"/>
        <v>38.879559999999998</v>
      </c>
      <c r="AM773">
        <f t="shared" si="124"/>
        <v>272.15692000000001</v>
      </c>
      <c r="AN773">
        <f t="shared" si="124"/>
        <v>388.79559999999998</v>
      </c>
      <c r="AO773">
        <f t="shared" si="124"/>
        <v>583.1934</v>
      </c>
      <c r="AP773">
        <f t="shared" si="124"/>
        <v>777.59119999999996</v>
      </c>
      <c r="AQ773">
        <f t="shared" si="124"/>
        <v>1360.7846</v>
      </c>
      <c r="AR773">
        <f t="shared" si="124"/>
        <v>1943.9779999999998</v>
      </c>
      <c r="AS773">
        <f t="shared" si="124"/>
        <v>3110.3647999999998</v>
      </c>
      <c r="AT773">
        <f t="shared" si="124"/>
        <v>4665.5472</v>
      </c>
      <c r="AU773">
        <f t="shared" si="124"/>
        <v>6609.5252</v>
      </c>
      <c r="AV773">
        <f t="shared" si="124"/>
        <v>9331.0944</v>
      </c>
      <c r="AW773">
        <f t="shared" si="124"/>
        <v>12830.254799999999</v>
      </c>
      <c r="AX773">
        <f t="shared" si="124"/>
        <v>17884.597599999997</v>
      </c>
      <c r="AY773">
        <f t="shared" si="124"/>
        <v>31103.647999999997</v>
      </c>
      <c r="AZ773">
        <f t="shared" si="124"/>
        <v>58319.34</v>
      </c>
      <c r="BA773">
        <f t="shared" si="124"/>
        <v>97198.9</v>
      </c>
      <c r="BB773">
        <f t="shared" si="124"/>
        <v>155518.24</v>
      </c>
      <c r="BC773">
        <f t="shared" si="121"/>
        <v>388795.6</v>
      </c>
      <c r="BD773">
        <f t="shared" si="121"/>
        <v>583193.4</v>
      </c>
      <c r="BE773">
        <f t="shared" si="121"/>
        <v>933109.44</v>
      </c>
      <c r="BF773">
        <f t="shared" si="121"/>
        <v>1166386.8</v>
      </c>
      <c r="BG773">
        <f t="shared" si="121"/>
        <v>3887956</v>
      </c>
      <c r="BH773">
        <f t="shared" si="121"/>
        <v>11663868</v>
      </c>
      <c r="BI773">
        <f t="shared" si="121"/>
        <v>33047626</v>
      </c>
      <c r="BJ773">
        <f t="shared" si="121"/>
        <v>116638680</v>
      </c>
      <c r="BK773">
        <f t="shared" si="121"/>
        <v>388795600</v>
      </c>
      <c r="BL773">
        <v>768</v>
      </c>
    </row>
    <row r="774" spans="1:64" ht="17.25" thickBot="1" x14ac:dyDescent="0.25">
      <c r="A774" s="131">
        <v>770</v>
      </c>
      <c r="B774" s="132">
        <v>496019533</v>
      </c>
      <c r="D774" s="131">
        <v>770</v>
      </c>
      <c r="E774" s="132">
        <v>39.034219999999998</v>
      </c>
      <c r="AK774">
        <v>768</v>
      </c>
      <c r="AL774" s="24">
        <f t="shared" si="123"/>
        <v>38.931179999999998</v>
      </c>
      <c r="AM774">
        <f t="shared" si="124"/>
        <v>272.51826</v>
      </c>
      <c r="AN774">
        <f t="shared" si="124"/>
        <v>389.31179999999995</v>
      </c>
      <c r="AO774">
        <f t="shared" si="124"/>
        <v>583.96769999999992</v>
      </c>
      <c r="AP774">
        <f t="shared" si="124"/>
        <v>778.6235999999999</v>
      </c>
      <c r="AQ774">
        <f t="shared" si="124"/>
        <v>1362.5912999999998</v>
      </c>
      <c r="AR774">
        <f t="shared" si="124"/>
        <v>1946.559</v>
      </c>
      <c r="AS774">
        <f t="shared" si="124"/>
        <v>3114.4943999999996</v>
      </c>
      <c r="AT774">
        <f t="shared" si="124"/>
        <v>4671.7415999999994</v>
      </c>
      <c r="AU774">
        <f t="shared" si="124"/>
        <v>6618.3005999999996</v>
      </c>
      <c r="AV774">
        <f t="shared" si="124"/>
        <v>9343.4831999999988</v>
      </c>
      <c r="AW774">
        <f t="shared" si="124"/>
        <v>12847.2894</v>
      </c>
      <c r="AX774">
        <f t="shared" si="124"/>
        <v>17908.342799999999</v>
      </c>
      <c r="AY774">
        <f t="shared" si="124"/>
        <v>31144.944</v>
      </c>
      <c r="AZ774">
        <f t="shared" si="124"/>
        <v>58396.77</v>
      </c>
      <c r="BA774">
        <f t="shared" si="124"/>
        <v>97327.95</v>
      </c>
      <c r="BB774">
        <f t="shared" si="124"/>
        <v>155724.72</v>
      </c>
      <c r="BC774">
        <f t="shared" si="121"/>
        <v>389311.8</v>
      </c>
      <c r="BD774">
        <f t="shared" si="121"/>
        <v>583967.69999999995</v>
      </c>
      <c r="BE774">
        <f t="shared" si="121"/>
        <v>934348.32</v>
      </c>
      <c r="BF774">
        <f t="shared" si="121"/>
        <v>1167935.3999999999</v>
      </c>
      <c r="BG774">
        <f t="shared" si="121"/>
        <v>3893118</v>
      </c>
      <c r="BH774">
        <f t="shared" si="121"/>
        <v>11679354</v>
      </c>
      <c r="BI774">
        <f t="shared" si="121"/>
        <v>33091502.999999996</v>
      </c>
      <c r="BJ774">
        <f t="shared" si="121"/>
        <v>116793540</v>
      </c>
      <c r="BK774">
        <f t="shared" si="121"/>
        <v>389311800</v>
      </c>
      <c r="BL774">
        <v>769</v>
      </c>
    </row>
    <row r="775" spans="1:64" ht="17.25" thickBot="1" x14ac:dyDescent="0.25">
      <c r="A775" s="131">
        <v>771</v>
      </c>
      <c r="B775" s="132">
        <v>499564966</v>
      </c>
      <c r="D775" s="131">
        <v>771</v>
      </c>
      <c r="E775" s="132">
        <v>39.085639999999998</v>
      </c>
      <c r="AK775">
        <v>769</v>
      </c>
      <c r="AL775" s="24">
        <f t="shared" si="123"/>
        <v>38.982729999999997</v>
      </c>
      <c r="AM775">
        <f t="shared" si="124"/>
        <v>272.87910999999997</v>
      </c>
      <c r="AN775">
        <f t="shared" si="124"/>
        <v>389.82729999999998</v>
      </c>
      <c r="AO775">
        <f t="shared" si="124"/>
        <v>584.74095</v>
      </c>
      <c r="AP775">
        <f t="shared" si="124"/>
        <v>779.65459999999996</v>
      </c>
      <c r="AQ775">
        <f t="shared" si="124"/>
        <v>1364.39555</v>
      </c>
      <c r="AR775">
        <f t="shared" si="124"/>
        <v>1949.1364999999998</v>
      </c>
      <c r="AS775">
        <f t="shared" si="124"/>
        <v>3118.6183999999998</v>
      </c>
      <c r="AT775">
        <f t="shared" si="124"/>
        <v>4677.9276</v>
      </c>
      <c r="AU775">
        <f t="shared" si="124"/>
        <v>6627.0640999999996</v>
      </c>
      <c r="AV775">
        <f t="shared" si="124"/>
        <v>9355.8552</v>
      </c>
      <c r="AW775">
        <f t="shared" si="124"/>
        <v>12864.300899999998</v>
      </c>
      <c r="AX775">
        <f t="shared" si="124"/>
        <v>17932.055799999998</v>
      </c>
      <c r="AY775">
        <f t="shared" si="124"/>
        <v>31186.183999999997</v>
      </c>
      <c r="AZ775">
        <f t="shared" si="124"/>
        <v>58474.094999999994</v>
      </c>
      <c r="BA775">
        <f t="shared" si="124"/>
        <v>97456.824999999997</v>
      </c>
      <c r="BB775">
        <f t="shared" si="124"/>
        <v>155930.91999999998</v>
      </c>
      <c r="BC775">
        <f t="shared" si="121"/>
        <v>389827.3</v>
      </c>
      <c r="BD775">
        <f t="shared" si="121"/>
        <v>584740.94999999995</v>
      </c>
      <c r="BE775">
        <f t="shared" si="121"/>
        <v>935585.5199999999</v>
      </c>
      <c r="BF775">
        <f t="shared" si="121"/>
        <v>1169481.8999999999</v>
      </c>
      <c r="BG775">
        <f t="shared" si="121"/>
        <v>3898272.9999999995</v>
      </c>
      <c r="BH775">
        <f t="shared" si="121"/>
        <v>11694818.999999998</v>
      </c>
      <c r="BI775">
        <f t="shared" si="121"/>
        <v>33135320.499999996</v>
      </c>
      <c r="BJ775">
        <f t="shared" si="121"/>
        <v>116948189.99999999</v>
      </c>
      <c r="BK775">
        <f t="shared" si="121"/>
        <v>389827299.99999994</v>
      </c>
      <c r="BL775">
        <v>770</v>
      </c>
    </row>
    <row r="776" spans="1:64" ht="17.25" thickBot="1" x14ac:dyDescent="0.25">
      <c r="A776" s="131">
        <v>772</v>
      </c>
      <c r="B776" s="132">
        <v>503133605</v>
      </c>
      <c r="D776" s="131">
        <v>772</v>
      </c>
      <c r="E776" s="132">
        <v>39.136989999999997</v>
      </c>
      <c r="AK776">
        <v>770</v>
      </c>
      <c r="AL776" s="24">
        <f t="shared" si="123"/>
        <v>39.034219999999998</v>
      </c>
      <c r="AM776">
        <f t="shared" si="124"/>
        <v>273.23953999999998</v>
      </c>
      <c r="AN776">
        <f t="shared" si="124"/>
        <v>390.34219999999999</v>
      </c>
      <c r="AO776">
        <f t="shared" si="124"/>
        <v>585.51329999999996</v>
      </c>
      <c r="AP776">
        <f t="shared" si="124"/>
        <v>780.68439999999998</v>
      </c>
      <c r="AQ776">
        <f t="shared" si="124"/>
        <v>1366.1976999999999</v>
      </c>
      <c r="AR776">
        <f t="shared" si="124"/>
        <v>1951.7109999999998</v>
      </c>
      <c r="AS776">
        <f t="shared" si="124"/>
        <v>3122.7375999999999</v>
      </c>
      <c r="AT776">
        <f t="shared" si="124"/>
        <v>4684.1063999999997</v>
      </c>
      <c r="AU776">
        <f t="shared" si="124"/>
        <v>6635.8173999999999</v>
      </c>
      <c r="AV776">
        <f t="shared" si="124"/>
        <v>9368.2127999999993</v>
      </c>
      <c r="AW776">
        <f t="shared" si="124"/>
        <v>12881.292599999999</v>
      </c>
      <c r="AX776">
        <f t="shared" si="124"/>
        <v>17955.7412</v>
      </c>
      <c r="AY776">
        <f t="shared" si="124"/>
        <v>31227.375999999997</v>
      </c>
      <c r="AZ776">
        <f t="shared" si="124"/>
        <v>58551.329999999994</v>
      </c>
      <c r="BA776">
        <f t="shared" si="124"/>
        <v>97585.549999999988</v>
      </c>
      <c r="BB776">
        <f t="shared" si="124"/>
        <v>156136.88</v>
      </c>
      <c r="BC776">
        <f t="shared" si="121"/>
        <v>390342.19999999995</v>
      </c>
      <c r="BD776">
        <f t="shared" si="121"/>
        <v>585513.29999999993</v>
      </c>
      <c r="BE776">
        <f t="shared" si="121"/>
        <v>936821.27999999991</v>
      </c>
      <c r="BF776">
        <f t="shared" si="121"/>
        <v>1171026.5999999999</v>
      </c>
      <c r="BG776">
        <f t="shared" si="121"/>
        <v>3903422</v>
      </c>
      <c r="BH776">
        <f t="shared" si="121"/>
        <v>11710266</v>
      </c>
      <c r="BI776">
        <f t="shared" si="121"/>
        <v>33179086.999999996</v>
      </c>
      <c r="BJ776">
        <f t="shared" si="121"/>
        <v>117102660</v>
      </c>
      <c r="BK776">
        <f t="shared" si="121"/>
        <v>390342200</v>
      </c>
      <c r="BL776">
        <v>771</v>
      </c>
    </row>
    <row r="777" spans="1:64" ht="17.25" thickBot="1" x14ac:dyDescent="0.25">
      <c r="A777" s="131">
        <v>773</v>
      </c>
      <c r="B777" s="132">
        <v>506725555</v>
      </c>
      <c r="D777" s="131">
        <v>773</v>
      </c>
      <c r="E777" s="132">
        <v>39.188279999999999</v>
      </c>
      <c r="AK777">
        <v>771</v>
      </c>
      <c r="AL777" s="24">
        <f t="shared" si="123"/>
        <v>39.085639999999998</v>
      </c>
      <c r="AM777">
        <f t="shared" si="124"/>
        <v>273.59947999999997</v>
      </c>
      <c r="AN777">
        <f t="shared" si="124"/>
        <v>390.85640000000001</v>
      </c>
      <c r="AO777">
        <f t="shared" si="124"/>
        <v>586.28459999999995</v>
      </c>
      <c r="AP777">
        <f t="shared" si="124"/>
        <v>781.71280000000002</v>
      </c>
      <c r="AQ777">
        <f t="shared" si="124"/>
        <v>1367.9974</v>
      </c>
      <c r="AR777">
        <f t="shared" si="124"/>
        <v>1954.2819999999999</v>
      </c>
      <c r="AS777">
        <f t="shared" si="124"/>
        <v>3126.8512000000001</v>
      </c>
      <c r="AT777">
        <f t="shared" si="124"/>
        <v>4690.2767999999996</v>
      </c>
      <c r="AU777">
        <f t="shared" si="124"/>
        <v>6644.5587999999998</v>
      </c>
      <c r="AV777">
        <f t="shared" si="124"/>
        <v>9380.5535999999993</v>
      </c>
      <c r="AW777">
        <f t="shared" si="124"/>
        <v>12898.261199999999</v>
      </c>
      <c r="AX777">
        <f t="shared" si="124"/>
        <v>17979.394399999997</v>
      </c>
      <c r="AY777">
        <f t="shared" si="124"/>
        <v>31268.511999999999</v>
      </c>
      <c r="AZ777">
        <f t="shared" si="124"/>
        <v>58628.46</v>
      </c>
      <c r="BA777">
        <f t="shared" si="124"/>
        <v>97714.099999999991</v>
      </c>
      <c r="BB777">
        <f t="shared" si="124"/>
        <v>156342.56</v>
      </c>
      <c r="BC777">
        <f t="shared" si="121"/>
        <v>390856.39999999997</v>
      </c>
      <c r="BD777">
        <f t="shared" si="121"/>
        <v>586284.6</v>
      </c>
      <c r="BE777">
        <f t="shared" si="121"/>
        <v>938055.36</v>
      </c>
      <c r="BF777">
        <f t="shared" si="121"/>
        <v>1172569.2</v>
      </c>
      <c r="BG777">
        <f t="shared" si="121"/>
        <v>3908564</v>
      </c>
      <c r="BH777">
        <f t="shared" si="121"/>
        <v>11725692</v>
      </c>
      <c r="BI777">
        <f t="shared" si="121"/>
        <v>33222794</v>
      </c>
      <c r="BJ777">
        <f t="shared" si="121"/>
        <v>117256920</v>
      </c>
      <c r="BK777">
        <f t="shared" si="121"/>
        <v>390856400</v>
      </c>
      <c r="BL777">
        <v>772</v>
      </c>
    </row>
    <row r="778" spans="1:64" ht="17.25" thickBot="1" x14ac:dyDescent="0.25">
      <c r="A778" s="131">
        <v>774</v>
      </c>
      <c r="B778" s="132">
        <v>510340927</v>
      </c>
      <c r="D778" s="131">
        <v>774</v>
      </c>
      <c r="E778" s="132">
        <v>39.2395</v>
      </c>
      <c r="AK778">
        <v>772</v>
      </c>
      <c r="AL778" s="24">
        <f t="shared" si="123"/>
        <v>39.136989999999997</v>
      </c>
      <c r="AM778">
        <f t="shared" si="124"/>
        <v>273.95893000000001</v>
      </c>
      <c r="AN778">
        <f t="shared" si="124"/>
        <v>391.36989999999997</v>
      </c>
      <c r="AO778">
        <f t="shared" si="124"/>
        <v>587.05484999999999</v>
      </c>
      <c r="AP778">
        <f t="shared" si="124"/>
        <v>782.73979999999995</v>
      </c>
      <c r="AQ778">
        <f t="shared" si="124"/>
        <v>1369.7946499999998</v>
      </c>
      <c r="AR778">
        <f t="shared" si="124"/>
        <v>1956.8494999999998</v>
      </c>
      <c r="AS778">
        <f t="shared" si="124"/>
        <v>3130.9591999999998</v>
      </c>
      <c r="AT778">
        <f t="shared" si="124"/>
        <v>4696.4387999999999</v>
      </c>
      <c r="AU778">
        <f t="shared" si="124"/>
        <v>6653.2882999999993</v>
      </c>
      <c r="AV778">
        <f t="shared" si="124"/>
        <v>9392.8775999999998</v>
      </c>
      <c r="AW778">
        <f t="shared" si="124"/>
        <v>12915.206699999999</v>
      </c>
      <c r="AX778">
        <f t="shared" si="124"/>
        <v>18003.0154</v>
      </c>
      <c r="AY778">
        <f t="shared" si="124"/>
        <v>31309.591999999997</v>
      </c>
      <c r="AZ778">
        <f t="shared" si="124"/>
        <v>58705.484999999993</v>
      </c>
      <c r="BA778">
        <f t="shared" si="124"/>
        <v>97842.474999999991</v>
      </c>
      <c r="BB778">
        <f t="shared" si="124"/>
        <v>156547.96</v>
      </c>
      <c r="BC778">
        <f t="shared" si="121"/>
        <v>391369.89999999997</v>
      </c>
      <c r="BD778">
        <f t="shared" si="121"/>
        <v>587054.85</v>
      </c>
      <c r="BE778">
        <f t="shared" si="121"/>
        <v>939287.75999999989</v>
      </c>
      <c r="BF778">
        <f t="shared" si="121"/>
        <v>1174109.7</v>
      </c>
      <c r="BG778">
        <f t="shared" si="121"/>
        <v>3913698.9999999995</v>
      </c>
      <c r="BH778">
        <f t="shared" si="121"/>
        <v>11741097</v>
      </c>
      <c r="BI778">
        <f t="shared" si="121"/>
        <v>33266441.499999996</v>
      </c>
      <c r="BJ778">
        <f t="shared" si="121"/>
        <v>117410969.99999999</v>
      </c>
      <c r="BK778">
        <f t="shared" ref="BC778:BK807" si="125">BK$5*VLOOKUP($AK778,$D$2:$E$1404,2,FALSE)</f>
        <v>391369900</v>
      </c>
      <c r="BL778">
        <v>773</v>
      </c>
    </row>
    <row r="779" spans="1:64" ht="17.25" thickBot="1" x14ac:dyDescent="0.25">
      <c r="A779" s="131">
        <v>775</v>
      </c>
      <c r="B779" s="132">
        <v>513979833</v>
      </c>
      <c r="D779" s="131">
        <v>775</v>
      </c>
      <c r="E779" s="132">
        <v>39.290660000000003</v>
      </c>
      <c r="AK779">
        <v>773</v>
      </c>
      <c r="AL779" s="24">
        <f t="shared" si="123"/>
        <v>39.188279999999999</v>
      </c>
      <c r="AM779">
        <f t="shared" si="124"/>
        <v>274.31795999999997</v>
      </c>
      <c r="AN779">
        <f t="shared" si="124"/>
        <v>391.88279999999997</v>
      </c>
      <c r="AO779">
        <f t="shared" si="124"/>
        <v>587.82420000000002</v>
      </c>
      <c r="AP779">
        <f t="shared" si="124"/>
        <v>783.76559999999995</v>
      </c>
      <c r="AQ779">
        <f t="shared" si="124"/>
        <v>1371.5898</v>
      </c>
      <c r="AR779">
        <f t="shared" si="124"/>
        <v>1959.414</v>
      </c>
      <c r="AS779">
        <f t="shared" si="124"/>
        <v>3135.0623999999998</v>
      </c>
      <c r="AT779">
        <f t="shared" si="124"/>
        <v>4702.5936000000002</v>
      </c>
      <c r="AU779">
        <f t="shared" si="124"/>
        <v>6662.0075999999999</v>
      </c>
      <c r="AV779">
        <f t="shared" si="124"/>
        <v>9405.1872000000003</v>
      </c>
      <c r="AW779">
        <f t="shared" si="124"/>
        <v>12932.1324</v>
      </c>
      <c r="AX779">
        <f t="shared" si="124"/>
        <v>18026.608799999998</v>
      </c>
      <c r="AY779">
        <f t="shared" si="124"/>
        <v>31350.624</v>
      </c>
      <c r="AZ779">
        <f t="shared" si="124"/>
        <v>58782.42</v>
      </c>
      <c r="BA779">
        <f t="shared" si="124"/>
        <v>97970.7</v>
      </c>
      <c r="BB779">
        <f t="shared" si="124"/>
        <v>156753.12</v>
      </c>
      <c r="BC779">
        <f t="shared" si="125"/>
        <v>391882.8</v>
      </c>
      <c r="BD779">
        <f t="shared" si="125"/>
        <v>587824.19999999995</v>
      </c>
      <c r="BE779">
        <f t="shared" si="125"/>
        <v>940518.72</v>
      </c>
      <c r="BF779">
        <f t="shared" si="125"/>
        <v>1175648.3999999999</v>
      </c>
      <c r="BG779">
        <f t="shared" si="125"/>
        <v>3918828</v>
      </c>
      <c r="BH779">
        <f t="shared" si="125"/>
        <v>11756484</v>
      </c>
      <c r="BI779">
        <f t="shared" si="125"/>
        <v>33310038</v>
      </c>
      <c r="BJ779">
        <f t="shared" si="125"/>
        <v>117564840</v>
      </c>
      <c r="BK779">
        <f t="shared" si="125"/>
        <v>391882800</v>
      </c>
      <c r="BL779">
        <v>774</v>
      </c>
    </row>
    <row r="780" spans="1:64" ht="17.25" thickBot="1" x14ac:dyDescent="0.25">
      <c r="A780" s="131">
        <v>776</v>
      </c>
      <c r="B780" s="132">
        <v>517642383</v>
      </c>
      <c r="D780" s="131">
        <v>776</v>
      </c>
      <c r="E780" s="132">
        <v>39.341749999999998</v>
      </c>
      <c r="AK780">
        <v>774</v>
      </c>
      <c r="AL780" s="24">
        <f t="shared" si="123"/>
        <v>39.2395</v>
      </c>
      <c r="AM780">
        <f t="shared" si="124"/>
        <v>274.67649999999998</v>
      </c>
      <c r="AN780">
        <f t="shared" si="124"/>
        <v>392.39499999999998</v>
      </c>
      <c r="AO780">
        <f t="shared" si="124"/>
        <v>588.59249999999997</v>
      </c>
      <c r="AP780">
        <f t="shared" si="124"/>
        <v>784.79</v>
      </c>
      <c r="AQ780">
        <f t="shared" si="124"/>
        <v>1373.3824999999999</v>
      </c>
      <c r="AR780">
        <f t="shared" si="124"/>
        <v>1961.9749999999999</v>
      </c>
      <c r="AS780">
        <f t="shared" si="124"/>
        <v>3139.16</v>
      </c>
      <c r="AT780">
        <f t="shared" si="124"/>
        <v>4708.74</v>
      </c>
      <c r="AU780">
        <f t="shared" si="124"/>
        <v>6670.7150000000001</v>
      </c>
      <c r="AV780">
        <f t="shared" si="124"/>
        <v>9417.48</v>
      </c>
      <c r="AW780">
        <f t="shared" si="124"/>
        <v>12949.035</v>
      </c>
      <c r="AX780">
        <f t="shared" si="124"/>
        <v>18050.169999999998</v>
      </c>
      <c r="AY780">
        <f t="shared" si="124"/>
        <v>31391.599999999999</v>
      </c>
      <c r="AZ780">
        <f t="shared" si="124"/>
        <v>58859.25</v>
      </c>
      <c r="BA780">
        <f t="shared" si="124"/>
        <v>98098.75</v>
      </c>
      <c r="BB780">
        <f t="shared" si="124"/>
        <v>156958</v>
      </c>
      <c r="BC780">
        <f t="shared" si="125"/>
        <v>392395</v>
      </c>
      <c r="BD780">
        <f t="shared" si="125"/>
        <v>588592.5</v>
      </c>
      <c r="BE780">
        <f t="shared" si="125"/>
        <v>941748</v>
      </c>
      <c r="BF780">
        <f t="shared" si="125"/>
        <v>1177185</v>
      </c>
      <c r="BG780">
        <f t="shared" si="125"/>
        <v>3923950</v>
      </c>
      <c r="BH780">
        <f t="shared" si="125"/>
        <v>11771850</v>
      </c>
      <c r="BI780">
        <f t="shared" si="125"/>
        <v>33353575</v>
      </c>
      <c r="BJ780">
        <f t="shared" si="125"/>
        <v>117718500</v>
      </c>
      <c r="BK780">
        <f t="shared" si="125"/>
        <v>392395000</v>
      </c>
      <c r="BL780">
        <v>775</v>
      </c>
    </row>
    <row r="781" spans="1:64" ht="17.25" thickBot="1" x14ac:dyDescent="0.25">
      <c r="A781" s="131">
        <v>777</v>
      </c>
      <c r="B781" s="132">
        <v>521328683</v>
      </c>
      <c r="D781" s="131">
        <v>777</v>
      </c>
      <c r="E781" s="132">
        <v>39.392780000000002</v>
      </c>
      <c r="AK781">
        <v>775</v>
      </c>
      <c r="AL781" s="24">
        <f t="shared" si="123"/>
        <v>39.290660000000003</v>
      </c>
      <c r="AM781">
        <f t="shared" si="124"/>
        <v>275.03462000000002</v>
      </c>
      <c r="AN781">
        <f t="shared" si="124"/>
        <v>392.90660000000003</v>
      </c>
      <c r="AO781">
        <f t="shared" si="124"/>
        <v>589.35990000000004</v>
      </c>
      <c r="AP781">
        <f t="shared" si="124"/>
        <v>785.81320000000005</v>
      </c>
      <c r="AQ781">
        <f t="shared" si="124"/>
        <v>1375.1731</v>
      </c>
      <c r="AR781">
        <f t="shared" si="124"/>
        <v>1964.5330000000001</v>
      </c>
      <c r="AS781">
        <f t="shared" si="124"/>
        <v>3143.2528000000002</v>
      </c>
      <c r="AT781">
        <f t="shared" si="124"/>
        <v>4714.8792000000003</v>
      </c>
      <c r="AU781">
        <f t="shared" si="124"/>
        <v>6679.4122000000007</v>
      </c>
      <c r="AV781">
        <f t="shared" si="124"/>
        <v>9429.7584000000006</v>
      </c>
      <c r="AW781">
        <f t="shared" si="124"/>
        <v>12965.917800000001</v>
      </c>
      <c r="AX781">
        <f t="shared" si="124"/>
        <v>18073.703600000001</v>
      </c>
      <c r="AY781">
        <f t="shared" si="124"/>
        <v>31432.528000000002</v>
      </c>
      <c r="AZ781">
        <f t="shared" si="124"/>
        <v>58935.990000000005</v>
      </c>
      <c r="BA781">
        <f t="shared" si="124"/>
        <v>98226.650000000009</v>
      </c>
      <c r="BB781">
        <f t="shared" si="124"/>
        <v>157162.64000000001</v>
      </c>
      <c r="BC781">
        <f t="shared" si="125"/>
        <v>392906.60000000003</v>
      </c>
      <c r="BD781">
        <f t="shared" si="125"/>
        <v>589359.9</v>
      </c>
      <c r="BE781">
        <f t="shared" si="125"/>
        <v>942975.84000000008</v>
      </c>
      <c r="BF781">
        <f t="shared" si="125"/>
        <v>1178719.8</v>
      </c>
      <c r="BG781">
        <f t="shared" si="125"/>
        <v>3929066.0000000005</v>
      </c>
      <c r="BH781">
        <f t="shared" si="125"/>
        <v>11787198</v>
      </c>
      <c r="BI781">
        <f t="shared" si="125"/>
        <v>33397061.000000004</v>
      </c>
      <c r="BJ781">
        <f t="shared" si="125"/>
        <v>117871980.00000001</v>
      </c>
      <c r="BK781">
        <f t="shared" si="125"/>
        <v>392906600</v>
      </c>
      <c r="BL781">
        <v>776</v>
      </c>
    </row>
    <row r="782" spans="1:64" ht="17.25" thickBot="1" x14ac:dyDescent="0.25">
      <c r="A782" s="131">
        <v>778</v>
      </c>
      <c r="B782" s="132">
        <v>525038844</v>
      </c>
      <c r="D782" s="131">
        <v>778</v>
      </c>
      <c r="E782" s="132">
        <v>39.443739999999998</v>
      </c>
      <c r="AK782">
        <v>776</v>
      </c>
      <c r="AL782" s="24">
        <f t="shared" si="123"/>
        <v>39.341749999999998</v>
      </c>
      <c r="AM782">
        <f t="shared" si="124"/>
        <v>275.39224999999999</v>
      </c>
      <c r="AN782">
        <f t="shared" si="124"/>
        <v>393.41749999999996</v>
      </c>
      <c r="AO782">
        <f t="shared" si="124"/>
        <v>590.12624999999991</v>
      </c>
      <c r="AP782">
        <f t="shared" si="124"/>
        <v>786.83499999999992</v>
      </c>
      <c r="AQ782">
        <f t="shared" si="124"/>
        <v>1376.9612499999998</v>
      </c>
      <c r="AR782">
        <f t="shared" si="124"/>
        <v>1967.0874999999999</v>
      </c>
      <c r="AS782">
        <f t="shared" si="124"/>
        <v>3147.3399999999997</v>
      </c>
      <c r="AT782">
        <f t="shared" si="124"/>
        <v>4721.0099999999993</v>
      </c>
      <c r="AU782">
        <f t="shared" si="124"/>
        <v>6688.0974999999999</v>
      </c>
      <c r="AV782">
        <f t="shared" si="124"/>
        <v>9442.0199999999986</v>
      </c>
      <c r="AW782">
        <f t="shared" si="124"/>
        <v>12982.777499999998</v>
      </c>
      <c r="AX782">
        <f t="shared" si="124"/>
        <v>18097.204999999998</v>
      </c>
      <c r="AY782">
        <f t="shared" si="124"/>
        <v>31473.399999999998</v>
      </c>
      <c r="AZ782">
        <f t="shared" si="124"/>
        <v>59012.624999999993</v>
      </c>
      <c r="BA782">
        <f t="shared" ref="AM782:BB798" si="126">BA$5*VLOOKUP($AK782,$D$2:$E$1404,2,FALSE)</f>
        <v>98354.375</v>
      </c>
      <c r="BB782">
        <f t="shared" si="126"/>
        <v>157367</v>
      </c>
      <c r="BC782">
        <f t="shared" si="125"/>
        <v>393417.5</v>
      </c>
      <c r="BD782">
        <f t="shared" si="125"/>
        <v>590126.25</v>
      </c>
      <c r="BE782">
        <f t="shared" si="125"/>
        <v>944201.99999999988</v>
      </c>
      <c r="BF782">
        <f t="shared" si="125"/>
        <v>1180252.5</v>
      </c>
      <c r="BG782">
        <f t="shared" si="125"/>
        <v>3934174.9999999995</v>
      </c>
      <c r="BH782">
        <f t="shared" si="125"/>
        <v>11802525</v>
      </c>
      <c r="BI782">
        <f t="shared" si="125"/>
        <v>33440487.499999996</v>
      </c>
      <c r="BJ782">
        <f t="shared" si="125"/>
        <v>118025250</v>
      </c>
      <c r="BK782">
        <f t="shared" si="125"/>
        <v>393417500</v>
      </c>
      <c r="BL782">
        <v>777</v>
      </c>
    </row>
    <row r="783" spans="1:64" ht="17.25" thickBot="1" x14ac:dyDescent="0.25">
      <c r="A783" s="131">
        <v>779</v>
      </c>
      <c r="B783" s="132">
        <v>528772983</v>
      </c>
      <c r="D783" s="131">
        <v>779</v>
      </c>
      <c r="E783" s="132">
        <v>39.494639999999997</v>
      </c>
      <c r="AK783">
        <v>777</v>
      </c>
      <c r="AL783" s="24">
        <f t="shared" si="123"/>
        <v>39.392780000000002</v>
      </c>
      <c r="AM783">
        <f t="shared" si="126"/>
        <v>275.74946</v>
      </c>
      <c r="AN783">
        <f t="shared" si="126"/>
        <v>393.92780000000005</v>
      </c>
      <c r="AO783">
        <f t="shared" si="126"/>
        <v>590.89170000000001</v>
      </c>
      <c r="AP783">
        <f t="shared" si="126"/>
        <v>787.85560000000009</v>
      </c>
      <c r="AQ783">
        <f t="shared" si="126"/>
        <v>1378.7473</v>
      </c>
      <c r="AR783">
        <f t="shared" si="126"/>
        <v>1969.6390000000001</v>
      </c>
      <c r="AS783">
        <f t="shared" si="126"/>
        <v>3151.4224000000004</v>
      </c>
      <c r="AT783">
        <f t="shared" si="126"/>
        <v>4727.1336000000001</v>
      </c>
      <c r="AU783">
        <f t="shared" si="126"/>
        <v>6696.7726000000002</v>
      </c>
      <c r="AV783">
        <f t="shared" si="126"/>
        <v>9454.2672000000002</v>
      </c>
      <c r="AW783">
        <f t="shared" si="126"/>
        <v>12999.617400000001</v>
      </c>
      <c r="AX783">
        <f t="shared" si="126"/>
        <v>18120.678800000002</v>
      </c>
      <c r="AY783">
        <f t="shared" si="126"/>
        <v>31514.224000000002</v>
      </c>
      <c r="AZ783">
        <f t="shared" si="126"/>
        <v>59089.170000000006</v>
      </c>
      <c r="BA783">
        <f t="shared" si="126"/>
        <v>98481.950000000012</v>
      </c>
      <c r="BB783">
        <f t="shared" si="126"/>
        <v>157571.12</v>
      </c>
      <c r="BC783">
        <f t="shared" si="125"/>
        <v>393927.80000000005</v>
      </c>
      <c r="BD783">
        <f t="shared" si="125"/>
        <v>590891.70000000007</v>
      </c>
      <c r="BE783">
        <f t="shared" si="125"/>
        <v>945426.72000000009</v>
      </c>
      <c r="BF783">
        <f t="shared" si="125"/>
        <v>1181783.4000000001</v>
      </c>
      <c r="BG783">
        <f t="shared" si="125"/>
        <v>3939278</v>
      </c>
      <c r="BH783">
        <f t="shared" si="125"/>
        <v>11817834</v>
      </c>
      <c r="BI783">
        <f t="shared" si="125"/>
        <v>33483863</v>
      </c>
      <c r="BJ783">
        <f t="shared" si="125"/>
        <v>118178340</v>
      </c>
      <c r="BK783">
        <f t="shared" si="125"/>
        <v>393927800</v>
      </c>
      <c r="BL783">
        <v>778</v>
      </c>
    </row>
    <row r="784" spans="1:64" ht="17.25" thickBot="1" x14ac:dyDescent="0.25">
      <c r="A784" s="131">
        <v>780</v>
      </c>
      <c r="B784" s="132">
        <v>532531205</v>
      </c>
      <c r="D784" s="131">
        <v>780</v>
      </c>
      <c r="E784" s="132">
        <v>39.545470000000002</v>
      </c>
      <c r="AK784">
        <v>778</v>
      </c>
      <c r="AL784" s="24">
        <f t="shared" si="123"/>
        <v>39.443739999999998</v>
      </c>
      <c r="AM784">
        <f t="shared" si="126"/>
        <v>276.10617999999999</v>
      </c>
      <c r="AN784">
        <f t="shared" si="126"/>
        <v>394.43739999999997</v>
      </c>
      <c r="AO784">
        <f t="shared" si="126"/>
        <v>591.65609999999992</v>
      </c>
      <c r="AP784">
        <f t="shared" si="126"/>
        <v>788.87479999999994</v>
      </c>
      <c r="AQ784">
        <f t="shared" si="126"/>
        <v>1380.5309</v>
      </c>
      <c r="AR784">
        <f t="shared" si="126"/>
        <v>1972.1869999999999</v>
      </c>
      <c r="AS784">
        <f t="shared" si="126"/>
        <v>3155.4991999999997</v>
      </c>
      <c r="AT784">
        <f t="shared" si="126"/>
        <v>4733.2487999999994</v>
      </c>
      <c r="AU784">
        <f t="shared" si="126"/>
        <v>6705.4357999999993</v>
      </c>
      <c r="AV784">
        <f t="shared" si="126"/>
        <v>9466.4975999999988</v>
      </c>
      <c r="AW784">
        <f t="shared" si="126"/>
        <v>13016.4342</v>
      </c>
      <c r="AX784">
        <f t="shared" si="126"/>
        <v>18144.1204</v>
      </c>
      <c r="AY784">
        <f t="shared" si="126"/>
        <v>31554.991999999998</v>
      </c>
      <c r="AZ784">
        <f t="shared" si="126"/>
        <v>59165.61</v>
      </c>
      <c r="BA784">
        <f t="shared" si="126"/>
        <v>98609.349999999991</v>
      </c>
      <c r="BB784">
        <f t="shared" si="126"/>
        <v>157774.96</v>
      </c>
      <c r="BC784">
        <f t="shared" si="125"/>
        <v>394437.39999999997</v>
      </c>
      <c r="BD784">
        <f t="shared" si="125"/>
        <v>591656.1</v>
      </c>
      <c r="BE784">
        <f t="shared" si="125"/>
        <v>946649.76</v>
      </c>
      <c r="BF784">
        <f t="shared" si="125"/>
        <v>1183312.2</v>
      </c>
      <c r="BG784">
        <f t="shared" si="125"/>
        <v>3944374</v>
      </c>
      <c r="BH784">
        <f t="shared" si="125"/>
        <v>11833122</v>
      </c>
      <c r="BI784">
        <f t="shared" si="125"/>
        <v>33527179</v>
      </c>
      <c r="BJ784">
        <f t="shared" si="125"/>
        <v>118331220</v>
      </c>
      <c r="BK784">
        <f t="shared" si="125"/>
        <v>394437400</v>
      </c>
      <c r="BL784">
        <v>779</v>
      </c>
    </row>
    <row r="785" spans="1:64" ht="17.25" thickBot="1" x14ac:dyDescent="0.25">
      <c r="A785" s="131">
        <v>781</v>
      </c>
      <c r="B785" s="132">
        <v>536313622</v>
      </c>
      <c r="D785" s="131">
        <v>781</v>
      </c>
      <c r="E785" s="132">
        <v>39.596240000000002</v>
      </c>
      <c r="AK785">
        <v>779</v>
      </c>
      <c r="AL785" s="24">
        <f t="shared" si="123"/>
        <v>39.494639999999997</v>
      </c>
      <c r="AM785">
        <f t="shared" si="126"/>
        <v>276.46247999999997</v>
      </c>
      <c r="AN785">
        <f t="shared" si="126"/>
        <v>394.94639999999998</v>
      </c>
      <c r="AO785">
        <f t="shared" si="126"/>
        <v>592.41959999999995</v>
      </c>
      <c r="AP785">
        <f t="shared" si="126"/>
        <v>789.89279999999997</v>
      </c>
      <c r="AQ785">
        <f t="shared" si="126"/>
        <v>1382.3123999999998</v>
      </c>
      <c r="AR785">
        <f t="shared" si="126"/>
        <v>1974.7319999999997</v>
      </c>
      <c r="AS785">
        <f t="shared" si="126"/>
        <v>3159.5711999999999</v>
      </c>
      <c r="AT785">
        <f t="shared" si="126"/>
        <v>4739.3567999999996</v>
      </c>
      <c r="AU785">
        <f t="shared" si="126"/>
        <v>6714.0887999999995</v>
      </c>
      <c r="AV785">
        <f t="shared" si="126"/>
        <v>9478.7135999999991</v>
      </c>
      <c r="AW785">
        <f t="shared" si="126"/>
        <v>13033.231199999998</v>
      </c>
      <c r="AX785">
        <f t="shared" si="126"/>
        <v>18167.534399999997</v>
      </c>
      <c r="AY785">
        <f t="shared" si="126"/>
        <v>31595.711999999996</v>
      </c>
      <c r="AZ785">
        <f t="shared" si="126"/>
        <v>59241.959999999992</v>
      </c>
      <c r="BA785">
        <f t="shared" si="126"/>
        <v>98736.599999999991</v>
      </c>
      <c r="BB785">
        <f t="shared" si="126"/>
        <v>157978.56</v>
      </c>
      <c r="BC785">
        <f t="shared" si="125"/>
        <v>394946.39999999997</v>
      </c>
      <c r="BD785">
        <f t="shared" si="125"/>
        <v>592419.6</v>
      </c>
      <c r="BE785">
        <f t="shared" si="125"/>
        <v>947871.35999999987</v>
      </c>
      <c r="BF785">
        <f t="shared" si="125"/>
        <v>1184839.2</v>
      </c>
      <c r="BG785">
        <f t="shared" si="125"/>
        <v>3949463.9999999995</v>
      </c>
      <c r="BH785">
        <f t="shared" si="125"/>
        <v>11848391.999999998</v>
      </c>
      <c r="BI785">
        <f t="shared" si="125"/>
        <v>33570444</v>
      </c>
      <c r="BJ785">
        <f t="shared" si="125"/>
        <v>118483919.99999999</v>
      </c>
      <c r="BK785">
        <f t="shared" si="125"/>
        <v>394946399.99999994</v>
      </c>
      <c r="BL785">
        <v>780</v>
      </c>
    </row>
    <row r="786" spans="1:64" ht="17.25" thickBot="1" x14ac:dyDescent="0.25">
      <c r="A786" s="131">
        <v>782</v>
      </c>
      <c r="B786" s="132">
        <v>540120349</v>
      </c>
      <c r="D786" s="131">
        <v>782</v>
      </c>
      <c r="E786" s="132">
        <v>39.646940000000001</v>
      </c>
      <c r="AK786">
        <v>780</v>
      </c>
      <c r="AL786" s="24">
        <f t="shared" si="123"/>
        <v>39.545470000000002</v>
      </c>
      <c r="AM786">
        <f t="shared" si="126"/>
        <v>276.81828999999999</v>
      </c>
      <c r="AN786">
        <f t="shared" si="126"/>
        <v>395.4547</v>
      </c>
      <c r="AO786">
        <f t="shared" si="126"/>
        <v>593.18205</v>
      </c>
      <c r="AP786">
        <f t="shared" si="126"/>
        <v>790.90940000000001</v>
      </c>
      <c r="AQ786">
        <f t="shared" si="126"/>
        <v>1384.0914500000001</v>
      </c>
      <c r="AR786">
        <f t="shared" si="126"/>
        <v>1977.2735</v>
      </c>
      <c r="AS786">
        <f t="shared" si="126"/>
        <v>3163.6376</v>
      </c>
      <c r="AT786">
        <f t="shared" si="126"/>
        <v>4745.4564</v>
      </c>
      <c r="AU786">
        <f t="shared" si="126"/>
        <v>6722.7299000000003</v>
      </c>
      <c r="AV786">
        <f t="shared" si="126"/>
        <v>9490.9128000000001</v>
      </c>
      <c r="AW786">
        <f t="shared" si="126"/>
        <v>13050.0051</v>
      </c>
      <c r="AX786">
        <f t="shared" si="126"/>
        <v>18190.9162</v>
      </c>
      <c r="AY786">
        <f t="shared" si="126"/>
        <v>31636.376</v>
      </c>
      <c r="AZ786">
        <f t="shared" si="126"/>
        <v>59318.205000000002</v>
      </c>
      <c r="BA786">
        <f t="shared" si="126"/>
        <v>98863.675000000003</v>
      </c>
      <c r="BB786">
        <f t="shared" si="126"/>
        <v>158181.88</v>
      </c>
      <c r="BC786">
        <f t="shared" si="125"/>
        <v>395454.7</v>
      </c>
      <c r="BD786">
        <f t="shared" si="125"/>
        <v>593182.05000000005</v>
      </c>
      <c r="BE786">
        <f t="shared" si="125"/>
        <v>949091.28</v>
      </c>
      <c r="BF786">
        <f t="shared" si="125"/>
        <v>1186364.1000000001</v>
      </c>
      <c r="BG786">
        <f t="shared" si="125"/>
        <v>3954547</v>
      </c>
      <c r="BH786">
        <f t="shared" si="125"/>
        <v>11863641</v>
      </c>
      <c r="BI786">
        <f t="shared" si="125"/>
        <v>33613649.5</v>
      </c>
      <c r="BJ786">
        <f t="shared" si="125"/>
        <v>118636410</v>
      </c>
      <c r="BK786">
        <f t="shared" si="125"/>
        <v>395454700</v>
      </c>
      <c r="BL786">
        <v>781</v>
      </c>
    </row>
    <row r="787" spans="1:64" ht="17.25" thickBot="1" x14ac:dyDescent="0.25">
      <c r="A787" s="131">
        <v>783</v>
      </c>
      <c r="B787" s="132">
        <v>543951499</v>
      </c>
      <c r="D787" s="131">
        <v>783</v>
      </c>
      <c r="E787" s="132">
        <v>39.697580000000002</v>
      </c>
      <c r="AK787">
        <v>781</v>
      </c>
      <c r="AL787" s="24">
        <f t="shared" si="123"/>
        <v>39.596240000000002</v>
      </c>
      <c r="AM787">
        <f t="shared" si="126"/>
        <v>277.17367999999999</v>
      </c>
      <c r="AN787">
        <f t="shared" si="126"/>
        <v>395.9624</v>
      </c>
      <c r="AO787">
        <f t="shared" si="126"/>
        <v>593.94360000000006</v>
      </c>
      <c r="AP787">
        <f t="shared" si="126"/>
        <v>791.9248</v>
      </c>
      <c r="AQ787">
        <f t="shared" si="126"/>
        <v>1385.8684000000001</v>
      </c>
      <c r="AR787">
        <f t="shared" si="126"/>
        <v>1979.8120000000001</v>
      </c>
      <c r="AS787">
        <f t="shared" si="126"/>
        <v>3167.6992</v>
      </c>
      <c r="AT787">
        <f t="shared" si="126"/>
        <v>4751.5488000000005</v>
      </c>
      <c r="AU787">
        <f t="shared" si="126"/>
        <v>6731.3608000000004</v>
      </c>
      <c r="AV787">
        <f t="shared" si="126"/>
        <v>9503.097600000001</v>
      </c>
      <c r="AW787">
        <f t="shared" si="126"/>
        <v>13066.7592</v>
      </c>
      <c r="AX787">
        <f t="shared" si="126"/>
        <v>18214.270400000001</v>
      </c>
      <c r="AY787">
        <f t="shared" si="126"/>
        <v>31676.992000000002</v>
      </c>
      <c r="AZ787">
        <f t="shared" si="126"/>
        <v>59394.36</v>
      </c>
      <c r="BA787">
        <f t="shared" si="126"/>
        <v>98990.6</v>
      </c>
      <c r="BB787">
        <f t="shared" si="126"/>
        <v>158384.96000000002</v>
      </c>
      <c r="BC787">
        <f t="shared" si="125"/>
        <v>395962.4</v>
      </c>
      <c r="BD787">
        <f t="shared" si="125"/>
        <v>593943.6</v>
      </c>
      <c r="BE787">
        <f t="shared" si="125"/>
        <v>950309.76</v>
      </c>
      <c r="BF787">
        <f t="shared" si="125"/>
        <v>1187887.2</v>
      </c>
      <c r="BG787">
        <f t="shared" si="125"/>
        <v>3959624</v>
      </c>
      <c r="BH787">
        <f t="shared" si="125"/>
        <v>11878872</v>
      </c>
      <c r="BI787">
        <f t="shared" si="125"/>
        <v>33656804</v>
      </c>
      <c r="BJ787">
        <f t="shared" si="125"/>
        <v>118788720</v>
      </c>
      <c r="BK787">
        <f t="shared" si="125"/>
        <v>395962400</v>
      </c>
      <c r="BL787">
        <v>782</v>
      </c>
    </row>
    <row r="788" spans="1:64" ht="17.25" thickBot="1" x14ac:dyDescent="0.25">
      <c r="A788" s="131">
        <v>784</v>
      </c>
      <c r="B788" s="132">
        <v>547807183</v>
      </c>
      <c r="D788" s="131">
        <v>784</v>
      </c>
      <c r="E788" s="132">
        <v>39.748150000000003</v>
      </c>
      <c r="AK788">
        <v>782</v>
      </c>
      <c r="AL788" s="24">
        <f t="shared" si="123"/>
        <v>39.646940000000001</v>
      </c>
      <c r="AM788">
        <f t="shared" si="126"/>
        <v>277.52858000000003</v>
      </c>
      <c r="AN788">
        <f t="shared" si="126"/>
        <v>396.46940000000001</v>
      </c>
      <c r="AO788">
        <f t="shared" si="126"/>
        <v>594.70410000000004</v>
      </c>
      <c r="AP788">
        <f t="shared" si="126"/>
        <v>792.93880000000001</v>
      </c>
      <c r="AQ788">
        <f t="shared" si="126"/>
        <v>1387.6429000000001</v>
      </c>
      <c r="AR788">
        <f t="shared" si="126"/>
        <v>1982.347</v>
      </c>
      <c r="AS788">
        <f t="shared" si="126"/>
        <v>3171.7552000000001</v>
      </c>
      <c r="AT788">
        <f t="shared" si="126"/>
        <v>4757.6328000000003</v>
      </c>
      <c r="AU788">
        <f t="shared" si="126"/>
        <v>6739.9798000000001</v>
      </c>
      <c r="AV788">
        <f t="shared" si="126"/>
        <v>9515.2656000000006</v>
      </c>
      <c r="AW788">
        <f t="shared" si="126"/>
        <v>13083.4902</v>
      </c>
      <c r="AX788">
        <f t="shared" si="126"/>
        <v>18237.592400000001</v>
      </c>
      <c r="AY788">
        <f t="shared" si="126"/>
        <v>31717.552</v>
      </c>
      <c r="AZ788">
        <f t="shared" si="126"/>
        <v>59470.41</v>
      </c>
      <c r="BA788">
        <f t="shared" si="126"/>
        <v>99117.35</v>
      </c>
      <c r="BB788">
        <f t="shared" si="126"/>
        <v>158587.76</v>
      </c>
      <c r="BC788">
        <f t="shared" si="125"/>
        <v>396469.4</v>
      </c>
      <c r="BD788">
        <f t="shared" si="125"/>
        <v>594704.1</v>
      </c>
      <c r="BE788">
        <f t="shared" si="125"/>
        <v>951526.56</v>
      </c>
      <c r="BF788">
        <f t="shared" si="125"/>
        <v>1189408.2</v>
      </c>
      <c r="BG788">
        <f t="shared" si="125"/>
        <v>3964694</v>
      </c>
      <c r="BH788">
        <f t="shared" si="125"/>
        <v>11894082</v>
      </c>
      <c r="BI788">
        <f t="shared" si="125"/>
        <v>33699899</v>
      </c>
      <c r="BJ788">
        <f t="shared" si="125"/>
        <v>118940820</v>
      </c>
      <c r="BK788">
        <f t="shared" si="125"/>
        <v>396469400</v>
      </c>
      <c r="BL788">
        <v>783</v>
      </c>
    </row>
    <row r="789" spans="1:64" ht="17.25" thickBot="1" x14ac:dyDescent="0.25">
      <c r="A789" s="131">
        <v>785</v>
      </c>
      <c r="B789" s="132">
        <v>551687511</v>
      </c>
      <c r="D789" s="131">
        <v>785</v>
      </c>
      <c r="E789" s="132">
        <v>39.798659999999998</v>
      </c>
      <c r="AK789">
        <v>783</v>
      </c>
      <c r="AL789" s="24">
        <f t="shared" si="123"/>
        <v>39.697580000000002</v>
      </c>
      <c r="AM789">
        <f t="shared" si="126"/>
        <v>277.88306</v>
      </c>
      <c r="AN789">
        <f t="shared" si="126"/>
        <v>396.97580000000005</v>
      </c>
      <c r="AO789">
        <f t="shared" si="126"/>
        <v>595.46370000000002</v>
      </c>
      <c r="AP789">
        <f t="shared" si="126"/>
        <v>793.9516000000001</v>
      </c>
      <c r="AQ789">
        <f t="shared" si="126"/>
        <v>1389.4153000000001</v>
      </c>
      <c r="AR789">
        <f t="shared" si="126"/>
        <v>1984.8790000000001</v>
      </c>
      <c r="AS789">
        <f t="shared" si="126"/>
        <v>3175.8064000000004</v>
      </c>
      <c r="AT789">
        <f t="shared" si="126"/>
        <v>4763.7096000000001</v>
      </c>
      <c r="AU789">
        <f t="shared" si="126"/>
        <v>6748.5886</v>
      </c>
      <c r="AV789">
        <f t="shared" si="126"/>
        <v>9527.4192000000003</v>
      </c>
      <c r="AW789">
        <f t="shared" si="126"/>
        <v>13100.2014</v>
      </c>
      <c r="AX789">
        <f t="shared" si="126"/>
        <v>18260.8868</v>
      </c>
      <c r="AY789">
        <f t="shared" si="126"/>
        <v>31758.064000000002</v>
      </c>
      <c r="AZ789">
        <f t="shared" si="126"/>
        <v>59546.37</v>
      </c>
      <c r="BA789">
        <f t="shared" si="126"/>
        <v>99243.950000000012</v>
      </c>
      <c r="BB789">
        <f t="shared" si="126"/>
        <v>158790.32</v>
      </c>
      <c r="BC789">
        <f t="shared" si="125"/>
        <v>396975.80000000005</v>
      </c>
      <c r="BD789">
        <f t="shared" si="125"/>
        <v>595463.70000000007</v>
      </c>
      <c r="BE789">
        <f t="shared" si="125"/>
        <v>952741.92</v>
      </c>
      <c r="BF789">
        <f t="shared" si="125"/>
        <v>1190927.4000000001</v>
      </c>
      <c r="BG789">
        <f t="shared" si="125"/>
        <v>3969758</v>
      </c>
      <c r="BH789">
        <f t="shared" si="125"/>
        <v>11909274</v>
      </c>
      <c r="BI789">
        <f t="shared" si="125"/>
        <v>33742943</v>
      </c>
      <c r="BJ789">
        <f t="shared" si="125"/>
        <v>119092740</v>
      </c>
      <c r="BK789">
        <f t="shared" si="125"/>
        <v>396975800</v>
      </c>
      <c r="BL789">
        <v>784</v>
      </c>
    </row>
    <row r="790" spans="1:64" ht="17.25" thickBot="1" x14ac:dyDescent="0.25">
      <c r="A790" s="131">
        <v>786</v>
      </c>
      <c r="B790" s="132">
        <v>555592599</v>
      </c>
      <c r="D790" s="131">
        <v>786</v>
      </c>
      <c r="E790" s="132">
        <v>39.849110000000003</v>
      </c>
      <c r="AK790">
        <v>784</v>
      </c>
      <c r="AL790" s="24">
        <f t="shared" si="123"/>
        <v>39.748150000000003</v>
      </c>
      <c r="AM790">
        <f t="shared" si="126"/>
        <v>278.23705000000001</v>
      </c>
      <c r="AN790">
        <f t="shared" si="126"/>
        <v>397.48150000000004</v>
      </c>
      <c r="AO790">
        <f t="shared" si="126"/>
        <v>596.22225000000003</v>
      </c>
      <c r="AP790">
        <f t="shared" si="126"/>
        <v>794.96300000000008</v>
      </c>
      <c r="AQ790">
        <f t="shared" si="126"/>
        <v>1391.18525</v>
      </c>
      <c r="AR790">
        <f t="shared" si="126"/>
        <v>1987.4075</v>
      </c>
      <c r="AS790">
        <f t="shared" si="126"/>
        <v>3179.8520000000003</v>
      </c>
      <c r="AT790">
        <f t="shared" si="126"/>
        <v>4769.7780000000002</v>
      </c>
      <c r="AU790">
        <f t="shared" si="126"/>
        <v>6757.1855000000005</v>
      </c>
      <c r="AV790">
        <f t="shared" si="126"/>
        <v>9539.5560000000005</v>
      </c>
      <c r="AW790">
        <f t="shared" si="126"/>
        <v>13116.889500000001</v>
      </c>
      <c r="AX790">
        <f t="shared" si="126"/>
        <v>18284.149000000001</v>
      </c>
      <c r="AY790">
        <f t="shared" si="126"/>
        <v>31798.52</v>
      </c>
      <c r="AZ790">
        <f t="shared" si="126"/>
        <v>59622.225000000006</v>
      </c>
      <c r="BA790">
        <f t="shared" si="126"/>
        <v>99370.375</v>
      </c>
      <c r="BB790">
        <f t="shared" si="126"/>
        <v>158992.6</v>
      </c>
      <c r="BC790">
        <f t="shared" si="125"/>
        <v>397481.5</v>
      </c>
      <c r="BD790">
        <f t="shared" si="125"/>
        <v>596222.25</v>
      </c>
      <c r="BE790">
        <f t="shared" si="125"/>
        <v>953955.60000000009</v>
      </c>
      <c r="BF790">
        <f t="shared" si="125"/>
        <v>1192444.5</v>
      </c>
      <c r="BG790">
        <f t="shared" si="125"/>
        <v>3974815.0000000005</v>
      </c>
      <c r="BH790">
        <f t="shared" si="125"/>
        <v>11924445</v>
      </c>
      <c r="BI790">
        <f t="shared" si="125"/>
        <v>33785927.5</v>
      </c>
      <c r="BJ790">
        <f t="shared" si="125"/>
        <v>119244450.00000001</v>
      </c>
      <c r="BK790">
        <f t="shared" si="125"/>
        <v>397481500</v>
      </c>
      <c r="BL790">
        <v>785</v>
      </c>
    </row>
    <row r="791" spans="1:64" ht="17.25" thickBot="1" x14ac:dyDescent="0.25">
      <c r="A791" s="131">
        <v>787</v>
      </c>
      <c r="B791" s="132">
        <v>559522561</v>
      </c>
      <c r="D791" s="131">
        <v>787</v>
      </c>
      <c r="E791" s="132">
        <v>39.89949</v>
      </c>
      <c r="AK791">
        <v>785</v>
      </c>
      <c r="AL791" s="24">
        <f t="shared" si="123"/>
        <v>39.798659999999998</v>
      </c>
      <c r="AM791">
        <f t="shared" si="126"/>
        <v>278.59062</v>
      </c>
      <c r="AN791">
        <f t="shared" si="126"/>
        <v>397.98659999999995</v>
      </c>
      <c r="AO791">
        <f t="shared" si="126"/>
        <v>596.97989999999993</v>
      </c>
      <c r="AP791">
        <f t="shared" si="126"/>
        <v>795.97319999999991</v>
      </c>
      <c r="AQ791">
        <f t="shared" si="126"/>
        <v>1392.9530999999999</v>
      </c>
      <c r="AR791">
        <f t="shared" si="126"/>
        <v>1989.933</v>
      </c>
      <c r="AS791">
        <f t="shared" si="126"/>
        <v>3183.8927999999996</v>
      </c>
      <c r="AT791">
        <f t="shared" si="126"/>
        <v>4775.8391999999994</v>
      </c>
      <c r="AU791">
        <f t="shared" si="126"/>
        <v>6765.7721999999994</v>
      </c>
      <c r="AV791">
        <f t="shared" si="126"/>
        <v>9551.6783999999989</v>
      </c>
      <c r="AW791">
        <f t="shared" si="126"/>
        <v>13133.557799999999</v>
      </c>
      <c r="AX791">
        <f t="shared" si="126"/>
        <v>18307.383599999997</v>
      </c>
      <c r="AY791">
        <f t="shared" si="126"/>
        <v>31838.928</v>
      </c>
      <c r="AZ791">
        <f t="shared" si="126"/>
        <v>59697.99</v>
      </c>
      <c r="BA791">
        <f t="shared" si="126"/>
        <v>99496.65</v>
      </c>
      <c r="BB791">
        <f t="shared" si="126"/>
        <v>159194.63999999998</v>
      </c>
      <c r="BC791">
        <f t="shared" si="125"/>
        <v>397986.6</v>
      </c>
      <c r="BD791">
        <f t="shared" si="125"/>
        <v>596979.9</v>
      </c>
      <c r="BE791">
        <f t="shared" si="125"/>
        <v>955167.84</v>
      </c>
      <c r="BF791">
        <f t="shared" si="125"/>
        <v>1193959.8</v>
      </c>
      <c r="BG791">
        <f t="shared" si="125"/>
        <v>3979866</v>
      </c>
      <c r="BH791">
        <f t="shared" si="125"/>
        <v>11939598</v>
      </c>
      <c r="BI791">
        <f t="shared" si="125"/>
        <v>33828861</v>
      </c>
      <c r="BJ791">
        <f t="shared" si="125"/>
        <v>119395980</v>
      </c>
      <c r="BK791">
        <f t="shared" si="125"/>
        <v>397986600</v>
      </c>
      <c r="BL791">
        <v>786</v>
      </c>
    </row>
    <row r="792" spans="1:64" ht="17.25" thickBot="1" x14ac:dyDescent="0.25">
      <c r="A792" s="131">
        <v>788</v>
      </c>
      <c r="B792" s="132">
        <v>563477511</v>
      </c>
      <c r="D792" s="131">
        <v>788</v>
      </c>
      <c r="E792" s="132">
        <v>39.949809999999999</v>
      </c>
      <c r="AK792">
        <v>786</v>
      </c>
      <c r="AL792" s="24">
        <f t="shared" si="123"/>
        <v>39.849110000000003</v>
      </c>
      <c r="AM792">
        <f t="shared" si="126"/>
        <v>278.94377000000003</v>
      </c>
      <c r="AN792">
        <f t="shared" si="126"/>
        <v>398.49110000000002</v>
      </c>
      <c r="AO792">
        <f t="shared" si="126"/>
        <v>597.73665000000005</v>
      </c>
      <c r="AP792">
        <f t="shared" si="126"/>
        <v>796.98220000000003</v>
      </c>
      <c r="AQ792">
        <f t="shared" si="126"/>
        <v>1394.7188500000002</v>
      </c>
      <c r="AR792">
        <f t="shared" si="126"/>
        <v>1992.4555000000003</v>
      </c>
      <c r="AS792">
        <f t="shared" si="126"/>
        <v>3187.9288000000001</v>
      </c>
      <c r="AT792">
        <f t="shared" si="126"/>
        <v>4781.8932000000004</v>
      </c>
      <c r="AU792">
        <f t="shared" si="126"/>
        <v>6774.3487000000005</v>
      </c>
      <c r="AV792">
        <f t="shared" si="126"/>
        <v>9563.7864000000009</v>
      </c>
      <c r="AW792">
        <f t="shared" si="126"/>
        <v>13150.206300000002</v>
      </c>
      <c r="AX792">
        <f t="shared" si="126"/>
        <v>18330.590600000003</v>
      </c>
      <c r="AY792">
        <f t="shared" si="126"/>
        <v>31879.288000000004</v>
      </c>
      <c r="AZ792">
        <f t="shared" si="126"/>
        <v>59773.665000000008</v>
      </c>
      <c r="BA792">
        <f t="shared" si="126"/>
        <v>99622.775000000009</v>
      </c>
      <c r="BB792">
        <f t="shared" si="126"/>
        <v>159396.44</v>
      </c>
      <c r="BC792">
        <f t="shared" si="125"/>
        <v>398491.10000000003</v>
      </c>
      <c r="BD792">
        <f t="shared" si="125"/>
        <v>597736.65</v>
      </c>
      <c r="BE792">
        <f t="shared" si="125"/>
        <v>956378.64000000013</v>
      </c>
      <c r="BF792">
        <f t="shared" si="125"/>
        <v>1195473.3</v>
      </c>
      <c r="BG792">
        <f t="shared" si="125"/>
        <v>3984911.0000000005</v>
      </c>
      <c r="BH792">
        <f t="shared" si="125"/>
        <v>11954733.000000002</v>
      </c>
      <c r="BI792">
        <f t="shared" si="125"/>
        <v>33871743.5</v>
      </c>
      <c r="BJ792">
        <f t="shared" si="125"/>
        <v>119547330.00000001</v>
      </c>
      <c r="BK792">
        <f t="shared" si="125"/>
        <v>398491100.00000006</v>
      </c>
      <c r="BL792">
        <v>787</v>
      </c>
    </row>
    <row r="793" spans="1:64" ht="17.25" thickBot="1" x14ac:dyDescent="0.25">
      <c r="A793" s="131">
        <v>789</v>
      </c>
      <c r="B793" s="132">
        <v>567457561</v>
      </c>
      <c r="D793" s="131">
        <v>789</v>
      </c>
      <c r="E793" s="132">
        <v>40.000070000000001</v>
      </c>
      <c r="AK793">
        <v>787</v>
      </c>
      <c r="AL793" s="24">
        <f t="shared" si="123"/>
        <v>39.89949</v>
      </c>
      <c r="AM793">
        <f t="shared" si="126"/>
        <v>279.29642999999999</v>
      </c>
      <c r="AN793">
        <f t="shared" si="126"/>
        <v>398.99490000000003</v>
      </c>
      <c r="AO793">
        <f t="shared" si="126"/>
        <v>598.49234999999999</v>
      </c>
      <c r="AP793">
        <f t="shared" si="126"/>
        <v>797.98980000000006</v>
      </c>
      <c r="AQ793">
        <f t="shared" si="126"/>
        <v>1396.48215</v>
      </c>
      <c r="AR793">
        <f t="shared" si="126"/>
        <v>1994.9745</v>
      </c>
      <c r="AS793">
        <f t="shared" si="126"/>
        <v>3191.9592000000002</v>
      </c>
      <c r="AT793">
        <f t="shared" si="126"/>
        <v>4787.9387999999999</v>
      </c>
      <c r="AU793">
        <f t="shared" si="126"/>
        <v>6782.9133000000002</v>
      </c>
      <c r="AV793">
        <f t="shared" si="126"/>
        <v>9575.8775999999998</v>
      </c>
      <c r="AW793">
        <f t="shared" si="126"/>
        <v>13166.831700000001</v>
      </c>
      <c r="AX793">
        <f t="shared" si="126"/>
        <v>18353.7654</v>
      </c>
      <c r="AY793">
        <f t="shared" si="126"/>
        <v>31919.592000000001</v>
      </c>
      <c r="AZ793">
        <f t="shared" si="126"/>
        <v>59849.235000000001</v>
      </c>
      <c r="BA793">
        <f t="shared" si="126"/>
        <v>99748.725000000006</v>
      </c>
      <c r="BB793">
        <f t="shared" si="126"/>
        <v>159597.96</v>
      </c>
      <c r="BC793">
        <f t="shared" si="125"/>
        <v>398994.9</v>
      </c>
      <c r="BD793">
        <f t="shared" si="125"/>
        <v>598492.35</v>
      </c>
      <c r="BE793">
        <f t="shared" si="125"/>
        <v>957587.76</v>
      </c>
      <c r="BF793">
        <f t="shared" si="125"/>
        <v>1196984.7</v>
      </c>
      <c r="BG793">
        <f t="shared" si="125"/>
        <v>3989949</v>
      </c>
      <c r="BH793">
        <f t="shared" si="125"/>
        <v>11969847</v>
      </c>
      <c r="BI793">
        <f t="shared" si="125"/>
        <v>33914566.5</v>
      </c>
      <c r="BJ793">
        <f t="shared" si="125"/>
        <v>119698470</v>
      </c>
      <c r="BK793">
        <f t="shared" si="125"/>
        <v>398994900</v>
      </c>
      <c r="BL793">
        <v>788</v>
      </c>
    </row>
    <row r="794" spans="1:64" ht="17.25" thickBot="1" x14ac:dyDescent="0.25">
      <c r="A794" s="131">
        <v>790</v>
      </c>
      <c r="B794" s="132">
        <v>571462827</v>
      </c>
      <c r="D794" s="131">
        <v>790</v>
      </c>
      <c r="E794" s="132">
        <v>40.050260000000002</v>
      </c>
      <c r="AK794">
        <v>788</v>
      </c>
      <c r="AL794" s="24">
        <f t="shared" si="123"/>
        <v>39.949809999999999</v>
      </c>
      <c r="AM794">
        <f t="shared" si="126"/>
        <v>279.64866999999998</v>
      </c>
      <c r="AN794">
        <f t="shared" si="126"/>
        <v>399.49810000000002</v>
      </c>
      <c r="AO794">
        <f t="shared" si="126"/>
        <v>599.24715000000003</v>
      </c>
      <c r="AP794">
        <f t="shared" si="126"/>
        <v>798.99620000000004</v>
      </c>
      <c r="AQ794">
        <f t="shared" si="126"/>
        <v>1398.24335</v>
      </c>
      <c r="AR794">
        <f t="shared" si="126"/>
        <v>1997.4904999999999</v>
      </c>
      <c r="AS794">
        <f t="shared" si="126"/>
        <v>3195.9848000000002</v>
      </c>
      <c r="AT794">
        <f t="shared" si="126"/>
        <v>4793.9772000000003</v>
      </c>
      <c r="AU794">
        <f t="shared" si="126"/>
        <v>6791.4677000000001</v>
      </c>
      <c r="AV794">
        <f t="shared" si="126"/>
        <v>9587.9544000000005</v>
      </c>
      <c r="AW794">
        <f t="shared" si="126"/>
        <v>13183.4373</v>
      </c>
      <c r="AX794">
        <f t="shared" si="126"/>
        <v>18376.9126</v>
      </c>
      <c r="AY794">
        <f t="shared" si="126"/>
        <v>31959.847999999998</v>
      </c>
      <c r="AZ794">
        <f t="shared" si="126"/>
        <v>59924.714999999997</v>
      </c>
      <c r="BA794">
        <f t="shared" si="126"/>
        <v>99874.524999999994</v>
      </c>
      <c r="BB794">
        <f t="shared" si="126"/>
        <v>159799.24</v>
      </c>
      <c r="BC794">
        <f t="shared" si="125"/>
        <v>399498.1</v>
      </c>
      <c r="BD794">
        <f t="shared" si="125"/>
        <v>599247.15</v>
      </c>
      <c r="BE794">
        <f t="shared" si="125"/>
        <v>958795.44</v>
      </c>
      <c r="BF794">
        <f t="shared" si="125"/>
        <v>1198494.3</v>
      </c>
      <c r="BG794">
        <f t="shared" si="125"/>
        <v>3994981</v>
      </c>
      <c r="BH794">
        <f t="shared" si="125"/>
        <v>11984943</v>
      </c>
      <c r="BI794">
        <f t="shared" si="125"/>
        <v>33957338.5</v>
      </c>
      <c r="BJ794">
        <f t="shared" si="125"/>
        <v>119849430</v>
      </c>
      <c r="BK794">
        <f t="shared" si="125"/>
        <v>399498100</v>
      </c>
      <c r="BL794">
        <v>789</v>
      </c>
    </row>
    <row r="795" spans="1:64" ht="17.25" thickBot="1" x14ac:dyDescent="0.25">
      <c r="A795" s="131">
        <v>791</v>
      </c>
      <c r="B795" s="132">
        <v>575493422</v>
      </c>
      <c r="D795" s="131">
        <v>791</v>
      </c>
      <c r="E795" s="132">
        <v>40.100389999999997</v>
      </c>
      <c r="AK795">
        <v>789</v>
      </c>
      <c r="AL795" s="24">
        <f t="shared" si="123"/>
        <v>40.000070000000001</v>
      </c>
      <c r="AM795">
        <f t="shared" si="126"/>
        <v>280.00049000000001</v>
      </c>
      <c r="AN795">
        <f t="shared" si="126"/>
        <v>400.00069999999999</v>
      </c>
      <c r="AO795">
        <f t="shared" si="126"/>
        <v>600.00104999999996</v>
      </c>
      <c r="AP795">
        <f t="shared" si="126"/>
        <v>800.00139999999999</v>
      </c>
      <c r="AQ795">
        <f t="shared" si="126"/>
        <v>1400.00245</v>
      </c>
      <c r="AR795">
        <f t="shared" si="126"/>
        <v>2000.0035</v>
      </c>
      <c r="AS795">
        <f t="shared" si="126"/>
        <v>3200.0056</v>
      </c>
      <c r="AT795">
        <f t="shared" si="126"/>
        <v>4800.0083999999997</v>
      </c>
      <c r="AU795">
        <f t="shared" si="126"/>
        <v>6800.0119000000004</v>
      </c>
      <c r="AV795">
        <f t="shared" si="126"/>
        <v>9600.0167999999994</v>
      </c>
      <c r="AW795">
        <f t="shared" si="126"/>
        <v>13200.0231</v>
      </c>
      <c r="AX795">
        <f t="shared" si="126"/>
        <v>18400.032200000001</v>
      </c>
      <c r="AY795">
        <f t="shared" si="126"/>
        <v>32000.056</v>
      </c>
      <c r="AZ795">
        <f t="shared" si="126"/>
        <v>60000.105000000003</v>
      </c>
      <c r="BA795">
        <f t="shared" si="126"/>
        <v>100000.175</v>
      </c>
      <c r="BB795">
        <f t="shared" si="126"/>
        <v>160000.28</v>
      </c>
      <c r="BC795">
        <f t="shared" si="125"/>
        <v>400000.7</v>
      </c>
      <c r="BD795">
        <f t="shared" si="125"/>
        <v>600001.05000000005</v>
      </c>
      <c r="BE795">
        <f t="shared" si="125"/>
        <v>960001.68</v>
      </c>
      <c r="BF795">
        <f t="shared" si="125"/>
        <v>1200002.1000000001</v>
      </c>
      <c r="BG795">
        <f t="shared" si="125"/>
        <v>4000007</v>
      </c>
      <c r="BH795">
        <f t="shared" si="125"/>
        <v>12000021</v>
      </c>
      <c r="BI795">
        <f t="shared" si="125"/>
        <v>34000059.5</v>
      </c>
      <c r="BJ795">
        <f t="shared" si="125"/>
        <v>120000210</v>
      </c>
      <c r="BK795">
        <f t="shared" si="125"/>
        <v>400000700</v>
      </c>
      <c r="BL795">
        <v>790</v>
      </c>
    </row>
    <row r="796" spans="1:64" ht="17.25" thickBot="1" x14ac:dyDescent="0.25">
      <c r="A796" s="131">
        <v>792</v>
      </c>
      <c r="B796" s="132">
        <v>579549466</v>
      </c>
      <c r="D796" s="131">
        <v>792</v>
      </c>
      <c r="E796" s="132">
        <v>40.150460000000002</v>
      </c>
      <c r="AK796">
        <v>790</v>
      </c>
      <c r="AL796" s="24">
        <f t="shared" si="123"/>
        <v>40.050260000000002</v>
      </c>
      <c r="AM796">
        <f t="shared" si="126"/>
        <v>280.35182000000003</v>
      </c>
      <c r="AN796">
        <f t="shared" si="126"/>
        <v>400.50260000000003</v>
      </c>
      <c r="AO796">
        <f t="shared" si="126"/>
        <v>600.75390000000004</v>
      </c>
      <c r="AP796">
        <f t="shared" si="126"/>
        <v>801.00520000000006</v>
      </c>
      <c r="AQ796">
        <f t="shared" si="126"/>
        <v>1401.7591</v>
      </c>
      <c r="AR796">
        <f t="shared" si="126"/>
        <v>2002.5130000000001</v>
      </c>
      <c r="AS796">
        <f t="shared" si="126"/>
        <v>3204.0208000000002</v>
      </c>
      <c r="AT796">
        <f t="shared" si="126"/>
        <v>4806.0312000000004</v>
      </c>
      <c r="AU796">
        <f t="shared" si="126"/>
        <v>6808.5442000000003</v>
      </c>
      <c r="AV796">
        <f t="shared" si="126"/>
        <v>9612.0624000000007</v>
      </c>
      <c r="AW796">
        <f t="shared" si="126"/>
        <v>13216.585800000001</v>
      </c>
      <c r="AX796">
        <f t="shared" si="126"/>
        <v>18423.119600000002</v>
      </c>
      <c r="AY796">
        <f t="shared" si="126"/>
        <v>32040.208000000002</v>
      </c>
      <c r="AZ796">
        <f t="shared" si="126"/>
        <v>60075.39</v>
      </c>
      <c r="BA796">
        <f t="shared" si="126"/>
        <v>100125.65000000001</v>
      </c>
      <c r="BB796">
        <f t="shared" si="126"/>
        <v>160201.04</v>
      </c>
      <c r="BC796">
        <f t="shared" si="125"/>
        <v>400502.60000000003</v>
      </c>
      <c r="BD796">
        <f t="shared" si="125"/>
        <v>600753.9</v>
      </c>
      <c r="BE796">
        <f t="shared" si="125"/>
        <v>961206.24</v>
      </c>
      <c r="BF796">
        <f t="shared" si="125"/>
        <v>1201507.8</v>
      </c>
      <c r="BG796">
        <f t="shared" si="125"/>
        <v>4005026</v>
      </c>
      <c r="BH796">
        <f t="shared" si="125"/>
        <v>12015078</v>
      </c>
      <c r="BI796">
        <f t="shared" si="125"/>
        <v>34042721</v>
      </c>
      <c r="BJ796">
        <f t="shared" si="125"/>
        <v>120150780</v>
      </c>
      <c r="BK796">
        <f t="shared" si="125"/>
        <v>400502600</v>
      </c>
      <c r="BL796">
        <v>791</v>
      </c>
    </row>
    <row r="797" spans="1:64" ht="17.25" thickBot="1" x14ac:dyDescent="0.25">
      <c r="A797" s="131">
        <v>793</v>
      </c>
      <c r="B797" s="132">
        <v>583631072</v>
      </c>
      <c r="D797" s="131">
        <v>793</v>
      </c>
      <c r="E797" s="132">
        <v>40.20046</v>
      </c>
      <c r="AK797">
        <v>791</v>
      </c>
      <c r="AL797" s="24">
        <f t="shared" si="123"/>
        <v>40.100389999999997</v>
      </c>
      <c r="AM797">
        <f t="shared" si="126"/>
        <v>280.70272999999997</v>
      </c>
      <c r="AN797">
        <f t="shared" si="126"/>
        <v>401.00389999999999</v>
      </c>
      <c r="AO797">
        <f t="shared" si="126"/>
        <v>601.50585000000001</v>
      </c>
      <c r="AP797">
        <f t="shared" si="126"/>
        <v>802.00779999999997</v>
      </c>
      <c r="AQ797">
        <f t="shared" si="126"/>
        <v>1403.5136499999999</v>
      </c>
      <c r="AR797">
        <f t="shared" si="126"/>
        <v>2005.0194999999999</v>
      </c>
      <c r="AS797">
        <f t="shared" si="126"/>
        <v>3208.0311999999999</v>
      </c>
      <c r="AT797">
        <f t="shared" si="126"/>
        <v>4812.0468000000001</v>
      </c>
      <c r="AU797">
        <f t="shared" si="126"/>
        <v>6817.0662999999995</v>
      </c>
      <c r="AV797">
        <f t="shared" si="126"/>
        <v>9624.0936000000002</v>
      </c>
      <c r="AW797">
        <f t="shared" si="126"/>
        <v>13233.128699999999</v>
      </c>
      <c r="AX797">
        <f t="shared" si="126"/>
        <v>18446.179399999997</v>
      </c>
      <c r="AY797">
        <f t="shared" si="126"/>
        <v>32080.311999999998</v>
      </c>
      <c r="AZ797">
        <f t="shared" si="126"/>
        <v>60150.584999999999</v>
      </c>
      <c r="BA797">
        <f t="shared" si="126"/>
        <v>100250.97499999999</v>
      </c>
      <c r="BB797">
        <f t="shared" si="126"/>
        <v>160401.56</v>
      </c>
      <c r="BC797">
        <f t="shared" si="125"/>
        <v>401003.89999999997</v>
      </c>
      <c r="BD797">
        <f t="shared" si="125"/>
        <v>601505.85</v>
      </c>
      <c r="BE797">
        <f t="shared" si="125"/>
        <v>962409.36</v>
      </c>
      <c r="BF797">
        <f t="shared" si="125"/>
        <v>1203011.7</v>
      </c>
      <c r="BG797">
        <f t="shared" si="125"/>
        <v>4010038.9999999995</v>
      </c>
      <c r="BH797">
        <f t="shared" si="125"/>
        <v>12030117</v>
      </c>
      <c r="BI797">
        <f t="shared" si="125"/>
        <v>34085331.5</v>
      </c>
      <c r="BJ797">
        <f t="shared" si="125"/>
        <v>120301169.99999999</v>
      </c>
      <c r="BK797">
        <f t="shared" si="125"/>
        <v>401003900</v>
      </c>
      <c r="BL797">
        <v>792</v>
      </c>
    </row>
    <row r="798" spans="1:64" ht="17.25" thickBot="1" x14ac:dyDescent="0.25">
      <c r="A798" s="131">
        <v>794</v>
      </c>
      <c r="B798" s="132">
        <v>587738355</v>
      </c>
      <c r="D798" s="131">
        <v>794</v>
      </c>
      <c r="E798" s="132">
        <v>40.250399999999999</v>
      </c>
      <c r="AK798">
        <v>792</v>
      </c>
      <c r="AL798" s="24">
        <f t="shared" si="123"/>
        <v>40.150460000000002</v>
      </c>
      <c r="AM798">
        <f t="shared" si="126"/>
        <v>281.05322000000001</v>
      </c>
      <c r="AN798">
        <f t="shared" si="126"/>
        <v>401.50460000000004</v>
      </c>
      <c r="AO798">
        <f t="shared" si="126"/>
        <v>602.25690000000009</v>
      </c>
      <c r="AP798">
        <f t="shared" si="126"/>
        <v>803.00920000000008</v>
      </c>
      <c r="AQ798">
        <f t="shared" si="126"/>
        <v>1405.2661000000001</v>
      </c>
      <c r="AR798">
        <f t="shared" si="126"/>
        <v>2007.5230000000001</v>
      </c>
      <c r="AS798">
        <f t="shared" si="126"/>
        <v>3212.0368000000003</v>
      </c>
      <c r="AT798">
        <f t="shared" si="126"/>
        <v>4818.0552000000007</v>
      </c>
      <c r="AU798">
        <f t="shared" si="126"/>
        <v>6825.5782000000008</v>
      </c>
      <c r="AV798">
        <f t="shared" si="126"/>
        <v>9636.1104000000014</v>
      </c>
      <c r="AW798">
        <f t="shared" si="126"/>
        <v>13249.651800000001</v>
      </c>
      <c r="AX798">
        <f t="shared" si="126"/>
        <v>18469.211600000002</v>
      </c>
      <c r="AY798">
        <f t="shared" si="126"/>
        <v>32120.368000000002</v>
      </c>
      <c r="AZ798">
        <f t="shared" ref="AM798:BB814" si="127">AZ$5*VLOOKUP($AK798,$D$2:$E$1404,2,FALSE)</f>
        <v>60225.69</v>
      </c>
      <c r="BA798">
        <f t="shared" si="127"/>
        <v>100376.15000000001</v>
      </c>
      <c r="BB798">
        <f t="shared" si="127"/>
        <v>160601.84</v>
      </c>
      <c r="BC798">
        <f t="shared" si="125"/>
        <v>401504.60000000003</v>
      </c>
      <c r="BD798">
        <f t="shared" si="125"/>
        <v>602256.9</v>
      </c>
      <c r="BE798">
        <f t="shared" si="125"/>
        <v>963611.04</v>
      </c>
      <c r="BF798">
        <f t="shared" si="125"/>
        <v>1204513.8</v>
      </c>
      <c r="BG798">
        <f t="shared" si="125"/>
        <v>4015046.0000000005</v>
      </c>
      <c r="BH798">
        <f t="shared" si="125"/>
        <v>12045138</v>
      </c>
      <c r="BI798">
        <f t="shared" si="125"/>
        <v>34127891</v>
      </c>
      <c r="BJ798">
        <f t="shared" si="125"/>
        <v>120451380</v>
      </c>
      <c r="BK798">
        <f t="shared" si="125"/>
        <v>401504600</v>
      </c>
      <c r="BL798">
        <v>793</v>
      </c>
    </row>
    <row r="799" spans="1:64" ht="17.25" thickBot="1" x14ac:dyDescent="0.25">
      <c r="A799" s="131">
        <v>795</v>
      </c>
      <c r="B799" s="132">
        <v>591871433</v>
      </c>
      <c r="D799" s="131">
        <v>795</v>
      </c>
      <c r="E799" s="132">
        <v>40.300280000000001</v>
      </c>
      <c r="AK799">
        <v>793</v>
      </c>
      <c r="AL799" s="24">
        <f t="shared" si="123"/>
        <v>40.20046</v>
      </c>
      <c r="AM799">
        <f t="shared" si="127"/>
        <v>281.40321999999998</v>
      </c>
      <c r="AN799">
        <f t="shared" si="127"/>
        <v>402.00459999999998</v>
      </c>
      <c r="AO799">
        <f t="shared" si="127"/>
        <v>603.00689999999997</v>
      </c>
      <c r="AP799">
        <f t="shared" si="127"/>
        <v>804.00919999999996</v>
      </c>
      <c r="AQ799">
        <f t="shared" si="127"/>
        <v>1407.0161000000001</v>
      </c>
      <c r="AR799">
        <f t="shared" si="127"/>
        <v>2010.0229999999999</v>
      </c>
      <c r="AS799">
        <f t="shared" si="127"/>
        <v>3216.0367999999999</v>
      </c>
      <c r="AT799">
        <f t="shared" si="127"/>
        <v>4824.0551999999998</v>
      </c>
      <c r="AU799">
        <f t="shared" si="127"/>
        <v>6834.0781999999999</v>
      </c>
      <c r="AV799">
        <f t="shared" si="127"/>
        <v>9648.1103999999996</v>
      </c>
      <c r="AW799">
        <f t="shared" si="127"/>
        <v>13266.1518</v>
      </c>
      <c r="AX799">
        <f t="shared" si="127"/>
        <v>18492.211599999999</v>
      </c>
      <c r="AY799">
        <f t="shared" si="127"/>
        <v>32160.367999999999</v>
      </c>
      <c r="AZ799">
        <f t="shared" si="127"/>
        <v>60300.69</v>
      </c>
      <c r="BA799">
        <f t="shared" si="127"/>
        <v>100501.15</v>
      </c>
      <c r="BB799">
        <f t="shared" si="127"/>
        <v>160801.84</v>
      </c>
      <c r="BC799">
        <f t="shared" si="125"/>
        <v>402004.6</v>
      </c>
      <c r="BD799">
        <f t="shared" si="125"/>
        <v>603006.9</v>
      </c>
      <c r="BE799">
        <f t="shared" si="125"/>
        <v>964811.04</v>
      </c>
      <c r="BF799">
        <f t="shared" si="125"/>
        <v>1206013.8</v>
      </c>
      <c r="BG799">
        <f t="shared" si="125"/>
        <v>4020046</v>
      </c>
      <c r="BH799">
        <f t="shared" si="125"/>
        <v>12060138</v>
      </c>
      <c r="BI799">
        <f t="shared" si="125"/>
        <v>34170391</v>
      </c>
      <c r="BJ799">
        <f t="shared" si="125"/>
        <v>120601380</v>
      </c>
      <c r="BK799">
        <f t="shared" si="125"/>
        <v>402004600</v>
      </c>
      <c r="BL799">
        <v>794</v>
      </c>
    </row>
    <row r="800" spans="1:64" ht="17.25" thickBot="1" x14ac:dyDescent="0.25">
      <c r="A800" s="131">
        <v>796</v>
      </c>
      <c r="B800" s="132">
        <v>596030422</v>
      </c>
      <c r="D800" s="131">
        <v>796</v>
      </c>
      <c r="E800" s="132">
        <v>40.350099999999998</v>
      </c>
      <c r="AK800">
        <v>794</v>
      </c>
      <c r="AL800" s="24">
        <f t="shared" si="123"/>
        <v>40.250399999999999</v>
      </c>
      <c r="AM800">
        <f t="shared" si="127"/>
        <v>281.75279999999998</v>
      </c>
      <c r="AN800">
        <f t="shared" si="127"/>
        <v>402.50400000000002</v>
      </c>
      <c r="AO800">
        <f t="shared" si="127"/>
        <v>603.75599999999997</v>
      </c>
      <c r="AP800">
        <f t="shared" si="127"/>
        <v>805.00800000000004</v>
      </c>
      <c r="AQ800">
        <f t="shared" si="127"/>
        <v>1408.7639999999999</v>
      </c>
      <c r="AR800">
        <f t="shared" si="127"/>
        <v>2012.52</v>
      </c>
      <c r="AS800">
        <f t="shared" si="127"/>
        <v>3220.0320000000002</v>
      </c>
      <c r="AT800">
        <f t="shared" si="127"/>
        <v>4830.0479999999998</v>
      </c>
      <c r="AU800">
        <f t="shared" si="127"/>
        <v>6842.5680000000002</v>
      </c>
      <c r="AV800">
        <f t="shared" si="127"/>
        <v>9660.0959999999995</v>
      </c>
      <c r="AW800">
        <f t="shared" si="127"/>
        <v>13282.632</v>
      </c>
      <c r="AX800">
        <f t="shared" si="127"/>
        <v>18515.184000000001</v>
      </c>
      <c r="AY800">
        <f t="shared" si="127"/>
        <v>32200.32</v>
      </c>
      <c r="AZ800">
        <f t="shared" si="127"/>
        <v>60375.6</v>
      </c>
      <c r="BA800">
        <f t="shared" si="127"/>
        <v>100626</v>
      </c>
      <c r="BB800">
        <f t="shared" si="127"/>
        <v>161001.60000000001</v>
      </c>
      <c r="BC800">
        <f t="shared" si="125"/>
        <v>402504</v>
      </c>
      <c r="BD800">
        <f t="shared" si="125"/>
        <v>603756</v>
      </c>
      <c r="BE800">
        <f t="shared" si="125"/>
        <v>966009.6</v>
      </c>
      <c r="BF800">
        <f t="shared" si="125"/>
        <v>1207512</v>
      </c>
      <c r="BG800">
        <f t="shared" si="125"/>
        <v>4025040</v>
      </c>
      <c r="BH800">
        <f t="shared" si="125"/>
        <v>12075120</v>
      </c>
      <c r="BI800">
        <f t="shared" si="125"/>
        <v>34212840</v>
      </c>
      <c r="BJ800">
        <f t="shared" si="125"/>
        <v>120751200</v>
      </c>
      <c r="BK800">
        <f t="shared" si="125"/>
        <v>402504000</v>
      </c>
      <c r="BL800">
        <v>795</v>
      </c>
    </row>
    <row r="801" spans="1:64" ht="17.25" thickBot="1" x14ac:dyDescent="0.25">
      <c r="A801" s="131">
        <v>797</v>
      </c>
      <c r="B801" s="132">
        <v>600215438</v>
      </c>
      <c r="D801" s="131">
        <v>797</v>
      </c>
      <c r="E801" s="132">
        <v>40.399859999999997</v>
      </c>
      <c r="AK801">
        <v>795</v>
      </c>
      <c r="AL801" s="24">
        <f t="shared" si="123"/>
        <v>40.300280000000001</v>
      </c>
      <c r="AM801">
        <f t="shared" si="127"/>
        <v>282.10196000000002</v>
      </c>
      <c r="AN801">
        <f t="shared" si="127"/>
        <v>403.00279999999998</v>
      </c>
      <c r="AO801">
        <f t="shared" si="127"/>
        <v>604.50419999999997</v>
      </c>
      <c r="AP801">
        <f t="shared" si="127"/>
        <v>806.00559999999996</v>
      </c>
      <c r="AQ801">
        <f t="shared" si="127"/>
        <v>1410.5098</v>
      </c>
      <c r="AR801">
        <f t="shared" si="127"/>
        <v>2015.0140000000001</v>
      </c>
      <c r="AS801">
        <f t="shared" si="127"/>
        <v>3224.0223999999998</v>
      </c>
      <c r="AT801">
        <f t="shared" si="127"/>
        <v>4836.0335999999998</v>
      </c>
      <c r="AU801">
        <f t="shared" si="127"/>
        <v>6851.0475999999999</v>
      </c>
      <c r="AV801">
        <f t="shared" si="127"/>
        <v>9672.0671999999995</v>
      </c>
      <c r="AW801">
        <f t="shared" si="127"/>
        <v>13299.0924</v>
      </c>
      <c r="AX801">
        <f t="shared" si="127"/>
        <v>18538.128799999999</v>
      </c>
      <c r="AY801">
        <f t="shared" si="127"/>
        <v>32240.224000000002</v>
      </c>
      <c r="AZ801">
        <f t="shared" si="127"/>
        <v>60450.42</v>
      </c>
      <c r="BA801">
        <f t="shared" si="127"/>
        <v>100750.7</v>
      </c>
      <c r="BB801">
        <f t="shared" si="127"/>
        <v>161201.12</v>
      </c>
      <c r="BC801">
        <f t="shared" si="125"/>
        <v>403002.8</v>
      </c>
      <c r="BD801">
        <f t="shared" si="125"/>
        <v>604504.19999999995</v>
      </c>
      <c r="BE801">
        <f t="shared" si="125"/>
        <v>967206.72</v>
      </c>
      <c r="BF801">
        <f t="shared" si="125"/>
        <v>1209008.3999999999</v>
      </c>
      <c r="BG801">
        <f t="shared" si="125"/>
        <v>4030028</v>
      </c>
      <c r="BH801">
        <f t="shared" si="125"/>
        <v>12090084</v>
      </c>
      <c r="BI801">
        <f t="shared" si="125"/>
        <v>34255238</v>
      </c>
      <c r="BJ801">
        <f t="shared" si="125"/>
        <v>120900840</v>
      </c>
      <c r="BK801">
        <f t="shared" si="125"/>
        <v>403002800</v>
      </c>
      <c r="BL801">
        <v>796</v>
      </c>
    </row>
    <row r="802" spans="1:64" ht="17.25" thickBot="1" x14ac:dyDescent="0.25">
      <c r="A802" s="131">
        <v>798</v>
      </c>
      <c r="B802" s="132">
        <v>604426599</v>
      </c>
      <c r="D802" s="131">
        <v>798</v>
      </c>
      <c r="E802" s="132">
        <v>40.449550000000002</v>
      </c>
      <c r="AK802">
        <v>796</v>
      </c>
      <c r="AL802" s="24">
        <f t="shared" si="123"/>
        <v>40.350099999999998</v>
      </c>
      <c r="AM802">
        <f t="shared" si="127"/>
        <v>282.45069999999998</v>
      </c>
      <c r="AN802">
        <f t="shared" si="127"/>
        <v>403.50099999999998</v>
      </c>
      <c r="AO802">
        <f t="shared" si="127"/>
        <v>605.25149999999996</v>
      </c>
      <c r="AP802">
        <f t="shared" si="127"/>
        <v>807.00199999999995</v>
      </c>
      <c r="AQ802">
        <f t="shared" si="127"/>
        <v>1412.2534999999998</v>
      </c>
      <c r="AR802">
        <f t="shared" si="127"/>
        <v>2017.5049999999999</v>
      </c>
      <c r="AS802">
        <f t="shared" si="127"/>
        <v>3228.0079999999998</v>
      </c>
      <c r="AT802">
        <f t="shared" si="127"/>
        <v>4842.0119999999997</v>
      </c>
      <c r="AU802">
        <f t="shared" si="127"/>
        <v>6859.5169999999998</v>
      </c>
      <c r="AV802">
        <f t="shared" si="127"/>
        <v>9684.0239999999994</v>
      </c>
      <c r="AW802">
        <f t="shared" si="127"/>
        <v>13315.532999999999</v>
      </c>
      <c r="AX802">
        <f t="shared" si="127"/>
        <v>18561.045999999998</v>
      </c>
      <c r="AY802">
        <f t="shared" si="127"/>
        <v>32280.079999999998</v>
      </c>
      <c r="AZ802">
        <f t="shared" si="127"/>
        <v>60525.149999999994</v>
      </c>
      <c r="BA802">
        <f t="shared" si="127"/>
        <v>100875.25</v>
      </c>
      <c r="BB802">
        <f t="shared" si="127"/>
        <v>161400.4</v>
      </c>
      <c r="BC802">
        <f t="shared" si="125"/>
        <v>403501</v>
      </c>
      <c r="BD802">
        <f t="shared" si="125"/>
        <v>605251.5</v>
      </c>
      <c r="BE802">
        <f t="shared" si="125"/>
        <v>968402.39999999991</v>
      </c>
      <c r="BF802">
        <f t="shared" si="125"/>
        <v>1210503</v>
      </c>
      <c r="BG802">
        <f t="shared" si="125"/>
        <v>4035009.9999999995</v>
      </c>
      <c r="BH802">
        <f t="shared" si="125"/>
        <v>12105030</v>
      </c>
      <c r="BI802">
        <f t="shared" si="125"/>
        <v>34297585</v>
      </c>
      <c r="BJ802">
        <f t="shared" si="125"/>
        <v>121050300</v>
      </c>
      <c r="BK802">
        <f t="shared" si="125"/>
        <v>403501000</v>
      </c>
      <c r="BL802">
        <v>797</v>
      </c>
    </row>
    <row r="803" spans="1:64" ht="17.25" thickBot="1" x14ac:dyDescent="0.25">
      <c r="A803" s="131">
        <v>799</v>
      </c>
      <c r="B803" s="132">
        <v>608664022</v>
      </c>
      <c r="D803" s="131">
        <v>799</v>
      </c>
      <c r="E803" s="132">
        <v>40.499180000000003</v>
      </c>
      <c r="AK803">
        <v>797</v>
      </c>
      <c r="AL803" s="24">
        <f t="shared" si="123"/>
        <v>40.399859999999997</v>
      </c>
      <c r="AM803">
        <f t="shared" si="127"/>
        <v>282.79901999999998</v>
      </c>
      <c r="AN803">
        <f t="shared" si="127"/>
        <v>403.99859999999995</v>
      </c>
      <c r="AO803">
        <f t="shared" si="127"/>
        <v>605.99789999999996</v>
      </c>
      <c r="AP803">
        <f t="shared" si="127"/>
        <v>807.99719999999991</v>
      </c>
      <c r="AQ803">
        <f t="shared" si="127"/>
        <v>1413.9950999999999</v>
      </c>
      <c r="AR803">
        <f t="shared" si="127"/>
        <v>2019.9929999999999</v>
      </c>
      <c r="AS803">
        <f t="shared" si="127"/>
        <v>3231.9887999999996</v>
      </c>
      <c r="AT803">
        <f t="shared" si="127"/>
        <v>4847.9831999999997</v>
      </c>
      <c r="AU803">
        <f t="shared" si="127"/>
        <v>6867.9761999999992</v>
      </c>
      <c r="AV803">
        <f t="shared" si="127"/>
        <v>9695.9663999999993</v>
      </c>
      <c r="AW803">
        <f t="shared" si="127"/>
        <v>13331.953799999999</v>
      </c>
      <c r="AX803">
        <f t="shared" si="127"/>
        <v>18583.935599999997</v>
      </c>
      <c r="AY803">
        <f t="shared" si="127"/>
        <v>32319.887999999999</v>
      </c>
      <c r="AZ803">
        <f t="shared" si="127"/>
        <v>60599.789999999994</v>
      </c>
      <c r="BA803">
        <f t="shared" si="127"/>
        <v>100999.65</v>
      </c>
      <c r="BB803">
        <f t="shared" si="127"/>
        <v>161599.43999999997</v>
      </c>
      <c r="BC803">
        <f t="shared" si="125"/>
        <v>403998.6</v>
      </c>
      <c r="BD803">
        <f t="shared" si="125"/>
        <v>605997.89999999991</v>
      </c>
      <c r="BE803">
        <f t="shared" si="125"/>
        <v>969596.6399999999</v>
      </c>
      <c r="BF803">
        <f t="shared" si="125"/>
        <v>1211995.7999999998</v>
      </c>
      <c r="BG803">
        <f t="shared" si="125"/>
        <v>4039985.9999999995</v>
      </c>
      <c r="BH803">
        <f t="shared" si="125"/>
        <v>12119957.999999998</v>
      </c>
      <c r="BI803">
        <f t="shared" si="125"/>
        <v>34339881</v>
      </c>
      <c r="BJ803">
        <f t="shared" si="125"/>
        <v>121199579.99999999</v>
      </c>
      <c r="BK803">
        <f t="shared" si="125"/>
        <v>403998599.99999994</v>
      </c>
      <c r="BL803">
        <v>798</v>
      </c>
    </row>
    <row r="804" spans="1:64" ht="17.25" thickBot="1" x14ac:dyDescent="0.25">
      <c r="A804" s="131">
        <v>800</v>
      </c>
      <c r="B804" s="135">
        <v>612927822</v>
      </c>
      <c r="D804" s="131">
        <v>800</v>
      </c>
      <c r="E804" s="132">
        <v>40.548749999999998</v>
      </c>
      <c r="AK804">
        <v>798</v>
      </c>
      <c r="AL804" s="24">
        <f t="shared" si="123"/>
        <v>40.449550000000002</v>
      </c>
      <c r="AM804">
        <f t="shared" si="127"/>
        <v>283.14685000000003</v>
      </c>
      <c r="AN804">
        <f t="shared" si="127"/>
        <v>404.49549999999999</v>
      </c>
      <c r="AO804">
        <f t="shared" si="127"/>
        <v>606.74324999999999</v>
      </c>
      <c r="AP804">
        <f t="shared" si="127"/>
        <v>808.99099999999999</v>
      </c>
      <c r="AQ804">
        <f t="shared" si="127"/>
        <v>1415.73425</v>
      </c>
      <c r="AR804">
        <f t="shared" si="127"/>
        <v>2022.4775000000002</v>
      </c>
      <c r="AS804">
        <f t="shared" si="127"/>
        <v>3235.9639999999999</v>
      </c>
      <c r="AT804">
        <f t="shared" si="127"/>
        <v>4853.9459999999999</v>
      </c>
      <c r="AU804">
        <f t="shared" si="127"/>
        <v>6876.4235000000008</v>
      </c>
      <c r="AV804">
        <f t="shared" si="127"/>
        <v>9707.8919999999998</v>
      </c>
      <c r="AW804">
        <f t="shared" si="127"/>
        <v>13348.351500000001</v>
      </c>
      <c r="AX804">
        <f t="shared" si="127"/>
        <v>18606.793000000001</v>
      </c>
      <c r="AY804">
        <f t="shared" si="127"/>
        <v>32359.640000000003</v>
      </c>
      <c r="AZ804">
        <f t="shared" si="127"/>
        <v>60674.325000000004</v>
      </c>
      <c r="BA804">
        <f t="shared" si="127"/>
        <v>101123.875</v>
      </c>
      <c r="BB804">
        <f t="shared" si="127"/>
        <v>161798.20000000001</v>
      </c>
      <c r="BC804">
        <f t="shared" si="125"/>
        <v>404495.5</v>
      </c>
      <c r="BD804">
        <f t="shared" si="125"/>
        <v>606743.25</v>
      </c>
      <c r="BE804">
        <f t="shared" si="125"/>
        <v>970789.20000000007</v>
      </c>
      <c r="BF804">
        <f t="shared" si="125"/>
        <v>1213486.5</v>
      </c>
      <c r="BG804">
        <f t="shared" si="125"/>
        <v>4044955</v>
      </c>
      <c r="BH804">
        <f t="shared" si="125"/>
        <v>12134865</v>
      </c>
      <c r="BI804">
        <f t="shared" si="125"/>
        <v>34382117.5</v>
      </c>
      <c r="BJ804">
        <f t="shared" si="125"/>
        <v>121348650</v>
      </c>
      <c r="BK804">
        <f t="shared" si="125"/>
        <v>404495500</v>
      </c>
      <c r="BL804">
        <v>799</v>
      </c>
    </row>
    <row r="805" spans="1:64" ht="17.25" thickBot="1" x14ac:dyDescent="0.25">
      <c r="A805" s="131">
        <v>801</v>
      </c>
      <c r="B805" s="135">
        <v>617218122</v>
      </c>
      <c r="D805" s="131">
        <v>801</v>
      </c>
      <c r="E805" s="132">
        <v>40.598260000000003</v>
      </c>
      <c r="AK805">
        <v>799</v>
      </c>
      <c r="AL805" s="24">
        <f t="shared" si="123"/>
        <v>40.499180000000003</v>
      </c>
      <c r="AM805">
        <f t="shared" si="127"/>
        <v>283.49426</v>
      </c>
      <c r="AN805">
        <f t="shared" si="127"/>
        <v>404.99180000000001</v>
      </c>
      <c r="AO805">
        <f t="shared" si="127"/>
        <v>607.48770000000002</v>
      </c>
      <c r="AP805">
        <f t="shared" si="127"/>
        <v>809.98360000000002</v>
      </c>
      <c r="AQ805">
        <f t="shared" si="127"/>
        <v>1417.4713000000002</v>
      </c>
      <c r="AR805">
        <f t="shared" si="127"/>
        <v>2024.9590000000001</v>
      </c>
      <c r="AS805">
        <f t="shared" si="127"/>
        <v>3239.9344000000001</v>
      </c>
      <c r="AT805">
        <f t="shared" si="127"/>
        <v>4859.9016000000001</v>
      </c>
      <c r="AU805">
        <f t="shared" si="127"/>
        <v>6884.8606000000009</v>
      </c>
      <c r="AV805">
        <f t="shared" si="127"/>
        <v>9719.8032000000003</v>
      </c>
      <c r="AW805">
        <f t="shared" si="127"/>
        <v>13364.7294</v>
      </c>
      <c r="AX805">
        <f t="shared" si="127"/>
        <v>18629.622800000001</v>
      </c>
      <c r="AY805">
        <f t="shared" si="127"/>
        <v>32399.344000000001</v>
      </c>
      <c r="AZ805">
        <f t="shared" si="127"/>
        <v>60748.770000000004</v>
      </c>
      <c r="BA805">
        <f t="shared" si="127"/>
        <v>101247.95000000001</v>
      </c>
      <c r="BB805">
        <f t="shared" si="127"/>
        <v>161996.72</v>
      </c>
      <c r="BC805">
        <f t="shared" si="125"/>
        <v>404991.80000000005</v>
      </c>
      <c r="BD805">
        <f t="shared" si="125"/>
        <v>607487.70000000007</v>
      </c>
      <c r="BE805">
        <f t="shared" si="125"/>
        <v>971980.32000000007</v>
      </c>
      <c r="BF805">
        <f t="shared" si="125"/>
        <v>1214975.4000000001</v>
      </c>
      <c r="BG805">
        <f t="shared" si="125"/>
        <v>4049918.0000000005</v>
      </c>
      <c r="BH805">
        <f t="shared" si="125"/>
        <v>12149754</v>
      </c>
      <c r="BI805">
        <f t="shared" si="125"/>
        <v>34424303</v>
      </c>
      <c r="BJ805">
        <f t="shared" si="125"/>
        <v>121497540.00000001</v>
      </c>
      <c r="BK805">
        <f t="shared" si="125"/>
        <v>404991800</v>
      </c>
      <c r="BL805">
        <v>800</v>
      </c>
    </row>
    <row r="806" spans="1:64" ht="17.25" thickBot="1" x14ac:dyDescent="0.25">
      <c r="A806" s="131">
        <v>802</v>
      </c>
      <c r="B806" s="135">
        <v>621535038</v>
      </c>
      <c r="D806" s="131">
        <v>802</v>
      </c>
      <c r="E806" s="132">
        <v>40.647709999999996</v>
      </c>
      <c r="AK806">
        <v>800</v>
      </c>
      <c r="AL806" s="24">
        <f t="shared" si="123"/>
        <v>40.548749999999998</v>
      </c>
      <c r="AM806">
        <f t="shared" si="127"/>
        <v>283.84125</v>
      </c>
      <c r="AN806">
        <f t="shared" si="127"/>
        <v>405.48749999999995</v>
      </c>
      <c r="AO806">
        <f t="shared" si="127"/>
        <v>608.23124999999993</v>
      </c>
      <c r="AP806">
        <f t="shared" si="127"/>
        <v>810.97499999999991</v>
      </c>
      <c r="AQ806">
        <f t="shared" si="127"/>
        <v>1419.20625</v>
      </c>
      <c r="AR806">
        <f t="shared" si="127"/>
        <v>2027.4375</v>
      </c>
      <c r="AS806">
        <f t="shared" si="127"/>
        <v>3243.8999999999996</v>
      </c>
      <c r="AT806">
        <f t="shared" si="127"/>
        <v>4865.8499999999995</v>
      </c>
      <c r="AU806">
        <f t="shared" si="127"/>
        <v>6893.2874999999995</v>
      </c>
      <c r="AV806">
        <f t="shared" si="127"/>
        <v>9731.6999999999989</v>
      </c>
      <c r="AW806">
        <f t="shared" si="127"/>
        <v>13381.0875</v>
      </c>
      <c r="AX806">
        <f t="shared" si="127"/>
        <v>18652.424999999999</v>
      </c>
      <c r="AY806">
        <f t="shared" si="127"/>
        <v>32439</v>
      </c>
      <c r="AZ806">
        <f t="shared" si="127"/>
        <v>60823.125</v>
      </c>
      <c r="BA806">
        <f t="shared" si="127"/>
        <v>101371.875</v>
      </c>
      <c r="BB806">
        <f t="shared" si="127"/>
        <v>162195</v>
      </c>
      <c r="BC806">
        <f t="shared" si="125"/>
        <v>405487.5</v>
      </c>
      <c r="BD806">
        <f t="shared" si="125"/>
        <v>608231.25</v>
      </c>
      <c r="BE806">
        <f t="shared" si="125"/>
        <v>973170</v>
      </c>
      <c r="BF806">
        <f t="shared" si="125"/>
        <v>1216462.5</v>
      </c>
      <c r="BG806">
        <f t="shared" si="125"/>
        <v>4054875</v>
      </c>
      <c r="BH806">
        <f t="shared" si="125"/>
        <v>12164625</v>
      </c>
      <c r="BI806">
        <f t="shared" si="125"/>
        <v>34466437.5</v>
      </c>
      <c r="BJ806">
        <f t="shared" si="125"/>
        <v>121646250</v>
      </c>
      <c r="BK806">
        <f t="shared" si="125"/>
        <v>405487500</v>
      </c>
      <c r="BL806">
        <v>801</v>
      </c>
    </row>
    <row r="807" spans="1:64" ht="17.25" thickBot="1" x14ac:dyDescent="0.25">
      <c r="A807" s="131">
        <v>803</v>
      </c>
      <c r="B807" s="135">
        <v>625878694</v>
      </c>
      <c r="D807" s="131">
        <v>803</v>
      </c>
      <c r="E807" s="132">
        <v>40.697099999999999</v>
      </c>
      <c r="AK807">
        <v>801</v>
      </c>
      <c r="AL807" s="24">
        <f t="shared" si="123"/>
        <v>40.598260000000003</v>
      </c>
      <c r="AM807">
        <f t="shared" si="127"/>
        <v>284.18782000000004</v>
      </c>
      <c r="AN807">
        <f t="shared" si="127"/>
        <v>405.98260000000005</v>
      </c>
      <c r="AO807">
        <f t="shared" si="127"/>
        <v>608.97390000000007</v>
      </c>
      <c r="AP807">
        <f t="shared" si="127"/>
        <v>811.9652000000001</v>
      </c>
      <c r="AQ807">
        <f t="shared" si="127"/>
        <v>1420.9391000000001</v>
      </c>
      <c r="AR807">
        <f t="shared" si="127"/>
        <v>2029.9130000000002</v>
      </c>
      <c r="AS807">
        <f t="shared" si="127"/>
        <v>3247.8608000000004</v>
      </c>
      <c r="AT807">
        <f t="shared" si="127"/>
        <v>4871.7912000000006</v>
      </c>
      <c r="AU807">
        <f t="shared" si="127"/>
        <v>6901.7042000000001</v>
      </c>
      <c r="AV807">
        <f t="shared" si="127"/>
        <v>9743.5824000000011</v>
      </c>
      <c r="AW807">
        <f t="shared" si="127"/>
        <v>13397.425800000001</v>
      </c>
      <c r="AX807">
        <f t="shared" si="127"/>
        <v>18675.1996</v>
      </c>
      <c r="AY807">
        <f t="shared" si="127"/>
        <v>32478.608000000004</v>
      </c>
      <c r="AZ807">
        <f t="shared" si="127"/>
        <v>60897.390000000007</v>
      </c>
      <c r="BA807">
        <f t="shared" si="127"/>
        <v>101495.65000000001</v>
      </c>
      <c r="BB807">
        <f t="shared" si="127"/>
        <v>162393.04</v>
      </c>
      <c r="BC807">
        <f t="shared" si="125"/>
        <v>405982.60000000003</v>
      </c>
      <c r="BD807">
        <f t="shared" si="125"/>
        <v>608973.9</v>
      </c>
      <c r="BE807">
        <f t="shared" ref="BC807:BK835" si="128">BE$5*VLOOKUP($AK807,$D$2:$E$1404,2,FALSE)</f>
        <v>974358.24000000011</v>
      </c>
      <c r="BF807">
        <f t="shared" si="128"/>
        <v>1217947.8</v>
      </c>
      <c r="BG807">
        <f t="shared" si="128"/>
        <v>4059826.0000000005</v>
      </c>
      <c r="BH807">
        <f t="shared" si="128"/>
        <v>12179478.000000002</v>
      </c>
      <c r="BI807">
        <f t="shared" si="128"/>
        <v>34508521</v>
      </c>
      <c r="BJ807">
        <f t="shared" si="128"/>
        <v>121794780.00000001</v>
      </c>
      <c r="BK807">
        <f t="shared" si="128"/>
        <v>405982600.00000006</v>
      </c>
      <c r="BL807">
        <v>802</v>
      </c>
    </row>
    <row r="808" spans="1:64" ht="17.25" thickBot="1" x14ac:dyDescent="0.25">
      <c r="A808" s="131">
        <v>804</v>
      </c>
      <c r="B808" s="135">
        <v>630249205</v>
      </c>
      <c r="D808" s="131">
        <v>804</v>
      </c>
      <c r="E808" s="132">
        <v>40.746429999999997</v>
      </c>
      <c r="AK808">
        <v>802</v>
      </c>
      <c r="AL808" s="24">
        <f t="shared" si="123"/>
        <v>40.647709999999996</v>
      </c>
      <c r="AM808">
        <f t="shared" si="127"/>
        <v>284.53396999999995</v>
      </c>
      <c r="AN808">
        <f t="shared" si="127"/>
        <v>406.47709999999995</v>
      </c>
      <c r="AO808">
        <f t="shared" si="127"/>
        <v>609.71564999999998</v>
      </c>
      <c r="AP808">
        <f t="shared" si="127"/>
        <v>812.9541999999999</v>
      </c>
      <c r="AQ808">
        <f t="shared" si="127"/>
        <v>1422.6698499999998</v>
      </c>
      <c r="AR808">
        <f t="shared" si="127"/>
        <v>2032.3854999999999</v>
      </c>
      <c r="AS808">
        <f t="shared" si="127"/>
        <v>3251.8167999999996</v>
      </c>
      <c r="AT808">
        <f t="shared" si="127"/>
        <v>4877.7251999999999</v>
      </c>
      <c r="AU808">
        <f t="shared" si="127"/>
        <v>6910.1106999999993</v>
      </c>
      <c r="AV808">
        <f t="shared" si="127"/>
        <v>9755.4503999999997</v>
      </c>
      <c r="AW808">
        <f t="shared" si="127"/>
        <v>13413.744299999998</v>
      </c>
      <c r="AX808">
        <f t="shared" si="127"/>
        <v>18697.946599999999</v>
      </c>
      <c r="AY808">
        <f t="shared" si="127"/>
        <v>32518.167999999998</v>
      </c>
      <c r="AZ808">
        <f t="shared" si="127"/>
        <v>60971.564999999995</v>
      </c>
      <c r="BA808">
        <f t="shared" si="127"/>
        <v>101619.27499999999</v>
      </c>
      <c r="BB808">
        <f t="shared" si="127"/>
        <v>162590.84</v>
      </c>
      <c r="BC808">
        <f t="shared" si="128"/>
        <v>406477.1</v>
      </c>
      <c r="BD808">
        <f t="shared" si="128"/>
        <v>609715.64999999991</v>
      </c>
      <c r="BE808">
        <f t="shared" si="128"/>
        <v>975545.03999999992</v>
      </c>
      <c r="BF808">
        <f t="shared" si="128"/>
        <v>1219431.2999999998</v>
      </c>
      <c r="BG808">
        <f t="shared" si="128"/>
        <v>4064770.9999999995</v>
      </c>
      <c r="BH808">
        <f t="shared" si="128"/>
        <v>12194312.999999998</v>
      </c>
      <c r="BI808">
        <f t="shared" si="128"/>
        <v>34550553.5</v>
      </c>
      <c r="BJ808">
        <f t="shared" si="128"/>
        <v>121943129.99999999</v>
      </c>
      <c r="BK808">
        <f t="shared" si="128"/>
        <v>406477099.99999994</v>
      </c>
      <c r="BL808">
        <v>803</v>
      </c>
    </row>
    <row r="809" spans="1:64" ht="17.25" thickBot="1" x14ac:dyDescent="0.25">
      <c r="A809" s="131">
        <v>805</v>
      </c>
      <c r="B809" s="135">
        <v>634646694</v>
      </c>
      <c r="D809" s="131">
        <v>805</v>
      </c>
      <c r="E809" s="132">
        <v>40.795699999999997</v>
      </c>
      <c r="AK809">
        <v>803</v>
      </c>
      <c r="AL809" s="24">
        <f t="shared" si="123"/>
        <v>40.697099999999999</v>
      </c>
      <c r="AM809">
        <f t="shared" si="127"/>
        <v>284.87970000000001</v>
      </c>
      <c r="AN809">
        <f t="shared" si="127"/>
        <v>406.971</v>
      </c>
      <c r="AO809">
        <f t="shared" si="127"/>
        <v>610.45650000000001</v>
      </c>
      <c r="AP809">
        <f t="shared" si="127"/>
        <v>813.94200000000001</v>
      </c>
      <c r="AQ809">
        <f t="shared" si="127"/>
        <v>1424.3985</v>
      </c>
      <c r="AR809">
        <f t="shared" si="127"/>
        <v>2034.855</v>
      </c>
      <c r="AS809">
        <f t="shared" si="127"/>
        <v>3255.768</v>
      </c>
      <c r="AT809">
        <f t="shared" si="127"/>
        <v>4883.652</v>
      </c>
      <c r="AU809">
        <f t="shared" si="127"/>
        <v>6918.5069999999996</v>
      </c>
      <c r="AV809">
        <f t="shared" si="127"/>
        <v>9767.3040000000001</v>
      </c>
      <c r="AW809">
        <f t="shared" si="127"/>
        <v>13430.043</v>
      </c>
      <c r="AX809">
        <f t="shared" si="127"/>
        <v>18720.666000000001</v>
      </c>
      <c r="AY809">
        <f t="shared" si="127"/>
        <v>32557.68</v>
      </c>
      <c r="AZ809">
        <f t="shared" si="127"/>
        <v>61045.65</v>
      </c>
      <c r="BA809">
        <f t="shared" si="127"/>
        <v>101742.75</v>
      </c>
      <c r="BB809">
        <f t="shared" si="127"/>
        <v>162788.4</v>
      </c>
      <c r="BC809">
        <f t="shared" si="128"/>
        <v>406971</v>
      </c>
      <c r="BD809">
        <f t="shared" si="128"/>
        <v>610456.5</v>
      </c>
      <c r="BE809">
        <f t="shared" si="128"/>
        <v>976730.4</v>
      </c>
      <c r="BF809">
        <f t="shared" si="128"/>
        <v>1220913</v>
      </c>
      <c r="BG809">
        <f t="shared" si="128"/>
        <v>4069710</v>
      </c>
      <c r="BH809">
        <f t="shared" si="128"/>
        <v>12209130</v>
      </c>
      <c r="BI809">
        <f t="shared" si="128"/>
        <v>34592535</v>
      </c>
      <c r="BJ809">
        <f t="shared" si="128"/>
        <v>122091300</v>
      </c>
      <c r="BK809">
        <f t="shared" si="128"/>
        <v>406971000</v>
      </c>
      <c r="BL809">
        <v>804</v>
      </c>
    </row>
    <row r="810" spans="1:64" ht="17.25" thickBot="1" x14ac:dyDescent="0.25">
      <c r="A810" s="131">
        <v>806</v>
      </c>
      <c r="B810" s="135">
        <v>639071277</v>
      </c>
      <c r="D810" s="131">
        <v>806</v>
      </c>
      <c r="E810" s="132">
        <v>40.844909999999999</v>
      </c>
      <c r="AK810">
        <v>804</v>
      </c>
      <c r="AL810" s="24">
        <f t="shared" si="123"/>
        <v>40.746429999999997</v>
      </c>
      <c r="AM810">
        <f t="shared" si="127"/>
        <v>285.22501</v>
      </c>
      <c r="AN810">
        <f t="shared" si="127"/>
        <v>407.46429999999998</v>
      </c>
      <c r="AO810">
        <f t="shared" si="127"/>
        <v>611.19644999999991</v>
      </c>
      <c r="AP810">
        <f t="shared" si="127"/>
        <v>814.92859999999996</v>
      </c>
      <c r="AQ810">
        <f t="shared" si="127"/>
        <v>1426.1250499999999</v>
      </c>
      <c r="AR810">
        <f t="shared" si="127"/>
        <v>2037.3214999999998</v>
      </c>
      <c r="AS810">
        <f t="shared" si="127"/>
        <v>3259.7143999999998</v>
      </c>
      <c r="AT810">
        <f t="shared" si="127"/>
        <v>4889.5715999999993</v>
      </c>
      <c r="AU810">
        <f t="shared" si="127"/>
        <v>6926.8930999999993</v>
      </c>
      <c r="AV810">
        <f t="shared" si="127"/>
        <v>9779.1431999999986</v>
      </c>
      <c r="AW810">
        <f t="shared" si="127"/>
        <v>13446.321899999999</v>
      </c>
      <c r="AX810">
        <f t="shared" si="127"/>
        <v>18743.357799999998</v>
      </c>
      <c r="AY810">
        <f t="shared" si="127"/>
        <v>32597.143999999997</v>
      </c>
      <c r="AZ810">
        <f t="shared" si="127"/>
        <v>61119.644999999997</v>
      </c>
      <c r="BA810">
        <f t="shared" si="127"/>
        <v>101866.075</v>
      </c>
      <c r="BB810">
        <f t="shared" si="127"/>
        <v>162985.71999999997</v>
      </c>
      <c r="BC810">
        <f t="shared" si="128"/>
        <v>407464.3</v>
      </c>
      <c r="BD810">
        <f t="shared" si="128"/>
        <v>611196.44999999995</v>
      </c>
      <c r="BE810">
        <f t="shared" si="128"/>
        <v>977914.32</v>
      </c>
      <c r="BF810">
        <f t="shared" si="128"/>
        <v>1222392.8999999999</v>
      </c>
      <c r="BG810">
        <f t="shared" si="128"/>
        <v>4074642.9999999995</v>
      </c>
      <c r="BH810">
        <f t="shared" si="128"/>
        <v>12223928.999999998</v>
      </c>
      <c r="BI810">
        <f t="shared" si="128"/>
        <v>34634465.5</v>
      </c>
      <c r="BJ810">
        <f t="shared" si="128"/>
        <v>122239289.99999999</v>
      </c>
      <c r="BK810">
        <f t="shared" si="128"/>
        <v>407464299.99999994</v>
      </c>
      <c r="BL810">
        <v>805</v>
      </c>
    </row>
    <row r="811" spans="1:64" ht="17.25" thickBot="1" x14ac:dyDescent="0.25">
      <c r="A811" s="131">
        <v>807</v>
      </c>
      <c r="B811" s="135">
        <v>643523077</v>
      </c>
      <c r="D811" s="131">
        <v>807</v>
      </c>
      <c r="E811" s="132">
        <v>40.894060000000003</v>
      </c>
      <c r="AK811">
        <v>805</v>
      </c>
      <c r="AL811" s="24">
        <f t="shared" si="123"/>
        <v>40.795699999999997</v>
      </c>
      <c r="AM811">
        <f t="shared" si="127"/>
        <v>285.56989999999996</v>
      </c>
      <c r="AN811">
        <f t="shared" si="127"/>
        <v>407.95699999999999</v>
      </c>
      <c r="AO811">
        <f t="shared" si="127"/>
        <v>611.93549999999993</v>
      </c>
      <c r="AP811">
        <f t="shared" si="127"/>
        <v>815.91399999999999</v>
      </c>
      <c r="AQ811">
        <f t="shared" si="127"/>
        <v>1427.8494999999998</v>
      </c>
      <c r="AR811">
        <f t="shared" si="127"/>
        <v>2039.7849999999999</v>
      </c>
      <c r="AS811">
        <f t="shared" si="127"/>
        <v>3263.6559999999999</v>
      </c>
      <c r="AT811">
        <f t="shared" si="127"/>
        <v>4895.4839999999995</v>
      </c>
      <c r="AU811">
        <f t="shared" si="127"/>
        <v>6935.2689999999993</v>
      </c>
      <c r="AV811">
        <f t="shared" si="127"/>
        <v>9790.9679999999989</v>
      </c>
      <c r="AW811">
        <f t="shared" si="127"/>
        <v>13462.580999999998</v>
      </c>
      <c r="AX811">
        <f t="shared" si="127"/>
        <v>18766.021999999997</v>
      </c>
      <c r="AY811">
        <f t="shared" si="127"/>
        <v>32636.559999999998</v>
      </c>
      <c r="AZ811">
        <f t="shared" si="127"/>
        <v>61193.549999999996</v>
      </c>
      <c r="BA811">
        <f t="shared" si="127"/>
        <v>101989.24999999999</v>
      </c>
      <c r="BB811">
        <f t="shared" si="127"/>
        <v>163182.79999999999</v>
      </c>
      <c r="BC811">
        <f t="shared" si="128"/>
        <v>407956.99999999994</v>
      </c>
      <c r="BD811">
        <f t="shared" si="128"/>
        <v>611935.5</v>
      </c>
      <c r="BE811">
        <f t="shared" si="128"/>
        <v>979096.79999999993</v>
      </c>
      <c r="BF811">
        <f t="shared" si="128"/>
        <v>1223871</v>
      </c>
      <c r="BG811">
        <f t="shared" si="128"/>
        <v>4079569.9999999995</v>
      </c>
      <c r="BH811">
        <f t="shared" si="128"/>
        <v>12238709.999999998</v>
      </c>
      <c r="BI811">
        <f t="shared" si="128"/>
        <v>34676345</v>
      </c>
      <c r="BJ811">
        <f t="shared" si="128"/>
        <v>122387099.99999999</v>
      </c>
      <c r="BK811">
        <f t="shared" si="128"/>
        <v>407956999.99999994</v>
      </c>
      <c r="BL811">
        <v>806</v>
      </c>
    </row>
    <row r="812" spans="1:64" ht="17.25" thickBot="1" x14ac:dyDescent="0.25">
      <c r="A812" s="131">
        <v>808</v>
      </c>
      <c r="B812" s="135">
        <v>648002216</v>
      </c>
      <c r="D812" s="131">
        <v>808</v>
      </c>
      <c r="E812" s="132">
        <v>40.94314</v>
      </c>
      <c r="AK812">
        <v>806</v>
      </c>
      <c r="AL812" s="24">
        <f t="shared" si="123"/>
        <v>40.844909999999999</v>
      </c>
      <c r="AM812">
        <f t="shared" si="127"/>
        <v>285.91436999999996</v>
      </c>
      <c r="AN812">
        <f t="shared" si="127"/>
        <v>408.44909999999999</v>
      </c>
      <c r="AO812">
        <f t="shared" si="127"/>
        <v>612.67364999999995</v>
      </c>
      <c r="AP812">
        <f t="shared" si="127"/>
        <v>816.89819999999997</v>
      </c>
      <c r="AQ812">
        <f t="shared" si="127"/>
        <v>1429.57185</v>
      </c>
      <c r="AR812">
        <f t="shared" si="127"/>
        <v>2042.2455</v>
      </c>
      <c r="AS812">
        <f t="shared" si="127"/>
        <v>3267.5927999999999</v>
      </c>
      <c r="AT812">
        <f t="shared" si="127"/>
        <v>4901.3891999999996</v>
      </c>
      <c r="AU812">
        <f t="shared" si="127"/>
        <v>6943.6346999999996</v>
      </c>
      <c r="AV812">
        <f t="shared" si="127"/>
        <v>9802.7783999999992</v>
      </c>
      <c r="AW812">
        <f t="shared" si="127"/>
        <v>13478.820299999999</v>
      </c>
      <c r="AX812">
        <f t="shared" si="127"/>
        <v>18788.658599999999</v>
      </c>
      <c r="AY812">
        <f t="shared" si="127"/>
        <v>32675.928</v>
      </c>
      <c r="AZ812">
        <f t="shared" si="127"/>
        <v>61267.364999999998</v>
      </c>
      <c r="BA812">
        <f t="shared" si="127"/>
        <v>102112.27499999999</v>
      </c>
      <c r="BB812">
        <f t="shared" si="127"/>
        <v>163379.63999999998</v>
      </c>
      <c r="BC812">
        <f t="shared" si="128"/>
        <v>408449.1</v>
      </c>
      <c r="BD812">
        <f t="shared" si="128"/>
        <v>612673.65</v>
      </c>
      <c r="BE812">
        <f t="shared" si="128"/>
        <v>980277.84</v>
      </c>
      <c r="BF812">
        <f t="shared" si="128"/>
        <v>1225347.3</v>
      </c>
      <c r="BG812">
        <f t="shared" si="128"/>
        <v>4084491</v>
      </c>
      <c r="BH812">
        <f t="shared" si="128"/>
        <v>12253473</v>
      </c>
      <c r="BI812">
        <f t="shared" si="128"/>
        <v>34718173.5</v>
      </c>
      <c r="BJ812">
        <f t="shared" si="128"/>
        <v>122534730</v>
      </c>
      <c r="BK812">
        <f t="shared" si="128"/>
        <v>408449100</v>
      </c>
      <c r="BL812">
        <v>807</v>
      </c>
    </row>
    <row r="813" spans="1:64" ht="17.25" thickBot="1" x14ac:dyDescent="0.25">
      <c r="A813" s="131">
        <v>809</v>
      </c>
      <c r="B813" s="135">
        <v>652508811</v>
      </c>
      <c r="D813" s="131">
        <v>809</v>
      </c>
      <c r="E813" s="132">
        <v>40.992159999999998</v>
      </c>
      <c r="AK813">
        <v>807</v>
      </c>
      <c r="AL813" s="24">
        <f t="shared" si="123"/>
        <v>40.894060000000003</v>
      </c>
      <c r="AM813">
        <f t="shared" si="127"/>
        <v>286.25842</v>
      </c>
      <c r="AN813">
        <f t="shared" si="127"/>
        <v>408.94060000000002</v>
      </c>
      <c r="AO813">
        <f t="shared" si="127"/>
        <v>613.41090000000008</v>
      </c>
      <c r="AP813">
        <f t="shared" si="127"/>
        <v>817.88120000000004</v>
      </c>
      <c r="AQ813">
        <f t="shared" si="127"/>
        <v>1431.2921000000001</v>
      </c>
      <c r="AR813">
        <f t="shared" si="127"/>
        <v>2044.7030000000002</v>
      </c>
      <c r="AS813">
        <f t="shared" si="127"/>
        <v>3271.5248000000001</v>
      </c>
      <c r="AT813">
        <f t="shared" si="127"/>
        <v>4907.2872000000007</v>
      </c>
      <c r="AU813">
        <f t="shared" si="127"/>
        <v>6951.9902000000002</v>
      </c>
      <c r="AV813">
        <f t="shared" si="127"/>
        <v>9814.5744000000013</v>
      </c>
      <c r="AW813">
        <f t="shared" si="127"/>
        <v>13495.0398</v>
      </c>
      <c r="AX813">
        <f t="shared" si="127"/>
        <v>18811.267600000003</v>
      </c>
      <c r="AY813">
        <f t="shared" si="127"/>
        <v>32715.248000000003</v>
      </c>
      <c r="AZ813">
        <f t="shared" si="127"/>
        <v>61341.090000000004</v>
      </c>
      <c r="BA813">
        <f t="shared" si="127"/>
        <v>102235.15000000001</v>
      </c>
      <c r="BB813">
        <f t="shared" si="127"/>
        <v>163576.24000000002</v>
      </c>
      <c r="BC813">
        <f t="shared" si="128"/>
        <v>408940.60000000003</v>
      </c>
      <c r="BD813">
        <f t="shared" si="128"/>
        <v>613410.9</v>
      </c>
      <c r="BE813">
        <f t="shared" si="128"/>
        <v>981457.44000000006</v>
      </c>
      <c r="BF813">
        <f t="shared" si="128"/>
        <v>1226821.8</v>
      </c>
      <c r="BG813">
        <f t="shared" si="128"/>
        <v>4089406.0000000005</v>
      </c>
      <c r="BH813">
        <f t="shared" si="128"/>
        <v>12268218.000000002</v>
      </c>
      <c r="BI813">
        <f t="shared" si="128"/>
        <v>34759951</v>
      </c>
      <c r="BJ813">
        <f t="shared" si="128"/>
        <v>122682180.00000001</v>
      </c>
      <c r="BK813">
        <f t="shared" si="128"/>
        <v>408940600.00000006</v>
      </c>
      <c r="BL813">
        <v>808</v>
      </c>
    </row>
    <row r="814" spans="1:64" ht="17.25" thickBot="1" x14ac:dyDescent="0.25">
      <c r="A814" s="131">
        <v>810</v>
      </c>
      <c r="B814" s="135">
        <v>657042983</v>
      </c>
      <c r="D814" s="131">
        <v>810</v>
      </c>
      <c r="E814" s="132">
        <v>41.041119999999999</v>
      </c>
      <c r="AK814">
        <v>808</v>
      </c>
      <c r="AL814" s="24">
        <f t="shared" si="123"/>
        <v>40.94314</v>
      </c>
      <c r="AM814">
        <f t="shared" si="127"/>
        <v>286.60198000000003</v>
      </c>
      <c r="AN814">
        <f t="shared" si="127"/>
        <v>409.4314</v>
      </c>
      <c r="AO814">
        <f t="shared" si="127"/>
        <v>614.14710000000002</v>
      </c>
      <c r="AP814">
        <f t="shared" si="127"/>
        <v>818.86279999999999</v>
      </c>
      <c r="AQ814">
        <f t="shared" si="127"/>
        <v>1433.0099</v>
      </c>
      <c r="AR814">
        <f t="shared" si="127"/>
        <v>2047.1569999999999</v>
      </c>
      <c r="AS814">
        <f t="shared" si="127"/>
        <v>3275.4512</v>
      </c>
      <c r="AT814">
        <f t="shared" si="127"/>
        <v>4913.1768000000002</v>
      </c>
      <c r="AU814">
        <f t="shared" si="127"/>
        <v>6960.3338000000003</v>
      </c>
      <c r="AV814">
        <f t="shared" si="127"/>
        <v>9826.3536000000004</v>
      </c>
      <c r="AW814">
        <f t="shared" si="127"/>
        <v>13511.236199999999</v>
      </c>
      <c r="AX814">
        <f t="shared" si="127"/>
        <v>18833.844399999998</v>
      </c>
      <c r="AY814">
        <f t="shared" ref="AM814:BB830" si="129">AY$5*VLOOKUP($AK814,$D$2:$E$1404,2,FALSE)</f>
        <v>32754.511999999999</v>
      </c>
      <c r="AZ814">
        <f t="shared" si="129"/>
        <v>61414.71</v>
      </c>
      <c r="BA814">
        <f t="shared" si="129"/>
        <v>102357.85</v>
      </c>
      <c r="BB814">
        <f t="shared" si="129"/>
        <v>163772.56</v>
      </c>
      <c r="BC814">
        <f t="shared" si="128"/>
        <v>409431.4</v>
      </c>
      <c r="BD814">
        <f t="shared" si="128"/>
        <v>614147.1</v>
      </c>
      <c r="BE814">
        <f t="shared" si="128"/>
        <v>982635.36</v>
      </c>
      <c r="BF814">
        <f t="shared" si="128"/>
        <v>1228294.2</v>
      </c>
      <c r="BG814">
        <f t="shared" si="128"/>
        <v>4094314</v>
      </c>
      <c r="BH814">
        <f t="shared" si="128"/>
        <v>12282942</v>
      </c>
      <c r="BI814">
        <f t="shared" si="128"/>
        <v>34801669</v>
      </c>
      <c r="BJ814">
        <f t="shared" si="128"/>
        <v>122829420</v>
      </c>
      <c r="BK814">
        <f t="shared" si="128"/>
        <v>409431400</v>
      </c>
      <c r="BL814">
        <v>809</v>
      </c>
    </row>
    <row r="815" spans="1:64" ht="17.25" thickBot="1" x14ac:dyDescent="0.25">
      <c r="A815" s="131">
        <v>811</v>
      </c>
      <c r="B815" s="135">
        <v>661604861</v>
      </c>
      <c r="D815" s="131">
        <v>811</v>
      </c>
      <c r="E815" s="132">
        <v>41.090020000000003</v>
      </c>
      <c r="AK815">
        <v>809</v>
      </c>
      <c r="AL815" s="24">
        <f t="shared" si="123"/>
        <v>40.992159999999998</v>
      </c>
      <c r="AM815">
        <f t="shared" si="129"/>
        <v>286.94511999999997</v>
      </c>
      <c r="AN815">
        <f t="shared" si="129"/>
        <v>409.92160000000001</v>
      </c>
      <c r="AO815">
        <f t="shared" si="129"/>
        <v>614.88239999999996</v>
      </c>
      <c r="AP815">
        <f t="shared" si="129"/>
        <v>819.84320000000002</v>
      </c>
      <c r="AQ815">
        <f t="shared" si="129"/>
        <v>1434.7256</v>
      </c>
      <c r="AR815">
        <f t="shared" si="129"/>
        <v>2049.6079999999997</v>
      </c>
      <c r="AS815">
        <f t="shared" si="129"/>
        <v>3279.3728000000001</v>
      </c>
      <c r="AT815">
        <f t="shared" si="129"/>
        <v>4919.0591999999997</v>
      </c>
      <c r="AU815">
        <f t="shared" si="129"/>
        <v>6968.6671999999999</v>
      </c>
      <c r="AV815">
        <f t="shared" si="129"/>
        <v>9838.1183999999994</v>
      </c>
      <c r="AW815">
        <f t="shared" si="129"/>
        <v>13527.4128</v>
      </c>
      <c r="AX815">
        <f t="shared" si="129"/>
        <v>18856.393599999999</v>
      </c>
      <c r="AY815">
        <f t="shared" si="129"/>
        <v>32793.727999999996</v>
      </c>
      <c r="AZ815">
        <f t="shared" si="129"/>
        <v>61488.24</v>
      </c>
      <c r="BA815">
        <f t="shared" si="129"/>
        <v>102480.4</v>
      </c>
      <c r="BB815">
        <f t="shared" si="129"/>
        <v>163968.63999999998</v>
      </c>
      <c r="BC815">
        <f t="shared" si="128"/>
        <v>409921.6</v>
      </c>
      <c r="BD815">
        <f t="shared" si="128"/>
        <v>614882.4</v>
      </c>
      <c r="BE815">
        <f t="shared" si="128"/>
        <v>983811.84</v>
      </c>
      <c r="BF815">
        <f t="shared" si="128"/>
        <v>1229764.8</v>
      </c>
      <c r="BG815">
        <f t="shared" si="128"/>
        <v>4099216</v>
      </c>
      <c r="BH815">
        <f t="shared" si="128"/>
        <v>12297648</v>
      </c>
      <c r="BI815">
        <f t="shared" si="128"/>
        <v>34843336</v>
      </c>
      <c r="BJ815">
        <f t="shared" si="128"/>
        <v>122976480</v>
      </c>
      <c r="BK815">
        <f t="shared" si="128"/>
        <v>409921600</v>
      </c>
      <c r="BL815">
        <v>810</v>
      </c>
    </row>
    <row r="816" spans="1:64" ht="17.25" thickBot="1" x14ac:dyDescent="0.25">
      <c r="A816" s="131">
        <v>812</v>
      </c>
      <c r="B816" s="135">
        <v>666194561</v>
      </c>
      <c r="D816" s="131">
        <v>812</v>
      </c>
      <c r="E816" s="132">
        <v>41.138869999999997</v>
      </c>
      <c r="AK816">
        <v>810</v>
      </c>
      <c r="AL816" s="24">
        <f t="shared" si="123"/>
        <v>41.041119999999999</v>
      </c>
      <c r="AM816">
        <f t="shared" si="129"/>
        <v>287.28784000000002</v>
      </c>
      <c r="AN816">
        <f t="shared" si="129"/>
        <v>410.41120000000001</v>
      </c>
      <c r="AO816">
        <f t="shared" si="129"/>
        <v>615.61680000000001</v>
      </c>
      <c r="AP816">
        <f t="shared" si="129"/>
        <v>820.82240000000002</v>
      </c>
      <c r="AQ816">
        <f t="shared" si="129"/>
        <v>1436.4392</v>
      </c>
      <c r="AR816">
        <f t="shared" si="129"/>
        <v>2052.056</v>
      </c>
      <c r="AS816">
        <f t="shared" si="129"/>
        <v>3283.2896000000001</v>
      </c>
      <c r="AT816">
        <f t="shared" si="129"/>
        <v>4924.9344000000001</v>
      </c>
      <c r="AU816">
        <f t="shared" si="129"/>
        <v>6976.9903999999997</v>
      </c>
      <c r="AV816">
        <f t="shared" si="129"/>
        <v>9849.8688000000002</v>
      </c>
      <c r="AW816">
        <f t="shared" si="129"/>
        <v>13543.569599999999</v>
      </c>
      <c r="AX816">
        <f t="shared" si="129"/>
        <v>18878.915199999999</v>
      </c>
      <c r="AY816">
        <f t="shared" si="129"/>
        <v>32832.896000000001</v>
      </c>
      <c r="AZ816">
        <f t="shared" si="129"/>
        <v>61561.68</v>
      </c>
      <c r="BA816">
        <f t="shared" si="129"/>
        <v>102602.8</v>
      </c>
      <c r="BB816">
        <f t="shared" si="129"/>
        <v>164164.48000000001</v>
      </c>
      <c r="BC816">
        <f t="shared" si="128"/>
        <v>410411.2</v>
      </c>
      <c r="BD816">
        <f t="shared" si="128"/>
        <v>615616.80000000005</v>
      </c>
      <c r="BE816">
        <f t="shared" si="128"/>
        <v>984986.88</v>
      </c>
      <c r="BF816">
        <f t="shared" si="128"/>
        <v>1231233.6000000001</v>
      </c>
      <c r="BG816">
        <f t="shared" si="128"/>
        <v>4104112</v>
      </c>
      <c r="BH816">
        <f t="shared" si="128"/>
        <v>12312336</v>
      </c>
      <c r="BI816">
        <f t="shared" si="128"/>
        <v>34884952</v>
      </c>
      <c r="BJ816">
        <f t="shared" si="128"/>
        <v>123123360</v>
      </c>
      <c r="BK816">
        <f t="shared" si="128"/>
        <v>410411200</v>
      </c>
      <c r="BL816">
        <v>811</v>
      </c>
    </row>
    <row r="817" spans="1:64" ht="17.25" thickBot="1" x14ac:dyDescent="0.25">
      <c r="A817" s="131">
        <v>813</v>
      </c>
      <c r="B817" s="135">
        <v>670812205</v>
      </c>
      <c r="D817" s="131">
        <v>813</v>
      </c>
      <c r="E817" s="132">
        <v>41.187660000000001</v>
      </c>
      <c r="AK817">
        <v>811</v>
      </c>
      <c r="AL817" s="24">
        <f t="shared" si="123"/>
        <v>41.090020000000003</v>
      </c>
      <c r="AM817">
        <f t="shared" si="129"/>
        <v>287.63014000000004</v>
      </c>
      <c r="AN817">
        <f t="shared" si="129"/>
        <v>410.90020000000004</v>
      </c>
      <c r="AO817">
        <f t="shared" si="129"/>
        <v>616.35030000000006</v>
      </c>
      <c r="AP817">
        <f t="shared" si="129"/>
        <v>821.80040000000008</v>
      </c>
      <c r="AQ817">
        <f t="shared" si="129"/>
        <v>1438.1507000000001</v>
      </c>
      <c r="AR817">
        <f t="shared" si="129"/>
        <v>2054.5010000000002</v>
      </c>
      <c r="AS817">
        <f t="shared" si="129"/>
        <v>3287.2016000000003</v>
      </c>
      <c r="AT817">
        <f t="shared" si="129"/>
        <v>4930.8024000000005</v>
      </c>
      <c r="AU817">
        <f t="shared" si="129"/>
        <v>6985.3034000000007</v>
      </c>
      <c r="AV817">
        <f t="shared" si="129"/>
        <v>9861.604800000001</v>
      </c>
      <c r="AW817">
        <f t="shared" si="129"/>
        <v>13559.706600000001</v>
      </c>
      <c r="AX817">
        <f t="shared" si="129"/>
        <v>18901.409200000002</v>
      </c>
      <c r="AY817">
        <f t="shared" si="129"/>
        <v>32872.016000000003</v>
      </c>
      <c r="AZ817">
        <f t="shared" si="129"/>
        <v>61635.030000000006</v>
      </c>
      <c r="BA817">
        <f t="shared" si="129"/>
        <v>102725.05</v>
      </c>
      <c r="BB817">
        <f t="shared" si="129"/>
        <v>164360.08000000002</v>
      </c>
      <c r="BC817">
        <f t="shared" si="128"/>
        <v>410900.2</v>
      </c>
      <c r="BD817">
        <f t="shared" si="128"/>
        <v>616350.30000000005</v>
      </c>
      <c r="BE817">
        <f t="shared" si="128"/>
        <v>986160.4800000001</v>
      </c>
      <c r="BF817">
        <f t="shared" si="128"/>
        <v>1232700.6000000001</v>
      </c>
      <c r="BG817">
        <f t="shared" si="128"/>
        <v>4109002.0000000005</v>
      </c>
      <c r="BH817">
        <f t="shared" si="128"/>
        <v>12327006</v>
      </c>
      <c r="BI817">
        <f t="shared" si="128"/>
        <v>34926517</v>
      </c>
      <c r="BJ817">
        <f t="shared" si="128"/>
        <v>123270060.00000001</v>
      </c>
      <c r="BK817">
        <f t="shared" si="128"/>
        <v>410900200</v>
      </c>
      <c r="BL817">
        <v>812</v>
      </c>
    </row>
    <row r="818" spans="1:64" ht="17.25" thickBot="1" x14ac:dyDescent="0.25">
      <c r="A818" s="131">
        <v>814</v>
      </c>
      <c r="B818" s="135">
        <v>675457922</v>
      </c>
      <c r="D818" s="131">
        <v>814</v>
      </c>
      <c r="E818" s="132">
        <v>41.23639</v>
      </c>
      <c r="AK818">
        <v>812</v>
      </c>
      <c r="AL818" s="24">
        <f t="shared" si="123"/>
        <v>41.138869999999997</v>
      </c>
      <c r="AM818">
        <f t="shared" si="129"/>
        <v>287.97208999999998</v>
      </c>
      <c r="AN818">
        <f t="shared" si="129"/>
        <v>411.38869999999997</v>
      </c>
      <c r="AO818">
        <f t="shared" si="129"/>
        <v>617.08304999999996</v>
      </c>
      <c r="AP818">
        <f t="shared" si="129"/>
        <v>822.77739999999994</v>
      </c>
      <c r="AQ818">
        <f t="shared" si="129"/>
        <v>1439.8604499999999</v>
      </c>
      <c r="AR818">
        <f t="shared" si="129"/>
        <v>2056.9434999999999</v>
      </c>
      <c r="AS818">
        <f t="shared" si="129"/>
        <v>3291.1095999999998</v>
      </c>
      <c r="AT818">
        <f t="shared" si="129"/>
        <v>4936.6643999999997</v>
      </c>
      <c r="AU818">
        <f t="shared" si="129"/>
        <v>6993.6078999999991</v>
      </c>
      <c r="AV818">
        <f t="shared" si="129"/>
        <v>9873.3287999999993</v>
      </c>
      <c r="AW818">
        <f t="shared" si="129"/>
        <v>13575.827099999999</v>
      </c>
      <c r="AX818">
        <f t="shared" si="129"/>
        <v>18923.8802</v>
      </c>
      <c r="AY818">
        <f t="shared" si="129"/>
        <v>32911.095999999998</v>
      </c>
      <c r="AZ818">
        <f t="shared" si="129"/>
        <v>61708.304999999993</v>
      </c>
      <c r="BA818">
        <f t="shared" si="129"/>
        <v>102847.17499999999</v>
      </c>
      <c r="BB818">
        <f t="shared" si="129"/>
        <v>164555.47999999998</v>
      </c>
      <c r="BC818">
        <f t="shared" si="128"/>
        <v>411388.69999999995</v>
      </c>
      <c r="BD818">
        <f t="shared" si="128"/>
        <v>617083.04999999993</v>
      </c>
      <c r="BE818">
        <f t="shared" si="128"/>
        <v>987332.87999999989</v>
      </c>
      <c r="BF818">
        <f t="shared" si="128"/>
        <v>1234166.0999999999</v>
      </c>
      <c r="BG818">
        <f t="shared" si="128"/>
        <v>4113886.9999999995</v>
      </c>
      <c r="BH818">
        <f t="shared" si="128"/>
        <v>12341661</v>
      </c>
      <c r="BI818">
        <f t="shared" si="128"/>
        <v>34968039.5</v>
      </c>
      <c r="BJ818">
        <f t="shared" si="128"/>
        <v>123416609.99999999</v>
      </c>
      <c r="BK818">
        <f t="shared" si="128"/>
        <v>411388700</v>
      </c>
      <c r="BL818">
        <v>813</v>
      </c>
    </row>
    <row r="819" spans="1:64" ht="17.25" thickBot="1" x14ac:dyDescent="0.25">
      <c r="A819" s="131">
        <v>815</v>
      </c>
      <c r="B819" s="135">
        <v>680131827</v>
      </c>
      <c r="D819" s="131">
        <v>815</v>
      </c>
      <c r="E819" s="132">
        <v>41.285060000000001</v>
      </c>
      <c r="AK819">
        <v>813</v>
      </c>
      <c r="AL819" s="24">
        <f t="shared" si="123"/>
        <v>41.187660000000001</v>
      </c>
      <c r="AM819">
        <f t="shared" si="129"/>
        <v>288.31362000000001</v>
      </c>
      <c r="AN819">
        <f t="shared" si="129"/>
        <v>411.8766</v>
      </c>
      <c r="AO819">
        <f t="shared" si="129"/>
        <v>617.81489999999997</v>
      </c>
      <c r="AP819">
        <f t="shared" si="129"/>
        <v>823.75319999999999</v>
      </c>
      <c r="AQ819">
        <f t="shared" si="129"/>
        <v>1441.5681</v>
      </c>
      <c r="AR819">
        <f t="shared" si="129"/>
        <v>2059.3830000000003</v>
      </c>
      <c r="AS819">
        <f t="shared" si="129"/>
        <v>3295.0128</v>
      </c>
      <c r="AT819">
        <f t="shared" si="129"/>
        <v>4942.5191999999997</v>
      </c>
      <c r="AU819">
        <f t="shared" si="129"/>
        <v>7001.9022000000004</v>
      </c>
      <c r="AV819">
        <f t="shared" si="129"/>
        <v>9885.0383999999995</v>
      </c>
      <c r="AW819">
        <f t="shared" si="129"/>
        <v>13591.927799999999</v>
      </c>
      <c r="AX819">
        <f t="shared" si="129"/>
        <v>18946.3236</v>
      </c>
      <c r="AY819">
        <f t="shared" si="129"/>
        <v>32950.128000000004</v>
      </c>
      <c r="AZ819">
        <f t="shared" si="129"/>
        <v>61781.49</v>
      </c>
      <c r="BA819">
        <f t="shared" si="129"/>
        <v>102969.15000000001</v>
      </c>
      <c r="BB819">
        <f t="shared" si="129"/>
        <v>164750.64000000001</v>
      </c>
      <c r="BC819">
        <f t="shared" si="128"/>
        <v>411876.60000000003</v>
      </c>
      <c r="BD819">
        <f t="shared" si="128"/>
        <v>617814.9</v>
      </c>
      <c r="BE819">
        <f t="shared" si="128"/>
        <v>988503.84</v>
      </c>
      <c r="BF819">
        <f t="shared" si="128"/>
        <v>1235629.8</v>
      </c>
      <c r="BG819">
        <f t="shared" si="128"/>
        <v>4118766</v>
      </c>
      <c r="BH819">
        <f t="shared" si="128"/>
        <v>12356298</v>
      </c>
      <c r="BI819">
        <f t="shared" si="128"/>
        <v>35009511</v>
      </c>
      <c r="BJ819">
        <f t="shared" si="128"/>
        <v>123562980</v>
      </c>
      <c r="BK819">
        <f t="shared" si="128"/>
        <v>411876600</v>
      </c>
      <c r="BL819">
        <v>814</v>
      </c>
    </row>
    <row r="820" spans="1:64" ht="17.25" thickBot="1" x14ac:dyDescent="0.25">
      <c r="A820" s="131">
        <v>816</v>
      </c>
      <c r="B820" s="135">
        <v>684834049</v>
      </c>
      <c r="D820" s="131">
        <v>816</v>
      </c>
      <c r="E820" s="132">
        <v>41.333669999999998</v>
      </c>
      <c r="AK820">
        <v>814</v>
      </c>
      <c r="AL820" s="24">
        <f t="shared" si="123"/>
        <v>41.23639</v>
      </c>
      <c r="AM820">
        <f t="shared" si="129"/>
        <v>288.65472999999997</v>
      </c>
      <c r="AN820">
        <f t="shared" si="129"/>
        <v>412.3639</v>
      </c>
      <c r="AO820">
        <f t="shared" si="129"/>
        <v>618.54584999999997</v>
      </c>
      <c r="AP820">
        <f t="shared" si="129"/>
        <v>824.7278</v>
      </c>
      <c r="AQ820">
        <f t="shared" si="129"/>
        <v>1443.2736500000001</v>
      </c>
      <c r="AR820">
        <f t="shared" si="129"/>
        <v>2061.8195000000001</v>
      </c>
      <c r="AS820">
        <f t="shared" si="129"/>
        <v>3298.9112</v>
      </c>
      <c r="AT820">
        <f t="shared" si="129"/>
        <v>4948.3667999999998</v>
      </c>
      <c r="AU820">
        <f t="shared" si="129"/>
        <v>7010.1863000000003</v>
      </c>
      <c r="AV820">
        <f t="shared" si="129"/>
        <v>9896.7335999999996</v>
      </c>
      <c r="AW820">
        <f t="shared" si="129"/>
        <v>13608.0087</v>
      </c>
      <c r="AX820">
        <f t="shared" si="129"/>
        <v>18968.739399999999</v>
      </c>
      <c r="AY820">
        <f t="shared" si="129"/>
        <v>32989.112000000001</v>
      </c>
      <c r="AZ820">
        <f t="shared" si="129"/>
        <v>61854.584999999999</v>
      </c>
      <c r="BA820">
        <f t="shared" si="129"/>
        <v>103090.97500000001</v>
      </c>
      <c r="BB820">
        <f t="shared" si="129"/>
        <v>164945.56</v>
      </c>
      <c r="BC820">
        <f t="shared" si="128"/>
        <v>412363.9</v>
      </c>
      <c r="BD820">
        <f t="shared" si="128"/>
        <v>618545.85</v>
      </c>
      <c r="BE820">
        <f t="shared" si="128"/>
        <v>989673.36</v>
      </c>
      <c r="BF820">
        <f t="shared" si="128"/>
        <v>1237091.7</v>
      </c>
      <c r="BG820">
        <f t="shared" si="128"/>
        <v>4123639</v>
      </c>
      <c r="BH820">
        <f t="shared" si="128"/>
        <v>12370917</v>
      </c>
      <c r="BI820">
        <f t="shared" si="128"/>
        <v>35050931.5</v>
      </c>
      <c r="BJ820">
        <f t="shared" si="128"/>
        <v>123709170</v>
      </c>
      <c r="BK820">
        <f t="shared" si="128"/>
        <v>412363900</v>
      </c>
      <c r="BL820">
        <v>815</v>
      </c>
    </row>
    <row r="821" spans="1:64" ht="17.25" thickBot="1" x14ac:dyDescent="0.25">
      <c r="A821" s="131">
        <v>817</v>
      </c>
      <c r="B821" s="135">
        <v>689564711</v>
      </c>
      <c r="D821" s="131">
        <v>817</v>
      </c>
      <c r="E821" s="132">
        <v>41.382219999999997</v>
      </c>
      <c r="AK821">
        <v>815</v>
      </c>
      <c r="AL821" s="24">
        <f t="shared" si="123"/>
        <v>41.285060000000001</v>
      </c>
      <c r="AM821">
        <f t="shared" si="129"/>
        <v>288.99542000000002</v>
      </c>
      <c r="AN821">
        <f t="shared" si="129"/>
        <v>412.85059999999999</v>
      </c>
      <c r="AO821">
        <f t="shared" si="129"/>
        <v>619.27589999999998</v>
      </c>
      <c r="AP821">
        <f t="shared" si="129"/>
        <v>825.70119999999997</v>
      </c>
      <c r="AQ821">
        <f t="shared" si="129"/>
        <v>1444.9771000000001</v>
      </c>
      <c r="AR821">
        <f t="shared" si="129"/>
        <v>2064.2530000000002</v>
      </c>
      <c r="AS821">
        <f t="shared" si="129"/>
        <v>3302.8047999999999</v>
      </c>
      <c r="AT821">
        <f t="shared" si="129"/>
        <v>4954.2071999999998</v>
      </c>
      <c r="AU821">
        <f t="shared" si="129"/>
        <v>7018.4602000000004</v>
      </c>
      <c r="AV821">
        <f t="shared" si="129"/>
        <v>9908.4143999999997</v>
      </c>
      <c r="AW821">
        <f t="shared" si="129"/>
        <v>13624.069800000001</v>
      </c>
      <c r="AX821">
        <f t="shared" si="129"/>
        <v>18991.1276</v>
      </c>
      <c r="AY821">
        <f t="shared" si="129"/>
        <v>33028.048000000003</v>
      </c>
      <c r="AZ821">
        <f t="shared" si="129"/>
        <v>61927.590000000004</v>
      </c>
      <c r="BA821">
        <f t="shared" si="129"/>
        <v>103212.65000000001</v>
      </c>
      <c r="BB821">
        <f t="shared" si="129"/>
        <v>165140.24000000002</v>
      </c>
      <c r="BC821">
        <f t="shared" si="128"/>
        <v>412850.60000000003</v>
      </c>
      <c r="BD821">
        <f t="shared" si="128"/>
        <v>619275.9</v>
      </c>
      <c r="BE821">
        <f t="shared" si="128"/>
        <v>990841.44000000006</v>
      </c>
      <c r="BF821">
        <f t="shared" si="128"/>
        <v>1238551.8</v>
      </c>
      <c r="BG821">
        <f t="shared" si="128"/>
        <v>4128506</v>
      </c>
      <c r="BH821">
        <f t="shared" si="128"/>
        <v>12385518</v>
      </c>
      <c r="BI821">
        <f t="shared" si="128"/>
        <v>35092301</v>
      </c>
      <c r="BJ821">
        <f t="shared" si="128"/>
        <v>123855180</v>
      </c>
      <c r="BK821">
        <f t="shared" si="128"/>
        <v>412850600</v>
      </c>
      <c r="BL821">
        <v>816</v>
      </c>
    </row>
    <row r="822" spans="1:64" ht="17.25" thickBot="1" x14ac:dyDescent="0.25">
      <c r="A822" s="131">
        <v>818</v>
      </c>
      <c r="B822" s="135">
        <v>694323938</v>
      </c>
      <c r="D822" s="131">
        <v>818</v>
      </c>
      <c r="E822" s="132">
        <v>41.430709999999998</v>
      </c>
      <c r="AK822">
        <v>816</v>
      </c>
      <c r="AL822" s="24">
        <f t="shared" si="123"/>
        <v>41.333669999999998</v>
      </c>
      <c r="AM822">
        <f t="shared" si="129"/>
        <v>289.33569</v>
      </c>
      <c r="AN822">
        <f t="shared" si="129"/>
        <v>413.33669999999995</v>
      </c>
      <c r="AO822">
        <f t="shared" si="129"/>
        <v>620.00504999999998</v>
      </c>
      <c r="AP822">
        <f t="shared" si="129"/>
        <v>826.6733999999999</v>
      </c>
      <c r="AQ822">
        <f t="shared" si="129"/>
        <v>1446.6784499999999</v>
      </c>
      <c r="AR822">
        <f t="shared" si="129"/>
        <v>2066.6835000000001</v>
      </c>
      <c r="AS822">
        <f t="shared" si="129"/>
        <v>3306.6935999999996</v>
      </c>
      <c r="AT822">
        <f t="shared" si="129"/>
        <v>4960.0403999999999</v>
      </c>
      <c r="AU822">
        <f t="shared" si="129"/>
        <v>7026.7239</v>
      </c>
      <c r="AV822">
        <f t="shared" si="129"/>
        <v>9920.0807999999997</v>
      </c>
      <c r="AW822">
        <f t="shared" si="129"/>
        <v>13640.1111</v>
      </c>
      <c r="AX822">
        <f t="shared" si="129"/>
        <v>19013.4882</v>
      </c>
      <c r="AY822">
        <f t="shared" si="129"/>
        <v>33066.936000000002</v>
      </c>
      <c r="AZ822">
        <f t="shared" si="129"/>
        <v>62000.504999999997</v>
      </c>
      <c r="BA822">
        <f t="shared" si="129"/>
        <v>103334.17499999999</v>
      </c>
      <c r="BB822">
        <f t="shared" si="129"/>
        <v>165334.68</v>
      </c>
      <c r="BC822">
        <f t="shared" si="128"/>
        <v>413336.69999999995</v>
      </c>
      <c r="BD822">
        <f t="shared" si="128"/>
        <v>620005.04999999993</v>
      </c>
      <c r="BE822">
        <f t="shared" si="128"/>
        <v>992008.08</v>
      </c>
      <c r="BF822">
        <f t="shared" si="128"/>
        <v>1240010.0999999999</v>
      </c>
      <c r="BG822">
        <f t="shared" si="128"/>
        <v>4133367</v>
      </c>
      <c r="BH822">
        <f t="shared" si="128"/>
        <v>12400101</v>
      </c>
      <c r="BI822">
        <f t="shared" si="128"/>
        <v>35133619.5</v>
      </c>
      <c r="BJ822">
        <f t="shared" si="128"/>
        <v>124001010</v>
      </c>
      <c r="BK822">
        <f t="shared" si="128"/>
        <v>413336700</v>
      </c>
      <c r="BL822">
        <v>817</v>
      </c>
    </row>
    <row r="823" spans="1:64" ht="17.25" thickBot="1" x14ac:dyDescent="0.25">
      <c r="A823" s="131">
        <v>819</v>
      </c>
      <c r="B823" s="135">
        <v>699111855</v>
      </c>
      <c r="D823" s="131">
        <v>819</v>
      </c>
      <c r="E823" s="132">
        <v>41.479140000000001</v>
      </c>
      <c r="AK823">
        <v>817</v>
      </c>
      <c r="AL823" s="24">
        <f t="shared" ref="AL823:AL886" si="130">VLOOKUP(AK823,D$2:E$1404,2,FALSE)</f>
        <v>41.382219999999997</v>
      </c>
      <c r="AM823">
        <f t="shared" si="129"/>
        <v>289.67553999999996</v>
      </c>
      <c r="AN823">
        <f t="shared" si="129"/>
        <v>413.82219999999995</v>
      </c>
      <c r="AO823">
        <f t="shared" si="129"/>
        <v>620.73329999999999</v>
      </c>
      <c r="AP823">
        <f t="shared" si="129"/>
        <v>827.64439999999991</v>
      </c>
      <c r="AQ823">
        <f t="shared" si="129"/>
        <v>1448.3776999999998</v>
      </c>
      <c r="AR823">
        <f t="shared" si="129"/>
        <v>2069.1109999999999</v>
      </c>
      <c r="AS823">
        <f t="shared" si="129"/>
        <v>3310.5775999999996</v>
      </c>
      <c r="AT823">
        <f t="shared" si="129"/>
        <v>4965.8663999999999</v>
      </c>
      <c r="AU823">
        <f t="shared" si="129"/>
        <v>7034.9773999999998</v>
      </c>
      <c r="AV823">
        <f t="shared" si="129"/>
        <v>9931.7327999999998</v>
      </c>
      <c r="AW823">
        <f t="shared" si="129"/>
        <v>13656.132599999999</v>
      </c>
      <c r="AX823">
        <f t="shared" si="129"/>
        <v>19035.821199999998</v>
      </c>
      <c r="AY823">
        <f t="shared" si="129"/>
        <v>33105.775999999998</v>
      </c>
      <c r="AZ823">
        <f t="shared" si="129"/>
        <v>62073.329999999994</v>
      </c>
      <c r="BA823">
        <f t="shared" si="129"/>
        <v>103455.54999999999</v>
      </c>
      <c r="BB823">
        <f t="shared" si="129"/>
        <v>165528.87999999998</v>
      </c>
      <c r="BC823">
        <f t="shared" si="128"/>
        <v>413822.19999999995</v>
      </c>
      <c r="BD823">
        <f t="shared" si="128"/>
        <v>620733.29999999993</v>
      </c>
      <c r="BE823">
        <f t="shared" si="128"/>
        <v>993173.27999999991</v>
      </c>
      <c r="BF823">
        <f t="shared" si="128"/>
        <v>1241466.5999999999</v>
      </c>
      <c r="BG823">
        <f t="shared" si="128"/>
        <v>4138221.9999999995</v>
      </c>
      <c r="BH823">
        <f t="shared" si="128"/>
        <v>12414665.999999998</v>
      </c>
      <c r="BI823">
        <f t="shared" si="128"/>
        <v>35174887</v>
      </c>
      <c r="BJ823">
        <f t="shared" si="128"/>
        <v>124146659.99999999</v>
      </c>
      <c r="BK823">
        <f t="shared" si="128"/>
        <v>413822199.99999994</v>
      </c>
      <c r="BL823">
        <v>818</v>
      </c>
    </row>
    <row r="824" spans="1:64" ht="17.25" thickBot="1" x14ac:dyDescent="0.25">
      <c r="A824" s="131">
        <v>820</v>
      </c>
      <c r="B824" s="135">
        <v>703928583</v>
      </c>
      <c r="D824" s="131">
        <v>820</v>
      </c>
      <c r="E824" s="132">
        <v>41.527509999999999</v>
      </c>
      <c r="AK824">
        <v>818</v>
      </c>
      <c r="AL824" s="24">
        <f t="shared" si="130"/>
        <v>41.430709999999998</v>
      </c>
      <c r="AM824">
        <f t="shared" si="129"/>
        <v>290.01497000000001</v>
      </c>
      <c r="AN824">
        <f t="shared" si="129"/>
        <v>414.30709999999999</v>
      </c>
      <c r="AO824">
        <f t="shared" si="129"/>
        <v>621.46064999999999</v>
      </c>
      <c r="AP824">
        <f t="shared" si="129"/>
        <v>828.61419999999998</v>
      </c>
      <c r="AQ824">
        <f t="shared" si="129"/>
        <v>1450.07485</v>
      </c>
      <c r="AR824">
        <f t="shared" si="129"/>
        <v>2071.5355</v>
      </c>
      <c r="AS824">
        <f t="shared" si="129"/>
        <v>3314.4567999999999</v>
      </c>
      <c r="AT824">
        <f t="shared" si="129"/>
        <v>4971.6851999999999</v>
      </c>
      <c r="AU824">
        <f t="shared" si="129"/>
        <v>7043.2206999999999</v>
      </c>
      <c r="AV824">
        <f t="shared" si="129"/>
        <v>9943.3703999999998</v>
      </c>
      <c r="AW824">
        <f t="shared" si="129"/>
        <v>13672.1343</v>
      </c>
      <c r="AX824">
        <f t="shared" si="129"/>
        <v>19058.1266</v>
      </c>
      <c r="AY824">
        <f t="shared" si="129"/>
        <v>33144.567999999999</v>
      </c>
      <c r="AZ824">
        <f t="shared" si="129"/>
        <v>62146.064999999995</v>
      </c>
      <c r="BA824">
        <f t="shared" si="129"/>
        <v>103576.77499999999</v>
      </c>
      <c r="BB824">
        <f t="shared" si="129"/>
        <v>165722.84</v>
      </c>
      <c r="BC824">
        <f t="shared" si="128"/>
        <v>414307.1</v>
      </c>
      <c r="BD824">
        <f t="shared" si="128"/>
        <v>621460.65</v>
      </c>
      <c r="BE824">
        <f t="shared" si="128"/>
        <v>994337.03999999992</v>
      </c>
      <c r="BF824">
        <f t="shared" si="128"/>
        <v>1242921.3</v>
      </c>
      <c r="BG824">
        <f t="shared" si="128"/>
        <v>4143071</v>
      </c>
      <c r="BH824">
        <f t="shared" si="128"/>
        <v>12429213</v>
      </c>
      <c r="BI824">
        <f t="shared" si="128"/>
        <v>35216103.5</v>
      </c>
      <c r="BJ824">
        <f t="shared" si="128"/>
        <v>124292130</v>
      </c>
      <c r="BK824">
        <f t="shared" si="128"/>
        <v>414307100</v>
      </c>
      <c r="BL824">
        <v>819</v>
      </c>
    </row>
    <row r="825" spans="1:64" ht="17.25" thickBot="1" x14ac:dyDescent="0.25">
      <c r="A825" s="131">
        <v>821</v>
      </c>
      <c r="B825" s="135">
        <v>708774249</v>
      </c>
      <c r="D825" s="131">
        <v>821</v>
      </c>
      <c r="E825" s="132">
        <v>41.57582</v>
      </c>
      <c r="AK825">
        <v>819</v>
      </c>
      <c r="AL825" s="24">
        <f t="shared" si="130"/>
        <v>41.479140000000001</v>
      </c>
      <c r="AM825">
        <f t="shared" si="129"/>
        <v>290.35397999999998</v>
      </c>
      <c r="AN825">
        <f t="shared" si="129"/>
        <v>414.79140000000001</v>
      </c>
      <c r="AO825">
        <f t="shared" si="129"/>
        <v>622.18709999999999</v>
      </c>
      <c r="AP825">
        <f t="shared" si="129"/>
        <v>829.58280000000002</v>
      </c>
      <c r="AQ825">
        <f t="shared" si="129"/>
        <v>1451.7699</v>
      </c>
      <c r="AR825">
        <f t="shared" si="129"/>
        <v>2073.9569999999999</v>
      </c>
      <c r="AS825">
        <f t="shared" si="129"/>
        <v>3318.3312000000001</v>
      </c>
      <c r="AT825">
        <f t="shared" si="129"/>
        <v>4977.4967999999999</v>
      </c>
      <c r="AU825">
        <f t="shared" si="129"/>
        <v>7051.4538000000002</v>
      </c>
      <c r="AV825">
        <f t="shared" si="129"/>
        <v>9954.9935999999998</v>
      </c>
      <c r="AW825">
        <f t="shared" si="129"/>
        <v>13688.1162</v>
      </c>
      <c r="AX825">
        <f t="shared" si="129"/>
        <v>19080.404399999999</v>
      </c>
      <c r="AY825">
        <f t="shared" si="129"/>
        <v>33183.311999999998</v>
      </c>
      <c r="AZ825">
        <f t="shared" si="129"/>
        <v>62218.71</v>
      </c>
      <c r="BA825">
        <f t="shared" si="129"/>
        <v>103697.85</v>
      </c>
      <c r="BB825">
        <f t="shared" si="129"/>
        <v>165916.56</v>
      </c>
      <c r="BC825">
        <f t="shared" si="128"/>
        <v>414791.4</v>
      </c>
      <c r="BD825">
        <f t="shared" si="128"/>
        <v>622187.1</v>
      </c>
      <c r="BE825">
        <f t="shared" si="128"/>
        <v>995499.36</v>
      </c>
      <c r="BF825">
        <f t="shared" si="128"/>
        <v>1244374.2</v>
      </c>
      <c r="BG825">
        <f t="shared" si="128"/>
        <v>4147914</v>
      </c>
      <c r="BH825">
        <f t="shared" si="128"/>
        <v>12443742</v>
      </c>
      <c r="BI825">
        <f t="shared" si="128"/>
        <v>35257269</v>
      </c>
      <c r="BJ825">
        <f t="shared" si="128"/>
        <v>124437420</v>
      </c>
      <c r="BK825">
        <f t="shared" si="128"/>
        <v>414791400</v>
      </c>
      <c r="BL825">
        <v>820</v>
      </c>
    </row>
    <row r="826" spans="1:64" ht="17.25" thickBot="1" x14ac:dyDescent="0.25">
      <c r="A826" s="131">
        <v>822</v>
      </c>
      <c r="B826" s="135">
        <v>713648983</v>
      </c>
      <c r="D826" s="131">
        <v>822</v>
      </c>
      <c r="E826" s="132">
        <v>41.624079999999999</v>
      </c>
      <c r="AK826">
        <v>820</v>
      </c>
      <c r="AL826" s="24">
        <f t="shared" si="130"/>
        <v>41.527509999999999</v>
      </c>
      <c r="AM826">
        <f t="shared" si="129"/>
        <v>290.69256999999999</v>
      </c>
      <c r="AN826">
        <f t="shared" si="129"/>
        <v>415.27510000000001</v>
      </c>
      <c r="AO826">
        <f t="shared" si="129"/>
        <v>622.91264999999999</v>
      </c>
      <c r="AP826">
        <f t="shared" si="129"/>
        <v>830.55020000000002</v>
      </c>
      <c r="AQ826">
        <f t="shared" si="129"/>
        <v>1453.4628499999999</v>
      </c>
      <c r="AR826">
        <f t="shared" si="129"/>
        <v>2076.3755000000001</v>
      </c>
      <c r="AS826">
        <f t="shared" si="129"/>
        <v>3322.2008000000001</v>
      </c>
      <c r="AT826">
        <f t="shared" si="129"/>
        <v>4983.3011999999999</v>
      </c>
      <c r="AU826">
        <f t="shared" si="129"/>
        <v>7059.6767</v>
      </c>
      <c r="AV826">
        <f t="shared" si="129"/>
        <v>9966.6023999999998</v>
      </c>
      <c r="AW826">
        <f t="shared" si="129"/>
        <v>13704.078299999999</v>
      </c>
      <c r="AX826">
        <f t="shared" si="129"/>
        <v>19102.654599999998</v>
      </c>
      <c r="AY826">
        <f t="shared" si="129"/>
        <v>33222.008000000002</v>
      </c>
      <c r="AZ826">
        <f t="shared" si="129"/>
        <v>62291.264999999999</v>
      </c>
      <c r="BA826">
        <f t="shared" si="129"/>
        <v>103818.77499999999</v>
      </c>
      <c r="BB826">
        <f t="shared" si="129"/>
        <v>166110.04</v>
      </c>
      <c r="BC826">
        <f t="shared" si="128"/>
        <v>415275.1</v>
      </c>
      <c r="BD826">
        <f t="shared" si="128"/>
        <v>622912.65</v>
      </c>
      <c r="BE826">
        <f t="shared" si="128"/>
        <v>996660.24</v>
      </c>
      <c r="BF826">
        <f t="shared" si="128"/>
        <v>1245825.3</v>
      </c>
      <c r="BG826">
        <f t="shared" si="128"/>
        <v>4152751</v>
      </c>
      <c r="BH826">
        <f t="shared" si="128"/>
        <v>12458253</v>
      </c>
      <c r="BI826">
        <f t="shared" si="128"/>
        <v>35298383.5</v>
      </c>
      <c r="BJ826">
        <f t="shared" si="128"/>
        <v>124582530</v>
      </c>
      <c r="BK826">
        <f t="shared" si="128"/>
        <v>415275100</v>
      </c>
      <c r="BL826">
        <v>821</v>
      </c>
    </row>
    <row r="827" spans="1:64" ht="17.25" thickBot="1" x14ac:dyDescent="0.25">
      <c r="A827" s="131">
        <v>823</v>
      </c>
      <c r="B827" s="135">
        <v>718552905</v>
      </c>
      <c r="D827" s="131">
        <v>823</v>
      </c>
      <c r="E827" s="132">
        <v>41.672280000000001</v>
      </c>
      <c r="AK827">
        <v>821</v>
      </c>
      <c r="AL827" s="24">
        <f t="shared" si="130"/>
        <v>41.57582</v>
      </c>
      <c r="AM827">
        <f t="shared" si="129"/>
        <v>291.03073999999998</v>
      </c>
      <c r="AN827">
        <f t="shared" si="129"/>
        <v>415.75819999999999</v>
      </c>
      <c r="AO827">
        <f t="shared" si="129"/>
        <v>623.63729999999998</v>
      </c>
      <c r="AP827">
        <f t="shared" si="129"/>
        <v>831.51639999999998</v>
      </c>
      <c r="AQ827">
        <f t="shared" si="129"/>
        <v>1455.1537000000001</v>
      </c>
      <c r="AR827">
        <f t="shared" si="129"/>
        <v>2078.7910000000002</v>
      </c>
      <c r="AS827">
        <f t="shared" si="129"/>
        <v>3326.0655999999999</v>
      </c>
      <c r="AT827">
        <f t="shared" si="129"/>
        <v>4989.0983999999999</v>
      </c>
      <c r="AU827">
        <f t="shared" si="129"/>
        <v>7067.8894</v>
      </c>
      <c r="AV827">
        <f t="shared" si="129"/>
        <v>9978.1967999999997</v>
      </c>
      <c r="AW827">
        <f t="shared" si="129"/>
        <v>13720.0206</v>
      </c>
      <c r="AX827">
        <f t="shared" si="129"/>
        <v>19124.877199999999</v>
      </c>
      <c r="AY827">
        <f t="shared" si="129"/>
        <v>33260.656000000003</v>
      </c>
      <c r="AZ827">
        <f t="shared" si="129"/>
        <v>62363.73</v>
      </c>
      <c r="BA827">
        <f t="shared" si="129"/>
        <v>103939.55</v>
      </c>
      <c r="BB827">
        <f t="shared" si="129"/>
        <v>166303.28</v>
      </c>
      <c r="BC827">
        <f t="shared" si="128"/>
        <v>415758.2</v>
      </c>
      <c r="BD827">
        <f t="shared" si="128"/>
        <v>623637.30000000005</v>
      </c>
      <c r="BE827">
        <f t="shared" si="128"/>
        <v>997819.68</v>
      </c>
      <c r="BF827">
        <f t="shared" si="128"/>
        <v>1247274.6000000001</v>
      </c>
      <c r="BG827">
        <f t="shared" si="128"/>
        <v>4157582</v>
      </c>
      <c r="BH827">
        <f t="shared" si="128"/>
        <v>12472746</v>
      </c>
      <c r="BI827">
        <f t="shared" si="128"/>
        <v>35339447</v>
      </c>
      <c r="BJ827">
        <f t="shared" si="128"/>
        <v>124727460</v>
      </c>
      <c r="BK827">
        <f t="shared" si="128"/>
        <v>415758200</v>
      </c>
      <c r="BL827">
        <v>822</v>
      </c>
    </row>
    <row r="828" spans="1:64" ht="17.25" thickBot="1" x14ac:dyDescent="0.25">
      <c r="A828" s="131">
        <v>824</v>
      </c>
      <c r="B828" s="135">
        <v>723486144</v>
      </c>
      <c r="D828" s="131">
        <v>824</v>
      </c>
      <c r="E828" s="132">
        <v>41.720419999999997</v>
      </c>
      <c r="AK828">
        <v>822</v>
      </c>
      <c r="AL828" s="24">
        <f t="shared" si="130"/>
        <v>41.624079999999999</v>
      </c>
      <c r="AM828">
        <f t="shared" si="129"/>
        <v>291.36856</v>
      </c>
      <c r="AN828">
        <f t="shared" si="129"/>
        <v>416.24079999999998</v>
      </c>
      <c r="AO828">
        <f t="shared" si="129"/>
        <v>624.36119999999994</v>
      </c>
      <c r="AP828">
        <f t="shared" si="129"/>
        <v>832.48159999999996</v>
      </c>
      <c r="AQ828">
        <f t="shared" si="129"/>
        <v>1456.8427999999999</v>
      </c>
      <c r="AR828">
        <f t="shared" si="129"/>
        <v>2081.2040000000002</v>
      </c>
      <c r="AS828">
        <f t="shared" si="129"/>
        <v>3329.9263999999998</v>
      </c>
      <c r="AT828">
        <f t="shared" si="129"/>
        <v>4994.8895999999995</v>
      </c>
      <c r="AU828">
        <f t="shared" si="129"/>
        <v>7076.0936000000002</v>
      </c>
      <c r="AV828">
        <f t="shared" si="129"/>
        <v>9989.779199999999</v>
      </c>
      <c r="AW828">
        <f t="shared" si="129"/>
        <v>13735.946399999999</v>
      </c>
      <c r="AX828">
        <f t="shared" si="129"/>
        <v>19147.076799999999</v>
      </c>
      <c r="AY828">
        <f t="shared" si="129"/>
        <v>33299.264000000003</v>
      </c>
      <c r="AZ828">
        <f t="shared" si="129"/>
        <v>62436.119999999995</v>
      </c>
      <c r="BA828">
        <f t="shared" si="129"/>
        <v>104060.2</v>
      </c>
      <c r="BB828">
        <f t="shared" si="129"/>
        <v>166496.32000000001</v>
      </c>
      <c r="BC828">
        <f t="shared" si="128"/>
        <v>416240.8</v>
      </c>
      <c r="BD828">
        <f t="shared" si="128"/>
        <v>624361.19999999995</v>
      </c>
      <c r="BE828">
        <f t="shared" si="128"/>
        <v>998977.91999999993</v>
      </c>
      <c r="BF828">
        <f t="shared" si="128"/>
        <v>1248722.3999999999</v>
      </c>
      <c r="BG828">
        <f t="shared" si="128"/>
        <v>4162408</v>
      </c>
      <c r="BH828">
        <f t="shared" si="128"/>
        <v>12487224</v>
      </c>
      <c r="BI828">
        <f t="shared" si="128"/>
        <v>35380468</v>
      </c>
      <c r="BJ828">
        <f t="shared" si="128"/>
        <v>124872240</v>
      </c>
      <c r="BK828">
        <f t="shared" si="128"/>
        <v>416240800</v>
      </c>
      <c r="BL828">
        <v>823</v>
      </c>
    </row>
    <row r="829" spans="1:64" ht="17.25" thickBot="1" x14ac:dyDescent="0.25">
      <c r="A829" s="131">
        <v>825</v>
      </c>
      <c r="B829" s="135">
        <v>728448827</v>
      </c>
      <c r="D829" s="131">
        <v>825</v>
      </c>
      <c r="E829" s="132">
        <v>41.768500000000003</v>
      </c>
      <c r="AK829">
        <v>823</v>
      </c>
      <c r="AL829" s="24">
        <f t="shared" si="130"/>
        <v>41.672280000000001</v>
      </c>
      <c r="AM829">
        <f t="shared" si="129"/>
        <v>291.70596</v>
      </c>
      <c r="AN829">
        <f t="shared" si="129"/>
        <v>416.72280000000001</v>
      </c>
      <c r="AO829">
        <f t="shared" si="129"/>
        <v>625.08420000000001</v>
      </c>
      <c r="AP829">
        <f t="shared" si="129"/>
        <v>833.44560000000001</v>
      </c>
      <c r="AQ829">
        <f t="shared" si="129"/>
        <v>1458.5298</v>
      </c>
      <c r="AR829">
        <f t="shared" si="129"/>
        <v>2083.614</v>
      </c>
      <c r="AS829">
        <f t="shared" si="129"/>
        <v>3333.7824000000001</v>
      </c>
      <c r="AT829">
        <f t="shared" si="129"/>
        <v>5000.6736000000001</v>
      </c>
      <c r="AU829">
        <f t="shared" si="129"/>
        <v>7084.2875999999997</v>
      </c>
      <c r="AV829">
        <f t="shared" si="129"/>
        <v>10001.3472</v>
      </c>
      <c r="AW829">
        <f t="shared" si="129"/>
        <v>13751.8524</v>
      </c>
      <c r="AX829">
        <f t="shared" si="129"/>
        <v>19169.248800000001</v>
      </c>
      <c r="AY829">
        <f t="shared" si="129"/>
        <v>33337.824000000001</v>
      </c>
      <c r="AZ829">
        <f t="shared" si="129"/>
        <v>62508.42</v>
      </c>
      <c r="BA829">
        <f t="shared" si="129"/>
        <v>104180.7</v>
      </c>
      <c r="BB829">
        <f t="shared" si="129"/>
        <v>166689.12</v>
      </c>
      <c r="BC829">
        <f t="shared" si="128"/>
        <v>416722.8</v>
      </c>
      <c r="BD829">
        <f t="shared" si="128"/>
        <v>625084.19999999995</v>
      </c>
      <c r="BE829">
        <f t="shared" si="128"/>
        <v>1000134.72</v>
      </c>
      <c r="BF829">
        <f t="shared" si="128"/>
        <v>1250168.3999999999</v>
      </c>
      <c r="BG829">
        <f t="shared" si="128"/>
        <v>4167228</v>
      </c>
      <c r="BH829">
        <f t="shared" si="128"/>
        <v>12501684</v>
      </c>
      <c r="BI829">
        <f t="shared" si="128"/>
        <v>35421438</v>
      </c>
      <c r="BJ829">
        <f t="shared" si="128"/>
        <v>125016840</v>
      </c>
      <c r="BK829">
        <f t="shared" si="128"/>
        <v>416722800</v>
      </c>
      <c r="BL829">
        <v>824</v>
      </c>
    </row>
    <row r="830" spans="1:64" ht="17.25" thickBot="1" x14ac:dyDescent="0.25">
      <c r="A830" s="131">
        <v>826</v>
      </c>
      <c r="B830" s="135">
        <v>733441083</v>
      </c>
      <c r="D830" s="131">
        <v>826</v>
      </c>
      <c r="E830" s="132">
        <v>41.816519999999997</v>
      </c>
      <c r="AK830">
        <v>824</v>
      </c>
      <c r="AL830" s="24">
        <f t="shared" si="130"/>
        <v>41.720419999999997</v>
      </c>
      <c r="AM830">
        <f t="shared" si="129"/>
        <v>292.04293999999999</v>
      </c>
      <c r="AN830">
        <f t="shared" si="129"/>
        <v>417.20419999999996</v>
      </c>
      <c r="AO830">
        <f t="shared" si="129"/>
        <v>625.80629999999996</v>
      </c>
      <c r="AP830">
        <f t="shared" si="129"/>
        <v>834.40839999999992</v>
      </c>
      <c r="AQ830">
        <f t="shared" si="129"/>
        <v>1460.2147</v>
      </c>
      <c r="AR830">
        <f t="shared" si="129"/>
        <v>2086.0209999999997</v>
      </c>
      <c r="AS830">
        <f t="shared" si="129"/>
        <v>3337.6335999999997</v>
      </c>
      <c r="AT830">
        <f t="shared" si="129"/>
        <v>5006.4503999999997</v>
      </c>
      <c r="AU830">
        <f t="shared" si="129"/>
        <v>7092.4713999999994</v>
      </c>
      <c r="AV830">
        <f t="shared" si="129"/>
        <v>10012.900799999999</v>
      </c>
      <c r="AW830">
        <f t="shared" si="129"/>
        <v>13767.738599999999</v>
      </c>
      <c r="AX830">
        <f t="shared" ref="AM830:BB846" si="131">AX$5*VLOOKUP($AK830,$D$2:$E$1404,2,FALSE)</f>
        <v>19191.393199999999</v>
      </c>
      <c r="AY830">
        <f t="shared" si="131"/>
        <v>33376.335999999996</v>
      </c>
      <c r="AZ830">
        <f t="shared" si="131"/>
        <v>62580.63</v>
      </c>
      <c r="BA830">
        <f t="shared" si="131"/>
        <v>104301.04999999999</v>
      </c>
      <c r="BB830">
        <f t="shared" si="131"/>
        <v>166881.68</v>
      </c>
      <c r="BC830">
        <f t="shared" si="128"/>
        <v>417204.19999999995</v>
      </c>
      <c r="BD830">
        <f t="shared" si="128"/>
        <v>625806.29999999993</v>
      </c>
      <c r="BE830">
        <f t="shared" si="128"/>
        <v>1001290.08</v>
      </c>
      <c r="BF830">
        <f t="shared" si="128"/>
        <v>1251612.5999999999</v>
      </c>
      <c r="BG830">
        <f t="shared" si="128"/>
        <v>4172041.9999999995</v>
      </c>
      <c r="BH830">
        <f t="shared" si="128"/>
        <v>12516126</v>
      </c>
      <c r="BI830">
        <f t="shared" si="128"/>
        <v>35462357</v>
      </c>
      <c r="BJ830">
        <f t="shared" si="128"/>
        <v>125161259.99999999</v>
      </c>
      <c r="BK830">
        <f t="shared" si="128"/>
        <v>417204200</v>
      </c>
      <c r="BL830">
        <v>825</v>
      </c>
    </row>
    <row r="831" spans="1:64" ht="17.25" thickBot="1" x14ac:dyDescent="0.25">
      <c r="A831" s="131">
        <v>827</v>
      </c>
      <c r="B831" s="135">
        <v>738463038</v>
      </c>
      <c r="D831" s="131">
        <v>827</v>
      </c>
      <c r="E831" s="132">
        <v>41.864490000000004</v>
      </c>
      <c r="AK831">
        <v>825</v>
      </c>
      <c r="AL831" s="24">
        <f t="shared" si="130"/>
        <v>41.768500000000003</v>
      </c>
      <c r="AM831">
        <f t="shared" si="131"/>
        <v>292.37950000000001</v>
      </c>
      <c r="AN831">
        <f t="shared" si="131"/>
        <v>417.68500000000006</v>
      </c>
      <c r="AO831">
        <f t="shared" si="131"/>
        <v>626.52750000000003</v>
      </c>
      <c r="AP831">
        <f t="shared" si="131"/>
        <v>835.37000000000012</v>
      </c>
      <c r="AQ831">
        <f t="shared" si="131"/>
        <v>1461.8975</v>
      </c>
      <c r="AR831">
        <f t="shared" si="131"/>
        <v>2088.4250000000002</v>
      </c>
      <c r="AS831">
        <f t="shared" si="131"/>
        <v>3341.4800000000005</v>
      </c>
      <c r="AT831">
        <f t="shared" si="131"/>
        <v>5012.22</v>
      </c>
      <c r="AU831">
        <f t="shared" si="131"/>
        <v>7100.6450000000004</v>
      </c>
      <c r="AV831">
        <f t="shared" si="131"/>
        <v>10024.44</v>
      </c>
      <c r="AW831">
        <f t="shared" si="131"/>
        <v>13783.605000000001</v>
      </c>
      <c r="AX831">
        <f t="shared" si="131"/>
        <v>19213.510000000002</v>
      </c>
      <c r="AY831">
        <f t="shared" si="131"/>
        <v>33414.800000000003</v>
      </c>
      <c r="AZ831">
        <f t="shared" si="131"/>
        <v>62652.750000000007</v>
      </c>
      <c r="BA831">
        <f t="shared" si="131"/>
        <v>104421.25000000001</v>
      </c>
      <c r="BB831">
        <f t="shared" si="131"/>
        <v>167074</v>
      </c>
      <c r="BC831">
        <f t="shared" si="128"/>
        <v>417685.00000000006</v>
      </c>
      <c r="BD831">
        <f t="shared" si="128"/>
        <v>626527.5</v>
      </c>
      <c r="BE831">
        <f t="shared" si="128"/>
        <v>1002444.0000000001</v>
      </c>
      <c r="BF831">
        <f t="shared" si="128"/>
        <v>1253055</v>
      </c>
      <c r="BG831">
        <f t="shared" si="128"/>
        <v>4176850.0000000005</v>
      </c>
      <c r="BH831">
        <f t="shared" si="128"/>
        <v>12530550</v>
      </c>
      <c r="BI831">
        <f t="shared" si="128"/>
        <v>35503225</v>
      </c>
      <c r="BJ831">
        <f t="shared" si="128"/>
        <v>125305500.00000001</v>
      </c>
      <c r="BK831">
        <f t="shared" si="128"/>
        <v>417685000.00000006</v>
      </c>
      <c r="BL831">
        <v>826</v>
      </c>
    </row>
    <row r="832" spans="1:64" ht="17.25" thickBot="1" x14ac:dyDescent="0.25">
      <c r="A832" s="131">
        <v>828</v>
      </c>
      <c r="B832" s="135">
        <v>743514816</v>
      </c>
      <c r="D832" s="131">
        <v>828</v>
      </c>
      <c r="E832" s="132">
        <v>41.912399999999998</v>
      </c>
      <c r="AK832">
        <v>826</v>
      </c>
      <c r="AL832" s="24">
        <f t="shared" si="130"/>
        <v>41.816519999999997</v>
      </c>
      <c r="AM832">
        <f t="shared" si="131"/>
        <v>292.71564000000001</v>
      </c>
      <c r="AN832">
        <f t="shared" si="131"/>
        <v>418.16519999999997</v>
      </c>
      <c r="AO832">
        <f t="shared" si="131"/>
        <v>627.24779999999998</v>
      </c>
      <c r="AP832">
        <f t="shared" si="131"/>
        <v>836.33039999999994</v>
      </c>
      <c r="AQ832">
        <f t="shared" si="131"/>
        <v>1463.5781999999999</v>
      </c>
      <c r="AR832">
        <f t="shared" si="131"/>
        <v>2090.826</v>
      </c>
      <c r="AS832">
        <f t="shared" si="131"/>
        <v>3345.3215999999998</v>
      </c>
      <c r="AT832">
        <f t="shared" si="131"/>
        <v>5017.9823999999999</v>
      </c>
      <c r="AU832">
        <f t="shared" si="131"/>
        <v>7108.8083999999999</v>
      </c>
      <c r="AV832">
        <f t="shared" si="131"/>
        <v>10035.9648</v>
      </c>
      <c r="AW832">
        <f t="shared" si="131"/>
        <v>13799.451599999999</v>
      </c>
      <c r="AX832">
        <f t="shared" si="131"/>
        <v>19235.599199999997</v>
      </c>
      <c r="AY832">
        <f t="shared" si="131"/>
        <v>33453.216</v>
      </c>
      <c r="AZ832">
        <f t="shared" si="131"/>
        <v>62724.78</v>
      </c>
      <c r="BA832">
        <f t="shared" si="131"/>
        <v>104541.29999999999</v>
      </c>
      <c r="BB832">
        <f t="shared" si="131"/>
        <v>167266.07999999999</v>
      </c>
      <c r="BC832">
        <f t="shared" si="128"/>
        <v>418165.19999999995</v>
      </c>
      <c r="BD832">
        <f t="shared" si="128"/>
        <v>627247.79999999993</v>
      </c>
      <c r="BE832">
        <f t="shared" si="128"/>
        <v>1003596.48</v>
      </c>
      <c r="BF832">
        <f t="shared" si="128"/>
        <v>1254495.5999999999</v>
      </c>
      <c r="BG832">
        <f t="shared" si="128"/>
        <v>4181651.9999999995</v>
      </c>
      <c r="BH832">
        <f t="shared" si="128"/>
        <v>12544956</v>
      </c>
      <c r="BI832">
        <f t="shared" si="128"/>
        <v>35544042</v>
      </c>
      <c r="BJ832">
        <f t="shared" si="128"/>
        <v>125449559.99999999</v>
      </c>
      <c r="BK832">
        <f t="shared" si="128"/>
        <v>418165200</v>
      </c>
      <c r="BL832">
        <v>827</v>
      </c>
    </row>
    <row r="833" spans="1:64" ht="17.25" thickBot="1" x14ac:dyDescent="0.25">
      <c r="A833" s="131">
        <v>829</v>
      </c>
      <c r="B833" s="135">
        <v>748596549</v>
      </c>
      <c r="D833" s="131">
        <v>829</v>
      </c>
      <c r="E833" s="132">
        <v>41.960250000000002</v>
      </c>
      <c r="AK833">
        <v>827</v>
      </c>
      <c r="AL833" s="24">
        <f t="shared" si="130"/>
        <v>41.864490000000004</v>
      </c>
      <c r="AM833">
        <f t="shared" si="131"/>
        <v>293.05143000000004</v>
      </c>
      <c r="AN833">
        <f t="shared" si="131"/>
        <v>418.64490000000001</v>
      </c>
      <c r="AO833">
        <f t="shared" si="131"/>
        <v>627.96735000000001</v>
      </c>
      <c r="AP833">
        <f t="shared" si="131"/>
        <v>837.28980000000001</v>
      </c>
      <c r="AQ833">
        <f t="shared" si="131"/>
        <v>1465.2571500000001</v>
      </c>
      <c r="AR833">
        <f t="shared" si="131"/>
        <v>2093.2245000000003</v>
      </c>
      <c r="AS833">
        <f t="shared" si="131"/>
        <v>3349.1592000000001</v>
      </c>
      <c r="AT833">
        <f t="shared" si="131"/>
        <v>5023.7388000000001</v>
      </c>
      <c r="AU833">
        <f t="shared" si="131"/>
        <v>7116.9633000000003</v>
      </c>
      <c r="AV833">
        <f t="shared" si="131"/>
        <v>10047.4776</v>
      </c>
      <c r="AW833">
        <f t="shared" si="131"/>
        <v>13815.281700000001</v>
      </c>
      <c r="AX833">
        <f t="shared" si="131"/>
        <v>19257.665400000002</v>
      </c>
      <c r="AY833">
        <f t="shared" si="131"/>
        <v>33491.592000000004</v>
      </c>
      <c r="AZ833">
        <f t="shared" si="131"/>
        <v>62796.735000000008</v>
      </c>
      <c r="BA833">
        <f t="shared" si="131"/>
        <v>104661.22500000001</v>
      </c>
      <c r="BB833">
        <f t="shared" si="131"/>
        <v>167457.96000000002</v>
      </c>
      <c r="BC833">
        <f t="shared" si="128"/>
        <v>418644.9</v>
      </c>
      <c r="BD833">
        <f t="shared" si="128"/>
        <v>627967.35000000009</v>
      </c>
      <c r="BE833">
        <f t="shared" si="128"/>
        <v>1004747.7600000001</v>
      </c>
      <c r="BF833">
        <f t="shared" si="128"/>
        <v>1255934.7000000002</v>
      </c>
      <c r="BG833">
        <f t="shared" si="128"/>
        <v>4186449.0000000005</v>
      </c>
      <c r="BH833">
        <f t="shared" si="128"/>
        <v>12559347.000000002</v>
      </c>
      <c r="BI833">
        <f t="shared" si="128"/>
        <v>35584816.5</v>
      </c>
      <c r="BJ833">
        <f t="shared" si="128"/>
        <v>125593470.00000001</v>
      </c>
      <c r="BK833">
        <f t="shared" si="128"/>
        <v>418644900.00000006</v>
      </c>
      <c r="BL833">
        <v>828</v>
      </c>
    </row>
    <row r="834" spans="1:64" ht="17.25" thickBot="1" x14ac:dyDescent="0.25">
      <c r="A834" s="131">
        <v>830</v>
      </c>
      <c r="B834" s="135">
        <v>753708366</v>
      </c>
      <c r="D834" s="131">
        <v>830</v>
      </c>
      <c r="E834" s="132">
        <v>42.008040000000001</v>
      </c>
      <c r="AK834">
        <v>828</v>
      </c>
      <c r="AL834" s="24">
        <f t="shared" si="130"/>
        <v>41.912399999999998</v>
      </c>
      <c r="AM834">
        <f t="shared" si="131"/>
        <v>293.38679999999999</v>
      </c>
      <c r="AN834">
        <f t="shared" si="131"/>
        <v>419.12399999999997</v>
      </c>
      <c r="AO834">
        <f t="shared" si="131"/>
        <v>628.68599999999992</v>
      </c>
      <c r="AP834">
        <f t="shared" si="131"/>
        <v>838.24799999999993</v>
      </c>
      <c r="AQ834">
        <f t="shared" si="131"/>
        <v>1466.934</v>
      </c>
      <c r="AR834">
        <f t="shared" si="131"/>
        <v>2095.62</v>
      </c>
      <c r="AS834">
        <f t="shared" si="131"/>
        <v>3352.9919999999997</v>
      </c>
      <c r="AT834">
        <f t="shared" si="131"/>
        <v>5029.4879999999994</v>
      </c>
      <c r="AU834">
        <f t="shared" si="131"/>
        <v>7125.1079999999993</v>
      </c>
      <c r="AV834">
        <f t="shared" si="131"/>
        <v>10058.975999999999</v>
      </c>
      <c r="AW834">
        <f t="shared" si="131"/>
        <v>13831.091999999999</v>
      </c>
      <c r="AX834">
        <f t="shared" si="131"/>
        <v>19279.703999999998</v>
      </c>
      <c r="AY834">
        <f t="shared" si="131"/>
        <v>33529.919999999998</v>
      </c>
      <c r="AZ834">
        <f t="shared" si="131"/>
        <v>62868.6</v>
      </c>
      <c r="BA834">
        <f t="shared" si="131"/>
        <v>104781</v>
      </c>
      <c r="BB834">
        <f t="shared" si="131"/>
        <v>167649.60000000001</v>
      </c>
      <c r="BC834">
        <f t="shared" si="128"/>
        <v>419124</v>
      </c>
      <c r="BD834">
        <f t="shared" si="128"/>
        <v>628686</v>
      </c>
      <c r="BE834">
        <f t="shared" si="128"/>
        <v>1005897.6</v>
      </c>
      <c r="BF834">
        <f t="shared" si="128"/>
        <v>1257372</v>
      </c>
      <c r="BG834">
        <f t="shared" si="128"/>
        <v>4191240</v>
      </c>
      <c r="BH834">
        <f t="shared" si="128"/>
        <v>12573720</v>
      </c>
      <c r="BI834">
        <f t="shared" si="128"/>
        <v>35625540</v>
      </c>
      <c r="BJ834">
        <f t="shared" si="128"/>
        <v>125737200</v>
      </c>
      <c r="BK834">
        <f t="shared" si="128"/>
        <v>419124000</v>
      </c>
      <c r="BL834">
        <v>829</v>
      </c>
    </row>
    <row r="835" spans="1:64" ht="17.25" thickBot="1" x14ac:dyDescent="0.25">
      <c r="A835" s="131">
        <v>831</v>
      </c>
      <c r="B835" s="135">
        <v>758850394</v>
      </c>
      <c r="D835" s="131">
        <v>831</v>
      </c>
      <c r="E835" s="132">
        <v>42.055779999999999</v>
      </c>
      <c r="AK835">
        <v>829</v>
      </c>
      <c r="AL835" s="24">
        <f t="shared" si="130"/>
        <v>41.960250000000002</v>
      </c>
      <c r="AM835">
        <f t="shared" si="131"/>
        <v>293.72175000000004</v>
      </c>
      <c r="AN835">
        <f t="shared" si="131"/>
        <v>419.60250000000002</v>
      </c>
      <c r="AO835">
        <f t="shared" si="131"/>
        <v>629.40375000000006</v>
      </c>
      <c r="AP835">
        <f t="shared" si="131"/>
        <v>839.20500000000004</v>
      </c>
      <c r="AQ835">
        <f t="shared" si="131"/>
        <v>1468.6087500000001</v>
      </c>
      <c r="AR835">
        <f t="shared" si="131"/>
        <v>2098.0125000000003</v>
      </c>
      <c r="AS835">
        <f t="shared" si="131"/>
        <v>3356.82</v>
      </c>
      <c r="AT835">
        <f t="shared" si="131"/>
        <v>5035.2300000000005</v>
      </c>
      <c r="AU835">
        <f t="shared" si="131"/>
        <v>7133.2425000000003</v>
      </c>
      <c r="AV835">
        <f t="shared" si="131"/>
        <v>10070.460000000001</v>
      </c>
      <c r="AW835">
        <f t="shared" si="131"/>
        <v>13846.882500000002</v>
      </c>
      <c r="AX835">
        <f t="shared" si="131"/>
        <v>19301.715</v>
      </c>
      <c r="AY835">
        <f t="shared" si="131"/>
        <v>33568.200000000004</v>
      </c>
      <c r="AZ835">
        <f t="shared" si="131"/>
        <v>62940.375</v>
      </c>
      <c r="BA835">
        <f t="shared" si="131"/>
        <v>104900.625</v>
      </c>
      <c r="BB835">
        <f t="shared" si="131"/>
        <v>167841</v>
      </c>
      <c r="BC835">
        <f t="shared" si="128"/>
        <v>419602.5</v>
      </c>
      <c r="BD835">
        <f t="shared" si="128"/>
        <v>629403.75</v>
      </c>
      <c r="BE835">
        <f t="shared" si="128"/>
        <v>1007046</v>
      </c>
      <c r="BF835">
        <f t="shared" si="128"/>
        <v>1258807.5</v>
      </c>
      <c r="BG835">
        <f t="shared" si="128"/>
        <v>4196025</v>
      </c>
      <c r="BH835">
        <f t="shared" ref="BC835:BK863" si="132">BH$5*VLOOKUP($AK835,$D$2:$E$1404,2,FALSE)</f>
        <v>12588075</v>
      </c>
      <c r="BI835">
        <f t="shared" si="132"/>
        <v>35666212.5</v>
      </c>
      <c r="BJ835">
        <f t="shared" si="132"/>
        <v>125880750</v>
      </c>
      <c r="BK835">
        <f t="shared" si="132"/>
        <v>419602500</v>
      </c>
      <c r="BL835">
        <v>830</v>
      </c>
    </row>
    <row r="836" spans="1:64" ht="17.25" thickBot="1" x14ac:dyDescent="0.25">
      <c r="A836" s="131">
        <v>832</v>
      </c>
      <c r="B836" s="135">
        <v>764022761</v>
      </c>
      <c r="D836" s="131">
        <v>832</v>
      </c>
      <c r="E836" s="132">
        <v>42.103459999999998</v>
      </c>
      <c r="AK836">
        <v>830</v>
      </c>
      <c r="AL836" s="24">
        <f t="shared" si="130"/>
        <v>42.008040000000001</v>
      </c>
      <c r="AM836">
        <f t="shared" si="131"/>
        <v>294.05628000000002</v>
      </c>
      <c r="AN836">
        <f t="shared" si="131"/>
        <v>420.0804</v>
      </c>
      <c r="AO836">
        <f t="shared" si="131"/>
        <v>630.12059999999997</v>
      </c>
      <c r="AP836">
        <f t="shared" si="131"/>
        <v>840.16079999999999</v>
      </c>
      <c r="AQ836">
        <f t="shared" si="131"/>
        <v>1470.2814000000001</v>
      </c>
      <c r="AR836">
        <f t="shared" si="131"/>
        <v>2100.402</v>
      </c>
      <c r="AS836">
        <f t="shared" si="131"/>
        <v>3360.6432</v>
      </c>
      <c r="AT836">
        <f t="shared" si="131"/>
        <v>5040.9647999999997</v>
      </c>
      <c r="AU836">
        <f t="shared" si="131"/>
        <v>7141.3667999999998</v>
      </c>
      <c r="AV836">
        <f t="shared" si="131"/>
        <v>10081.929599999999</v>
      </c>
      <c r="AW836">
        <f t="shared" si="131"/>
        <v>13862.653200000001</v>
      </c>
      <c r="AX836">
        <f t="shared" si="131"/>
        <v>19323.698400000001</v>
      </c>
      <c r="AY836">
        <f t="shared" si="131"/>
        <v>33606.432000000001</v>
      </c>
      <c r="AZ836">
        <f t="shared" si="131"/>
        <v>63012.060000000005</v>
      </c>
      <c r="BA836">
        <f t="shared" si="131"/>
        <v>105020.1</v>
      </c>
      <c r="BB836">
        <f t="shared" si="131"/>
        <v>168032.16</v>
      </c>
      <c r="BC836">
        <f t="shared" si="132"/>
        <v>420080.4</v>
      </c>
      <c r="BD836">
        <f t="shared" si="132"/>
        <v>630120.6</v>
      </c>
      <c r="BE836">
        <f t="shared" si="132"/>
        <v>1008192.9600000001</v>
      </c>
      <c r="BF836">
        <f t="shared" si="132"/>
        <v>1260241.2</v>
      </c>
      <c r="BG836">
        <f t="shared" si="132"/>
        <v>4200804</v>
      </c>
      <c r="BH836">
        <f t="shared" si="132"/>
        <v>12602412</v>
      </c>
      <c r="BI836">
        <f t="shared" si="132"/>
        <v>35706834</v>
      </c>
      <c r="BJ836">
        <f t="shared" si="132"/>
        <v>126024120</v>
      </c>
      <c r="BK836">
        <f t="shared" si="132"/>
        <v>420080400</v>
      </c>
      <c r="BL836">
        <v>831</v>
      </c>
    </row>
    <row r="837" spans="1:64" ht="17.25" thickBot="1" x14ac:dyDescent="0.25">
      <c r="A837" s="131">
        <v>833</v>
      </c>
      <c r="B837" s="135">
        <v>769225599</v>
      </c>
      <c r="D837" s="131">
        <v>833</v>
      </c>
      <c r="E837" s="132">
        <v>42.15108</v>
      </c>
      <c r="AK837">
        <v>831</v>
      </c>
      <c r="AL837" s="24">
        <f t="shared" si="130"/>
        <v>42.055779999999999</v>
      </c>
      <c r="AM837">
        <f t="shared" si="131"/>
        <v>294.39045999999996</v>
      </c>
      <c r="AN837">
        <f t="shared" si="131"/>
        <v>420.55779999999999</v>
      </c>
      <c r="AO837">
        <f t="shared" si="131"/>
        <v>630.83669999999995</v>
      </c>
      <c r="AP837">
        <f t="shared" si="131"/>
        <v>841.11559999999997</v>
      </c>
      <c r="AQ837">
        <f t="shared" si="131"/>
        <v>1471.9522999999999</v>
      </c>
      <c r="AR837">
        <f t="shared" si="131"/>
        <v>2102.7889999999998</v>
      </c>
      <c r="AS837">
        <f t="shared" si="131"/>
        <v>3364.4623999999999</v>
      </c>
      <c r="AT837">
        <f t="shared" si="131"/>
        <v>5046.6935999999996</v>
      </c>
      <c r="AU837">
        <f t="shared" si="131"/>
        <v>7149.4825999999994</v>
      </c>
      <c r="AV837">
        <f t="shared" si="131"/>
        <v>10093.387199999999</v>
      </c>
      <c r="AW837">
        <f t="shared" si="131"/>
        <v>13878.4074</v>
      </c>
      <c r="AX837">
        <f t="shared" si="131"/>
        <v>19345.658800000001</v>
      </c>
      <c r="AY837">
        <f t="shared" si="131"/>
        <v>33644.623999999996</v>
      </c>
      <c r="AZ837">
        <f t="shared" si="131"/>
        <v>63083.67</v>
      </c>
      <c r="BA837">
        <f t="shared" si="131"/>
        <v>105139.45</v>
      </c>
      <c r="BB837">
        <f t="shared" si="131"/>
        <v>168223.12</v>
      </c>
      <c r="BC837">
        <f t="shared" si="132"/>
        <v>420557.8</v>
      </c>
      <c r="BD837">
        <f t="shared" si="132"/>
        <v>630836.69999999995</v>
      </c>
      <c r="BE837">
        <f t="shared" si="132"/>
        <v>1009338.72</v>
      </c>
      <c r="BF837">
        <f t="shared" si="132"/>
        <v>1261673.3999999999</v>
      </c>
      <c r="BG837">
        <f t="shared" si="132"/>
        <v>4205578</v>
      </c>
      <c r="BH837">
        <f t="shared" si="132"/>
        <v>12616734</v>
      </c>
      <c r="BI837">
        <f t="shared" si="132"/>
        <v>35747413</v>
      </c>
      <c r="BJ837">
        <f t="shared" si="132"/>
        <v>126167340</v>
      </c>
      <c r="BK837">
        <f t="shared" si="132"/>
        <v>420557800</v>
      </c>
      <c r="BL837">
        <v>832</v>
      </c>
    </row>
    <row r="838" spans="1:64" ht="17.25" thickBot="1" x14ac:dyDescent="0.25">
      <c r="A838" s="131">
        <v>834</v>
      </c>
      <c r="B838" s="135">
        <v>774459038</v>
      </c>
      <c r="D838" s="131">
        <v>834</v>
      </c>
      <c r="E838" s="132">
        <v>42.198650000000001</v>
      </c>
      <c r="AK838">
        <v>832</v>
      </c>
      <c r="AL838" s="24">
        <f t="shared" si="130"/>
        <v>42.103459999999998</v>
      </c>
      <c r="AM838">
        <f t="shared" si="131"/>
        <v>294.72422</v>
      </c>
      <c r="AN838">
        <f t="shared" si="131"/>
        <v>421.03459999999995</v>
      </c>
      <c r="AO838">
        <f t="shared" si="131"/>
        <v>631.55189999999993</v>
      </c>
      <c r="AP838">
        <f t="shared" si="131"/>
        <v>842.06919999999991</v>
      </c>
      <c r="AQ838">
        <f t="shared" si="131"/>
        <v>1473.6210999999998</v>
      </c>
      <c r="AR838">
        <f t="shared" si="131"/>
        <v>2105.1729999999998</v>
      </c>
      <c r="AS838">
        <f t="shared" si="131"/>
        <v>3368.2767999999996</v>
      </c>
      <c r="AT838">
        <f t="shared" si="131"/>
        <v>5052.4151999999995</v>
      </c>
      <c r="AU838">
        <f t="shared" si="131"/>
        <v>7157.5882000000001</v>
      </c>
      <c r="AV838">
        <f t="shared" si="131"/>
        <v>10104.830399999999</v>
      </c>
      <c r="AW838">
        <f t="shared" si="131"/>
        <v>13894.141799999999</v>
      </c>
      <c r="AX838">
        <f t="shared" si="131"/>
        <v>19367.5916</v>
      </c>
      <c r="AY838">
        <f t="shared" si="131"/>
        <v>33682.767999999996</v>
      </c>
      <c r="AZ838">
        <f t="shared" si="131"/>
        <v>63155.189999999995</v>
      </c>
      <c r="BA838">
        <f t="shared" si="131"/>
        <v>105258.65</v>
      </c>
      <c r="BB838">
        <f t="shared" si="131"/>
        <v>168413.84</v>
      </c>
      <c r="BC838">
        <f t="shared" si="132"/>
        <v>421034.6</v>
      </c>
      <c r="BD838">
        <f t="shared" si="132"/>
        <v>631551.9</v>
      </c>
      <c r="BE838">
        <f t="shared" si="132"/>
        <v>1010483.0399999999</v>
      </c>
      <c r="BF838">
        <f t="shared" si="132"/>
        <v>1263103.8</v>
      </c>
      <c r="BG838">
        <f t="shared" si="132"/>
        <v>4210346</v>
      </c>
      <c r="BH838">
        <f t="shared" si="132"/>
        <v>12631038</v>
      </c>
      <c r="BI838">
        <f t="shared" si="132"/>
        <v>35787941</v>
      </c>
      <c r="BJ838">
        <f t="shared" si="132"/>
        <v>126310380</v>
      </c>
      <c r="BK838">
        <f t="shared" si="132"/>
        <v>421034600</v>
      </c>
      <c r="BL838">
        <v>833</v>
      </c>
    </row>
    <row r="839" spans="1:64" ht="17.25" thickBot="1" x14ac:dyDescent="0.25">
      <c r="A839" s="131">
        <v>835</v>
      </c>
      <c r="B839" s="135">
        <v>779723211</v>
      </c>
      <c r="D839" s="131">
        <v>835</v>
      </c>
      <c r="E839" s="132">
        <v>42.246160000000003</v>
      </c>
      <c r="AK839">
        <v>833</v>
      </c>
      <c r="AL839" s="24">
        <f t="shared" si="130"/>
        <v>42.15108</v>
      </c>
      <c r="AM839">
        <f t="shared" si="131"/>
        <v>295.05756000000002</v>
      </c>
      <c r="AN839">
        <f t="shared" si="131"/>
        <v>421.51080000000002</v>
      </c>
      <c r="AO839">
        <f t="shared" si="131"/>
        <v>632.26620000000003</v>
      </c>
      <c r="AP839">
        <f t="shared" si="131"/>
        <v>843.02160000000003</v>
      </c>
      <c r="AQ839">
        <f t="shared" si="131"/>
        <v>1475.2878000000001</v>
      </c>
      <c r="AR839">
        <f t="shared" si="131"/>
        <v>2107.5540000000001</v>
      </c>
      <c r="AS839">
        <f t="shared" si="131"/>
        <v>3372.0864000000001</v>
      </c>
      <c r="AT839">
        <f t="shared" si="131"/>
        <v>5058.1296000000002</v>
      </c>
      <c r="AU839">
        <f t="shared" si="131"/>
        <v>7165.6836000000003</v>
      </c>
      <c r="AV839">
        <f t="shared" si="131"/>
        <v>10116.2592</v>
      </c>
      <c r="AW839">
        <f t="shared" si="131"/>
        <v>13909.856400000001</v>
      </c>
      <c r="AX839">
        <f t="shared" si="131"/>
        <v>19389.496800000001</v>
      </c>
      <c r="AY839">
        <f t="shared" si="131"/>
        <v>33720.864000000001</v>
      </c>
      <c r="AZ839">
        <f t="shared" si="131"/>
        <v>63226.62</v>
      </c>
      <c r="BA839">
        <f t="shared" si="131"/>
        <v>105377.7</v>
      </c>
      <c r="BB839">
        <f t="shared" si="131"/>
        <v>168604.32</v>
      </c>
      <c r="BC839">
        <f t="shared" si="132"/>
        <v>421510.8</v>
      </c>
      <c r="BD839">
        <f t="shared" si="132"/>
        <v>632266.19999999995</v>
      </c>
      <c r="BE839">
        <f t="shared" si="132"/>
        <v>1011625.92</v>
      </c>
      <c r="BF839">
        <f t="shared" si="132"/>
        <v>1264532.3999999999</v>
      </c>
      <c r="BG839">
        <f t="shared" si="132"/>
        <v>4215108</v>
      </c>
      <c r="BH839">
        <f t="shared" si="132"/>
        <v>12645324</v>
      </c>
      <c r="BI839">
        <f t="shared" si="132"/>
        <v>35828418</v>
      </c>
      <c r="BJ839">
        <f t="shared" si="132"/>
        <v>126453240</v>
      </c>
      <c r="BK839">
        <f t="shared" si="132"/>
        <v>421510800</v>
      </c>
      <c r="BL839">
        <v>834</v>
      </c>
    </row>
    <row r="840" spans="1:64" ht="17.25" thickBot="1" x14ac:dyDescent="0.25">
      <c r="A840" s="131">
        <v>836</v>
      </c>
      <c r="B840" s="135">
        <v>785018244</v>
      </c>
      <c r="D840" s="131">
        <v>836</v>
      </c>
      <c r="E840" s="132">
        <v>42.293610000000001</v>
      </c>
      <c r="AK840">
        <v>834</v>
      </c>
      <c r="AL840" s="24">
        <f t="shared" si="130"/>
        <v>42.198650000000001</v>
      </c>
      <c r="AM840">
        <f t="shared" si="131"/>
        <v>295.39055000000002</v>
      </c>
      <c r="AN840">
        <f t="shared" si="131"/>
        <v>421.98649999999998</v>
      </c>
      <c r="AO840">
        <f t="shared" si="131"/>
        <v>632.97974999999997</v>
      </c>
      <c r="AP840">
        <f t="shared" si="131"/>
        <v>843.97299999999996</v>
      </c>
      <c r="AQ840">
        <f t="shared" si="131"/>
        <v>1476.9527499999999</v>
      </c>
      <c r="AR840">
        <f t="shared" si="131"/>
        <v>2109.9324999999999</v>
      </c>
      <c r="AS840">
        <f t="shared" si="131"/>
        <v>3375.8919999999998</v>
      </c>
      <c r="AT840">
        <f t="shared" si="131"/>
        <v>5063.8379999999997</v>
      </c>
      <c r="AU840">
        <f t="shared" si="131"/>
        <v>7173.7705000000005</v>
      </c>
      <c r="AV840">
        <f t="shared" si="131"/>
        <v>10127.675999999999</v>
      </c>
      <c r="AW840">
        <f t="shared" si="131"/>
        <v>13925.5545</v>
      </c>
      <c r="AX840">
        <f t="shared" si="131"/>
        <v>19411.379000000001</v>
      </c>
      <c r="AY840">
        <f t="shared" si="131"/>
        <v>33758.92</v>
      </c>
      <c r="AZ840">
        <f t="shared" si="131"/>
        <v>63297.974999999999</v>
      </c>
      <c r="BA840">
        <f t="shared" si="131"/>
        <v>105496.625</v>
      </c>
      <c r="BB840">
        <f t="shared" si="131"/>
        <v>168794.6</v>
      </c>
      <c r="BC840">
        <f t="shared" si="132"/>
        <v>421986.5</v>
      </c>
      <c r="BD840">
        <f t="shared" si="132"/>
        <v>632979.75</v>
      </c>
      <c r="BE840">
        <f t="shared" si="132"/>
        <v>1012767.6</v>
      </c>
      <c r="BF840">
        <f t="shared" si="132"/>
        <v>1265959.5</v>
      </c>
      <c r="BG840">
        <f t="shared" si="132"/>
        <v>4219865</v>
      </c>
      <c r="BH840">
        <f t="shared" si="132"/>
        <v>12659595</v>
      </c>
      <c r="BI840">
        <f t="shared" si="132"/>
        <v>35868852.5</v>
      </c>
      <c r="BJ840">
        <f t="shared" si="132"/>
        <v>126595950</v>
      </c>
      <c r="BK840">
        <f t="shared" si="132"/>
        <v>421986500</v>
      </c>
      <c r="BL840">
        <v>835</v>
      </c>
    </row>
    <row r="841" spans="1:64" ht="17.25" thickBot="1" x14ac:dyDescent="0.25">
      <c r="A841" s="131">
        <v>837</v>
      </c>
      <c r="B841" s="135">
        <v>790344272</v>
      </c>
      <c r="D841" s="131">
        <v>837</v>
      </c>
      <c r="E841" s="132">
        <v>42.341009999999997</v>
      </c>
      <c r="AK841">
        <v>835</v>
      </c>
      <c r="AL841" s="24">
        <f t="shared" si="130"/>
        <v>42.246160000000003</v>
      </c>
      <c r="AM841">
        <f t="shared" si="131"/>
        <v>295.72311999999999</v>
      </c>
      <c r="AN841">
        <f t="shared" si="131"/>
        <v>422.46160000000003</v>
      </c>
      <c r="AO841">
        <f t="shared" si="131"/>
        <v>633.69240000000002</v>
      </c>
      <c r="AP841">
        <f t="shared" si="131"/>
        <v>844.92320000000007</v>
      </c>
      <c r="AQ841">
        <f t="shared" si="131"/>
        <v>1478.6156000000001</v>
      </c>
      <c r="AR841">
        <f t="shared" si="131"/>
        <v>2112.308</v>
      </c>
      <c r="AS841">
        <f t="shared" si="131"/>
        <v>3379.6928000000003</v>
      </c>
      <c r="AT841">
        <f t="shared" si="131"/>
        <v>5069.5392000000002</v>
      </c>
      <c r="AU841">
        <f t="shared" si="131"/>
        <v>7181.8472000000002</v>
      </c>
      <c r="AV841">
        <f t="shared" si="131"/>
        <v>10139.0784</v>
      </c>
      <c r="AW841">
        <f t="shared" si="131"/>
        <v>13941.232800000002</v>
      </c>
      <c r="AX841">
        <f t="shared" si="131"/>
        <v>19433.233600000003</v>
      </c>
      <c r="AY841">
        <f t="shared" si="131"/>
        <v>33796.928</v>
      </c>
      <c r="AZ841">
        <f t="shared" si="131"/>
        <v>63369.240000000005</v>
      </c>
      <c r="BA841">
        <f t="shared" si="131"/>
        <v>105615.40000000001</v>
      </c>
      <c r="BB841">
        <f t="shared" si="131"/>
        <v>168984.64</v>
      </c>
      <c r="BC841">
        <f t="shared" si="132"/>
        <v>422461.60000000003</v>
      </c>
      <c r="BD841">
        <f t="shared" si="132"/>
        <v>633692.4</v>
      </c>
      <c r="BE841">
        <f t="shared" si="132"/>
        <v>1013907.8400000001</v>
      </c>
      <c r="BF841">
        <f t="shared" si="132"/>
        <v>1267384.8</v>
      </c>
      <c r="BG841">
        <f t="shared" si="132"/>
        <v>4224616</v>
      </c>
      <c r="BH841">
        <f t="shared" si="132"/>
        <v>12673848.000000002</v>
      </c>
      <c r="BI841">
        <f t="shared" si="132"/>
        <v>35909236</v>
      </c>
      <c r="BJ841">
        <f t="shared" si="132"/>
        <v>126738480.00000001</v>
      </c>
      <c r="BK841">
        <f t="shared" si="132"/>
        <v>422461600.00000006</v>
      </c>
      <c r="BL841">
        <v>836</v>
      </c>
    </row>
    <row r="842" spans="1:64" ht="17.25" thickBot="1" x14ac:dyDescent="0.25">
      <c r="A842" s="131">
        <v>838</v>
      </c>
      <c r="B842" s="135">
        <v>795701422</v>
      </c>
      <c r="D842" s="131">
        <v>838</v>
      </c>
      <c r="E842" s="132">
        <v>42.388350000000003</v>
      </c>
      <c r="AK842">
        <v>836</v>
      </c>
      <c r="AL842" s="24">
        <f t="shared" si="130"/>
        <v>42.293610000000001</v>
      </c>
      <c r="AM842">
        <f t="shared" si="131"/>
        <v>296.05527000000001</v>
      </c>
      <c r="AN842">
        <f t="shared" si="131"/>
        <v>422.93610000000001</v>
      </c>
      <c r="AO842">
        <f t="shared" si="131"/>
        <v>634.40415000000007</v>
      </c>
      <c r="AP842">
        <f t="shared" si="131"/>
        <v>845.87220000000002</v>
      </c>
      <c r="AQ842">
        <f t="shared" si="131"/>
        <v>1480.2763500000001</v>
      </c>
      <c r="AR842">
        <f t="shared" si="131"/>
        <v>2114.6804999999999</v>
      </c>
      <c r="AS842">
        <f t="shared" si="131"/>
        <v>3383.4888000000001</v>
      </c>
      <c r="AT842">
        <f t="shared" si="131"/>
        <v>5075.2332000000006</v>
      </c>
      <c r="AU842">
        <f t="shared" si="131"/>
        <v>7189.9137000000001</v>
      </c>
      <c r="AV842">
        <f t="shared" si="131"/>
        <v>10150.466400000001</v>
      </c>
      <c r="AW842">
        <f t="shared" si="131"/>
        <v>13956.891300000001</v>
      </c>
      <c r="AX842">
        <f t="shared" si="131"/>
        <v>19455.060600000001</v>
      </c>
      <c r="AY842">
        <f t="shared" si="131"/>
        <v>33834.887999999999</v>
      </c>
      <c r="AZ842">
        <f t="shared" si="131"/>
        <v>63440.415000000001</v>
      </c>
      <c r="BA842">
        <f t="shared" si="131"/>
        <v>105734.02500000001</v>
      </c>
      <c r="BB842">
        <f t="shared" si="131"/>
        <v>169174.44</v>
      </c>
      <c r="BC842">
        <f t="shared" si="132"/>
        <v>422936.10000000003</v>
      </c>
      <c r="BD842">
        <f t="shared" si="132"/>
        <v>634404.15</v>
      </c>
      <c r="BE842">
        <f t="shared" si="132"/>
        <v>1015046.64</v>
      </c>
      <c r="BF842">
        <f t="shared" si="132"/>
        <v>1268808.3</v>
      </c>
      <c r="BG842">
        <f t="shared" si="132"/>
        <v>4229361</v>
      </c>
      <c r="BH842">
        <f t="shared" si="132"/>
        <v>12688083</v>
      </c>
      <c r="BI842">
        <f t="shared" si="132"/>
        <v>35949568.5</v>
      </c>
      <c r="BJ842">
        <f t="shared" si="132"/>
        <v>126880830</v>
      </c>
      <c r="BK842">
        <f t="shared" si="132"/>
        <v>422936100</v>
      </c>
      <c r="BL842">
        <v>837</v>
      </c>
    </row>
    <row r="843" spans="1:64" ht="17.25" thickBot="1" x14ac:dyDescent="0.25">
      <c r="A843" s="131">
        <v>839</v>
      </c>
      <c r="B843" s="135">
        <v>801089827</v>
      </c>
      <c r="D843" s="131">
        <v>839</v>
      </c>
      <c r="E843" s="132">
        <v>42.435639999999999</v>
      </c>
      <c r="AK843">
        <v>837</v>
      </c>
      <c r="AL843" s="24">
        <f t="shared" si="130"/>
        <v>42.341009999999997</v>
      </c>
      <c r="AM843">
        <f t="shared" si="131"/>
        <v>296.38706999999999</v>
      </c>
      <c r="AN843">
        <f t="shared" si="131"/>
        <v>423.41009999999994</v>
      </c>
      <c r="AO843">
        <f t="shared" si="131"/>
        <v>635.11514999999997</v>
      </c>
      <c r="AP843">
        <f t="shared" si="131"/>
        <v>846.82019999999989</v>
      </c>
      <c r="AQ843">
        <f t="shared" si="131"/>
        <v>1481.93535</v>
      </c>
      <c r="AR843">
        <f t="shared" si="131"/>
        <v>2117.0504999999998</v>
      </c>
      <c r="AS843">
        <f t="shared" si="131"/>
        <v>3387.2807999999995</v>
      </c>
      <c r="AT843">
        <f t="shared" si="131"/>
        <v>5080.9211999999998</v>
      </c>
      <c r="AU843">
        <f t="shared" si="131"/>
        <v>7197.9716999999991</v>
      </c>
      <c r="AV843">
        <f t="shared" si="131"/>
        <v>10161.8424</v>
      </c>
      <c r="AW843">
        <f t="shared" si="131"/>
        <v>13972.533299999999</v>
      </c>
      <c r="AX843">
        <f t="shared" si="131"/>
        <v>19476.864599999997</v>
      </c>
      <c r="AY843">
        <f t="shared" si="131"/>
        <v>33872.807999999997</v>
      </c>
      <c r="AZ843">
        <f t="shared" si="131"/>
        <v>63511.514999999992</v>
      </c>
      <c r="BA843">
        <f t="shared" si="131"/>
        <v>105852.52499999999</v>
      </c>
      <c r="BB843">
        <f t="shared" si="131"/>
        <v>169364.03999999998</v>
      </c>
      <c r="BC843">
        <f t="shared" si="132"/>
        <v>423410.1</v>
      </c>
      <c r="BD843">
        <f t="shared" si="132"/>
        <v>635115.14999999991</v>
      </c>
      <c r="BE843">
        <f t="shared" si="132"/>
        <v>1016184.2399999999</v>
      </c>
      <c r="BF843">
        <f t="shared" si="132"/>
        <v>1270230.2999999998</v>
      </c>
      <c r="BG843">
        <f t="shared" si="132"/>
        <v>4234101</v>
      </c>
      <c r="BH843">
        <f t="shared" si="132"/>
        <v>12702303</v>
      </c>
      <c r="BI843">
        <f t="shared" si="132"/>
        <v>35989858.5</v>
      </c>
      <c r="BJ843">
        <f t="shared" si="132"/>
        <v>127023029.99999999</v>
      </c>
      <c r="BK843">
        <f t="shared" si="132"/>
        <v>423410100</v>
      </c>
      <c r="BL843">
        <v>838</v>
      </c>
    </row>
    <row r="844" spans="1:64" ht="17.25" thickBot="1" x14ac:dyDescent="0.25">
      <c r="A844" s="131">
        <v>840</v>
      </c>
      <c r="B844" s="135">
        <v>806509622</v>
      </c>
      <c r="D844" s="131">
        <v>840</v>
      </c>
      <c r="E844" s="132">
        <v>42.482869999999998</v>
      </c>
      <c r="AK844">
        <v>838</v>
      </c>
      <c r="AL844" s="24">
        <f t="shared" si="130"/>
        <v>42.388350000000003</v>
      </c>
      <c r="AM844">
        <f t="shared" si="131"/>
        <v>296.71845000000002</v>
      </c>
      <c r="AN844">
        <f t="shared" si="131"/>
        <v>423.88350000000003</v>
      </c>
      <c r="AO844">
        <f t="shared" si="131"/>
        <v>635.8252500000001</v>
      </c>
      <c r="AP844">
        <f t="shared" si="131"/>
        <v>847.76700000000005</v>
      </c>
      <c r="AQ844">
        <f t="shared" si="131"/>
        <v>1483.5922500000001</v>
      </c>
      <c r="AR844">
        <f t="shared" si="131"/>
        <v>2119.4175</v>
      </c>
      <c r="AS844">
        <f t="shared" si="131"/>
        <v>3391.0680000000002</v>
      </c>
      <c r="AT844">
        <f t="shared" si="131"/>
        <v>5086.6020000000008</v>
      </c>
      <c r="AU844">
        <f t="shared" si="131"/>
        <v>7206.0195000000003</v>
      </c>
      <c r="AV844">
        <f t="shared" si="131"/>
        <v>10173.204000000002</v>
      </c>
      <c r="AW844">
        <f t="shared" si="131"/>
        <v>13988.155500000001</v>
      </c>
      <c r="AX844">
        <f t="shared" si="131"/>
        <v>19498.641</v>
      </c>
      <c r="AY844">
        <f t="shared" si="131"/>
        <v>33910.68</v>
      </c>
      <c r="AZ844">
        <f t="shared" si="131"/>
        <v>63582.525000000001</v>
      </c>
      <c r="BA844">
        <f t="shared" si="131"/>
        <v>105970.875</v>
      </c>
      <c r="BB844">
        <f t="shared" si="131"/>
        <v>169553.40000000002</v>
      </c>
      <c r="BC844">
        <f t="shared" si="132"/>
        <v>423883.5</v>
      </c>
      <c r="BD844">
        <f t="shared" si="132"/>
        <v>635825.25</v>
      </c>
      <c r="BE844">
        <f t="shared" si="132"/>
        <v>1017320.4</v>
      </c>
      <c r="BF844">
        <f t="shared" si="132"/>
        <v>1271650.5</v>
      </c>
      <c r="BG844">
        <f t="shared" si="132"/>
        <v>4238835</v>
      </c>
      <c r="BH844">
        <f t="shared" si="132"/>
        <v>12716505</v>
      </c>
      <c r="BI844">
        <f t="shared" si="132"/>
        <v>36030097.5</v>
      </c>
      <c r="BJ844">
        <f t="shared" si="132"/>
        <v>127165050.00000001</v>
      </c>
      <c r="BK844">
        <f t="shared" si="132"/>
        <v>423883500</v>
      </c>
      <c r="BL844">
        <v>839</v>
      </c>
    </row>
    <row r="845" spans="1:64" ht="17.25" thickBot="1" x14ac:dyDescent="0.25">
      <c r="A845" s="131">
        <v>841</v>
      </c>
      <c r="B845" s="135">
        <v>811960938</v>
      </c>
      <c r="D845" s="131">
        <v>841</v>
      </c>
      <c r="E845" s="132">
        <v>42.53004</v>
      </c>
      <c r="AK845">
        <v>839</v>
      </c>
      <c r="AL845" s="24">
        <f t="shared" si="130"/>
        <v>42.435639999999999</v>
      </c>
      <c r="AM845">
        <f t="shared" si="131"/>
        <v>297.04948000000002</v>
      </c>
      <c r="AN845">
        <f t="shared" si="131"/>
        <v>424.35640000000001</v>
      </c>
      <c r="AO845">
        <f t="shared" si="131"/>
        <v>636.53459999999995</v>
      </c>
      <c r="AP845">
        <f t="shared" si="131"/>
        <v>848.71280000000002</v>
      </c>
      <c r="AQ845">
        <f t="shared" si="131"/>
        <v>1485.2474</v>
      </c>
      <c r="AR845">
        <f t="shared" si="131"/>
        <v>2121.7820000000002</v>
      </c>
      <c r="AS845">
        <f t="shared" si="131"/>
        <v>3394.8512000000001</v>
      </c>
      <c r="AT845">
        <f t="shared" si="131"/>
        <v>5092.2767999999996</v>
      </c>
      <c r="AU845">
        <f t="shared" si="131"/>
        <v>7214.0587999999998</v>
      </c>
      <c r="AV845">
        <f t="shared" si="131"/>
        <v>10184.553599999999</v>
      </c>
      <c r="AW845">
        <f t="shared" si="131"/>
        <v>14003.761199999999</v>
      </c>
      <c r="AX845">
        <f t="shared" si="131"/>
        <v>19520.394400000001</v>
      </c>
      <c r="AY845">
        <f t="shared" si="131"/>
        <v>33948.512000000002</v>
      </c>
      <c r="AZ845">
        <f t="shared" si="131"/>
        <v>63653.46</v>
      </c>
      <c r="BA845">
        <f t="shared" si="131"/>
        <v>106089.09999999999</v>
      </c>
      <c r="BB845">
        <f t="shared" si="131"/>
        <v>169742.56</v>
      </c>
      <c r="BC845">
        <f t="shared" si="132"/>
        <v>424356.39999999997</v>
      </c>
      <c r="BD845">
        <f t="shared" si="132"/>
        <v>636534.6</v>
      </c>
      <c r="BE845">
        <f t="shared" si="132"/>
        <v>1018455.36</v>
      </c>
      <c r="BF845">
        <f t="shared" si="132"/>
        <v>1273069.2</v>
      </c>
      <c r="BG845">
        <f t="shared" si="132"/>
        <v>4243564</v>
      </c>
      <c r="BH845">
        <f t="shared" si="132"/>
        <v>12730692</v>
      </c>
      <c r="BI845">
        <f t="shared" si="132"/>
        <v>36070294</v>
      </c>
      <c r="BJ845">
        <f t="shared" si="132"/>
        <v>127306920</v>
      </c>
      <c r="BK845">
        <f t="shared" si="132"/>
        <v>424356400</v>
      </c>
      <c r="BL845">
        <v>840</v>
      </c>
    </row>
    <row r="846" spans="1:64" ht="17.25" thickBot="1" x14ac:dyDescent="0.25">
      <c r="A846" s="131">
        <v>842</v>
      </c>
      <c r="B846" s="135">
        <v>817443905</v>
      </c>
      <c r="D846" s="131">
        <v>842</v>
      </c>
      <c r="E846" s="132">
        <v>42.577159999999999</v>
      </c>
      <c r="AK846">
        <v>840</v>
      </c>
      <c r="AL846" s="24">
        <f t="shared" si="130"/>
        <v>42.482869999999998</v>
      </c>
      <c r="AM846">
        <f t="shared" si="131"/>
        <v>297.38009</v>
      </c>
      <c r="AN846">
        <f t="shared" si="131"/>
        <v>424.82869999999997</v>
      </c>
      <c r="AO846">
        <f t="shared" si="131"/>
        <v>637.24304999999993</v>
      </c>
      <c r="AP846">
        <f t="shared" si="131"/>
        <v>849.65739999999994</v>
      </c>
      <c r="AQ846">
        <f t="shared" si="131"/>
        <v>1486.9004499999999</v>
      </c>
      <c r="AR846">
        <f t="shared" si="131"/>
        <v>2124.1435000000001</v>
      </c>
      <c r="AS846">
        <f t="shared" si="131"/>
        <v>3398.6295999999998</v>
      </c>
      <c r="AT846">
        <f t="shared" si="131"/>
        <v>5097.9443999999994</v>
      </c>
      <c r="AU846">
        <f t="shared" si="131"/>
        <v>7222.0878999999995</v>
      </c>
      <c r="AV846">
        <f t="shared" si="131"/>
        <v>10195.888799999999</v>
      </c>
      <c r="AW846">
        <f t="shared" ref="AM846:BB862" si="133">AW$5*VLOOKUP($AK846,$D$2:$E$1404,2,FALSE)</f>
        <v>14019.347099999999</v>
      </c>
      <c r="AX846">
        <f t="shared" si="133"/>
        <v>19542.120199999998</v>
      </c>
      <c r="AY846">
        <f t="shared" si="133"/>
        <v>33986.296000000002</v>
      </c>
      <c r="AZ846">
        <f t="shared" si="133"/>
        <v>63724.305</v>
      </c>
      <c r="BA846">
        <f t="shared" si="133"/>
        <v>106207.175</v>
      </c>
      <c r="BB846">
        <f t="shared" si="133"/>
        <v>169931.47999999998</v>
      </c>
      <c r="BC846">
        <f t="shared" si="132"/>
        <v>424828.7</v>
      </c>
      <c r="BD846">
        <f t="shared" si="132"/>
        <v>637243.04999999993</v>
      </c>
      <c r="BE846">
        <f t="shared" si="132"/>
        <v>1019588.88</v>
      </c>
      <c r="BF846">
        <f t="shared" si="132"/>
        <v>1274486.0999999999</v>
      </c>
      <c r="BG846">
        <f t="shared" si="132"/>
        <v>4248287</v>
      </c>
      <c r="BH846">
        <f t="shared" si="132"/>
        <v>12744861</v>
      </c>
      <c r="BI846">
        <f t="shared" si="132"/>
        <v>36110439.5</v>
      </c>
      <c r="BJ846">
        <f t="shared" si="132"/>
        <v>127448610</v>
      </c>
      <c r="BK846">
        <f t="shared" si="132"/>
        <v>424828700</v>
      </c>
      <c r="BL846">
        <v>841</v>
      </c>
    </row>
    <row r="847" spans="1:64" ht="17.25" thickBot="1" x14ac:dyDescent="0.25">
      <c r="A847" s="131">
        <v>843</v>
      </c>
      <c r="B847" s="135">
        <v>822958661</v>
      </c>
      <c r="D847" s="131">
        <v>843</v>
      </c>
      <c r="E847" s="132">
        <v>42.624220000000001</v>
      </c>
      <c r="AK847">
        <v>841</v>
      </c>
      <c r="AL847" s="24">
        <f t="shared" si="130"/>
        <v>42.53004</v>
      </c>
      <c r="AM847">
        <f t="shared" si="133"/>
        <v>297.71028000000001</v>
      </c>
      <c r="AN847">
        <f t="shared" si="133"/>
        <v>425.30039999999997</v>
      </c>
      <c r="AO847">
        <f t="shared" si="133"/>
        <v>637.95060000000001</v>
      </c>
      <c r="AP847">
        <f t="shared" si="133"/>
        <v>850.60079999999994</v>
      </c>
      <c r="AQ847">
        <f t="shared" si="133"/>
        <v>1488.5514000000001</v>
      </c>
      <c r="AR847">
        <f t="shared" si="133"/>
        <v>2126.502</v>
      </c>
      <c r="AS847">
        <f t="shared" si="133"/>
        <v>3402.4031999999997</v>
      </c>
      <c r="AT847">
        <f t="shared" si="133"/>
        <v>5103.6048000000001</v>
      </c>
      <c r="AU847">
        <f t="shared" si="133"/>
        <v>7230.1067999999996</v>
      </c>
      <c r="AV847">
        <f t="shared" si="133"/>
        <v>10207.2096</v>
      </c>
      <c r="AW847">
        <f t="shared" si="133"/>
        <v>14034.913199999999</v>
      </c>
      <c r="AX847">
        <f t="shared" si="133"/>
        <v>19563.8184</v>
      </c>
      <c r="AY847">
        <f t="shared" si="133"/>
        <v>34024.031999999999</v>
      </c>
      <c r="AZ847">
        <f t="shared" si="133"/>
        <v>63795.06</v>
      </c>
      <c r="BA847">
        <f t="shared" si="133"/>
        <v>106325.1</v>
      </c>
      <c r="BB847">
        <f t="shared" si="133"/>
        <v>170120.16</v>
      </c>
      <c r="BC847">
        <f t="shared" si="132"/>
        <v>425300.4</v>
      </c>
      <c r="BD847">
        <f t="shared" si="132"/>
        <v>637950.6</v>
      </c>
      <c r="BE847">
        <f t="shared" si="132"/>
        <v>1020720.96</v>
      </c>
      <c r="BF847">
        <f t="shared" si="132"/>
        <v>1275901.2</v>
      </c>
      <c r="BG847">
        <f t="shared" si="132"/>
        <v>4253004</v>
      </c>
      <c r="BH847">
        <f t="shared" si="132"/>
        <v>12759012</v>
      </c>
      <c r="BI847">
        <f t="shared" si="132"/>
        <v>36150534</v>
      </c>
      <c r="BJ847">
        <f t="shared" si="132"/>
        <v>127590120</v>
      </c>
      <c r="BK847">
        <f t="shared" si="132"/>
        <v>425300400</v>
      </c>
      <c r="BL847">
        <v>842</v>
      </c>
    </row>
    <row r="848" spans="1:64" ht="17.25" thickBot="1" x14ac:dyDescent="0.25">
      <c r="A848" s="131">
        <v>844</v>
      </c>
      <c r="B848" s="135">
        <v>828505333</v>
      </c>
      <c r="D848" s="131">
        <v>844</v>
      </c>
      <c r="E848" s="132">
        <v>42.671230000000001</v>
      </c>
      <c r="AK848">
        <v>842</v>
      </c>
      <c r="AL848" s="24">
        <f t="shared" si="130"/>
        <v>42.577159999999999</v>
      </c>
      <c r="AM848">
        <f t="shared" si="133"/>
        <v>298.04012</v>
      </c>
      <c r="AN848">
        <f t="shared" si="133"/>
        <v>425.77159999999998</v>
      </c>
      <c r="AO848">
        <f t="shared" si="133"/>
        <v>638.65739999999994</v>
      </c>
      <c r="AP848">
        <f t="shared" si="133"/>
        <v>851.54319999999996</v>
      </c>
      <c r="AQ848">
        <f t="shared" si="133"/>
        <v>1490.2005999999999</v>
      </c>
      <c r="AR848">
        <f t="shared" si="133"/>
        <v>2128.8580000000002</v>
      </c>
      <c r="AS848">
        <f t="shared" si="133"/>
        <v>3406.1727999999998</v>
      </c>
      <c r="AT848">
        <f t="shared" si="133"/>
        <v>5109.2591999999995</v>
      </c>
      <c r="AU848">
        <f t="shared" si="133"/>
        <v>7238.1171999999997</v>
      </c>
      <c r="AV848">
        <f t="shared" si="133"/>
        <v>10218.518399999999</v>
      </c>
      <c r="AW848">
        <f t="shared" si="133"/>
        <v>14050.462799999999</v>
      </c>
      <c r="AX848">
        <f t="shared" si="133"/>
        <v>19585.493599999998</v>
      </c>
      <c r="AY848">
        <f t="shared" si="133"/>
        <v>34061.728000000003</v>
      </c>
      <c r="AZ848">
        <f t="shared" si="133"/>
        <v>63865.74</v>
      </c>
      <c r="BA848">
        <f t="shared" si="133"/>
        <v>106442.9</v>
      </c>
      <c r="BB848">
        <f t="shared" si="133"/>
        <v>170308.63999999998</v>
      </c>
      <c r="BC848">
        <f t="shared" si="132"/>
        <v>425771.6</v>
      </c>
      <c r="BD848">
        <f t="shared" si="132"/>
        <v>638657.4</v>
      </c>
      <c r="BE848">
        <f t="shared" si="132"/>
        <v>1021851.84</v>
      </c>
      <c r="BF848">
        <f t="shared" si="132"/>
        <v>1277314.8</v>
      </c>
      <c r="BG848">
        <f t="shared" si="132"/>
        <v>4257716</v>
      </c>
      <c r="BH848">
        <f t="shared" si="132"/>
        <v>12773148</v>
      </c>
      <c r="BI848">
        <f t="shared" si="132"/>
        <v>36190586</v>
      </c>
      <c r="BJ848">
        <f t="shared" si="132"/>
        <v>127731480</v>
      </c>
      <c r="BK848">
        <f t="shared" si="132"/>
        <v>425771600</v>
      </c>
      <c r="BL848">
        <v>843</v>
      </c>
    </row>
    <row r="849" spans="1:64" ht="17.25" thickBot="1" x14ac:dyDescent="0.25">
      <c r="A849" s="131">
        <v>845</v>
      </c>
      <c r="B849" s="135">
        <v>834084061</v>
      </c>
      <c r="D849" s="131">
        <v>845</v>
      </c>
      <c r="E849" s="132">
        <v>42.718179999999997</v>
      </c>
      <c r="AK849">
        <v>843</v>
      </c>
      <c r="AL849" s="24">
        <f t="shared" si="130"/>
        <v>42.624220000000001</v>
      </c>
      <c r="AM849">
        <f t="shared" si="133"/>
        <v>298.36954000000003</v>
      </c>
      <c r="AN849">
        <f t="shared" si="133"/>
        <v>426.24220000000003</v>
      </c>
      <c r="AO849">
        <f t="shared" si="133"/>
        <v>639.36329999999998</v>
      </c>
      <c r="AP849">
        <f t="shared" si="133"/>
        <v>852.48440000000005</v>
      </c>
      <c r="AQ849">
        <f t="shared" si="133"/>
        <v>1491.8477</v>
      </c>
      <c r="AR849">
        <f t="shared" si="133"/>
        <v>2131.2110000000002</v>
      </c>
      <c r="AS849">
        <f t="shared" si="133"/>
        <v>3409.9376000000002</v>
      </c>
      <c r="AT849">
        <f t="shared" si="133"/>
        <v>5114.9063999999998</v>
      </c>
      <c r="AU849">
        <f t="shared" si="133"/>
        <v>7246.1174000000001</v>
      </c>
      <c r="AV849">
        <f t="shared" si="133"/>
        <v>10229.8128</v>
      </c>
      <c r="AW849">
        <f t="shared" si="133"/>
        <v>14065.9926</v>
      </c>
      <c r="AX849">
        <f t="shared" si="133"/>
        <v>19607.141200000002</v>
      </c>
      <c r="AY849">
        <f t="shared" si="133"/>
        <v>34099.376000000004</v>
      </c>
      <c r="AZ849">
        <f t="shared" si="133"/>
        <v>63936.33</v>
      </c>
      <c r="BA849">
        <f t="shared" si="133"/>
        <v>106560.55</v>
      </c>
      <c r="BB849">
        <f t="shared" si="133"/>
        <v>170496.88</v>
      </c>
      <c r="BC849">
        <f t="shared" si="132"/>
        <v>426242.2</v>
      </c>
      <c r="BD849">
        <f t="shared" si="132"/>
        <v>639363.30000000005</v>
      </c>
      <c r="BE849">
        <f t="shared" si="132"/>
        <v>1022981.28</v>
      </c>
      <c r="BF849">
        <f t="shared" si="132"/>
        <v>1278726.6000000001</v>
      </c>
      <c r="BG849">
        <f t="shared" si="132"/>
        <v>4262422</v>
      </c>
      <c r="BH849">
        <f t="shared" si="132"/>
        <v>12787266</v>
      </c>
      <c r="BI849">
        <f t="shared" si="132"/>
        <v>36230587</v>
      </c>
      <c r="BJ849">
        <f t="shared" si="132"/>
        <v>127872660</v>
      </c>
      <c r="BK849">
        <f t="shared" si="132"/>
        <v>426242200</v>
      </c>
      <c r="BL849">
        <v>844</v>
      </c>
    </row>
    <row r="850" spans="1:64" ht="17.25" thickBot="1" x14ac:dyDescent="0.25">
      <c r="A850" s="131">
        <v>846</v>
      </c>
      <c r="B850" s="135">
        <v>839694977</v>
      </c>
      <c r="D850" s="131">
        <v>846</v>
      </c>
      <c r="E850" s="132">
        <v>42.765079999999998</v>
      </c>
      <c r="AK850">
        <v>844</v>
      </c>
      <c r="AL850" s="24">
        <f t="shared" si="130"/>
        <v>42.671230000000001</v>
      </c>
      <c r="AM850">
        <f t="shared" si="133"/>
        <v>298.69861000000003</v>
      </c>
      <c r="AN850">
        <f t="shared" si="133"/>
        <v>426.71230000000003</v>
      </c>
      <c r="AO850">
        <f t="shared" si="133"/>
        <v>640.06844999999998</v>
      </c>
      <c r="AP850">
        <f t="shared" si="133"/>
        <v>853.42460000000005</v>
      </c>
      <c r="AQ850">
        <f t="shared" si="133"/>
        <v>1493.49305</v>
      </c>
      <c r="AR850">
        <f t="shared" si="133"/>
        <v>2133.5615000000003</v>
      </c>
      <c r="AS850">
        <f t="shared" si="133"/>
        <v>3413.6984000000002</v>
      </c>
      <c r="AT850">
        <f t="shared" si="133"/>
        <v>5120.5475999999999</v>
      </c>
      <c r="AU850">
        <f t="shared" si="133"/>
        <v>7254.1091000000006</v>
      </c>
      <c r="AV850">
        <f t="shared" si="133"/>
        <v>10241.0952</v>
      </c>
      <c r="AW850">
        <f t="shared" si="133"/>
        <v>14081.5059</v>
      </c>
      <c r="AX850">
        <f t="shared" si="133"/>
        <v>19628.765800000001</v>
      </c>
      <c r="AY850">
        <f t="shared" si="133"/>
        <v>34136.984000000004</v>
      </c>
      <c r="AZ850">
        <f t="shared" si="133"/>
        <v>64006.845000000001</v>
      </c>
      <c r="BA850">
        <f t="shared" si="133"/>
        <v>106678.075</v>
      </c>
      <c r="BB850">
        <f t="shared" si="133"/>
        <v>170684.92</v>
      </c>
      <c r="BC850">
        <f t="shared" si="132"/>
        <v>426712.3</v>
      </c>
      <c r="BD850">
        <f t="shared" si="132"/>
        <v>640068.45000000007</v>
      </c>
      <c r="BE850">
        <f t="shared" si="132"/>
        <v>1024109.52</v>
      </c>
      <c r="BF850">
        <f t="shared" si="132"/>
        <v>1280136.9000000001</v>
      </c>
      <c r="BG850">
        <f t="shared" si="132"/>
        <v>4267123</v>
      </c>
      <c r="BH850">
        <f t="shared" si="132"/>
        <v>12801369</v>
      </c>
      <c r="BI850">
        <f t="shared" si="132"/>
        <v>36270545.5</v>
      </c>
      <c r="BJ850">
        <f t="shared" si="132"/>
        <v>128013690</v>
      </c>
      <c r="BK850">
        <f t="shared" si="132"/>
        <v>426712300</v>
      </c>
      <c r="BL850">
        <v>845</v>
      </c>
    </row>
    <row r="851" spans="1:64" ht="17.25" thickBot="1" x14ac:dyDescent="0.25">
      <c r="A851" s="131">
        <v>847</v>
      </c>
      <c r="B851" s="135">
        <v>845338216</v>
      </c>
      <c r="D851" s="131">
        <v>847</v>
      </c>
      <c r="E851" s="132">
        <v>42.811920000000001</v>
      </c>
      <c r="AK851">
        <v>845</v>
      </c>
      <c r="AL851" s="24">
        <f t="shared" si="130"/>
        <v>42.718179999999997</v>
      </c>
      <c r="AM851">
        <f t="shared" si="133"/>
        <v>299.02725999999996</v>
      </c>
      <c r="AN851">
        <f t="shared" si="133"/>
        <v>427.18179999999995</v>
      </c>
      <c r="AO851">
        <f t="shared" si="133"/>
        <v>640.77269999999999</v>
      </c>
      <c r="AP851">
        <f t="shared" si="133"/>
        <v>854.36359999999991</v>
      </c>
      <c r="AQ851">
        <f t="shared" si="133"/>
        <v>1495.1362999999999</v>
      </c>
      <c r="AR851">
        <f t="shared" si="133"/>
        <v>2135.9089999999997</v>
      </c>
      <c r="AS851">
        <f t="shared" si="133"/>
        <v>3417.4543999999996</v>
      </c>
      <c r="AT851">
        <f t="shared" si="133"/>
        <v>5126.1815999999999</v>
      </c>
      <c r="AU851">
        <f t="shared" si="133"/>
        <v>7262.0905999999995</v>
      </c>
      <c r="AV851">
        <f t="shared" si="133"/>
        <v>10252.3632</v>
      </c>
      <c r="AW851">
        <f t="shared" si="133"/>
        <v>14096.999399999999</v>
      </c>
      <c r="AX851">
        <f t="shared" si="133"/>
        <v>19650.362799999999</v>
      </c>
      <c r="AY851">
        <f t="shared" si="133"/>
        <v>34174.543999999994</v>
      </c>
      <c r="AZ851">
        <f t="shared" si="133"/>
        <v>64077.27</v>
      </c>
      <c r="BA851">
        <f t="shared" si="133"/>
        <v>106795.45</v>
      </c>
      <c r="BB851">
        <f t="shared" si="133"/>
        <v>170872.72</v>
      </c>
      <c r="BC851">
        <f t="shared" si="132"/>
        <v>427181.8</v>
      </c>
      <c r="BD851">
        <f t="shared" si="132"/>
        <v>640772.69999999995</v>
      </c>
      <c r="BE851">
        <f t="shared" si="132"/>
        <v>1025236.32</v>
      </c>
      <c r="BF851">
        <f t="shared" si="132"/>
        <v>1281545.3999999999</v>
      </c>
      <c r="BG851">
        <f t="shared" si="132"/>
        <v>4271818</v>
      </c>
      <c r="BH851">
        <f t="shared" si="132"/>
        <v>12815453.999999998</v>
      </c>
      <c r="BI851">
        <f t="shared" si="132"/>
        <v>36310453</v>
      </c>
      <c r="BJ851">
        <f t="shared" si="132"/>
        <v>128154539.99999999</v>
      </c>
      <c r="BK851">
        <f t="shared" si="132"/>
        <v>427181799.99999994</v>
      </c>
      <c r="BL851">
        <v>846</v>
      </c>
    </row>
    <row r="852" spans="1:64" ht="17.25" thickBot="1" x14ac:dyDescent="0.25">
      <c r="A852" s="131">
        <v>848</v>
      </c>
      <c r="B852" s="135">
        <v>851013916</v>
      </c>
      <c r="D852" s="131">
        <v>848</v>
      </c>
      <c r="E852" s="132">
        <v>42.858710000000002</v>
      </c>
      <c r="AK852">
        <v>846</v>
      </c>
      <c r="AL852" s="24">
        <f t="shared" si="130"/>
        <v>42.765079999999998</v>
      </c>
      <c r="AM852">
        <f t="shared" si="133"/>
        <v>299.35555999999997</v>
      </c>
      <c r="AN852">
        <f t="shared" si="133"/>
        <v>427.6508</v>
      </c>
      <c r="AO852">
        <f t="shared" si="133"/>
        <v>641.47619999999995</v>
      </c>
      <c r="AP852">
        <f t="shared" si="133"/>
        <v>855.30160000000001</v>
      </c>
      <c r="AQ852">
        <f t="shared" si="133"/>
        <v>1496.7777999999998</v>
      </c>
      <c r="AR852">
        <f t="shared" si="133"/>
        <v>2138.2539999999999</v>
      </c>
      <c r="AS852">
        <f t="shared" si="133"/>
        <v>3421.2064</v>
      </c>
      <c r="AT852">
        <f t="shared" si="133"/>
        <v>5131.8095999999996</v>
      </c>
      <c r="AU852">
        <f t="shared" si="133"/>
        <v>7270.0635999999995</v>
      </c>
      <c r="AV852">
        <f t="shared" si="133"/>
        <v>10263.619199999999</v>
      </c>
      <c r="AW852">
        <f t="shared" si="133"/>
        <v>14112.4764</v>
      </c>
      <c r="AX852">
        <f t="shared" si="133"/>
        <v>19671.936799999999</v>
      </c>
      <c r="AY852">
        <f t="shared" si="133"/>
        <v>34212.063999999998</v>
      </c>
      <c r="AZ852">
        <f t="shared" si="133"/>
        <v>64147.619999999995</v>
      </c>
      <c r="BA852">
        <f t="shared" si="133"/>
        <v>106912.7</v>
      </c>
      <c r="BB852">
        <f t="shared" si="133"/>
        <v>171060.31999999998</v>
      </c>
      <c r="BC852">
        <f t="shared" si="132"/>
        <v>427650.8</v>
      </c>
      <c r="BD852">
        <f t="shared" si="132"/>
        <v>641476.19999999995</v>
      </c>
      <c r="BE852">
        <f t="shared" si="132"/>
        <v>1026361.9199999999</v>
      </c>
      <c r="BF852">
        <f t="shared" si="132"/>
        <v>1282952.3999999999</v>
      </c>
      <c r="BG852">
        <f t="shared" si="132"/>
        <v>4276508</v>
      </c>
      <c r="BH852">
        <f t="shared" si="132"/>
        <v>12829524</v>
      </c>
      <c r="BI852">
        <f t="shared" si="132"/>
        <v>36350318</v>
      </c>
      <c r="BJ852">
        <f t="shared" si="132"/>
        <v>128295240</v>
      </c>
      <c r="BK852">
        <f t="shared" si="132"/>
        <v>427650800</v>
      </c>
      <c r="BL852">
        <v>847</v>
      </c>
    </row>
    <row r="853" spans="1:64" ht="17.25" thickBot="1" x14ac:dyDescent="0.25">
      <c r="A853" s="131">
        <v>849</v>
      </c>
      <c r="B853" s="135">
        <v>856722205</v>
      </c>
      <c r="D853" s="131">
        <v>849</v>
      </c>
      <c r="E853" s="132">
        <v>42.911290000000001</v>
      </c>
      <c r="AK853">
        <v>847</v>
      </c>
      <c r="AL853" s="24">
        <f t="shared" si="130"/>
        <v>42.811920000000001</v>
      </c>
      <c r="AM853">
        <f t="shared" si="133"/>
        <v>299.68344000000002</v>
      </c>
      <c r="AN853">
        <f t="shared" si="133"/>
        <v>428.11919999999998</v>
      </c>
      <c r="AO853">
        <f t="shared" si="133"/>
        <v>642.17880000000002</v>
      </c>
      <c r="AP853">
        <f t="shared" si="133"/>
        <v>856.23839999999996</v>
      </c>
      <c r="AQ853">
        <f t="shared" si="133"/>
        <v>1498.4172000000001</v>
      </c>
      <c r="AR853">
        <f t="shared" si="133"/>
        <v>2140.596</v>
      </c>
      <c r="AS853">
        <f t="shared" si="133"/>
        <v>3424.9535999999998</v>
      </c>
      <c r="AT853">
        <f t="shared" si="133"/>
        <v>5137.4304000000002</v>
      </c>
      <c r="AU853">
        <f t="shared" si="133"/>
        <v>7278.0263999999997</v>
      </c>
      <c r="AV853">
        <f t="shared" si="133"/>
        <v>10274.8608</v>
      </c>
      <c r="AW853">
        <f t="shared" si="133"/>
        <v>14127.9336</v>
      </c>
      <c r="AX853">
        <f t="shared" si="133"/>
        <v>19693.483199999999</v>
      </c>
      <c r="AY853">
        <f t="shared" si="133"/>
        <v>34249.536</v>
      </c>
      <c r="AZ853">
        <f t="shared" si="133"/>
        <v>64217.88</v>
      </c>
      <c r="BA853">
        <f t="shared" si="133"/>
        <v>107029.8</v>
      </c>
      <c r="BB853">
        <f t="shared" si="133"/>
        <v>171247.68</v>
      </c>
      <c r="BC853">
        <f t="shared" si="132"/>
        <v>428119.2</v>
      </c>
      <c r="BD853">
        <f t="shared" si="132"/>
        <v>642178.80000000005</v>
      </c>
      <c r="BE853">
        <f t="shared" si="132"/>
        <v>1027486.08</v>
      </c>
      <c r="BF853">
        <f t="shared" si="132"/>
        <v>1284357.6000000001</v>
      </c>
      <c r="BG853">
        <f t="shared" si="132"/>
        <v>4281192</v>
      </c>
      <c r="BH853">
        <f t="shared" si="132"/>
        <v>12843576</v>
      </c>
      <c r="BI853">
        <f t="shared" si="132"/>
        <v>36390132</v>
      </c>
      <c r="BJ853">
        <f t="shared" si="132"/>
        <v>128435760</v>
      </c>
      <c r="BK853">
        <f t="shared" si="132"/>
        <v>428119200</v>
      </c>
      <c r="BL853">
        <v>848</v>
      </c>
    </row>
    <row r="854" spans="1:64" ht="17.25" thickBot="1" x14ac:dyDescent="0.25">
      <c r="A854" s="131">
        <v>850</v>
      </c>
      <c r="B854" s="135">
        <v>862463227</v>
      </c>
      <c r="D854" s="131">
        <v>850</v>
      </c>
      <c r="E854" s="132">
        <v>42.963799999999999</v>
      </c>
      <c r="AK854">
        <v>848</v>
      </c>
      <c r="AL854" s="24">
        <f t="shared" si="130"/>
        <v>42.858710000000002</v>
      </c>
      <c r="AM854">
        <f t="shared" si="133"/>
        <v>300.01097000000004</v>
      </c>
      <c r="AN854">
        <f t="shared" si="133"/>
        <v>428.58710000000002</v>
      </c>
      <c r="AO854">
        <f t="shared" si="133"/>
        <v>642.88065000000006</v>
      </c>
      <c r="AP854">
        <f t="shared" si="133"/>
        <v>857.17420000000004</v>
      </c>
      <c r="AQ854">
        <f t="shared" si="133"/>
        <v>1500.05485</v>
      </c>
      <c r="AR854">
        <f t="shared" si="133"/>
        <v>2142.9355</v>
      </c>
      <c r="AS854">
        <f t="shared" si="133"/>
        <v>3428.6968000000002</v>
      </c>
      <c r="AT854">
        <f t="shared" si="133"/>
        <v>5143.0452000000005</v>
      </c>
      <c r="AU854">
        <f t="shared" si="133"/>
        <v>7285.9807000000001</v>
      </c>
      <c r="AV854">
        <f t="shared" si="133"/>
        <v>10286.090400000001</v>
      </c>
      <c r="AW854">
        <f t="shared" si="133"/>
        <v>14143.374300000001</v>
      </c>
      <c r="AX854">
        <f t="shared" si="133"/>
        <v>19715.006600000001</v>
      </c>
      <c r="AY854">
        <f t="shared" si="133"/>
        <v>34286.968000000001</v>
      </c>
      <c r="AZ854">
        <f t="shared" si="133"/>
        <v>64288.065000000002</v>
      </c>
      <c r="BA854">
        <f t="shared" si="133"/>
        <v>107146.77500000001</v>
      </c>
      <c r="BB854">
        <f t="shared" si="133"/>
        <v>171434.84</v>
      </c>
      <c r="BC854">
        <f t="shared" si="132"/>
        <v>428587.10000000003</v>
      </c>
      <c r="BD854">
        <f t="shared" si="132"/>
        <v>642880.65</v>
      </c>
      <c r="BE854">
        <f t="shared" si="132"/>
        <v>1028609.04</v>
      </c>
      <c r="BF854">
        <f t="shared" si="132"/>
        <v>1285761.3</v>
      </c>
      <c r="BG854">
        <f t="shared" si="132"/>
        <v>4285871</v>
      </c>
      <c r="BH854">
        <f t="shared" si="132"/>
        <v>12857613</v>
      </c>
      <c r="BI854">
        <f t="shared" si="132"/>
        <v>36429903.5</v>
      </c>
      <c r="BJ854">
        <f t="shared" si="132"/>
        <v>128576130</v>
      </c>
      <c r="BK854">
        <f t="shared" si="132"/>
        <v>428587100</v>
      </c>
      <c r="BL854">
        <v>849</v>
      </c>
    </row>
    <row r="855" spans="1:64" ht="17.25" thickBot="1" x14ac:dyDescent="0.25">
      <c r="A855" s="131">
        <v>851</v>
      </c>
      <c r="B855" s="135">
        <v>868237116</v>
      </c>
      <c r="D855" s="131">
        <v>851</v>
      </c>
      <c r="E855" s="132">
        <v>43.016249999999999</v>
      </c>
      <c r="AK855">
        <v>849</v>
      </c>
      <c r="AL855" s="24">
        <f t="shared" si="130"/>
        <v>42.911290000000001</v>
      </c>
      <c r="AM855">
        <f t="shared" si="133"/>
        <v>300.37903</v>
      </c>
      <c r="AN855">
        <f t="shared" si="133"/>
        <v>429.11290000000002</v>
      </c>
      <c r="AO855">
        <f t="shared" si="133"/>
        <v>643.66935000000001</v>
      </c>
      <c r="AP855">
        <f t="shared" si="133"/>
        <v>858.22580000000005</v>
      </c>
      <c r="AQ855">
        <f t="shared" si="133"/>
        <v>1501.8951500000001</v>
      </c>
      <c r="AR855">
        <f t="shared" si="133"/>
        <v>2145.5645</v>
      </c>
      <c r="AS855">
        <f t="shared" si="133"/>
        <v>3432.9032000000002</v>
      </c>
      <c r="AT855">
        <f t="shared" si="133"/>
        <v>5149.3548000000001</v>
      </c>
      <c r="AU855">
        <f t="shared" si="133"/>
        <v>7294.9193000000005</v>
      </c>
      <c r="AV855">
        <f t="shared" si="133"/>
        <v>10298.7096</v>
      </c>
      <c r="AW855">
        <f t="shared" si="133"/>
        <v>14160.725700000001</v>
      </c>
      <c r="AX855">
        <f t="shared" si="133"/>
        <v>19739.1934</v>
      </c>
      <c r="AY855">
        <f t="shared" si="133"/>
        <v>34329.031999999999</v>
      </c>
      <c r="AZ855">
        <f t="shared" si="133"/>
        <v>64366.935000000005</v>
      </c>
      <c r="BA855">
        <f t="shared" si="133"/>
        <v>107278.22500000001</v>
      </c>
      <c r="BB855">
        <f t="shared" si="133"/>
        <v>171645.16</v>
      </c>
      <c r="BC855">
        <f t="shared" si="132"/>
        <v>429112.9</v>
      </c>
      <c r="BD855">
        <f t="shared" si="132"/>
        <v>643669.35</v>
      </c>
      <c r="BE855">
        <f t="shared" si="132"/>
        <v>1029870.9600000001</v>
      </c>
      <c r="BF855">
        <f t="shared" si="132"/>
        <v>1287338.7</v>
      </c>
      <c r="BG855">
        <f t="shared" si="132"/>
        <v>4291129</v>
      </c>
      <c r="BH855">
        <f t="shared" si="132"/>
        <v>12873387</v>
      </c>
      <c r="BI855">
        <f t="shared" si="132"/>
        <v>36474596.5</v>
      </c>
      <c r="BJ855">
        <f t="shared" si="132"/>
        <v>128733870</v>
      </c>
      <c r="BK855">
        <f t="shared" si="132"/>
        <v>429112900</v>
      </c>
      <c r="BL855">
        <v>850</v>
      </c>
    </row>
    <row r="856" spans="1:64" ht="17.25" thickBot="1" x14ac:dyDescent="0.25">
      <c r="A856" s="131">
        <v>852</v>
      </c>
      <c r="B856" s="135">
        <v>874044005</v>
      </c>
      <c r="D856" s="131">
        <v>852</v>
      </c>
      <c r="E856" s="132">
        <v>43.068640000000002</v>
      </c>
      <c r="AK856">
        <v>850</v>
      </c>
      <c r="AL856" s="24">
        <f t="shared" si="130"/>
        <v>42.963799999999999</v>
      </c>
      <c r="AM856">
        <f t="shared" si="133"/>
        <v>300.7466</v>
      </c>
      <c r="AN856">
        <f t="shared" si="133"/>
        <v>429.63799999999998</v>
      </c>
      <c r="AO856">
        <f t="shared" si="133"/>
        <v>644.45699999999999</v>
      </c>
      <c r="AP856">
        <f t="shared" si="133"/>
        <v>859.27599999999995</v>
      </c>
      <c r="AQ856">
        <f t="shared" si="133"/>
        <v>1503.7329999999999</v>
      </c>
      <c r="AR856">
        <f t="shared" si="133"/>
        <v>2148.19</v>
      </c>
      <c r="AS856">
        <f t="shared" si="133"/>
        <v>3437.1039999999998</v>
      </c>
      <c r="AT856">
        <f t="shared" si="133"/>
        <v>5155.6559999999999</v>
      </c>
      <c r="AU856">
        <f t="shared" si="133"/>
        <v>7303.8459999999995</v>
      </c>
      <c r="AV856">
        <f t="shared" si="133"/>
        <v>10311.312</v>
      </c>
      <c r="AW856">
        <f t="shared" si="133"/>
        <v>14178.054</v>
      </c>
      <c r="AX856">
        <f t="shared" si="133"/>
        <v>19763.347999999998</v>
      </c>
      <c r="AY856">
        <f t="shared" si="133"/>
        <v>34371.040000000001</v>
      </c>
      <c r="AZ856">
        <f t="shared" si="133"/>
        <v>64445.7</v>
      </c>
      <c r="BA856">
        <f t="shared" si="133"/>
        <v>107409.5</v>
      </c>
      <c r="BB856">
        <f t="shared" si="133"/>
        <v>171855.19999999998</v>
      </c>
      <c r="BC856">
        <f t="shared" si="132"/>
        <v>429638</v>
      </c>
      <c r="BD856">
        <f t="shared" si="132"/>
        <v>644457</v>
      </c>
      <c r="BE856">
        <f t="shared" si="132"/>
        <v>1031131.2</v>
      </c>
      <c r="BF856">
        <f t="shared" si="132"/>
        <v>1288914</v>
      </c>
      <c r="BG856">
        <f t="shared" si="132"/>
        <v>4296380</v>
      </c>
      <c r="BH856">
        <f t="shared" si="132"/>
        <v>12889140</v>
      </c>
      <c r="BI856">
        <f t="shared" si="132"/>
        <v>36519230</v>
      </c>
      <c r="BJ856">
        <f t="shared" si="132"/>
        <v>128891400</v>
      </c>
      <c r="BK856">
        <f t="shared" si="132"/>
        <v>429638000</v>
      </c>
      <c r="BL856">
        <v>851</v>
      </c>
    </row>
    <row r="857" spans="1:64" ht="17.25" thickBot="1" x14ac:dyDescent="0.25">
      <c r="A857" s="131">
        <v>853</v>
      </c>
      <c r="B857" s="135">
        <v>879884033</v>
      </c>
      <c r="D857" s="131">
        <v>853</v>
      </c>
      <c r="E857" s="132">
        <v>43.12097</v>
      </c>
      <c r="AK857">
        <v>851</v>
      </c>
      <c r="AL857" s="24">
        <f t="shared" si="130"/>
        <v>43.016249999999999</v>
      </c>
      <c r="AM857">
        <f t="shared" si="133"/>
        <v>301.11374999999998</v>
      </c>
      <c r="AN857">
        <f t="shared" si="133"/>
        <v>430.16250000000002</v>
      </c>
      <c r="AO857">
        <f t="shared" si="133"/>
        <v>645.24374999999998</v>
      </c>
      <c r="AP857">
        <f t="shared" si="133"/>
        <v>860.32500000000005</v>
      </c>
      <c r="AQ857">
        <f t="shared" si="133"/>
        <v>1505.5687499999999</v>
      </c>
      <c r="AR857">
        <f t="shared" si="133"/>
        <v>2150.8125</v>
      </c>
      <c r="AS857">
        <f t="shared" si="133"/>
        <v>3441.3</v>
      </c>
      <c r="AT857">
        <f t="shared" si="133"/>
        <v>5161.95</v>
      </c>
      <c r="AU857">
        <f t="shared" si="133"/>
        <v>7312.7624999999998</v>
      </c>
      <c r="AV857">
        <f t="shared" si="133"/>
        <v>10323.9</v>
      </c>
      <c r="AW857">
        <f t="shared" si="133"/>
        <v>14195.362499999999</v>
      </c>
      <c r="AX857">
        <f t="shared" si="133"/>
        <v>19787.474999999999</v>
      </c>
      <c r="AY857">
        <f t="shared" si="133"/>
        <v>34413</v>
      </c>
      <c r="AZ857">
        <f t="shared" si="133"/>
        <v>64524.375</v>
      </c>
      <c r="BA857">
        <f t="shared" si="133"/>
        <v>107540.625</v>
      </c>
      <c r="BB857">
        <f t="shared" si="133"/>
        <v>172065</v>
      </c>
      <c r="BC857">
        <f t="shared" si="132"/>
        <v>430162.5</v>
      </c>
      <c r="BD857">
        <f t="shared" si="132"/>
        <v>645243.75</v>
      </c>
      <c r="BE857">
        <f t="shared" si="132"/>
        <v>1032390</v>
      </c>
      <c r="BF857">
        <f t="shared" si="132"/>
        <v>1290487.5</v>
      </c>
      <c r="BG857">
        <f t="shared" si="132"/>
        <v>4301625</v>
      </c>
      <c r="BH857">
        <f t="shared" si="132"/>
        <v>12904875</v>
      </c>
      <c r="BI857">
        <f t="shared" si="132"/>
        <v>36563812.5</v>
      </c>
      <c r="BJ857">
        <f t="shared" si="132"/>
        <v>129048750</v>
      </c>
      <c r="BK857">
        <f t="shared" si="132"/>
        <v>430162500</v>
      </c>
      <c r="BL857">
        <v>852</v>
      </c>
    </row>
    <row r="858" spans="1:64" ht="17.25" thickBot="1" x14ac:dyDescent="0.25">
      <c r="A858" s="131">
        <v>854</v>
      </c>
      <c r="B858" s="135">
        <v>885757338</v>
      </c>
      <c r="D858" s="131">
        <v>854</v>
      </c>
      <c r="E858" s="132">
        <v>43.17324</v>
      </c>
      <c r="AK858">
        <v>852</v>
      </c>
      <c r="AL858" s="24">
        <f t="shared" si="130"/>
        <v>43.068640000000002</v>
      </c>
      <c r="AM858">
        <f t="shared" si="133"/>
        <v>301.48048</v>
      </c>
      <c r="AN858">
        <f t="shared" si="133"/>
        <v>430.68640000000005</v>
      </c>
      <c r="AO858">
        <f t="shared" si="133"/>
        <v>646.02960000000007</v>
      </c>
      <c r="AP858">
        <f t="shared" si="133"/>
        <v>861.3728000000001</v>
      </c>
      <c r="AQ858">
        <f t="shared" si="133"/>
        <v>1507.4024000000002</v>
      </c>
      <c r="AR858">
        <f t="shared" si="133"/>
        <v>2153.4320000000002</v>
      </c>
      <c r="AS858">
        <f t="shared" si="133"/>
        <v>3445.4912000000004</v>
      </c>
      <c r="AT858">
        <f t="shared" si="133"/>
        <v>5168.2368000000006</v>
      </c>
      <c r="AU858">
        <f t="shared" si="133"/>
        <v>7321.6688000000004</v>
      </c>
      <c r="AV858">
        <f t="shared" si="133"/>
        <v>10336.473600000001</v>
      </c>
      <c r="AW858">
        <f t="shared" si="133"/>
        <v>14212.6512</v>
      </c>
      <c r="AX858">
        <f t="shared" si="133"/>
        <v>19811.574400000001</v>
      </c>
      <c r="AY858">
        <f t="shared" si="133"/>
        <v>34454.912000000004</v>
      </c>
      <c r="AZ858">
        <f t="shared" si="133"/>
        <v>64602.960000000006</v>
      </c>
      <c r="BA858">
        <f t="shared" si="133"/>
        <v>107671.6</v>
      </c>
      <c r="BB858">
        <f t="shared" si="133"/>
        <v>172274.56</v>
      </c>
      <c r="BC858">
        <f t="shared" si="132"/>
        <v>430686.4</v>
      </c>
      <c r="BD858">
        <f t="shared" si="132"/>
        <v>646029.6</v>
      </c>
      <c r="BE858">
        <f t="shared" si="132"/>
        <v>1033647.3600000001</v>
      </c>
      <c r="BF858">
        <f t="shared" si="132"/>
        <v>1292059.2</v>
      </c>
      <c r="BG858">
        <f t="shared" si="132"/>
        <v>4306864</v>
      </c>
      <c r="BH858">
        <f t="shared" si="132"/>
        <v>12920592</v>
      </c>
      <c r="BI858">
        <f t="shared" si="132"/>
        <v>36608344</v>
      </c>
      <c r="BJ858">
        <f t="shared" si="132"/>
        <v>129205920</v>
      </c>
      <c r="BK858">
        <f t="shared" si="132"/>
        <v>430686400</v>
      </c>
      <c r="BL858">
        <v>853</v>
      </c>
    </row>
    <row r="859" spans="1:64" ht="17.25" thickBot="1" x14ac:dyDescent="0.25">
      <c r="A859" s="131">
        <v>855</v>
      </c>
      <c r="B859" s="135">
        <v>891664055</v>
      </c>
      <c r="D859" s="131">
        <v>855</v>
      </c>
      <c r="E859" s="132">
        <v>43.225450000000002</v>
      </c>
      <c r="AK859">
        <v>853</v>
      </c>
      <c r="AL859" s="24">
        <f t="shared" si="130"/>
        <v>43.12097</v>
      </c>
      <c r="AM859">
        <f t="shared" si="133"/>
        <v>301.84679</v>
      </c>
      <c r="AN859">
        <f t="shared" si="133"/>
        <v>431.2097</v>
      </c>
      <c r="AO859">
        <f t="shared" si="133"/>
        <v>646.81455000000005</v>
      </c>
      <c r="AP859">
        <f t="shared" si="133"/>
        <v>862.4194</v>
      </c>
      <c r="AQ859">
        <f t="shared" si="133"/>
        <v>1509.23395</v>
      </c>
      <c r="AR859">
        <f t="shared" si="133"/>
        <v>2156.0484999999999</v>
      </c>
      <c r="AS859">
        <f t="shared" si="133"/>
        <v>3449.6776</v>
      </c>
      <c r="AT859">
        <f t="shared" si="133"/>
        <v>5174.5164000000004</v>
      </c>
      <c r="AU859">
        <f t="shared" si="133"/>
        <v>7330.5649000000003</v>
      </c>
      <c r="AV859">
        <f t="shared" si="133"/>
        <v>10349.032800000001</v>
      </c>
      <c r="AW859">
        <f t="shared" si="133"/>
        <v>14229.920099999999</v>
      </c>
      <c r="AX859">
        <f t="shared" si="133"/>
        <v>19835.646199999999</v>
      </c>
      <c r="AY859">
        <f t="shared" si="133"/>
        <v>34496.775999999998</v>
      </c>
      <c r="AZ859">
        <f t="shared" si="133"/>
        <v>64681.455000000002</v>
      </c>
      <c r="BA859">
        <f t="shared" si="133"/>
        <v>107802.425</v>
      </c>
      <c r="BB859">
        <f t="shared" si="133"/>
        <v>172483.88</v>
      </c>
      <c r="BC859">
        <f t="shared" si="132"/>
        <v>431209.7</v>
      </c>
      <c r="BD859">
        <f t="shared" si="132"/>
        <v>646814.55000000005</v>
      </c>
      <c r="BE859">
        <f t="shared" si="132"/>
        <v>1034903.28</v>
      </c>
      <c r="BF859">
        <f t="shared" si="132"/>
        <v>1293629.1000000001</v>
      </c>
      <c r="BG859">
        <f t="shared" si="132"/>
        <v>4312097</v>
      </c>
      <c r="BH859">
        <f t="shared" si="132"/>
        <v>12936291</v>
      </c>
      <c r="BI859">
        <f t="shared" si="132"/>
        <v>36652824.5</v>
      </c>
      <c r="BJ859">
        <f t="shared" si="132"/>
        <v>129362910</v>
      </c>
      <c r="BK859">
        <f t="shared" si="132"/>
        <v>431209700</v>
      </c>
      <c r="BL859">
        <v>854</v>
      </c>
    </row>
    <row r="860" spans="1:64" ht="17.25" thickBot="1" x14ac:dyDescent="0.25">
      <c r="A860" s="131">
        <v>856</v>
      </c>
      <c r="B860" s="135">
        <v>897604322</v>
      </c>
      <c r="D860" s="131">
        <v>856</v>
      </c>
      <c r="E860" s="132">
        <v>43.2776</v>
      </c>
      <c r="AK860">
        <v>854</v>
      </c>
      <c r="AL860" s="24">
        <f t="shared" si="130"/>
        <v>43.17324</v>
      </c>
      <c r="AM860">
        <f t="shared" si="133"/>
        <v>302.21267999999998</v>
      </c>
      <c r="AN860">
        <f t="shared" si="133"/>
        <v>431.73239999999998</v>
      </c>
      <c r="AO860">
        <f t="shared" si="133"/>
        <v>647.59860000000003</v>
      </c>
      <c r="AP860">
        <f t="shared" si="133"/>
        <v>863.46479999999997</v>
      </c>
      <c r="AQ860">
        <f t="shared" si="133"/>
        <v>1511.0634</v>
      </c>
      <c r="AR860">
        <f t="shared" si="133"/>
        <v>2158.6619999999998</v>
      </c>
      <c r="AS860">
        <f t="shared" si="133"/>
        <v>3453.8591999999999</v>
      </c>
      <c r="AT860">
        <f t="shared" si="133"/>
        <v>5180.7888000000003</v>
      </c>
      <c r="AU860">
        <f t="shared" si="133"/>
        <v>7339.4507999999996</v>
      </c>
      <c r="AV860">
        <f t="shared" si="133"/>
        <v>10361.577600000001</v>
      </c>
      <c r="AW860">
        <f t="shared" si="133"/>
        <v>14247.1692</v>
      </c>
      <c r="AX860">
        <f t="shared" si="133"/>
        <v>19859.690399999999</v>
      </c>
      <c r="AY860">
        <f t="shared" si="133"/>
        <v>34538.591999999997</v>
      </c>
      <c r="AZ860">
        <f t="shared" si="133"/>
        <v>64759.86</v>
      </c>
      <c r="BA860">
        <f t="shared" si="133"/>
        <v>107933.1</v>
      </c>
      <c r="BB860">
        <f t="shared" si="133"/>
        <v>172692.96</v>
      </c>
      <c r="BC860">
        <f t="shared" si="132"/>
        <v>431732.4</v>
      </c>
      <c r="BD860">
        <f t="shared" si="132"/>
        <v>647598.6</v>
      </c>
      <c r="BE860">
        <f t="shared" si="132"/>
        <v>1036157.76</v>
      </c>
      <c r="BF860">
        <f t="shared" si="132"/>
        <v>1295197.2</v>
      </c>
      <c r="BG860">
        <f t="shared" si="132"/>
        <v>4317324</v>
      </c>
      <c r="BH860">
        <f t="shared" si="132"/>
        <v>12951972</v>
      </c>
      <c r="BI860">
        <f t="shared" si="132"/>
        <v>36697254</v>
      </c>
      <c r="BJ860">
        <f t="shared" si="132"/>
        <v>129519720</v>
      </c>
      <c r="BK860">
        <f t="shared" si="132"/>
        <v>431732400</v>
      </c>
      <c r="BL860">
        <v>855</v>
      </c>
    </row>
    <row r="861" spans="1:64" ht="17.25" thickBot="1" x14ac:dyDescent="0.25">
      <c r="A861" s="131">
        <v>857</v>
      </c>
      <c r="B861" s="135">
        <v>903578283</v>
      </c>
      <c r="D861" s="131">
        <v>857</v>
      </c>
      <c r="E861" s="132">
        <v>43.329689999999999</v>
      </c>
      <c r="AK861">
        <v>855</v>
      </c>
      <c r="AL861" s="24">
        <f t="shared" si="130"/>
        <v>43.225450000000002</v>
      </c>
      <c r="AM861">
        <f t="shared" si="133"/>
        <v>302.57814999999999</v>
      </c>
      <c r="AN861">
        <f t="shared" si="133"/>
        <v>432.25450000000001</v>
      </c>
      <c r="AO861">
        <f t="shared" si="133"/>
        <v>648.38175000000001</v>
      </c>
      <c r="AP861">
        <f t="shared" si="133"/>
        <v>864.50900000000001</v>
      </c>
      <c r="AQ861">
        <f t="shared" si="133"/>
        <v>1512.89075</v>
      </c>
      <c r="AR861">
        <f t="shared" si="133"/>
        <v>2161.2725</v>
      </c>
      <c r="AS861">
        <f t="shared" si="133"/>
        <v>3458.0360000000001</v>
      </c>
      <c r="AT861">
        <f t="shared" si="133"/>
        <v>5187.0540000000001</v>
      </c>
      <c r="AU861">
        <f t="shared" si="133"/>
        <v>7348.3265000000001</v>
      </c>
      <c r="AV861">
        <f t="shared" si="133"/>
        <v>10374.108</v>
      </c>
      <c r="AW861">
        <f t="shared" si="133"/>
        <v>14264.398500000001</v>
      </c>
      <c r="AX861">
        <f t="shared" si="133"/>
        <v>19883.707000000002</v>
      </c>
      <c r="AY861">
        <f t="shared" si="133"/>
        <v>34580.36</v>
      </c>
      <c r="AZ861">
        <f t="shared" si="133"/>
        <v>64838.175000000003</v>
      </c>
      <c r="BA861">
        <f t="shared" si="133"/>
        <v>108063.625</v>
      </c>
      <c r="BB861">
        <f t="shared" si="133"/>
        <v>172901.80000000002</v>
      </c>
      <c r="BC861">
        <f t="shared" si="132"/>
        <v>432254.5</v>
      </c>
      <c r="BD861">
        <f t="shared" si="132"/>
        <v>648381.75</v>
      </c>
      <c r="BE861">
        <f t="shared" si="132"/>
        <v>1037410.8</v>
      </c>
      <c r="BF861">
        <f t="shared" si="132"/>
        <v>1296763.5</v>
      </c>
      <c r="BG861">
        <f t="shared" si="132"/>
        <v>4322545</v>
      </c>
      <c r="BH861">
        <f t="shared" si="132"/>
        <v>12967635</v>
      </c>
      <c r="BI861">
        <f t="shared" si="132"/>
        <v>36741632.5</v>
      </c>
      <c r="BJ861">
        <f t="shared" si="132"/>
        <v>129676350</v>
      </c>
      <c r="BK861">
        <f t="shared" si="132"/>
        <v>432254500</v>
      </c>
      <c r="BL861">
        <v>856</v>
      </c>
    </row>
    <row r="862" spans="1:64" ht="17.25" thickBot="1" x14ac:dyDescent="0.25">
      <c r="A862" s="131">
        <v>858</v>
      </c>
      <c r="B862" s="135">
        <v>909586072</v>
      </c>
      <c r="D862" s="131">
        <v>858</v>
      </c>
      <c r="E862" s="132">
        <v>43.381720000000001</v>
      </c>
      <c r="AK862">
        <v>856</v>
      </c>
      <c r="AL862" s="24">
        <f t="shared" si="130"/>
        <v>43.2776</v>
      </c>
      <c r="AM862">
        <f t="shared" si="133"/>
        <v>302.94319999999999</v>
      </c>
      <c r="AN862">
        <f t="shared" si="133"/>
        <v>432.77600000000001</v>
      </c>
      <c r="AO862">
        <f t="shared" si="133"/>
        <v>649.16399999999999</v>
      </c>
      <c r="AP862">
        <f t="shared" si="133"/>
        <v>865.55200000000002</v>
      </c>
      <c r="AQ862">
        <f t="shared" si="133"/>
        <v>1514.7159999999999</v>
      </c>
      <c r="AR862">
        <f t="shared" si="133"/>
        <v>2163.88</v>
      </c>
      <c r="AS862">
        <f t="shared" si="133"/>
        <v>3462.2080000000001</v>
      </c>
      <c r="AT862">
        <f t="shared" si="133"/>
        <v>5193.3119999999999</v>
      </c>
      <c r="AU862">
        <f t="shared" si="133"/>
        <v>7357.192</v>
      </c>
      <c r="AV862">
        <f t="shared" ref="AM862:BB878" si="134">AV$5*VLOOKUP($AK862,$D$2:$E$1404,2,FALSE)</f>
        <v>10386.624</v>
      </c>
      <c r="AW862">
        <f t="shared" si="134"/>
        <v>14281.608</v>
      </c>
      <c r="AX862">
        <f t="shared" si="134"/>
        <v>19907.696</v>
      </c>
      <c r="AY862">
        <f t="shared" si="134"/>
        <v>34622.080000000002</v>
      </c>
      <c r="AZ862">
        <f t="shared" si="134"/>
        <v>64916.4</v>
      </c>
      <c r="BA862">
        <f t="shared" si="134"/>
        <v>108194</v>
      </c>
      <c r="BB862">
        <f t="shared" si="134"/>
        <v>173110.39999999999</v>
      </c>
      <c r="BC862">
        <f t="shared" si="132"/>
        <v>432776</v>
      </c>
      <c r="BD862">
        <f t="shared" si="132"/>
        <v>649164</v>
      </c>
      <c r="BE862">
        <f t="shared" si="132"/>
        <v>1038662.4</v>
      </c>
      <c r="BF862">
        <f t="shared" si="132"/>
        <v>1298328</v>
      </c>
      <c r="BG862">
        <f t="shared" si="132"/>
        <v>4327760</v>
      </c>
      <c r="BH862">
        <f t="shared" si="132"/>
        <v>12983280</v>
      </c>
      <c r="BI862">
        <f t="shared" si="132"/>
        <v>36785960</v>
      </c>
      <c r="BJ862">
        <f t="shared" si="132"/>
        <v>129832800</v>
      </c>
      <c r="BK862">
        <f t="shared" si="132"/>
        <v>432776000</v>
      </c>
      <c r="BL862">
        <v>857</v>
      </c>
    </row>
    <row r="863" spans="1:64" ht="17.25" thickBot="1" x14ac:dyDescent="0.25">
      <c r="A863" s="131">
        <v>859</v>
      </c>
      <c r="B863" s="135">
        <v>915627827</v>
      </c>
      <c r="D863" s="131">
        <v>859</v>
      </c>
      <c r="E863" s="132">
        <v>43.433689999999999</v>
      </c>
      <c r="AK863">
        <v>857</v>
      </c>
      <c r="AL863" s="24">
        <f t="shared" si="130"/>
        <v>43.329689999999999</v>
      </c>
      <c r="AM863">
        <f t="shared" si="134"/>
        <v>303.30782999999997</v>
      </c>
      <c r="AN863">
        <f t="shared" si="134"/>
        <v>433.29689999999999</v>
      </c>
      <c r="AO863">
        <f t="shared" si="134"/>
        <v>649.94534999999996</v>
      </c>
      <c r="AP863">
        <f t="shared" si="134"/>
        <v>866.59379999999999</v>
      </c>
      <c r="AQ863">
        <f t="shared" si="134"/>
        <v>1516.5391500000001</v>
      </c>
      <c r="AR863">
        <f t="shared" si="134"/>
        <v>2166.4845</v>
      </c>
      <c r="AS863">
        <f t="shared" si="134"/>
        <v>3466.3751999999999</v>
      </c>
      <c r="AT863">
        <f t="shared" si="134"/>
        <v>5199.5627999999997</v>
      </c>
      <c r="AU863">
        <f t="shared" si="134"/>
        <v>7366.0473000000002</v>
      </c>
      <c r="AV863">
        <f t="shared" si="134"/>
        <v>10399.125599999999</v>
      </c>
      <c r="AW863">
        <f t="shared" si="134"/>
        <v>14298.797699999999</v>
      </c>
      <c r="AX863">
        <f t="shared" si="134"/>
        <v>19931.6574</v>
      </c>
      <c r="AY863">
        <f t="shared" si="134"/>
        <v>34663.752</v>
      </c>
      <c r="AZ863">
        <f t="shared" si="134"/>
        <v>64994.534999999996</v>
      </c>
      <c r="BA863">
        <f t="shared" si="134"/>
        <v>108324.22499999999</v>
      </c>
      <c r="BB863">
        <f t="shared" si="134"/>
        <v>173318.76</v>
      </c>
      <c r="BC863">
        <f t="shared" si="132"/>
        <v>433296.89999999997</v>
      </c>
      <c r="BD863">
        <f t="shared" si="132"/>
        <v>649945.35</v>
      </c>
      <c r="BE863">
        <f t="shared" si="132"/>
        <v>1039912.5599999999</v>
      </c>
      <c r="BF863">
        <f t="shared" si="132"/>
        <v>1299890.7</v>
      </c>
      <c r="BG863">
        <f t="shared" si="132"/>
        <v>4332969</v>
      </c>
      <c r="BH863">
        <f t="shared" si="132"/>
        <v>12998907</v>
      </c>
      <c r="BI863">
        <f t="shared" si="132"/>
        <v>36830236.5</v>
      </c>
      <c r="BJ863">
        <f t="shared" si="132"/>
        <v>129989070</v>
      </c>
      <c r="BK863">
        <f t="shared" ref="BC863:BK892" si="135">BK$5*VLOOKUP($AK863,$D$2:$E$1404,2,FALSE)</f>
        <v>433296900</v>
      </c>
      <c r="BL863">
        <v>858</v>
      </c>
    </row>
    <row r="864" spans="1:64" ht="17.25" thickBot="1" x14ac:dyDescent="0.25">
      <c r="A864" s="131">
        <v>860</v>
      </c>
      <c r="B864" s="135">
        <v>921703694</v>
      </c>
      <c r="D864" s="131">
        <v>860</v>
      </c>
      <c r="E864" s="132">
        <v>43.485599999999998</v>
      </c>
      <c r="AK864">
        <v>858</v>
      </c>
      <c r="AL864" s="24">
        <f t="shared" si="130"/>
        <v>43.381720000000001</v>
      </c>
      <c r="AM864">
        <f t="shared" si="134"/>
        <v>303.67204000000004</v>
      </c>
      <c r="AN864">
        <f t="shared" si="134"/>
        <v>433.81720000000001</v>
      </c>
      <c r="AO864">
        <f t="shared" si="134"/>
        <v>650.72580000000005</v>
      </c>
      <c r="AP864">
        <f t="shared" si="134"/>
        <v>867.63440000000003</v>
      </c>
      <c r="AQ864">
        <f t="shared" si="134"/>
        <v>1518.3602000000001</v>
      </c>
      <c r="AR864">
        <f t="shared" si="134"/>
        <v>2169.0860000000002</v>
      </c>
      <c r="AS864">
        <f t="shared" si="134"/>
        <v>3470.5376000000001</v>
      </c>
      <c r="AT864">
        <f t="shared" si="134"/>
        <v>5205.8064000000004</v>
      </c>
      <c r="AU864">
        <f t="shared" si="134"/>
        <v>7374.8924000000006</v>
      </c>
      <c r="AV864">
        <f t="shared" si="134"/>
        <v>10411.612800000001</v>
      </c>
      <c r="AW864">
        <f t="shared" si="134"/>
        <v>14315.9676</v>
      </c>
      <c r="AX864">
        <f t="shared" si="134"/>
        <v>19955.591199999999</v>
      </c>
      <c r="AY864">
        <f t="shared" si="134"/>
        <v>34705.376000000004</v>
      </c>
      <c r="AZ864">
        <f t="shared" si="134"/>
        <v>65072.58</v>
      </c>
      <c r="BA864">
        <f t="shared" si="134"/>
        <v>108454.3</v>
      </c>
      <c r="BB864">
        <f t="shared" si="134"/>
        <v>173526.88</v>
      </c>
      <c r="BC864">
        <f t="shared" si="135"/>
        <v>433817.2</v>
      </c>
      <c r="BD864">
        <f t="shared" si="135"/>
        <v>650725.80000000005</v>
      </c>
      <c r="BE864">
        <f t="shared" si="135"/>
        <v>1041161.28</v>
      </c>
      <c r="BF864">
        <f t="shared" si="135"/>
        <v>1301451.6000000001</v>
      </c>
      <c r="BG864">
        <f t="shared" si="135"/>
        <v>4338172</v>
      </c>
      <c r="BH864">
        <f t="shared" si="135"/>
        <v>13014516</v>
      </c>
      <c r="BI864">
        <f t="shared" si="135"/>
        <v>36874462</v>
      </c>
      <c r="BJ864">
        <f t="shared" si="135"/>
        <v>130145160</v>
      </c>
      <c r="BK864">
        <f t="shared" si="135"/>
        <v>433817200</v>
      </c>
      <c r="BL864">
        <v>859</v>
      </c>
    </row>
    <row r="865" spans="1:64" ht="17.25" thickBot="1" x14ac:dyDescent="0.25">
      <c r="A865" s="131">
        <v>861</v>
      </c>
      <c r="B865" s="135">
        <v>927813805</v>
      </c>
      <c r="D865" s="131">
        <v>861</v>
      </c>
      <c r="E865" s="132">
        <v>43.53745</v>
      </c>
      <c r="AK865">
        <v>859</v>
      </c>
      <c r="AL865" s="24">
        <f t="shared" si="130"/>
        <v>43.433689999999999</v>
      </c>
      <c r="AM865">
        <f t="shared" si="134"/>
        <v>304.03582999999998</v>
      </c>
      <c r="AN865">
        <f t="shared" si="134"/>
        <v>434.33690000000001</v>
      </c>
      <c r="AO865">
        <f t="shared" si="134"/>
        <v>651.50535000000002</v>
      </c>
      <c r="AP865">
        <f t="shared" si="134"/>
        <v>868.67380000000003</v>
      </c>
      <c r="AQ865">
        <f t="shared" si="134"/>
        <v>1520.1791499999999</v>
      </c>
      <c r="AR865">
        <f t="shared" si="134"/>
        <v>2171.6844999999998</v>
      </c>
      <c r="AS865">
        <f t="shared" si="134"/>
        <v>3474.6952000000001</v>
      </c>
      <c r="AT865">
        <f t="shared" si="134"/>
        <v>5212.0428000000002</v>
      </c>
      <c r="AU865">
        <f t="shared" si="134"/>
        <v>7383.7272999999996</v>
      </c>
      <c r="AV865">
        <f t="shared" si="134"/>
        <v>10424.0856</v>
      </c>
      <c r="AW865">
        <f t="shared" si="134"/>
        <v>14333.117699999999</v>
      </c>
      <c r="AX865">
        <f t="shared" si="134"/>
        <v>19979.4974</v>
      </c>
      <c r="AY865">
        <f t="shared" si="134"/>
        <v>34746.951999999997</v>
      </c>
      <c r="AZ865">
        <f t="shared" si="134"/>
        <v>65150.534999999996</v>
      </c>
      <c r="BA865">
        <f t="shared" si="134"/>
        <v>108584.22499999999</v>
      </c>
      <c r="BB865">
        <f t="shared" si="134"/>
        <v>173734.75999999998</v>
      </c>
      <c r="BC865">
        <f t="shared" si="135"/>
        <v>434336.89999999997</v>
      </c>
      <c r="BD865">
        <f t="shared" si="135"/>
        <v>651505.35</v>
      </c>
      <c r="BE865">
        <f t="shared" si="135"/>
        <v>1042408.5599999999</v>
      </c>
      <c r="BF865">
        <f t="shared" si="135"/>
        <v>1303010.7</v>
      </c>
      <c r="BG865">
        <f t="shared" si="135"/>
        <v>4343369</v>
      </c>
      <c r="BH865">
        <f t="shared" si="135"/>
        <v>13030107</v>
      </c>
      <c r="BI865">
        <f t="shared" si="135"/>
        <v>36918636.5</v>
      </c>
      <c r="BJ865">
        <f t="shared" si="135"/>
        <v>130301070</v>
      </c>
      <c r="BK865">
        <f t="shared" si="135"/>
        <v>434336900</v>
      </c>
      <c r="BL865">
        <v>860</v>
      </c>
    </row>
    <row r="866" spans="1:64" ht="17.25" thickBot="1" x14ac:dyDescent="0.25">
      <c r="A866" s="131">
        <v>862</v>
      </c>
      <c r="B866" s="135">
        <v>933958305</v>
      </c>
      <c r="D866" s="131">
        <v>862</v>
      </c>
      <c r="E866" s="132">
        <v>43.589239999999997</v>
      </c>
      <c r="AK866">
        <v>860</v>
      </c>
      <c r="AL866" s="24">
        <f t="shared" si="130"/>
        <v>43.485599999999998</v>
      </c>
      <c r="AM866">
        <f t="shared" si="134"/>
        <v>304.39920000000001</v>
      </c>
      <c r="AN866">
        <f t="shared" si="134"/>
        <v>434.85599999999999</v>
      </c>
      <c r="AO866">
        <f t="shared" si="134"/>
        <v>652.28399999999999</v>
      </c>
      <c r="AP866">
        <f t="shared" si="134"/>
        <v>869.71199999999999</v>
      </c>
      <c r="AQ866">
        <f t="shared" si="134"/>
        <v>1521.9959999999999</v>
      </c>
      <c r="AR866">
        <f t="shared" si="134"/>
        <v>2174.2799999999997</v>
      </c>
      <c r="AS866">
        <f t="shared" si="134"/>
        <v>3478.848</v>
      </c>
      <c r="AT866">
        <f t="shared" si="134"/>
        <v>5218.2719999999999</v>
      </c>
      <c r="AU866">
        <f t="shared" si="134"/>
        <v>7392.5519999999997</v>
      </c>
      <c r="AV866">
        <f t="shared" si="134"/>
        <v>10436.544</v>
      </c>
      <c r="AW866">
        <f t="shared" si="134"/>
        <v>14350.248</v>
      </c>
      <c r="AX866">
        <f t="shared" si="134"/>
        <v>20003.376</v>
      </c>
      <c r="AY866">
        <f t="shared" si="134"/>
        <v>34788.479999999996</v>
      </c>
      <c r="AZ866">
        <f t="shared" si="134"/>
        <v>65228.399999999994</v>
      </c>
      <c r="BA866">
        <f t="shared" si="134"/>
        <v>108714</v>
      </c>
      <c r="BB866">
        <f t="shared" si="134"/>
        <v>173942.39999999999</v>
      </c>
      <c r="BC866">
        <f t="shared" si="135"/>
        <v>434856</v>
      </c>
      <c r="BD866">
        <f t="shared" si="135"/>
        <v>652284</v>
      </c>
      <c r="BE866">
        <f t="shared" si="135"/>
        <v>1043654.3999999999</v>
      </c>
      <c r="BF866">
        <f t="shared" si="135"/>
        <v>1304568</v>
      </c>
      <c r="BG866">
        <f t="shared" si="135"/>
        <v>4348560</v>
      </c>
      <c r="BH866">
        <f t="shared" si="135"/>
        <v>13045680</v>
      </c>
      <c r="BI866">
        <f t="shared" si="135"/>
        <v>36962760</v>
      </c>
      <c r="BJ866">
        <f t="shared" si="135"/>
        <v>130456800</v>
      </c>
      <c r="BK866">
        <f t="shared" si="135"/>
        <v>434856000</v>
      </c>
      <c r="BL866">
        <v>861</v>
      </c>
    </row>
    <row r="867" spans="1:64" ht="17.25" thickBot="1" x14ac:dyDescent="0.25">
      <c r="A867" s="131">
        <v>863</v>
      </c>
      <c r="B867" s="135">
        <v>940137333</v>
      </c>
      <c r="D867" s="131">
        <v>863</v>
      </c>
      <c r="E867" s="132">
        <v>43.640970000000003</v>
      </c>
      <c r="AK867">
        <v>861</v>
      </c>
      <c r="AL867" s="24">
        <f t="shared" si="130"/>
        <v>43.53745</v>
      </c>
      <c r="AM867">
        <f t="shared" si="134"/>
        <v>304.76215000000002</v>
      </c>
      <c r="AN867">
        <f t="shared" si="134"/>
        <v>435.37450000000001</v>
      </c>
      <c r="AO867">
        <f t="shared" si="134"/>
        <v>653.06174999999996</v>
      </c>
      <c r="AP867">
        <f t="shared" si="134"/>
        <v>870.74900000000002</v>
      </c>
      <c r="AQ867">
        <f t="shared" si="134"/>
        <v>1523.8107500000001</v>
      </c>
      <c r="AR867">
        <f t="shared" si="134"/>
        <v>2176.8724999999999</v>
      </c>
      <c r="AS867">
        <f t="shared" si="134"/>
        <v>3482.9960000000001</v>
      </c>
      <c r="AT867">
        <f t="shared" si="134"/>
        <v>5224.4939999999997</v>
      </c>
      <c r="AU867">
        <f t="shared" si="134"/>
        <v>7401.3665000000001</v>
      </c>
      <c r="AV867">
        <f t="shared" si="134"/>
        <v>10448.987999999999</v>
      </c>
      <c r="AW867">
        <f t="shared" si="134"/>
        <v>14367.3585</v>
      </c>
      <c r="AX867">
        <f t="shared" si="134"/>
        <v>20027.226999999999</v>
      </c>
      <c r="AY867">
        <f t="shared" si="134"/>
        <v>34829.96</v>
      </c>
      <c r="AZ867">
        <f t="shared" si="134"/>
        <v>65306.175000000003</v>
      </c>
      <c r="BA867">
        <f t="shared" si="134"/>
        <v>108843.625</v>
      </c>
      <c r="BB867">
        <f t="shared" si="134"/>
        <v>174149.8</v>
      </c>
      <c r="BC867">
        <f t="shared" si="135"/>
        <v>435374.5</v>
      </c>
      <c r="BD867">
        <f t="shared" si="135"/>
        <v>653061.75</v>
      </c>
      <c r="BE867">
        <f t="shared" si="135"/>
        <v>1044898.8</v>
      </c>
      <c r="BF867">
        <f t="shared" si="135"/>
        <v>1306123.5</v>
      </c>
      <c r="BG867">
        <f t="shared" si="135"/>
        <v>4353745</v>
      </c>
      <c r="BH867">
        <f t="shared" si="135"/>
        <v>13061235</v>
      </c>
      <c r="BI867">
        <f t="shared" si="135"/>
        <v>37006832.5</v>
      </c>
      <c r="BJ867">
        <f t="shared" si="135"/>
        <v>130612350</v>
      </c>
      <c r="BK867">
        <f t="shared" si="135"/>
        <v>435374500</v>
      </c>
      <c r="BL867">
        <v>862</v>
      </c>
    </row>
    <row r="868" spans="1:64" ht="17.25" thickBot="1" x14ac:dyDescent="0.25">
      <c r="A868" s="131">
        <v>864</v>
      </c>
      <c r="B868" s="135">
        <v>946351027</v>
      </c>
      <c r="D868" s="131">
        <v>864</v>
      </c>
      <c r="E868" s="132">
        <v>43.692639999999997</v>
      </c>
      <c r="AK868">
        <v>862</v>
      </c>
      <c r="AL868" s="24">
        <f t="shared" si="130"/>
        <v>43.589239999999997</v>
      </c>
      <c r="AM868">
        <f t="shared" si="134"/>
        <v>305.12467999999996</v>
      </c>
      <c r="AN868">
        <f t="shared" si="134"/>
        <v>435.89239999999995</v>
      </c>
      <c r="AO868">
        <f t="shared" si="134"/>
        <v>653.83859999999993</v>
      </c>
      <c r="AP868">
        <f t="shared" si="134"/>
        <v>871.7847999999999</v>
      </c>
      <c r="AQ868">
        <f t="shared" si="134"/>
        <v>1525.6233999999999</v>
      </c>
      <c r="AR868">
        <f t="shared" si="134"/>
        <v>2179.462</v>
      </c>
      <c r="AS868">
        <f t="shared" si="134"/>
        <v>3487.1391999999996</v>
      </c>
      <c r="AT868">
        <f t="shared" si="134"/>
        <v>5230.7087999999994</v>
      </c>
      <c r="AU868">
        <f t="shared" si="134"/>
        <v>7410.1707999999999</v>
      </c>
      <c r="AV868">
        <f t="shared" si="134"/>
        <v>10461.417599999999</v>
      </c>
      <c r="AW868">
        <f t="shared" si="134"/>
        <v>14384.449199999999</v>
      </c>
      <c r="AX868">
        <f t="shared" si="134"/>
        <v>20051.0504</v>
      </c>
      <c r="AY868">
        <f t="shared" si="134"/>
        <v>34871.392</v>
      </c>
      <c r="AZ868">
        <f t="shared" si="134"/>
        <v>65383.859999999993</v>
      </c>
      <c r="BA868">
        <f t="shared" si="134"/>
        <v>108973.09999999999</v>
      </c>
      <c r="BB868">
        <f t="shared" si="134"/>
        <v>174356.96</v>
      </c>
      <c r="BC868">
        <f t="shared" si="135"/>
        <v>435892.39999999997</v>
      </c>
      <c r="BD868">
        <f t="shared" si="135"/>
        <v>653838.6</v>
      </c>
      <c r="BE868">
        <f t="shared" si="135"/>
        <v>1046141.7599999999</v>
      </c>
      <c r="BF868">
        <f t="shared" si="135"/>
        <v>1307677.2</v>
      </c>
      <c r="BG868">
        <f t="shared" si="135"/>
        <v>4358924</v>
      </c>
      <c r="BH868">
        <f t="shared" si="135"/>
        <v>13076771.999999998</v>
      </c>
      <c r="BI868">
        <f t="shared" si="135"/>
        <v>37050854</v>
      </c>
      <c r="BJ868">
        <f t="shared" si="135"/>
        <v>130767719.99999999</v>
      </c>
      <c r="BK868">
        <f t="shared" si="135"/>
        <v>435892399.99999994</v>
      </c>
      <c r="BL868">
        <v>863</v>
      </c>
    </row>
    <row r="869" spans="1:64" ht="17.25" thickBot="1" x14ac:dyDescent="0.25">
      <c r="A869" s="131">
        <v>865</v>
      </c>
      <c r="B869" s="135">
        <v>952599533</v>
      </c>
      <c r="D869" s="131">
        <v>865</v>
      </c>
      <c r="E869" s="132">
        <v>43.744250000000001</v>
      </c>
      <c r="AK869">
        <v>863</v>
      </c>
      <c r="AL869" s="24">
        <f t="shared" si="130"/>
        <v>43.640970000000003</v>
      </c>
      <c r="AM869">
        <f t="shared" si="134"/>
        <v>305.48679000000004</v>
      </c>
      <c r="AN869">
        <f t="shared" si="134"/>
        <v>436.40970000000004</v>
      </c>
      <c r="AO869">
        <f t="shared" si="134"/>
        <v>654.61455000000001</v>
      </c>
      <c r="AP869">
        <f t="shared" si="134"/>
        <v>872.81940000000009</v>
      </c>
      <c r="AQ869">
        <f t="shared" si="134"/>
        <v>1527.4339500000001</v>
      </c>
      <c r="AR869">
        <f t="shared" si="134"/>
        <v>2182.0485000000003</v>
      </c>
      <c r="AS869">
        <f t="shared" si="134"/>
        <v>3491.2776000000003</v>
      </c>
      <c r="AT869">
        <f t="shared" si="134"/>
        <v>5236.9164000000001</v>
      </c>
      <c r="AU869">
        <f t="shared" si="134"/>
        <v>7418.9649000000009</v>
      </c>
      <c r="AV869">
        <f t="shared" si="134"/>
        <v>10473.8328</v>
      </c>
      <c r="AW869">
        <f t="shared" si="134"/>
        <v>14401.520100000002</v>
      </c>
      <c r="AX869">
        <f t="shared" si="134"/>
        <v>20074.8462</v>
      </c>
      <c r="AY869">
        <f t="shared" si="134"/>
        <v>34912.776000000005</v>
      </c>
      <c r="AZ869">
        <f t="shared" si="134"/>
        <v>65461.455000000002</v>
      </c>
      <c r="BA869">
        <f t="shared" si="134"/>
        <v>109102.425</v>
      </c>
      <c r="BB869">
        <f t="shared" si="134"/>
        <v>174563.88</v>
      </c>
      <c r="BC869">
        <f t="shared" si="135"/>
        <v>436409.7</v>
      </c>
      <c r="BD869">
        <f t="shared" si="135"/>
        <v>654614.55000000005</v>
      </c>
      <c r="BE869">
        <f t="shared" si="135"/>
        <v>1047383.28</v>
      </c>
      <c r="BF869">
        <f t="shared" si="135"/>
        <v>1309229.1000000001</v>
      </c>
      <c r="BG869">
        <f t="shared" si="135"/>
        <v>4364097</v>
      </c>
      <c r="BH869">
        <f t="shared" si="135"/>
        <v>13092291</v>
      </c>
      <c r="BI869">
        <f t="shared" si="135"/>
        <v>37094824.5</v>
      </c>
      <c r="BJ869">
        <f t="shared" si="135"/>
        <v>130922910.00000001</v>
      </c>
      <c r="BK869">
        <f t="shared" si="135"/>
        <v>436409700</v>
      </c>
      <c r="BL869">
        <v>864</v>
      </c>
    </row>
    <row r="870" spans="1:64" ht="17.25" thickBot="1" x14ac:dyDescent="0.25">
      <c r="A870" s="131">
        <v>866</v>
      </c>
      <c r="B870" s="135">
        <v>958882994</v>
      </c>
      <c r="D870" s="131">
        <v>866</v>
      </c>
      <c r="E870" s="132">
        <v>43.7958</v>
      </c>
      <c r="AK870">
        <v>864</v>
      </c>
      <c r="AL870" s="24">
        <f t="shared" si="130"/>
        <v>43.692639999999997</v>
      </c>
      <c r="AM870">
        <f t="shared" si="134"/>
        <v>305.84848</v>
      </c>
      <c r="AN870">
        <f t="shared" si="134"/>
        <v>436.92639999999994</v>
      </c>
      <c r="AO870">
        <f t="shared" si="134"/>
        <v>655.38959999999997</v>
      </c>
      <c r="AP870">
        <f t="shared" si="134"/>
        <v>873.85279999999989</v>
      </c>
      <c r="AQ870">
        <f t="shared" si="134"/>
        <v>1529.2423999999999</v>
      </c>
      <c r="AR870">
        <f t="shared" si="134"/>
        <v>2184.6320000000001</v>
      </c>
      <c r="AS870">
        <f t="shared" si="134"/>
        <v>3495.4111999999996</v>
      </c>
      <c r="AT870">
        <f t="shared" si="134"/>
        <v>5243.1167999999998</v>
      </c>
      <c r="AU870">
        <f t="shared" si="134"/>
        <v>7427.7487999999994</v>
      </c>
      <c r="AV870">
        <f t="shared" si="134"/>
        <v>10486.2336</v>
      </c>
      <c r="AW870">
        <f t="shared" si="134"/>
        <v>14418.571199999998</v>
      </c>
      <c r="AX870">
        <f t="shared" si="134"/>
        <v>20098.614399999999</v>
      </c>
      <c r="AY870">
        <f t="shared" si="134"/>
        <v>34954.112000000001</v>
      </c>
      <c r="AZ870">
        <f t="shared" si="134"/>
        <v>65538.959999999992</v>
      </c>
      <c r="BA870">
        <f t="shared" si="134"/>
        <v>109231.59999999999</v>
      </c>
      <c r="BB870">
        <f t="shared" si="134"/>
        <v>174770.56</v>
      </c>
      <c r="BC870">
        <f t="shared" si="135"/>
        <v>436926.39999999997</v>
      </c>
      <c r="BD870">
        <f t="shared" si="135"/>
        <v>655389.6</v>
      </c>
      <c r="BE870">
        <f t="shared" si="135"/>
        <v>1048623.3599999999</v>
      </c>
      <c r="BF870">
        <f t="shared" si="135"/>
        <v>1310779.2</v>
      </c>
      <c r="BG870">
        <f t="shared" si="135"/>
        <v>4369264</v>
      </c>
      <c r="BH870">
        <f t="shared" si="135"/>
        <v>13107792</v>
      </c>
      <c r="BI870">
        <f t="shared" si="135"/>
        <v>37138744</v>
      </c>
      <c r="BJ870">
        <f t="shared" si="135"/>
        <v>131077919.99999999</v>
      </c>
      <c r="BK870">
        <f t="shared" si="135"/>
        <v>436926400</v>
      </c>
      <c r="BL870">
        <v>865</v>
      </c>
    </row>
    <row r="871" spans="1:64" ht="17.25" thickBot="1" x14ac:dyDescent="0.25">
      <c r="A871" s="131">
        <v>867</v>
      </c>
      <c r="B871" s="135">
        <v>965201549</v>
      </c>
      <c r="D871" s="131">
        <v>867</v>
      </c>
      <c r="E871" s="132">
        <v>43.847290000000001</v>
      </c>
      <c r="AK871">
        <v>865</v>
      </c>
      <c r="AL871" s="24">
        <f t="shared" si="130"/>
        <v>43.744250000000001</v>
      </c>
      <c r="AM871">
        <f t="shared" si="134"/>
        <v>306.20974999999999</v>
      </c>
      <c r="AN871">
        <f t="shared" si="134"/>
        <v>437.4425</v>
      </c>
      <c r="AO871">
        <f t="shared" si="134"/>
        <v>656.16375000000005</v>
      </c>
      <c r="AP871">
        <f t="shared" si="134"/>
        <v>874.88499999999999</v>
      </c>
      <c r="AQ871">
        <f t="shared" si="134"/>
        <v>1531.0487499999999</v>
      </c>
      <c r="AR871">
        <f t="shared" si="134"/>
        <v>2187.2125000000001</v>
      </c>
      <c r="AS871">
        <f t="shared" si="134"/>
        <v>3499.54</v>
      </c>
      <c r="AT871">
        <f t="shared" si="134"/>
        <v>5249.31</v>
      </c>
      <c r="AU871">
        <f t="shared" si="134"/>
        <v>7436.5225</v>
      </c>
      <c r="AV871">
        <f t="shared" si="134"/>
        <v>10498.62</v>
      </c>
      <c r="AW871">
        <f t="shared" si="134"/>
        <v>14435.602500000001</v>
      </c>
      <c r="AX871">
        <f t="shared" si="134"/>
        <v>20122.355</v>
      </c>
      <c r="AY871">
        <f t="shared" si="134"/>
        <v>34995.4</v>
      </c>
      <c r="AZ871">
        <f t="shared" si="134"/>
        <v>65616.375</v>
      </c>
      <c r="BA871">
        <f t="shared" si="134"/>
        <v>109360.625</v>
      </c>
      <c r="BB871">
        <f t="shared" si="134"/>
        <v>174977</v>
      </c>
      <c r="BC871">
        <f t="shared" si="135"/>
        <v>437442.5</v>
      </c>
      <c r="BD871">
        <f t="shared" si="135"/>
        <v>656163.75</v>
      </c>
      <c r="BE871">
        <f t="shared" si="135"/>
        <v>1049862</v>
      </c>
      <c r="BF871">
        <f t="shared" si="135"/>
        <v>1312327.5</v>
      </c>
      <c r="BG871">
        <f t="shared" si="135"/>
        <v>4374425</v>
      </c>
      <c r="BH871">
        <f t="shared" si="135"/>
        <v>13123275</v>
      </c>
      <c r="BI871">
        <f t="shared" si="135"/>
        <v>37182612.5</v>
      </c>
      <c r="BJ871">
        <f t="shared" si="135"/>
        <v>131232750</v>
      </c>
      <c r="BK871">
        <f t="shared" si="135"/>
        <v>437442500</v>
      </c>
      <c r="BL871">
        <v>866</v>
      </c>
    </row>
    <row r="872" spans="1:64" ht="17.25" thickBot="1" x14ac:dyDescent="0.25">
      <c r="A872" s="131">
        <v>868</v>
      </c>
      <c r="B872" s="135">
        <v>971555338</v>
      </c>
      <c r="D872" s="131">
        <v>868</v>
      </c>
      <c r="E872" s="132">
        <v>43.898719999999997</v>
      </c>
      <c r="AK872">
        <v>866</v>
      </c>
      <c r="AL872" s="24">
        <f t="shared" si="130"/>
        <v>43.7958</v>
      </c>
      <c r="AM872">
        <f t="shared" si="134"/>
        <v>306.57060000000001</v>
      </c>
      <c r="AN872">
        <f t="shared" si="134"/>
        <v>437.95799999999997</v>
      </c>
      <c r="AO872">
        <f t="shared" si="134"/>
        <v>656.93700000000001</v>
      </c>
      <c r="AP872">
        <f t="shared" si="134"/>
        <v>875.91599999999994</v>
      </c>
      <c r="AQ872">
        <f t="shared" si="134"/>
        <v>1532.8530000000001</v>
      </c>
      <c r="AR872">
        <f t="shared" si="134"/>
        <v>2189.79</v>
      </c>
      <c r="AS872">
        <f t="shared" si="134"/>
        <v>3503.6639999999998</v>
      </c>
      <c r="AT872">
        <f t="shared" si="134"/>
        <v>5255.4960000000001</v>
      </c>
      <c r="AU872">
        <f t="shared" si="134"/>
        <v>7445.2860000000001</v>
      </c>
      <c r="AV872">
        <f t="shared" si="134"/>
        <v>10510.992</v>
      </c>
      <c r="AW872">
        <f t="shared" si="134"/>
        <v>14452.614</v>
      </c>
      <c r="AX872">
        <f t="shared" si="134"/>
        <v>20146.067999999999</v>
      </c>
      <c r="AY872">
        <f t="shared" si="134"/>
        <v>35036.639999999999</v>
      </c>
      <c r="AZ872">
        <f t="shared" si="134"/>
        <v>65693.7</v>
      </c>
      <c r="BA872">
        <f t="shared" si="134"/>
        <v>109489.5</v>
      </c>
      <c r="BB872">
        <f t="shared" si="134"/>
        <v>175183.2</v>
      </c>
      <c r="BC872">
        <f t="shared" si="135"/>
        <v>437958</v>
      </c>
      <c r="BD872">
        <f t="shared" si="135"/>
        <v>656937</v>
      </c>
      <c r="BE872">
        <f t="shared" si="135"/>
        <v>1051099.2</v>
      </c>
      <c r="BF872">
        <f t="shared" si="135"/>
        <v>1313874</v>
      </c>
      <c r="BG872">
        <f t="shared" si="135"/>
        <v>4379580</v>
      </c>
      <c r="BH872">
        <f t="shared" si="135"/>
        <v>13138740</v>
      </c>
      <c r="BI872">
        <f t="shared" si="135"/>
        <v>37226430</v>
      </c>
      <c r="BJ872">
        <f t="shared" si="135"/>
        <v>131387400</v>
      </c>
      <c r="BK872">
        <f t="shared" si="135"/>
        <v>437958000</v>
      </c>
      <c r="BL872">
        <v>867</v>
      </c>
    </row>
    <row r="873" spans="1:64" ht="17.25" thickBot="1" x14ac:dyDescent="0.25">
      <c r="A873" s="131">
        <v>869</v>
      </c>
      <c r="B873" s="135">
        <v>977944511</v>
      </c>
      <c r="D873" s="131">
        <v>869</v>
      </c>
      <c r="E873" s="132">
        <v>43.950090000000003</v>
      </c>
      <c r="AK873">
        <v>867</v>
      </c>
      <c r="AL873" s="24">
        <f t="shared" si="130"/>
        <v>43.847290000000001</v>
      </c>
      <c r="AM873">
        <f t="shared" si="134"/>
        <v>306.93103000000002</v>
      </c>
      <c r="AN873">
        <f t="shared" si="134"/>
        <v>438.47289999999998</v>
      </c>
      <c r="AO873">
        <f t="shared" si="134"/>
        <v>657.70934999999997</v>
      </c>
      <c r="AP873">
        <f t="shared" si="134"/>
        <v>876.94579999999996</v>
      </c>
      <c r="AQ873">
        <f t="shared" si="134"/>
        <v>1534.65515</v>
      </c>
      <c r="AR873">
        <f t="shared" si="134"/>
        <v>2192.3645000000001</v>
      </c>
      <c r="AS873">
        <f t="shared" si="134"/>
        <v>3507.7831999999999</v>
      </c>
      <c r="AT873">
        <f t="shared" si="134"/>
        <v>5261.6747999999998</v>
      </c>
      <c r="AU873">
        <f t="shared" si="134"/>
        <v>7454.0393000000004</v>
      </c>
      <c r="AV873">
        <f t="shared" si="134"/>
        <v>10523.3496</v>
      </c>
      <c r="AW873">
        <f t="shared" si="134"/>
        <v>14469.6057</v>
      </c>
      <c r="AX873">
        <f t="shared" si="134"/>
        <v>20169.753400000001</v>
      </c>
      <c r="AY873">
        <f t="shared" si="134"/>
        <v>35077.832000000002</v>
      </c>
      <c r="AZ873">
        <f t="shared" si="134"/>
        <v>65770.934999999998</v>
      </c>
      <c r="BA873">
        <f t="shared" si="134"/>
        <v>109618.22500000001</v>
      </c>
      <c r="BB873">
        <f t="shared" si="134"/>
        <v>175389.16</v>
      </c>
      <c r="BC873">
        <f t="shared" si="135"/>
        <v>438472.9</v>
      </c>
      <c r="BD873">
        <f t="shared" si="135"/>
        <v>657709.35</v>
      </c>
      <c r="BE873">
        <f t="shared" si="135"/>
        <v>1052334.96</v>
      </c>
      <c r="BF873">
        <f t="shared" si="135"/>
        <v>1315418.7</v>
      </c>
      <c r="BG873">
        <f t="shared" si="135"/>
        <v>4384729</v>
      </c>
      <c r="BH873">
        <f t="shared" si="135"/>
        <v>13154187</v>
      </c>
      <c r="BI873">
        <f t="shared" si="135"/>
        <v>37270196.5</v>
      </c>
      <c r="BJ873">
        <f t="shared" si="135"/>
        <v>131541870</v>
      </c>
      <c r="BK873">
        <f t="shared" si="135"/>
        <v>438472900</v>
      </c>
      <c r="BL873">
        <v>868</v>
      </c>
    </row>
    <row r="874" spans="1:64" ht="17.25" thickBot="1" x14ac:dyDescent="0.25">
      <c r="A874" s="131">
        <v>870</v>
      </c>
      <c r="B874" s="135">
        <v>984369205</v>
      </c>
      <c r="D874" s="131">
        <v>870</v>
      </c>
      <c r="E874" s="132">
        <v>44.00141</v>
      </c>
      <c r="AK874">
        <v>868</v>
      </c>
      <c r="AL874" s="24">
        <f t="shared" si="130"/>
        <v>43.898719999999997</v>
      </c>
      <c r="AM874">
        <f t="shared" si="134"/>
        <v>307.29103999999995</v>
      </c>
      <c r="AN874">
        <f t="shared" si="134"/>
        <v>438.98719999999997</v>
      </c>
      <c r="AO874">
        <f t="shared" si="134"/>
        <v>658.48079999999993</v>
      </c>
      <c r="AP874">
        <f t="shared" si="134"/>
        <v>877.97439999999995</v>
      </c>
      <c r="AQ874">
        <f t="shared" si="134"/>
        <v>1536.4551999999999</v>
      </c>
      <c r="AR874">
        <f t="shared" si="134"/>
        <v>2194.9359999999997</v>
      </c>
      <c r="AS874">
        <f t="shared" si="134"/>
        <v>3511.8975999999998</v>
      </c>
      <c r="AT874">
        <f t="shared" si="134"/>
        <v>5267.8463999999994</v>
      </c>
      <c r="AU874">
        <f t="shared" si="134"/>
        <v>7462.7823999999991</v>
      </c>
      <c r="AV874">
        <f t="shared" si="134"/>
        <v>10535.692799999999</v>
      </c>
      <c r="AW874">
        <f t="shared" si="134"/>
        <v>14486.577599999999</v>
      </c>
      <c r="AX874">
        <f t="shared" si="134"/>
        <v>20193.411199999999</v>
      </c>
      <c r="AY874">
        <f t="shared" si="134"/>
        <v>35118.975999999995</v>
      </c>
      <c r="AZ874">
        <f t="shared" si="134"/>
        <v>65848.08</v>
      </c>
      <c r="BA874">
        <f t="shared" si="134"/>
        <v>109746.79999999999</v>
      </c>
      <c r="BB874">
        <f t="shared" si="134"/>
        <v>175594.87999999998</v>
      </c>
      <c r="BC874">
        <f t="shared" si="135"/>
        <v>438987.19999999995</v>
      </c>
      <c r="BD874">
        <f t="shared" si="135"/>
        <v>658480.79999999993</v>
      </c>
      <c r="BE874">
        <f t="shared" si="135"/>
        <v>1053569.28</v>
      </c>
      <c r="BF874">
        <f t="shared" si="135"/>
        <v>1316961.5999999999</v>
      </c>
      <c r="BG874">
        <f t="shared" si="135"/>
        <v>4389872</v>
      </c>
      <c r="BH874">
        <f t="shared" si="135"/>
        <v>13169616</v>
      </c>
      <c r="BI874">
        <f t="shared" si="135"/>
        <v>37313912</v>
      </c>
      <c r="BJ874">
        <f t="shared" si="135"/>
        <v>131696159.99999999</v>
      </c>
      <c r="BK874">
        <f t="shared" si="135"/>
        <v>438987200</v>
      </c>
      <c r="BL874">
        <v>869</v>
      </c>
    </row>
    <row r="875" spans="1:64" ht="17.25" thickBot="1" x14ac:dyDescent="0.25">
      <c r="A875" s="131">
        <v>871</v>
      </c>
      <c r="B875" s="135">
        <v>990829566</v>
      </c>
      <c r="D875" s="131">
        <v>871</v>
      </c>
      <c r="E875" s="132">
        <v>44.052669999999999</v>
      </c>
      <c r="AK875">
        <v>869</v>
      </c>
      <c r="AL875" s="24">
        <f t="shared" si="130"/>
        <v>43.950090000000003</v>
      </c>
      <c r="AM875">
        <f t="shared" si="134"/>
        <v>307.65063000000004</v>
      </c>
      <c r="AN875">
        <f t="shared" si="134"/>
        <v>439.5009</v>
      </c>
      <c r="AO875">
        <f t="shared" si="134"/>
        <v>659.25135</v>
      </c>
      <c r="AP875">
        <f t="shared" si="134"/>
        <v>879.0018</v>
      </c>
      <c r="AQ875">
        <f t="shared" si="134"/>
        <v>1538.25315</v>
      </c>
      <c r="AR875">
        <f t="shared" si="134"/>
        <v>2197.5045</v>
      </c>
      <c r="AS875">
        <f t="shared" si="134"/>
        <v>3516.0072</v>
      </c>
      <c r="AT875">
        <f t="shared" si="134"/>
        <v>5274.0108</v>
      </c>
      <c r="AU875">
        <f t="shared" si="134"/>
        <v>7471.5153000000009</v>
      </c>
      <c r="AV875">
        <f t="shared" si="134"/>
        <v>10548.0216</v>
      </c>
      <c r="AW875">
        <f t="shared" si="134"/>
        <v>14503.529700000001</v>
      </c>
      <c r="AX875">
        <f t="shared" si="134"/>
        <v>20217.041400000002</v>
      </c>
      <c r="AY875">
        <f t="shared" si="134"/>
        <v>35160.072</v>
      </c>
      <c r="AZ875">
        <f t="shared" si="134"/>
        <v>65925.135000000009</v>
      </c>
      <c r="BA875">
        <f t="shared" si="134"/>
        <v>109875.22500000001</v>
      </c>
      <c r="BB875">
        <f t="shared" si="134"/>
        <v>175800.36000000002</v>
      </c>
      <c r="BC875">
        <f t="shared" si="135"/>
        <v>439500.9</v>
      </c>
      <c r="BD875">
        <f t="shared" si="135"/>
        <v>659251.35000000009</v>
      </c>
      <c r="BE875">
        <f t="shared" si="135"/>
        <v>1054802.1600000001</v>
      </c>
      <c r="BF875">
        <f t="shared" si="135"/>
        <v>1318502.7000000002</v>
      </c>
      <c r="BG875">
        <f t="shared" si="135"/>
        <v>4395009</v>
      </c>
      <c r="BH875">
        <f t="shared" si="135"/>
        <v>13185027</v>
      </c>
      <c r="BI875">
        <f t="shared" si="135"/>
        <v>37357576.5</v>
      </c>
      <c r="BJ875">
        <f t="shared" si="135"/>
        <v>131850270.00000001</v>
      </c>
      <c r="BK875">
        <f t="shared" si="135"/>
        <v>439500900.00000006</v>
      </c>
      <c r="BL875">
        <v>870</v>
      </c>
    </row>
    <row r="876" spans="1:64" ht="17.25" thickBot="1" x14ac:dyDescent="0.25">
      <c r="A876" s="131">
        <v>872</v>
      </c>
      <c r="B876" s="135">
        <v>997325738</v>
      </c>
      <c r="D876" s="131">
        <v>872</v>
      </c>
      <c r="E876" s="132">
        <v>44.103870000000001</v>
      </c>
      <c r="AK876">
        <v>870</v>
      </c>
      <c r="AL876" s="24">
        <f t="shared" si="130"/>
        <v>44.00141</v>
      </c>
      <c r="AM876">
        <f t="shared" si="134"/>
        <v>308.00986999999998</v>
      </c>
      <c r="AN876">
        <f t="shared" si="134"/>
        <v>440.01409999999998</v>
      </c>
      <c r="AO876">
        <f t="shared" si="134"/>
        <v>660.02115000000003</v>
      </c>
      <c r="AP876">
        <f t="shared" si="134"/>
        <v>880.02819999999997</v>
      </c>
      <c r="AQ876">
        <f t="shared" si="134"/>
        <v>1540.04935</v>
      </c>
      <c r="AR876">
        <f t="shared" si="134"/>
        <v>2200.0704999999998</v>
      </c>
      <c r="AS876">
        <f t="shared" si="134"/>
        <v>3520.1127999999999</v>
      </c>
      <c r="AT876">
        <f t="shared" si="134"/>
        <v>5280.1692000000003</v>
      </c>
      <c r="AU876">
        <f t="shared" si="134"/>
        <v>7480.2397000000001</v>
      </c>
      <c r="AV876">
        <f t="shared" si="134"/>
        <v>10560.338400000001</v>
      </c>
      <c r="AW876">
        <f t="shared" si="134"/>
        <v>14520.4653</v>
      </c>
      <c r="AX876">
        <f t="shared" si="134"/>
        <v>20240.6486</v>
      </c>
      <c r="AY876">
        <f t="shared" si="134"/>
        <v>35201.127999999997</v>
      </c>
      <c r="AZ876">
        <f t="shared" si="134"/>
        <v>66002.115000000005</v>
      </c>
      <c r="BA876">
        <f t="shared" si="134"/>
        <v>110003.52499999999</v>
      </c>
      <c r="BB876">
        <f t="shared" si="134"/>
        <v>176005.64</v>
      </c>
      <c r="BC876">
        <f t="shared" si="135"/>
        <v>440014.1</v>
      </c>
      <c r="BD876">
        <f t="shared" si="135"/>
        <v>660021.15</v>
      </c>
      <c r="BE876">
        <f t="shared" si="135"/>
        <v>1056033.8400000001</v>
      </c>
      <c r="BF876">
        <f t="shared" si="135"/>
        <v>1320042.3</v>
      </c>
      <c r="BG876">
        <f t="shared" si="135"/>
        <v>4400141</v>
      </c>
      <c r="BH876">
        <f t="shared" si="135"/>
        <v>13200423</v>
      </c>
      <c r="BI876">
        <f t="shared" si="135"/>
        <v>37401198.5</v>
      </c>
      <c r="BJ876">
        <f t="shared" si="135"/>
        <v>132004230</v>
      </c>
      <c r="BK876">
        <f t="shared" si="135"/>
        <v>440014100</v>
      </c>
      <c r="BL876">
        <v>871</v>
      </c>
    </row>
    <row r="877" spans="1:64" ht="17.25" thickBot="1" x14ac:dyDescent="0.25">
      <c r="A877" s="131">
        <v>873</v>
      </c>
      <c r="B877" s="135">
        <v>1003857866</v>
      </c>
      <c r="D877" s="131">
        <v>873</v>
      </c>
      <c r="E877" s="132">
        <v>44.155009999999997</v>
      </c>
      <c r="AK877">
        <v>871</v>
      </c>
      <c r="AL877" s="24">
        <f t="shared" si="130"/>
        <v>44.052669999999999</v>
      </c>
      <c r="AM877">
        <f t="shared" si="134"/>
        <v>308.36869000000002</v>
      </c>
      <c r="AN877">
        <f t="shared" si="134"/>
        <v>440.52670000000001</v>
      </c>
      <c r="AO877">
        <f t="shared" si="134"/>
        <v>660.79004999999995</v>
      </c>
      <c r="AP877">
        <f t="shared" si="134"/>
        <v>881.05340000000001</v>
      </c>
      <c r="AQ877">
        <f t="shared" si="134"/>
        <v>1541.8434500000001</v>
      </c>
      <c r="AR877">
        <f t="shared" si="134"/>
        <v>2202.6334999999999</v>
      </c>
      <c r="AS877">
        <f t="shared" si="134"/>
        <v>3524.2136</v>
      </c>
      <c r="AT877">
        <f t="shared" si="134"/>
        <v>5286.3203999999996</v>
      </c>
      <c r="AU877">
        <f t="shared" si="134"/>
        <v>7488.9538999999995</v>
      </c>
      <c r="AV877">
        <f t="shared" si="134"/>
        <v>10572.640799999999</v>
      </c>
      <c r="AW877">
        <f t="shared" si="134"/>
        <v>14537.381100000001</v>
      </c>
      <c r="AX877">
        <f t="shared" si="134"/>
        <v>20264.228200000001</v>
      </c>
      <c r="AY877">
        <f t="shared" si="134"/>
        <v>35242.135999999999</v>
      </c>
      <c r="AZ877">
        <f t="shared" si="134"/>
        <v>66079.005000000005</v>
      </c>
      <c r="BA877">
        <f t="shared" si="134"/>
        <v>110131.675</v>
      </c>
      <c r="BB877">
        <f t="shared" si="134"/>
        <v>176210.68</v>
      </c>
      <c r="BC877">
        <f t="shared" si="135"/>
        <v>440526.7</v>
      </c>
      <c r="BD877">
        <f t="shared" si="135"/>
        <v>660790.04999999993</v>
      </c>
      <c r="BE877">
        <f t="shared" si="135"/>
        <v>1057264.08</v>
      </c>
      <c r="BF877">
        <f t="shared" si="135"/>
        <v>1321580.0999999999</v>
      </c>
      <c r="BG877">
        <f t="shared" si="135"/>
        <v>4405267</v>
      </c>
      <c r="BH877">
        <f t="shared" si="135"/>
        <v>13215801</v>
      </c>
      <c r="BI877">
        <f t="shared" si="135"/>
        <v>37444769.5</v>
      </c>
      <c r="BJ877">
        <f t="shared" si="135"/>
        <v>132158010</v>
      </c>
      <c r="BK877">
        <f t="shared" si="135"/>
        <v>440526700</v>
      </c>
      <c r="BL877">
        <v>872</v>
      </c>
    </row>
    <row r="878" spans="1:64" ht="17.25" thickBot="1" x14ac:dyDescent="0.25">
      <c r="A878" s="131">
        <v>874</v>
      </c>
      <c r="B878" s="135">
        <v>1010426094</v>
      </c>
      <c r="D878" s="131">
        <v>874</v>
      </c>
      <c r="E878" s="132">
        <v>44.206090000000003</v>
      </c>
      <c r="AK878">
        <v>872</v>
      </c>
      <c r="AL878" s="24">
        <f t="shared" si="130"/>
        <v>44.103870000000001</v>
      </c>
      <c r="AM878">
        <f t="shared" si="134"/>
        <v>308.72708999999998</v>
      </c>
      <c r="AN878">
        <f t="shared" si="134"/>
        <v>441.03870000000001</v>
      </c>
      <c r="AO878">
        <f t="shared" si="134"/>
        <v>661.55804999999998</v>
      </c>
      <c r="AP878">
        <f t="shared" si="134"/>
        <v>882.07740000000001</v>
      </c>
      <c r="AQ878">
        <f t="shared" si="134"/>
        <v>1543.63545</v>
      </c>
      <c r="AR878">
        <f t="shared" si="134"/>
        <v>2205.1934999999999</v>
      </c>
      <c r="AS878">
        <f t="shared" si="134"/>
        <v>3528.3096</v>
      </c>
      <c r="AT878">
        <f t="shared" si="134"/>
        <v>5292.4643999999998</v>
      </c>
      <c r="AU878">
        <f t="shared" ref="AM878:BB894" si="136">AU$5*VLOOKUP($AK878,$D$2:$E$1404,2,FALSE)</f>
        <v>7497.6579000000002</v>
      </c>
      <c r="AV878">
        <f t="shared" si="136"/>
        <v>10584.9288</v>
      </c>
      <c r="AW878">
        <f t="shared" si="136"/>
        <v>14554.277099999999</v>
      </c>
      <c r="AX878">
        <f t="shared" si="136"/>
        <v>20287.780200000001</v>
      </c>
      <c r="AY878">
        <f t="shared" si="136"/>
        <v>35283.095999999998</v>
      </c>
      <c r="AZ878">
        <f t="shared" si="136"/>
        <v>66155.805000000008</v>
      </c>
      <c r="BA878">
        <f t="shared" si="136"/>
        <v>110259.675</v>
      </c>
      <c r="BB878">
        <f t="shared" si="136"/>
        <v>176415.48</v>
      </c>
      <c r="BC878">
        <f t="shared" si="135"/>
        <v>441038.7</v>
      </c>
      <c r="BD878">
        <f t="shared" si="135"/>
        <v>661558.05000000005</v>
      </c>
      <c r="BE878">
        <f t="shared" si="135"/>
        <v>1058492.8800000001</v>
      </c>
      <c r="BF878">
        <f t="shared" si="135"/>
        <v>1323116.1000000001</v>
      </c>
      <c r="BG878">
        <f t="shared" si="135"/>
        <v>4410387</v>
      </c>
      <c r="BH878">
        <f t="shared" si="135"/>
        <v>13231161</v>
      </c>
      <c r="BI878">
        <f t="shared" si="135"/>
        <v>37488289.5</v>
      </c>
      <c r="BJ878">
        <f t="shared" si="135"/>
        <v>132311610</v>
      </c>
      <c r="BK878">
        <f t="shared" si="135"/>
        <v>441038700</v>
      </c>
      <c r="BL878">
        <v>873</v>
      </c>
    </row>
    <row r="879" spans="1:64" ht="17.25" thickBot="1" x14ac:dyDescent="0.25">
      <c r="A879" s="131">
        <v>875</v>
      </c>
      <c r="B879" s="135">
        <v>1017030566</v>
      </c>
      <c r="D879" s="131">
        <v>875</v>
      </c>
      <c r="E879" s="132">
        <v>44.25712</v>
      </c>
      <c r="AK879">
        <v>873</v>
      </c>
      <c r="AL879" s="24">
        <f t="shared" si="130"/>
        <v>44.155009999999997</v>
      </c>
      <c r="AM879">
        <f t="shared" si="136"/>
        <v>309.08506999999997</v>
      </c>
      <c r="AN879">
        <f t="shared" si="136"/>
        <v>441.55009999999999</v>
      </c>
      <c r="AO879">
        <f t="shared" si="136"/>
        <v>662.32515000000001</v>
      </c>
      <c r="AP879">
        <f t="shared" si="136"/>
        <v>883.10019999999997</v>
      </c>
      <c r="AQ879">
        <f t="shared" si="136"/>
        <v>1545.42535</v>
      </c>
      <c r="AR879">
        <f t="shared" si="136"/>
        <v>2207.7504999999996</v>
      </c>
      <c r="AS879">
        <f t="shared" si="136"/>
        <v>3532.4007999999999</v>
      </c>
      <c r="AT879">
        <f t="shared" si="136"/>
        <v>5298.6012000000001</v>
      </c>
      <c r="AU879">
        <f t="shared" si="136"/>
        <v>7506.3516999999993</v>
      </c>
      <c r="AV879">
        <f t="shared" si="136"/>
        <v>10597.2024</v>
      </c>
      <c r="AW879">
        <f t="shared" si="136"/>
        <v>14571.1533</v>
      </c>
      <c r="AX879">
        <f t="shared" si="136"/>
        <v>20311.304599999999</v>
      </c>
      <c r="AY879">
        <f t="shared" si="136"/>
        <v>35324.007999999994</v>
      </c>
      <c r="AZ879">
        <f t="shared" si="136"/>
        <v>66232.514999999999</v>
      </c>
      <c r="BA879">
        <f t="shared" si="136"/>
        <v>110387.52499999999</v>
      </c>
      <c r="BB879">
        <f t="shared" si="136"/>
        <v>176620.03999999998</v>
      </c>
      <c r="BC879">
        <f t="shared" si="135"/>
        <v>441550.1</v>
      </c>
      <c r="BD879">
        <f t="shared" si="135"/>
        <v>662325.14999999991</v>
      </c>
      <c r="BE879">
        <f t="shared" si="135"/>
        <v>1059720.24</v>
      </c>
      <c r="BF879">
        <f t="shared" si="135"/>
        <v>1324650.2999999998</v>
      </c>
      <c r="BG879">
        <f t="shared" si="135"/>
        <v>4415501</v>
      </c>
      <c r="BH879">
        <f t="shared" si="135"/>
        <v>13246503</v>
      </c>
      <c r="BI879">
        <f t="shared" si="135"/>
        <v>37531758.5</v>
      </c>
      <c r="BJ879">
        <f t="shared" si="135"/>
        <v>132465029.99999999</v>
      </c>
      <c r="BK879">
        <f t="shared" si="135"/>
        <v>441550100</v>
      </c>
      <c r="BL879">
        <v>874</v>
      </c>
    </row>
    <row r="880" spans="1:64" ht="17.25" thickBot="1" x14ac:dyDescent="0.25">
      <c r="A880" s="131">
        <v>876</v>
      </c>
      <c r="B880" s="135">
        <v>1023671427</v>
      </c>
      <c r="D880" s="131">
        <v>876</v>
      </c>
      <c r="E880" s="132">
        <v>44.30809</v>
      </c>
      <c r="AK880">
        <v>874</v>
      </c>
      <c r="AL880" s="24">
        <f t="shared" si="130"/>
        <v>44.206090000000003</v>
      </c>
      <c r="AM880">
        <f t="shared" si="136"/>
        <v>309.44263000000001</v>
      </c>
      <c r="AN880">
        <f t="shared" si="136"/>
        <v>442.06090000000006</v>
      </c>
      <c r="AO880">
        <f t="shared" si="136"/>
        <v>663.09135000000003</v>
      </c>
      <c r="AP880">
        <f t="shared" si="136"/>
        <v>884.12180000000012</v>
      </c>
      <c r="AQ880">
        <f t="shared" si="136"/>
        <v>1547.21315</v>
      </c>
      <c r="AR880">
        <f t="shared" si="136"/>
        <v>2210.3045000000002</v>
      </c>
      <c r="AS880">
        <f t="shared" si="136"/>
        <v>3536.4872000000005</v>
      </c>
      <c r="AT880">
        <f t="shared" si="136"/>
        <v>5304.7308000000003</v>
      </c>
      <c r="AU880">
        <f t="shared" si="136"/>
        <v>7515.0353000000005</v>
      </c>
      <c r="AV880">
        <f t="shared" si="136"/>
        <v>10609.461600000001</v>
      </c>
      <c r="AW880">
        <f t="shared" si="136"/>
        <v>14588.009700000001</v>
      </c>
      <c r="AX880">
        <f t="shared" si="136"/>
        <v>20334.8014</v>
      </c>
      <c r="AY880">
        <f t="shared" si="136"/>
        <v>35364.872000000003</v>
      </c>
      <c r="AZ880">
        <f t="shared" si="136"/>
        <v>66309.135000000009</v>
      </c>
      <c r="BA880">
        <f t="shared" si="136"/>
        <v>110515.22500000001</v>
      </c>
      <c r="BB880">
        <f t="shared" si="136"/>
        <v>176824.36000000002</v>
      </c>
      <c r="BC880">
        <f t="shared" si="135"/>
        <v>442060.9</v>
      </c>
      <c r="BD880">
        <f t="shared" si="135"/>
        <v>663091.35000000009</v>
      </c>
      <c r="BE880">
        <f t="shared" si="135"/>
        <v>1060946.1600000001</v>
      </c>
      <c r="BF880">
        <f t="shared" si="135"/>
        <v>1326182.7000000002</v>
      </c>
      <c r="BG880">
        <f t="shared" si="135"/>
        <v>4420609</v>
      </c>
      <c r="BH880">
        <f t="shared" si="135"/>
        <v>13261827.000000002</v>
      </c>
      <c r="BI880">
        <f t="shared" si="135"/>
        <v>37575176.5</v>
      </c>
      <c r="BJ880">
        <f t="shared" si="135"/>
        <v>132618270.00000001</v>
      </c>
      <c r="BK880">
        <f t="shared" si="135"/>
        <v>442060900.00000006</v>
      </c>
      <c r="BL880">
        <v>875</v>
      </c>
    </row>
    <row r="881" spans="1:64" ht="17.25" thickBot="1" x14ac:dyDescent="0.25">
      <c r="A881" s="131">
        <v>877</v>
      </c>
      <c r="B881" s="135">
        <v>1030348827</v>
      </c>
      <c r="D881" s="131">
        <v>877</v>
      </c>
      <c r="E881" s="132">
        <v>44.359000000000002</v>
      </c>
      <c r="AK881">
        <v>875</v>
      </c>
      <c r="AL881" s="24">
        <f t="shared" si="130"/>
        <v>44.25712</v>
      </c>
      <c r="AM881">
        <f t="shared" si="136"/>
        <v>309.79984000000002</v>
      </c>
      <c r="AN881">
        <f t="shared" si="136"/>
        <v>442.57119999999998</v>
      </c>
      <c r="AO881">
        <f t="shared" si="136"/>
        <v>663.85680000000002</v>
      </c>
      <c r="AP881">
        <f t="shared" si="136"/>
        <v>885.14239999999995</v>
      </c>
      <c r="AQ881">
        <f t="shared" si="136"/>
        <v>1548.9992</v>
      </c>
      <c r="AR881">
        <f t="shared" si="136"/>
        <v>2212.8560000000002</v>
      </c>
      <c r="AS881">
        <f t="shared" si="136"/>
        <v>3540.5695999999998</v>
      </c>
      <c r="AT881">
        <f t="shared" si="136"/>
        <v>5310.8544000000002</v>
      </c>
      <c r="AU881">
        <f t="shared" si="136"/>
        <v>7523.7103999999999</v>
      </c>
      <c r="AV881">
        <f t="shared" si="136"/>
        <v>10621.7088</v>
      </c>
      <c r="AW881">
        <f t="shared" si="136"/>
        <v>14604.8496</v>
      </c>
      <c r="AX881">
        <f t="shared" si="136"/>
        <v>20358.2752</v>
      </c>
      <c r="AY881">
        <f t="shared" si="136"/>
        <v>35405.696000000004</v>
      </c>
      <c r="AZ881">
        <f t="shared" si="136"/>
        <v>66385.680000000008</v>
      </c>
      <c r="BA881">
        <f t="shared" si="136"/>
        <v>110642.8</v>
      </c>
      <c r="BB881">
        <f t="shared" si="136"/>
        <v>177028.48000000001</v>
      </c>
      <c r="BC881">
        <f t="shared" si="135"/>
        <v>442571.2</v>
      </c>
      <c r="BD881">
        <f t="shared" si="135"/>
        <v>663856.80000000005</v>
      </c>
      <c r="BE881">
        <f t="shared" si="135"/>
        <v>1062170.8800000001</v>
      </c>
      <c r="BF881">
        <f t="shared" si="135"/>
        <v>1327713.6000000001</v>
      </c>
      <c r="BG881">
        <f t="shared" si="135"/>
        <v>4425712</v>
      </c>
      <c r="BH881">
        <f t="shared" si="135"/>
        <v>13277136</v>
      </c>
      <c r="BI881">
        <f t="shared" si="135"/>
        <v>37618552</v>
      </c>
      <c r="BJ881">
        <f t="shared" si="135"/>
        <v>132771360</v>
      </c>
      <c r="BK881">
        <f t="shared" si="135"/>
        <v>442571200</v>
      </c>
      <c r="BL881">
        <v>876</v>
      </c>
    </row>
    <row r="882" spans="1:64" ht="17.25" thickBot="1" x14ac:dyDescent="0.25">
      <c r="A882" s="131">
        <v>878</v>
      </c>
      <c r="B882" s="135">
        <v>1037062911</v>
      </c>
      <c r="D882" s="131">
        <v>878</v>
      </c>
      <c r="E882" s="132">
        <v>44.409849999999999</v>
      </c>
      <c r="AK882">
        <v>876</v>
      </c>
      <c r="AL882" s="24">
        <f t="shared" si="130"/>
        <v>44.30809</v>
      </c>
      <c r="AM882">
        <f t="shared" si="136"/>
        <v>310.15663000000001</v>
      </c>
      <c r="AN882">
        <f t="shared" si="136"/>
        <v>443.08089999999999</v>
      </c>
      <c r="AO882">
        <f t="shared" si="136"/>
        <v>664.62135000000001</v>
      </c>
      <c r="AP882">
        <f t="shared" si="136"/>
        <v>886.16179999999997</v>
      </c>
      <c r="AQ882">
        <f t="shared" si="136"/>
        <v>1550.78315</v>
      </c>
      <c r="AR882">
        <f t="shared" si="136"/>
        <v>2215.4045000000001</v>
      </c>
      <c r="AS882">
        <f t="shared" si="136"/>
        <v>3544.6471999999999</v>
      </c>
      <c r="AT882">
        <f t="shared" si="136"/>
        <v>5316.9708000000001</v>
      </c>
      <c r="AU882">
        <f t="shared" si="136"/>
        <v>7532.3752999999997</v>
      </c>
      <c r="AV882">
        <f t="shared" si="136"/>
        <v>10633.9416</v>
      </c>
      <c r="AW882">
        <f t="shared" si="136"/>
        <v>14621.6697</v>
      </c>
      <c r="AX882">
        <f t="shared" si="136"/>
        <v>20381.721399999999</v>
      </c>
      <c r="AY882">
        <f t="shared" si="136"/>
        <v>35446.472000000002</v>
      </c>
      <c r="AZ882">
        <f t="shared" si="136"/>
        <v>66462.134999999995</v>
      </c>
      <c r="BA882">
        <f t="shared" si="136"/>
        <v>110770.22500000001</v>
      </c>
      <c r="BB882">
        <f t="shared" si="136"/>
        <v>177232.36</v>
      </c>
      <c r="BC882">
        <f t="shared" si="135"/>
        <v>443080.9</v>
      </c>
      <c r="BD882">
        <f t="shared" si="135"/>
        <v>664621.35</v>
      </c>
      <c r="BE882">
        <f t="shared" si="135"/>
        <v>1063394.1599999999</v>
      </c>
      <c r="BF882">
        <f t="shared" si="135"/>
        <v>1329242.7</v>
      </c>
      <c r="BG882">
        <f t="shared" si="135"/>
        <v>4430809</v>
      </c>
      <c r="BH882">
        <f t="shared" si="135"/>
        <v>13292427</v>
      </c>
      <c r="BI882">
        <f t="shared" si="135"/>
        <v>37661876.5</v>
      </c>
      <c r="BJ882">
        <f t="shared" si="135"/>
        <v>132924270</v>
      </c>
      <c r="BK882">
        <f t="shared" si="135"/>
        <v>443080900</v>
      </c>
      <c r="BL882">
        <v>877</v>
      </c>
    </row>
    <row r="883" spans="1:64" ht="17.25" thickBot="1" x14ac:dyDescent="0.25">
      <c r="A883" s="131">
        <v>879</v>
      </c>
      <c r="B883" s="135">
        <v>1043813822</v>
      </c>
      <c r="D883" s="131">
        <v>879</v>
      </c>
      <c r="E883" s="132">
        <v>44.460650000000001</v>
      </c>
      <c r="AK883">
        <v>877</v>
      </c>
      <c r="AL883" s="24">
        <f t="shared" si="130"/>
        <v>44.359000000000002</v>
      </c>
      <c r="AM883">
        <f t="shared" si="136"/>
        <v>310.51300000000003</v>
      </c>
      <c r="AN883">
        <f t="shared" si="136"/>
        <v>443.59000000000003</v>
      </c>
      <c r="AO883">
        <f t="shared" si="136"/>
        <v>665.38499999999999</v>
      </c>
      <c r="AP883">
        <f t="shared" si="136"/>
        <v>887.18000000000006</v>
      </c>
      <c r="AQ883">
        <f t="shared" si="136"/>
        <v>1552.5650000000001</v>
      </c>
      <c r="AR883">
        <f t="shared" si="136"/>
        <v>2217.9500000000003</v>
      </c>
      <c r="AS883">
        <f t="shared" si="136"/>
        <v>3548.7200000000003</v>
      </c>
      <c r="AT883">
        <f t="shared" si="136"/>
        <v>5323.08</v>
      </c>
      <c r="AU883">
        <f t="shared" si="136"/>
        <v>7541.0300000000007</v>
      </c>
      <c r="AV883">
        <f t="shared" si="136"/>
        <v>10646.16</v>
      </c>
      <c r="AW883">
        <f t="shared" si="136"/>
        <v>14638.470000000001</v>
      </c>
      <c r="AX883">
        <f t="shared" si="136"/>
        <v>20405.14</v>
      </c>
      <c r="AY883">
        <f t="shared" si="136"/>
        <v>35487.200000000004</v>
      </c>
      <c r="AZ883">
        <f t="shared" si="136"/>
        <v>66538.5</v>
      </c>
      <c r="BA883">
        <f t="shared" si="136"/>
        <v>110897.5</v>
      </c>
      <c r="BB883">
        <f t="shared" si="136"/>
        <v>177436</v>
      </c>
      <c r="BC883">
        <f t="shared" si="135"/>
        <v>443590</v>
      </c>
      <c r="BD883">
        <f t="shared" si="135"/>
        <v>665385</v>
      </c>
      <c r="BE883">
        <f t="shared" si="135"/>
        <v>1064616</v>
      </c>
      <c r="BF883">
        <f t="shared" si="135"/>
        <v>1330770</v>
      </c>
      <c r="BG883">
        <f t="shared" si="135"/>
        <v>4435900</v>
      </c>
      <c r="BH883">
        <f t="shared" si="135"/>
        <v>13307700</v>
      </c>
      <c r="BI883">
        <f t="shared" si="135"/>
        <v>37705150</v>
      </c>
      <c r="BJ883">
        <f t="shared" si="135"/>
        <v>133077000</v>
      </c>
      <c r="BK883">
        <f t="shared" si="135"/>
        <v>443590000</v>
      </c>
      <c r="BL883">
        <v>878</v>
      </c>
    </row>
    <row r="884" spans="1:64" ht="17.25" thickBot="1" x14ac:dyDescent="0.25">
      <c r="A884" s="131">
        <v>880</v>
      </c>
      <c r="B884" s="135">
        <v>1050601711</v>
      </c>
      <c r="D884" s="131">
        <v>880</v>
      </c>
      <c r="E884" s="132">
        <v>44.511389999999999</v>
      </c>
      <c r="AK884">
        <v>878</v>
      </c>
      <c r="AL884" s="24">
        <f t="shared" si="130"/>
        <v>44.409849999999999</v>
      </c>
      <c r="AM884">
        <f t="shared" si="136"/>
        <v>310.86894999999998</v>
      </c>
      <c r="AN884">
        <f t="shared" si="136"/>
        <v>444.0985</v>
      </c>
      <c r="AO884">
        <f t="shared" si="136"/>
        <v>666.14774999999997</v>
      </c>
      <c r="AP884">
        <f t="shared" si="136"/>
        <v>888.197</v>
      </c>
      <c r="AQ884">
        <f t="shared" si="136"/>
        <v>1554.34475</v>
      </c>
      <c r="AR884">
        <f t="shared" si="136"/>
        <v>2220.4924999999998</v>
      </c>
      <c r="AS884">
        <f t="shared" si="136"/>
        <v>3552.788</v>
      </c>
      <c r="AT884">
        <f t="shared" si="136"/>
        <v>5329.1819999999998</v>
      </c>
      <c r="AU884">
        <f t="shared" si="136"/>
        <v>7549.6745000000001</v>
      </c>
      <c r="AV884">
        <f t="shared" si="136"/>
        <v>10658.364</v>
      </c>
      <c r="AW884">
        <f t="shared" si="136"/>
        <v>14655.2505</v>
      </c>
      <c r="AX884">
        <f t="shared" si="136"/>
        <v>20428.530999999999</v>
      </c>
      <c r="AY884">
        <f t="shared" si="136"/>
        <v>35527.879999999997</v>
      </c>
      <c r="AZ884">
        <f t="shared" si="136"/>
        <v>66614.774999999994</v>
      </c>
      <c r="BA884">
        <f t="shared" si="136"/>
        <v>111024.625</v>
      </c>
      <c r="BB884">
        <f t="shared" si="136"/>
        <v>177639.4</v>
      </c>
      <c r="BC884">
        <f t="shared" si="135"/>
        <v>444098.5</v>
      </c>
      <c r="BD884">
        <f t="shared" si="135"/>
        <v>666147.75</v>
      </c>
      <c r="BE884">
        <f t="shared" si="135"/>
        <v>1065836.3999999999</v>
      </c>
      <c r="BF884">
        <f t="shared" si="135"/>
        <v>1332295.5</v>
      </c>
      <c r="BG884">
        <f t="shared" si="135"/>
        <v>4440985</v>
      </c>
      <c r="BH884">
        <f t="shared" si="135"/>
        <v>13322955</v>
      </c>
      <c r="BI884">
        <f t="shared" si="135"/>
        <v>37748372.5</v>
      </c>
      <c r="BJ884">
        <f t="shared" si="135"/>
        <v>133229550</v>
      </c>
      <c r="BK884">
        <f t="shared" si="135"/>
        <v>444098500</v>
      </c>
      <c r="BL884">
        <v>879</v>
      </c>
    </row>
    <row r="885" spans="1:64" ht="17.25" thickBot="1" x14ac:dyDescent="0.25">
      <c r="A885" s="131">
        <v>881</v>
      </c>
      <c r="B885" s="135">
        <v>1057426722</v>
      </c>
      <c r="D885" s="131">
        <v>881</v>
      </c>
      <c r="E885" s="132">
        <v>44.562069999999999</v>
      </c>
      <c r="AK885">
        <v>879</v>
      </c>
      <c r="AL885" s="24">
        <f t="shared" si="130"/>
        <v>44.460650000000001</v>
      </c>
      <c r="AM885">
        <f t="shared" si="136"/>
        <v>311.22455000000002</v>
      </c>
      <c r="AN885">
        <f t="shared" si="136"/>
        <v>444.60649999999998</v>
      </c>
      <c r="AO885">
        <f t="shared" si="136"/>
        <v>666.90975000000003</v>
      </c>
      <c r="AP885">
        <f t="shared" si="136"/>
        <v>889.21299999999997</v>
      </c>
      <c r="AQ885">
        <f t="shared" si="136"/>
        <v>1556.12275</v>
      </c>
      <c r="AR885">
        <f t="shared" si="136"/>
        <v>2223.0325000000003</v>
      </c>
      <c r="AS885">
        <f t="shared" si="136"/>
        <v>3556.8519999999999</v>
      </c>
      <c r="AT885">
        <f t="shared" si="136"/>
        <v>5335.2780000000002</v>
      </c>
      <c r="AU885">
        <f t="shared" si="136"/>
        <v>7558.3105000000005</v>
      </c>
      <c r="AV885">
        <f t="shared" si="136"/>
        <v>10670.556</v>
      </c>
      <c r="AW885">
        <f t="shared" si="136"/>
        <v>14672.014500000001</v>
      </c>
      <c r="AX885">
        <f t="shared" si="136"/>
        <v>20451.899000000001</v>
      </c>
      <c r="AY885">
        <f t="shared" si="136"/>
        <v>35568.520000000004</v>
      </c>
      <c r="AZ885">
        <f t="shared" si="136"/>
        <v>66690.975000000006</v>
      </c>
      <c r="BA885">
        <f t="shared" si="136"/>
        <v>111151.625</v>
      </c>
      <c r="BB885">
        <f t="shared" si="136"/>
        <v>177842.6</v>
      </c>
      <c r="BC885">
        <f t="shared" si="135"/>
        <v>444606.5</v>
      </c>
      <c r="BD885">
        <f t="shared" si="135"/>
        <v>666909.75</v>
      </c>
      <c r="BE885">
        <f t="shared" si="135"/>
        <v>1067055.6000000001</v>
      </c>
      <c r="BF885">
        <f t="shared" si="135"/>
        <v>1333819.5</v>
      </c>
      <c r="BG885">
        <f t="shared" si="135"/>
        <v>4446065</v>
      </c>
      <c r="BH885">
        <f t="shared" si="135"/>
        <v>13338195</v>
      </c>
      <c r="BI885">
        <f t="shared" si="135"/>
        <v>37791552.5</v>
      </c>
      <c r="BJ885">
        <f t="shared" si="135"/>
        <v>133381950</v>
      </c>
      <c r="BK885">
        <f t="shared" si="135"/>
        <v>444606500</v>
      </c>
      <c r="BL885">
        <v>880</v>
      </c>
    </row>
    <row r="886" spans="1:64" ht="17.25" thickBot="1" x14ac:dyDescent="0.25">
      <c r="A886" s="131">
        <v>882</v>
      </c>
      <c r="B886" s="135">
        <v>1064289005</v>
      </c>
      <c r="D886" s="131">
        <v>882</v>
      </c>
      <c r="E886" s="132">
        <v>44.612690000000001</v>
      </c>
      <c r="AK886">
        <v>880</v>
      </c>
      <c r="AL886" s="24">
        <f t="shared" si="130"/>
        <v>44.511389999999999</v>
      </c>
      <c r="AM886">
        <f t="shared" si="136"/>
        <v>311.57972999999998</v>
      </c>
      <c r="AN886">
        <f t="shared" si="136"/>
        <v>445.1139</v>
      </c>
      <c r="AO886">
        <f t="shared" si="136"/>
        <v>667.67084999999997</v>
      </c>
      <c r="AP886">
        <f t="shared" si="136"/>
        <v>890.2278</v>
      </c>
      <c r="AQ886">
        <f t="shared" si="136"/>
        <v>1557.8986499999999</v>
      </c>
      <c r="AR886">
        <f t="shared" si="136"/>
        <v>2225.5695000000001</v>
      </c>
      <c r="AS886">
        <f t="shared" si="136"/>
        <v>3560.9112</v>
      </c>
      <c r="AT886">
        <f t="shared" si="136"/>
        <v>5341.3667999999998</v>
      </c>
      <c r="AU886">
        <f t="shared" si="136"/>
        <v>7566.9362999999994</v>
      </c>
      <c r="AV886">
        <f t="shared" si="136"/>
        <v>10682.7336</v>
      </c>
      <c r="AW886">
        <f t="shared" si="136"/>
        <v>14688.7587</v>
      </c>
      <c r="AX886">
        <f t="shared" si="136"/>
        <v>20475.239399999999</v>
      </c>
      <c r="AY886">
        <f t="shared" si="136"/>
        <v>35609.112000000001</v>
      </c>
      <c r="AZ886">
        <f t="shared" si="136"/>
        <v>66767.084999999992</v>
      </c>
      <c r="BA886">
        <f t="shared" si="136"/>
        <v>111278.47499999999</v>
      </c>
      <c r="BB886">
        <f t="shared" si="136"/>
        <v>178045.56</v>
      </c>
      <c r="BC886">
        <f t="shared" si="135"/>
        <v>445113.89999999997</v>
      </c>
      <c r="BD886">
        <f t="shared" si="135"/>
        <v>667670.85</v>
      </c>
      <c r="BE886">
        <f t="shared" si="135"/>
        <v>1068273.3599999999</v>
      </c>
      <c r="BF886">
        <f t="shared" si="135"/>
        <v>1335341.7</v>
      </c>
      <c r="BG886">
        <f t="shared" si="135"/>
        <v>4451139</v>
      </c>
      <c r="BH886">
        <f t="shared" si="135"/>
        <v>13353417</v>
      </c>
      <c r="BI886">
        <f t="shared" si="135"/>
        <v>37834681.5</v>
      </c>
      <c r="BJ886">
        <f t="shared" si="135"/>
        <v>133534170</v>
      </c>
      <c r="BK886">
        <f t="shared" si="135"/>
        <v>445113900</v>
      </c>
      <c r="BL886">
        <v>881</v>
      </c>
    </row>
    <row r="887" spans="1:64" ht="17.25" thickBot="1" x14ac:dyDescent="0.25">
      <c r="A887" s="131">
        <v>883</v>
      </c>
      <c r="B887" s="135">
        <v>1071188711</v>
      </c>
      <c r="D887" s="131">
        <v>883</v>
      </c>
      <c r="E887" s="132">
        <v>44.663260000000001</v>
      </c>
      <c r="AK887">
        <v>881</v>
      </c>
      <c r="AL887" s="24">
        <f t="shared" ref="AL887:AL950" si="137">VLOOKUP(AK887,D$2:E$1404,2,FALSE)</f>
        <v>44.562069999999999</v>
      </c>
      <c r="AM887">
        <f t="shared" si="136"/>
        <v>311.93448999999998</v>
      </c>
      <c r="AN887">
        <f t="shared" si="136"/>
        <v>445.6207</v>
      </c>
      <c r="AO887">
        <f t="shared" si="136"/>
        <v>668.43105000000003</v>
      </c>
      <c r="AP887">
        <f t="shared" si="136"/>
        <v>891.2414</v>
      </c>
      <c r="AQ887">
        <f t="shared" si="136"/>
        <v>1559.67245</v>
      </c>
      <c r="AR887">
        <f t="shared" si="136"/>
        <v>2228.1034999999997</v>
      </c>
      <c r="AS887">
        <f t="shared" si="136"/>
        <v>3564.9656</v>
      </c>
      <c r="AT887">
        <f t="shared" si="136"/>
        <v>5347.4484000000002</v>
      </c>
      <c r="AU887">
        <f t="shared" si="136"/>
        <v>7575.5518999999995</v>
      </c>
      <c r="AV887">
        <f t="shared" si="136"/>
        <v>10694.8968</v>
      </c>
      <c r="AW887">
        <f t="shared" si="136"/>
        <v>14705.483099999999</v>
      </c>
      <c r="AX887">
        <f t="shared" si="136"/>
        <v>20498.552199999998</v>
      </c>
      <c r="AY887">
        <f t="shared" si="136"/>
        <v>35649.655999999995</v>
      </c>
      <c r="AZ887">
        <f t="shared" si="136"/>
        <v>66843.104999999996</v>
      </c>
      <c r="BA887">
        <f t="shared" si="136"/>
        <v>111405.175</v>
      </c>
      <c r="BB887">
        <f t="shared" si="136"/>
        <v>178248.28</v>
      </c>
      <c r="BC887">
        <f t="shared" si="135"/>
        <v>445620.7</v>
      </c>
      <c r="BD887">
        <f t="shared" si="135"/>
        <v>668431.04999999993</v>
      </c>
      <c r="BE887">
        <f t="shared" si="135"/>
        <v>1069489.68</v>
      </c>
      <c r="BF887">
        <f t="shared" si="135"/>
        <v>1336862.0999999999</v>
      </c>
      <c r="BG887">
        <f t="shared" si="135"/>
        <v>4456207</v>
      </c>
      <c r="BH887">
        <f t="shared" si="135"/>
        <v>13368621</v>
      </c>
      <c r="BI887">
        <f t="shared" si="135"/>
        <v>37877759.5</v>
      </c>
      <c r="BJ887">
        <f t="shared" si="135"/>
        <v>133686210</v>
      </c>
      <c r="BK887">
        <f t="shared" si="135"/>
        <v>445620700</v>
      </c>
      <c r="BL887">
        <v>882</v>
      </c>
    </row>
    <row r="888" spans="1:64" ht="17.25" thickBot="1" x14ac:dyDescent="0.25">
      <c r="A888" s="131">
        <v>884</v>
      </c>
      <c r="B888" s="135">
        <v>1078125983</v>
      </c>
      <c r="D888" s="131">
        <v>884</v>
      </c>
      <c r="E888" s="132">
        <v>44.713769999999997</v>
      </c>
      <c r="AK888">
        <v>882</v>
      </c>
      <c r="AL888" s="24">
        <f t="shared" si="137"/>
        <v>44.612690000000001</v>
      </c>
      <c r="AM888">
        <f t="shared" si="136"/>
        <v>312.28883000000002</v>
      </c>
      <c r="AN888">
        <f t="shared" si="136"/>
        <v>446.12689999999998</v>
      </c>
      <c r="AO888">
        <f t="shared" si="136"/>
        <v>669.19034999999997</v>
      </c>
      <c r="AP888">
        <f t="shared" si="136"/>
        <v>892.25379999999996</v>
      </c>
      <c r="AQ888">
        <f t="shared" si="136"/>
        <v>1561.44415</v>
      </c>
      <c r="AR888">
        <f t="shared" si="136"/>
        <v>2230.6345000000001</v>
      </c>
      <c r="AS888">
        <f t="shared" si="136"/>
        <v>3569.0151999999998</v>
      </c>
      <c r="AT888">
        <f t="shared" si="136"/>
        <v>5353.5227999999997</v>
      </c>
      <c r="AU888">
        <f t="shared" si="136"/>
        <v>7584.1572999999999</v>
      </c>
      <c r="AV888">
        <f t="shared" si="136"/>
        <v>10707.045599999999</v>
      </c>
      <c r="AW888">
        <f t="shared" si="136"/>
        <v>14722.1877</v>
      </c>
      <c r="AX888">
        <f t="shared" si="136"/>
        <v>20521.8374</v>
      </c>
      <c r="AY888">
        <f t="shared" si="136"/>
        <v>35690.152000000002</v>
      </c>
      <c r="AZ888">
        <f t="shared" si="136"/>
        <v>66919.035000000003</v>
      </c>
      <c r="BA888">
        <f t="shared" si="136"/>
        <v>111531.72500000001</v>
      </c>
      <c r="BB888">
        <f t="shared" si="136"/>
        <v>178450.76</v>
      </c>
      <c r="BC888">
        <f t="shared" si="135"/>
        <v>446126.9</v>
      </c>
      <c r="BD888">
        <f t="shared" si="135"/>
        <v>669190.35</v>
      </c>
      <c r="BE888">
        <f t="shared" si="135"/>
        <v>1070704.56</v>
      </c>
      <c r="BF888">
        <f t="shared" si="135"/>
        <v>1338380.7</v>
      </c>
      <c r="BG888">
        <f t="shared" si="135"/>
        <v>4461269</v>
      </c>
      <c r="BH888">
        <f t="shared" si="135"/>
        <v>13383807</v>
      </c>
      <c r="BI888">
        <f t="shared" si="135"/>
        <v>37920786.5</v>
      </c>
      <c r="BJ888">
        <f t="shared" si="135"/>
        <v>133838070</v>
      </c>
      <c r="BK888">
        <f t="shared" si="135"/>
        <v>446126900</v>
      </c>
      <c r="BL888">
        <v>883</v>
      </c>
    </row>
    <row r="889" spans="1:64" ht="17.25" thickBot="1" x14ac:dyDescent="0.25">
      <c r="A889" s="131">
        <v>885</v>
      </c>
      <c r="B889" s="135">
        <v>1085100972</v>
      </c>
      <c r="D889" s="131">
        <v>885</v>
      </c>
      <c r="E889" s="132">
        <v>44.764220000000002</v>
      </c>
      <c r="AK889">
        <v>883</v>
      </c>
      <c r="AL889" s="24">
        <f t="shared" si="137"/>
        <v>44.663260000000001</v>
      </c>
      <c r="AM889">
        <f t="shared" si="136"/>
        <v>312.64282000000003</v>
      </c>
      <c r="AN889">
        <f t="shared" si="136"/>
        <v>446.63260000000002</v>
      </c>
      <c r="AO889">
        <f t="shared" si="136"/>
        <v>669.94889999999998</v>
      </c>
      <c r="AP889">
        <f t="shared" si="136"/>
        <v>893.26520000000005</v>
      </c>
      <c r="AQ889">
        <f t="shared" si="136"/>
        <v>1563.2141000000001</v>
      </c>
      <c r="AR889">
        <f t="shared" si="136"/>
        <v>2233.163</v>
      </c>
      <c r="AS889">
        <f t="shared" si="136"/>
        <v>3573.0608000000002</v>
      </c>
      <c r="AT889">
        <f t="shared" si="136"/>
        <v>5359.5911999999998</v>
      </c>
      <c r="AU889">
        <f t="shared" si="136"/>
        <v>7592.7542000000003</v>
      </c>
      <c r="AV889">
        <f t="shared" si="136"/>
        <v>10719.1824</v>
      </c>
      <c r="AW889">
        <f t="shared" si="136"/>
        <v>14738.8758</v>
      </c>
      <c r="AX889">
        <f t="shared" si="136"/>
        <v>20545.099600000001</v>
      </c>
      <c r="AY889">
        <f t="shared" si="136"/>
        <v>35730.608</v>
      </c>
      <c r="AZ889">
        <f t="shared" si="136"/>
        <v>66994.89</v>
      </c>
      <c r="BA889">
        <f t="shared" si="136"/>
        <v>111658.15000000001</v>
      </c>
      <c r="BB889">
        <f t="shared" si="136"/>
        <v>178653.04</v>
      </c>
      <c r="BC889">
        <f t="shared" si="135"/>
        <v>446632.60000000003</v>
      </c>
      <c r="BD889">
        <f t="shared" si="135"/>
        <v>669948.9</v>
      </c>
      <c r="BE889">
        <f t="shared" si="135"/>
        <v>1071918.24</v>
      </c>
      <c r="BF889">
        <f t="shared" si="135"/>
        <v>1339897.8</v>
      </c>
      <c r="BG889">
        <f t="shared" si="135"/>
        <v>4466326</v>
      </c>
      <c r="BH889">
        <f t="shared" si="135"/>
        <v>13398978</v>
      </c>
      <c r="BI889">
        <f t="shared" si="135"/>
        <v>37963771</v>
      </c>
      <c r="BJ889">
        <f t="shared" si="135"/>
        <v>133989780</v>
      </c>
      <c r="BK889">
        <f t="shared" si="135"/>
        <v>446632600</v>
      </c>
      <c r="BL889">
        <v>884</v>
      </c>
    </row>
    <row r="890" spans="1:64" ht="17.25" thickBot="1" x14ac:dyDescent="0.25">
      <c r="A890" s="131">
        <v>886</v>
      </c>
      <c r="B890" s="135">
        <v>1092113827</v>
      </c>
      <c r="D890" s="131">
        <v>886</v>
      </c>
      <c r="E890" s="132">
        <v>44.814619999999998</v>
      </c>
      <c r="AK890">
        <v>884</v>
      </c>
      <c r="AL890" s="24">
        <f t="shared" si="137"/>
        <v>44.713769999999997</v>
      </c>
      <c r="AM890">
        <f t="shared" si="136"/>
        <v>312.99638999999996</v>
      </c>
      <c r="AN890">
        <f t="shared" si="136"/>
        <v>447.1377</v>
      </c>
      <c r="AO890">
        <f t="shared" si="136"/>
        <v>670.70654999999999</v>
      </c>
      <c r="AP890">
        <f t="shared" si="136"/>
        <v>894.27539999999999</v>
      </c>
      <c r="AQ890">
        <f t="shared" si="136"/>
        <v>1564.9819499999999</v>
      </c>
      <c r="AR890">
        <f t="shared" si="136"/>
        <v>2235.6884999999997</v>
      </c>
      <c r="AS890">
        <f t="shared" si="136"/>
        <v>3577.1016</v>
      </c>
      <c r="AT890">
        <f t="shared" si="136"/>
        <v>5365.6523999999999</v>
      </c>
      <c r="AU890">
        <f t="shared" si="136"/>
        <v>7601.3408999999992</v>
      </c>
      <c r="AV890">
        <f t="shared" si="136"/>
        <v>10731.3048</v>
      </c>
      <c r="AW890">
        <f t="shared" si="136"/>
        <v>14755.544099999999</v>
      </c>
      <c r="AX890">
        <f t="shared" si="136"/>
        <v>20568.334199999998</v>
      </c>
      <c r="AY890">
        <f t="shared" si="136"/>
        <v>35771.015999999996</v>
      </c>
      <c r="AZ890">
        <f t="shared" si="136"/>
        <v>67070.654999999999</v>
      </c>
      <c r="BA890">
        <f t="shared" si="136"/>
        <v>111784.42499999999</v>
      </c>
      <c r="BB890">
        <f t="shared" si="136"/>
        <v>178855.08</v>
      </c>
      <c r="BC890">
        <f t="shared" si="135"/>
        <v>447137.69999999995</v>
      </c>
      <c r="BD890">
        <f t="shared" si="135"/>
        <v>670706.54999999993</v>
      </c>
      <c r="BE890">
        <f t="shared" si="135"/>
        <v>1073130.48</v>
      </c>
      <c r="BF890">
        <f t="shared" si="135"/>
        <v>1341413.0999999999</v>
      </c>
      <c r="BG890">
        <f t="shared" si="135"/>
        <v>4471377</v>
      </c>
      <c r="BH890">
        <f t="shared" si="135"/>
        <v>13414130.999999998</v>
      </c>
      <c r="BI890">
        <f t="shared" si="135"/>
        <v>38006704.5</v>
      </c>
      <c r="BJ890">
        <f t="shared" si="135"/>
        <v>134141309.99999999</v>
      </c>
      <c r="BK890">
        <f t="shared" si="135"/>
        <v>447137699.99999994</v>
      </c>
      <c r="BL890">
        <v>885</v>
      </c>
    </row>
    <row r="891" spans="1:64" ht="17.25" thickBot="1" x14ac:dyDescent="0.25">
      <c r="A891" s="131">
        <v>887</v>
      </c>
      <c r="B891" s="135">
        <v>1099164700</v>
      </c>
      <c r="D891" s="131">
        <v>887</v>
      </c>
      <c r="E891" s="132">
        <v>44.864960000000004</v>
      </c>
      <c r="AK891">
        <v>885</v>
      </c>
      <c r="AL891" s="24">
        <f t="shared" si="137"/>
        <v>44.764220000000002</v>
      </c>
      <c r="AM891">
        <f t="shared" si="136"/>
        <v>313.34953999999999</v>
      </c>
      <c r="AN891">
        <f t="shared" si="136"/>
        <v>447.6422</v>
      </c>
      <c r="AO891">
        <f t="shared" si="136"/>
        <v>671.4633</v>
      </c>
      <c r="AP891">
        <f t="shared" si="136"/>
        <v>895.28440000000001</v>
      </c>
      <c r="AQ891">
        <f t="shared" si="136"/>
        <v>1566.7477000000001</v>
      </c>
      <c r="AR891">
        <f t="shared" si="136"/>
        <v>2238.2110000000002</v>
      </c>
      <c r="AS891">
        <f t="shared" si="136"/>
        <v>3581.1376</v>
      </c>
      <c r="AT891">
        <f t="shared" si="136"/>
        <v>5371.7064</v>
      </c>
      <c r="AU891">
        <f t="shared" si="136"/>
        <v>7609.9174000000003</v>
      </c>
      <c r="AV891">
        <f t="shared" si="136"/>
        <v>10743.4128</v>
      </c>
      <c r="AW891">
        <f t="shared" si="136"/>
        <v>14772.1926</v>
      </c>
      <c r="AX891">
        <f t="shared" si="136"/>
        <v>20591.5412</v>
      </c>
      <c r="AY891">
        <f t="shared" si="136"/>
        <v>35811.376000000004</v>
      </c>
      <c r="AZ891">
        <f t="shared" si="136"/>
        <v>67146.33</v>
      </c>
      <c r="BA891">
        <f t="shared" si="136"/>
        <v>111910.55</v>
      </c>
      <c r="BB891">
        <f t="shared" si="136"/>
        <v>179056.88</v>
      </c>
      <c r="BC891">
        <f t="shared" si="135"/>
        <v>447642.2</v>
      </c>
      <c r="BD891">
        <f t="shared" si="135"/>
        <v>671463.3</v>
      </c>
      <c r="BE891">
        <f t="shared" si="135"/>
        <v>1074341.28</v>
      </c>
      <c r="BF891">
        <f t="shared" si="135"/>
        <v>1342926.6</v>
      </c>
      <c r="BG891">
        <f t="shared" si="135"/>
        <v>4476422</v>
      </c>
      <c r="BH891">
        <f t="shared" si="135"/>
        <v>13429266</v>
      </c>
      <c r="BI891">
        <f t="shared" si="135"/>
        <v>38049587</v>
      </c>
      <c r="BJ891">
        <f t="shared" si="135"/>
        <v>134292660</v>
      </c>
      <c r="BK891">
        <f t="shared" si="135"/>
        <v>447642200</v>
      </c>
      <c r="BL891">
        <v>886</v>
      </c>
    </row>
    <row r="892" spans="1:64" ht="17.25" thickBot="1" x14ac:dyDescent="0.25">
      <c r="A892" s="131">
        <v>888</v>
      </c>
      <c r="B892" s="135">
        <v>1106253738</v>
      </c>
      <c r="D892" s="131">
        <v>888</v>
      </c>
      <c r="E892" s="132">
        <v>44.915239999999997</v>
      </c>
      <c r="AK892">
        <v>886</v>
      </c>
      <c r="AL892" s="24">
        <f t="shared" si="137"/>
        <v>44.814619999999998</v>
      </c>
      <c r="AM892">
        <f t="shared" si="136"/>
        <v>313.70233999999999</v>
      </c>
      <c r="AN892">
        <f t="shared" si="136"/>
        <v>448.14619999999996</v>
      </c>
      <c r="AO892">
        <f t="shared" si="136"/>
        <v>672.21929999999998</v>
      </c>
      <c r="AP892">
        <f t="shared" si="136"/>
        <v>896.29239999999993</v>
      </c>
      <c r="AQ892">
        <f t="shared" si="136"/>
        <v>1568.5117</v>
      </c>
      <c r="AR892">
        <f t="shared" si="136"/>
        <v>2240.7309999999998</v>
      </c>
      <c r="AS892">
        <f t="shared" si="136"/>
        <v>3585.1695999999997</v>
      </c>
      <c r="AT892">
        <f t="shared" si="136"/>
        <v>5377.7543999999998</v>
      </c>
      <c r="AU892">
        <f t="shared" si="136"/>
        <v>7618.4853999999996</v>
      </c>
      <c r="AV892">
        <f t="shared" si="136"/>
        <v>10755.5088</v>
      </c>
      <c r="AW892">
        <f t="shared" si="136"/>
        <v>14788.8246</v>
      </c>
      <c r="AX892">
        <f t="shared" si="136"/>
        <v>20614.725200000001</v>
      </c>
      <c r="AY892">
        <f t="shared" si="136"/>
        <v>35851.695999999996</v>
      </c>
      <c r="AZ892">
        <f t="shared" si="136"/>
        <v>67221.929999999993</v>
      </c>
      <c r="BA892">
        <f t="shared" si="136"/>
        <v>112036.54999999999</v>
      </c>
      <c r="BB892">
        <f t="shared" si="136"/>
        <v>179258.47999999998</v>
      </c>
      <c r="BC892">
        <f t="shared" si="135"/>
        <v>448146.19999999995</v>
      </c>
      <c r="BD892">
        <f t="shared" si="135"/>
        <v>672219.29999999993</v>
      </c>
      <c r="BE892">
        <f t="shared" ref="BC892:BK920" si="138">BE$5*VLOOKUP($AK892,$D$2:$E$1404,2,FALSE)</f>
        <v>1075550.8799999999</v>
      </c>
      <c r="BF892">
        <f t="shared" si="138"/>
        <v>1344438.5999999999</v>
      </c>
      <c r="BG892">
        <f t="shared" si="138"/>
        <v>4481462</v>
      </c>
      <c r="BH892">
        <f t="shared" si="138"/>
        <v>13444386</v>
      </c>
      <c r="BI892">
        <f t="shared" si="138"/>
        <v>38092427</v>
      </c>
      <c r="BJ892">
        <f t="shared" si="138"/>
        <v>134443860</v>
      </c>
      <c r="BK892">
        <f t="shared" si="138"/>
        <v>448146200</v>
      </c>
      <c r="BL892">
        <v>887</v>
      </c>
    </row>
    <row r="893" spans="1:64" ht="17.25" thickBot="1" x14ac:dyDescent="0.25">
      <c r="A893" s="131">
        <v>889</v>
      </c>
      <c r="B893" s="135">
        <v>1113381094</v>
      </c>
      <c r="D893" s="131">
        <v>889</v>
      </c>
      <c r="E893" s="132">
        <v>44.965470000000003</v>
      </c>
      <c r="AK893">
        <v>887</v>
      </c>
      <c r="AL893" s="24">
        <f t="shared" si="137"/>
        <v>44.864960000000004</v>
      </c>
      <c r="AM893">
        <f t="shared" si="136"/>
        <v>314.05472000000003</v>
      </c>
      <c r="AN893">
        <f t="shared" si="136"/>
        <v>448.64960000000002</v>
      </c>
      <c r="AO893">
        <f t="shared" si="136"/>
        <v>672.97440000000006</v>
      </c>
      <c r="AP893">
        <f t="shared" si="136"/>
        <v>897.29920000000004</v>
      </c>
      <c r="AQ893">
        <f t="shared" si="136"/>
        <v>1570.2736000000002</v>
      </c>
      <c r="AR893">
        <f t="shared" si="136"/>
        <v>2243.248</v>
      </c>
      <c r="AS893">
        <f t="shared" si="136"/>
        <v>3589.1968000000002</v>
      </c>
      <c r="AT893">
        <f t="shared" si="136"/>
        <v>5383.7952000000005</v>
      </c>
      <c r="AU893">
        <f t="shared" si="136"/>
        <v>7627.043200000001</v>
      </c>
      <c r="AV893">
        <f t="shared" si="136"/>
        <v>10767.590400000001</v>
      </c>
      <c r="AW893">
        <f t="shared" si="136"/>
        <v>14805.436800000001</v>
      </c>
      <c r="AX893">
        <f t="shared" si="136"/>
        <v>20637.881600000001</v>
      </c>
      <c r="AY893">
        <f t="shared" si="136"/>
        <v>35891.968000000001</v>
      </c>
      <c r="AZ893">
        <f t="shared" si="136"/>
        <v>67297.440000000002</v>
      </c>
      <c r="BA893">
        <f t="shared" si="136"/>
        <v>112162.40000000001</v>
      </c>
      <c r="BB893">
        <f t="shared" si="136"/>
        <v>179459.84000000003</v>
      </c>
      <c r="BC893">
        <f t="shared" si="138"/>
        <v>448649.60000000003</v>
      </c>
      <c r="BD893">
        <f t="shared" si="138"/>
        <v>672974.4</v>
      </c>
      <c r="BE893">
        <f t="shared" si="138"/>
        <v>1076759.04</v>
      </c>
      <c r="BF893">
        <f t="shared" si="138"/>
        <v>1345948.8</v>
      </c>
      <c r="BG893">
        <f t="shared" si="138"/>
        <v>4486496</v>
      </c>
      <c r="BH893">
        <f t="shared" si="138"/>
        <v>13459488.000000002</v>
      </c>
      <c r="BI893">
        <f t="shared" si="138"/>
        <v>38135216</v>
      </c>
      <c r="BJ893">
        <f t="shared" si="138"/>
        <v>134594880</v>
      </c>
      <c r="BK893">
        <f t="shared" si="138"/>
        <v>448649600.00000006</v>
      </c>
      <c r="BL893">
        <v>888</v>
      </c>
    </row>
    <row r="894" spans="1:64" ht="17.25" thickBot="1" x14ac:dyDescent="0.25">
      <c r="A894" s="131">
        <v>890</v>
      </c>
      <c r="B894" s="135">
        <v>1120546916</v>
      </c>
      <c r="D894" s="131">
        <v>890</v>
      </c>
      <c r="E894" s="132">
        <v>45.015639999999998</v>
      </c>
      <c r="AK894">
        <v>888</v>
      </c>
      <c r="AL894" s="24">
        <f t="shared" si="137"/>
        <v>44.915239999999997</v>
      </c>
      <c r="AM894">
        <f t="shared" si="136"/>
        <v>314.40667999999999</v>
      </c>
      <c r="AN894">
        <f t="shared" si="136"/>
        <v>449.15239999999994</v>
      </c>
      <c r="AO894">
        <f t="shared" si="136"/>
        <v>673.72859999999991</v>
      </c>
      <c r="AP894">
        <f t="shared" si="136"/>
        <v>898.30479999999989</v>
      </c>
      <c r="AQ894">
        <f t="shared" si="136"/>
        <v>1572.0333999999998</v>
      </c>
      <c r="AR894">
        <f t="shared" si="136"/>
        <v>2245.7619999999997</v>
      </c>
      <c r="AS894">
        <f t="shared" si="136"/>
        <v>3593.2191999999995</v>
      </c>
      <c r="AT894">
        <f t="shared" ref="AM894:BB910" si="139">AT$5*VLOOKUP($AK894,$D$2:$E$1404,2,FALSE)</f>
        <v>5389.8287999999993</v>
      </c>
      <c r="AU894">
        <f t="shared" si="139"/>
        <v>7635.5907999999999</v>
      </c>
      <c r="AV894">
        <f t="shared" si="139"/>
        <v>10779.657599999999</v>
      </c>
      <c r="AW894">
        <f t="shared" si="139"/>
        <v>14822.029199999999</v>
      </c>
      <c r="AX894">
        <f t="shared" si="139"/>
        <v>20661.010399999999</v>
      </c>
      <c r="AY894">
        <f t="shared" si="139"/>
        <v>35932.191999999995</v>
      </c>
      <c r="AZ894">
        <f t="shared" si="139"/>
        <v>67372.86</v>
      </c>
      <c r="BA894">
        <f t="shared" si="139"/>
        <v>112288.09999999999</v>
      </c>
      <c r="BB894">
        <f t="shared" si="139"/>
        <v>179660.96</v>
      </c>
      <c r="BC894">
        <f t="shared" si="138"/>
        <v>449152.39999999997</v>
      </c>
      <c r="BD894">
        <f t="shared" si="138"/>
        <v>673728.6</v>
      </c>
      <c r="BE894">
        <f t="shared" si="138"/>
        <v>1077965.76</v>
      </c>
      <c r="BF894">
        <f t="shared" si="138"/>
        <v>1347457.2</v>
      </c>
      <c r="BG894">
        <f t="shared" si="138"/>
        <v>4491524</v>
      </c>
      <c r="BH894">
        <f t="shared" si="138"/>
        <v>13474572</v>
      </c>
      <c r="BI894">
        <f t="shared" si="138"/>
        <v>38177954</v>
      </c>
      <c r="BJ894">
        <f t="shared" si="138"/>
        <v>134745720</v>
      </c>
      <c r="BK894">
        <f t="shared" si="138"/>
        <v>449152400</v>
      </c>
      <c r="BL894">
        <v>889</v>
      </c>
    </row>
    <row r="895" spans="1:64" ht="17.25" thickBot="1" x14ac:dyDescent="0.25">
      <c r="A895" s="131">
        <v>891</v>
      </c>
      <c r="B895" s="135">
        <v>1127751361</v>
      </c>
      <c r="D895" s="131">
        <v>891</v>
      </c>
      <c r="E895" s="132">
        <v>45.065759999999997</v>
      </c>
      <c r="AK895">
        <v>889</v>
      </c>
      <c r="AL895" s="24">
        <f t="shared" si="137"/>
        <v>44.965470000000003</v>
      </c>
      <c r="AM895">
        <f t="shared" si="139"/>
        <v>314.75829000000004</v>
      </c>
      <c r="AN895">
        <f t="shared" si="139"/>
        <v>449.65470000000005</v>
      </c>
      <c r="AO895">
        <f t="shared" si="139"/>
        <v>674.48205000000007</v>
      </c>
      <c r="AP895">
        <f t="shared" si="139"/>
        <v>899.3094000000001</v>
      </c>
      <c r="AQ895">
        <f t="shared" si="139"/>
        <v>1573.7914500000002</v>
      </c>
      <c r="AR895">
        <f t="shared" si="139"/>
        <v>2248.2735000000002</v>
      </c>
      <c r="AS895">
        <f t="shared" si="139"/>
        <v>3597.2376000000004</v>
      </c>
      <c r="AT895">
        <f t="shared" si="139"/>
        <v>5395.8564000000006</v>
      </c>
      <c r="AU895">
        <f t="shared" si="139"/>
        <v>7644.1299000000008</v>
      </c>
      <c r="AV895">
        <f t="shared" si="139"/>
        <v>10791.712800000001</v>
      </c>
      <c r="AW895">
        <f t="shared" si="139"/>
        <v>14838.605100000001</v>
      </c>
      <c r="AX895">
        <f t="shared" si="139"/>
        <v>20684.1162</v>
      </c>
      <c r="AY895">
        <f t="shared" si="139"/>
        <v>35972.376000000004</v>
      </c>
      <c r="AZ895">
        <f t="shared" si="139"/>
        <v>67448.205000000002</v>
      </c>
      <c r="BA895">
        <f t="shared" si="139"/>
        <v>112413.675</v>
      </c>
      <c r="BB895">
        <f t="shared" si="139"/>
        <v>179861.88</v>
      </c>
      <c r="BC895">
        <f t="shared" si="138"/>
        <v>449654.7</v>
      </c>
      <c r="BD895">
        <f t="shared" si="138"/>
        <v>674482.05</v>
      </c>
      <c r="BE895">
        <f t="shared" si="138"/>
        <v>1079171.28</v>
      </c>
      <c r="BF895">
        <f t="shared" si="138"/>
        <v>1348964.1</v>
      </c>
      <c r="BG895">
        <f t="shared" si="138"/>
        <v>4496547</v>
      </c>
      <c r="BH895">
        <f t="shared" si="138"/>
        <v>13489641.000000002</v>
      </c>
      <c r="BI895">
        <f t="shared" si="138"/>
        <v>38220649.5</v>
      </c>
      <c r="BJ895">
        <f t="shared" si="138"/>
        <v>134896410</v>
      </c>
      <c r="BK895">
        <f t="shared" si="138"/>
        <v>449654700.00000006</v>
      </c>
      <c r="BL895">
        <v>890</v>
      </c>
    </row>
    <row r="896" spans="1:64" ht="17.25" thickBot="1" x14ac:dyDescent="0.25">
      <c r="A896" s="131">
        <v>892</v>
      </c>
      <c r="B896" s="135">
        <v>1134994577</v>
      </c>
      <c r="D896" s="131">
        <v>892</v>
      </c>
      <c r="E896" s="132">
        <v>45.115819999999999</v>
      </c>
      <c r="AK896">
        <v>890</v>
      </c>
      <c r="AL896" s="24">
        <f t="shared" si="137"/>
        <v>45.015639999999998</v>
      </c>
      <c r="AM896">
        <f t="shared" si="139"/>
        <v>315.10947999999996</v>
      </c>
      <c r="AN896">
        <f t="shared" si="139"/>
        <v>450.15639999999996</v>
      </c>
      <c r="AO896">
        <f t="shared" si="139"/>
        <v>675.2346</v>
      </c>
      <c r="AP896">
        <f t="shared" si="139"/>
        <v>900.31279999999992</v>
      </c>
      <c r="AQ896">
        <f t="shared" si="139"/>
        <v>1575.5473999999999</v>
      </c>
      <c r="AR896">
        <f t="shared" si="139"/>
        <v>2250.7819999999997</v>
      </c>
      <c r="AS896">
        <f t="shared" si="139"/>
        <v>3601.2511999999997</v>
      </c>
      <c r="AT896">
        <f t="shared" si="139"/>
        <v>5401.8768</v>
      </c>
      <c r="AU896">
        <f t="shared" si="139"/>
        <v>7652.6587999999992</v>
      </c>
      <c r="AV896">
        <f t="shared" si="139"/>
        <v>10803.7536</v>
      </c>
      <c r="AW896">
        <f t="shared" si="139"/>
        <v>14855.161199999999</v>
      </c>
      <c r="AX896">
        <f t="shared" si="139"/>
        <v>20707.1944</v>
      </c>
      <c r="AY896">
        <f t="shared" si="139"/>
        <v>36012.511999999995</v>
      </c>
      <c r="AZ896">
        <f t="shared" si="139"/>
        <v>67523.459999999992</v>
      </c>
      <c r="BA896">
        <f t="shared" si="139"/>
        <v>112539.09999999999</v>
      </c>
      <c r="BB896">
        <f t="shared" si="139"/>
        <v>180062.56</v>
      </c>
      <c r="BC896">
        <f t="shared" si="138"/>
        <v>450156.39999999997</v>
      </c>
      <c r="BD896">
        <f t="shared" si="138"/>
        <v>675234.6</v>
      </c>
      <c r="BE896">
        <f t="shared" si="138"/>
        <v>1080375.3599999999</v>
      </c>
      <c r="BF896">
        <f t="shared" si="138"/>
        <v>1350469.2</v>
      </c>
      <c r="BG896">
        <f t="shared" si="138"/>
        <v>4501564</v>
      </c>
      <c r="BH896">
        <f t="shared" si="138"/>
        <v>13504692</v>
      </c>
      <c r="BI896">
        <f t="shared" si="138"/>
        <v>38263294</v>
      </c>
      <c r="BJ896">
        <f t="shared" si="138"/>
        <v>135046920</v>
      </c>
      <c r="BK896">
        <f t="shared" si="138"/>
        <v>450156400</v>
      </c>
      <c r="BL896">
        <v>891</v>
      </c>
    </row>
    <row r="897" spans="1:64" ht="17.25" thickBot="1" x14ac:dyDescent="0.25">
      <c r="A897" s="131">
        <v>893</v>
      </c>
      <c r="B897" s="135">
        <v>1142276716</v>
      </c>
      <c r="D897" s="131">
        <v>893</v>
      </c>
      <c r="E897" s="132">
        <v>45.165819999999997</v>
      </c>
      <c r="AK897">
        <v>891</v>
      </c>
      <c r="AL897" s="24">
        <f t="shared" si="137"/>
        <v>45.065759999999997</v>
      </c>
      <c r="AM897">
        <f t="shared" si="139"/>
        <v>315.46031999999997</v>
      </c>
      <c r="AN897">
        <f t="shared" si="139"/>
        <v>450.6576</v>
      </c>
      <c r="AO897">
        <f t="shared" si="139"/>
        <v>675.9864</v>
      </c>
      <c r="AP897">
        <f t="shared" si="139"/>
        <v>901.3152</v>
      </c>
      <c r="AQ897">
        <f t="shared" si="139"/>
        <v>1577.3016</v>
      </c>
      <c r="AR897">
        <f t="shared" si="139"/>
        <v>2253.288</v>
      </c>
      <c r="AS897">
        <f t="shared" si="139"/>
        <v>3605.2608</v>
      </c>
      <c r="AT897">
        <f t="shared" si="139"/>
        <v>5407.8912</v>
      </c>
      <c r="AU897">
        <f t="shared" si="139"/>
        <v>7661.1791999999996</v>
      </c>
      <c r="AV897">
        <f t="shared" si="139"/>
        <v>10815.7824</v>
      </c>
      <c r="AW897">
        <f t="shared" si="139"/>
        <v>14871.700799999999</v>
      </c>
      <c r="AX897">
        <f t="shared" si="139"/>
        <v>20730.249599999999</v>
      </c>
      <c r="AY897">
        <f t="shared" si="139"/>
        <v>36052.608</v>
      </c>
      <c r="AZ897">
        <f t="shared" si="139"/>
        <v>67598.64</v>
      </c>
      <c r="BA897">
        <f t="shared" si="139"/>
        <v>112664.4</v>
      </c>
      <c r="BB897">
        <f t="shared" si="139"/>
        <v>180263.03999999998</v>
      </c>
      <c r="BC897">
        <f t="shared" si="138"/>
        <v>450657.6</v>
      </c>
      <c r="BD897">
        <f t="shared" si="138"/>
        <v>675986.39999999991</v>
      </c>
      <c r="BE897">
        <f t="shared" si="138"/>
        <v>1081578.24</v>
      </c>
      <c r="BF897">
        <f t="shared" si="138"/>
        <v>1351972.7999999998</v>
      </c>
      <c r="BG897">
        <f t="shared" si="138"/>
        <v>4506576</v>
      </c>
      <c r="BH897">
        <f t="shared" si="138"/>
        <v>13519728</v>
      </c>
      <c r="BI897">
        <f t="shared" si="138"/>
        <v>38305896</v>
      </c>
      <c r="BJ897">
        <f t="shared" si="138"/>
        <v>135197280</v>
      </c>
      <c r="BK897">
        <f t="shared" si="138"/>
        <v>450657600</v>
      </c>
      <c r="BL897">
        <v>892</v>
      </c>
    </row>
    <row r="898" spans="1:64" ht="17.25" thickBot="1" x14ac:dyDescent="0.25">
      <c r="A898" s="131">
        <v>894</v>
      </c>
      <c r="B898" s="135">
        <v>1149597927</v>
      </c>
      <c r="D898" s="131">
        <v>894</v>
      </c>
      <c r="E898" s="132">
        <v>45.215769999999999</v>
      </c>
      <c r="AK898">
        <v>892</v>
      </c>
      <c r="AL898" s="24">
        <f t="shared" si="137"/>
        <v>45.115819999999999</v>
      </c>
      <c r="AM898">
        <f t="shared" si="139"/>
        <v>315.81074000000001</v>
      </c>
      <c r="AN898">
        <f t="shared" si="139"/>
        <v>451.15819999999997</v>
      </c>
      <c r="AO898">
        <f t="shared" si="139"/>
        <v>676.7373</v>
      </c>
      <c r="AP898">
        <f t="shared" si="139"/>
        <v>902.31639999999993</v>
      </c>
      <c r="AQ898">
        <f t="shared" si="139"/>
        <v>1579.0536999999999</v>
      </c>
      <c r="AR898">
        <f t="shared" si="139"/>
        <v>2255.7910000000002</v>
      </c>
      <c r="AS898">
        <f t="shared" si="139"/>
        <v>3609.2655999999997</v>
      </c>
      <c r="AT898">
        <f t="shared" si="139"/>
        <v>5413.8984</v>
      </c>
      <c r="AU898">
        <f t="shared" si="139"/>
        <v>7669.6894000000002</v>
      </c>
      <c r="AV898">
        <f t="shared" si="139"/>
        <v>10827.7968</v>
      </c>
      <c r="AW898">
        <f t="shared" si="139"/>
        <v>14888.220600000001</v>
      </c>
      <c r="AX898">
        <f t="shared" si="139"/>
        <v>20753.2772</v>
      </c>
      <c r="AY898">
        <f t="shared" si="139"/>
        <v>36092.656000000003</v>
      </c>
      <c r="AZ898">
        <f t="shared" si="139"/>
        <v>67673.73</v>
      </c>
      <c r="BA898">
        <f t="shared" si="139"/>
        <v>112789.55</v>
      </c>
      <c r="BB898">
        <f t="shared" si="139"/>
        <v>180463.28</v>
      </c>
      <c r="BC898">
        <f t="shared" si="138"/>
        <v>451158.2</v>
      </c>
      <c r="BD898">
        <f t="shared" si="138"/>
        <v>676737.3</v>
      </c>
      <c r="BE898">
        <f t="shared" si="138"/>
        <v>1082779.68</v>
      </c>
      <c r="BF898">
        <f t="shared" si="138"/>
        <v>1353474.6</v>
      </c>
      <c r="BG898">
        <f t="shared" si="138"/>
        <v>4511582</v>
      </c>
      <c r="BH898">
        <f t="shared" si="138"/>
        <v>13534746</v>
      </c>
      <c r="BI898">
        <f t="shared" si="138"/>
        <v>38348447</v>
      </c>
      <c r="BJ898">
        <f t="shared" si="138"/>
        <v>135347460</v>
      </c>
      <c r="BK898">
        <f t="shared" si="138"/>
        <v>451158200</v>
      </c>
      <c r="BL898">
        <v>893</v>
      </c>
    </row>
    <row r="899" spans="1:64" ht="17.25" thickBot="1" x14ac:dyDescent="0.25">
      <c r="A899" s="131">
        <v>895</v>
      </c>
      <c r="B899" s="135">
        <v>1156958372</v>
      </c>
      <c r="D899" s="131">
        <v>895</v>
      </c>
      <c r="E899" s="132">
        <v>45.265659999999997</v>
      </c>
      <c r="AK899">
        <v>893</v>
      </c>
      <c r="AL899" s="24">
        <f t="shared" si="137"/>
        <v>45.165819999999997</v>
      </c>
      <c r="AM899">
        <f t="shared" si="139"/>
        <v>316.16073999999998</v>
      </c>
      <c r="AN899">
        <f t="shared" si="139"/>
        <v>451.65819999999997</v>
      </c>
      <c r="AO899">
        <f t="shared" si="139"/>
        <v>677.4873</v>
      </c>
      <c r="AP899">
        <f t="shared" si="139"/>
        <v>903.31639999999993</v>
      </c>
      <c r="AQ899">
        <f t="shared" si="139"/>
        <v>1580.8036999999999</v>
      </c>
      <c r="AR899">
        <f t="shared" si="139"/>
        <v>2258.2909999999997</v>
      </c>
      <c r="AS899">
        <f t="shared" si="139"/>
        <v>3613.2655999999997</v>
      </c>
      <c r="AT899">
        <f t="shared" si="139"/>
        <v>5419.8984</v>
      </c>
      <c r="AU899">
        <f t="shared" si="139"/>
        <v>7678.1893999999993</v>
      </c>
      <c r="AV899">
        <f t="shared" si="139"/>
        <v>10839.7968</v>
      </c>
      <c r="AW899">
        <f t="shared" si="139"/>
        <v>14904.720599999999</v>
      </c>
      <c r="AX899">
        <f t="shared" si="139"/>
        <v>20776.277199999997</v>
      </c>
      <c r="AY899">
        <f t="shared" si="139"/>
        <v>36132.655999999995</v>
      </c>
      <c r="AZ899">
        <f t="shared" si="139"/>
        <v>67748.73</v>
      </c>
      <c r="BA899">
        <f t="shared" si="139"/>
        <v>112914.54999999999</v>
      </c>
      <c r="BB899">
        <f t="shared" si="139"/>
        <v>180663.28</v>
      </c>
      <c r="BC899">
        <f t="shared" si="138"/>
        <v>451658.19999999995</v>
      </c>
      <c r="BD899">
        <f t="shared" si="138"/>
        <v>677487.29999999993</v>
      </c>
      <c r="BE899">
        <f t="shared" si="138"/>
        <v>1083979.68</v>
      </c>
      <c r="BF899">
        <f t="shared" si="138"/>
        <v>1354974.5999999999</v>
      </c>
      <c r="BG899">
        <f t="shared" si="138"/>
        <v>4516582</v>
      </c>
      <c r="BH899">
        <f t="shared" si="138"/>
        <v>13549745.999999998</v>
      </c>
      <c r="BI899">
        <f t="shared" si="138"/>
        <v>38390947</v>
      </c>
      <c r="BJ899">
        <f t="shared" si="138"/>
        <v>135497460</v>
      </c>
      <c r="BK899">
        <f t="shared" si="138"/>
        <v>451658199.99999994</v>
      </c>
      <c r="BL899">
        <v>894</v>
      </c>
    </row>
    <row r="900" spans="1:64" ht="17.25" thickBot="1" x14ac:dyDescent="0.25">
      <c r="A900" s="131">
        <v>896</v>
      </c>
      <c r="B900" s="135">
        <v>1164358194</v>
      </c>
      <c r="D900" s="131">
        <v>896</v>
      </c>
      <c r="E900" s="132">
        <v>45.3155</v>
      </c>
      <c r="AK900">
        <v>894</v>
      </c>
      <c r="AL900" s="24">
        <f t="shared" si="137"/>
        <v>45.215769999999999</v>
      </c>
      <c r="AM900">
        <f t="shared" si="139"/>
        <v>316.51038999999997</v>
      </c>
      <c r="AN900">
        <f t="shared" si="139"/>
        <v>452.15769999999998</v>
      </c>
      <c r="AO900">
        <f t="shared" si="139"/>
        <v>678.23654999999997</v>
      </c>
      <c r="AP900">
        <f t="shared" si="139"/>
        <v>904.31539999999995</v>
      </c>
      <c r="AQ900">
        <f t="shared" si="139"/>
        <v>1582.55195</v>
      </c>
      <c r="AR900">
        <f t="shared" si="139"/>
        <v>2260.7885000000001</v>
      </c>
      <c r="AS900">
        <f t="shared" si="139"/>
        <v>3617.2615999999998</v>
      </c>
      <c r="AT900">
        <f t="shared" si="139"/>
        <v>5425.8923999999997</v>
      </c>
      <c r="AU900">
        <f t="shared" si="139"/>
        <v>7686.6809000000003</v>
      </c>
      <c r="AV900">
        <f t="shared" si="139"/>
        <v>10851.784799999999</v>
      </c>
      <c r="AW900">
        <f t="shared" si="139"/>
        <v>14921.204099999999</v>
      </c>
      <c r="AX900">
        <f t="shared" si="139"/>
        <v>20799.254199999999</v>
      </c>
      <c r="AY900">
        <f t="shared" si="139"/>
        <v>36172.616000000002</v>
      </c>
      <c r="AZ900">
        <f t="shared" si="139"/>
        <v>67823.654999999999</v>
      </c>
      <c r="BA900">
        <f t="shared" si="139"/>
        <v>113039.425</v>
      </c>
      <c r="BB900">
        <f t="shared" si="139"/>
        <v>180863.08</v>
      </c>
      <c r="BC900">
        <f t="shared" si="138"/>
        <v>452157.7</v>
      </c>
      <c r="BD900">
        <f t="shared" si="138"/>
        <v>678236.54999999993</v>
      </c>
      <c r="BE900">
        <f t="shared" si="138"/>
        <v>1085178.48</v>
      </c>
      <c r="BF900">
        <f t="shared" si="138"/>
        <v>1356473.0999999999</v>
      </c>
      <c r="BG900">
        <f t="shared" si="138"/>
        <v>4521577</v>
      </c>
      <c r="BH900">
        <f t="shared" si="138"/>
        <v>13564731</v>
      </c>
      <c r="BI900">
        <f t="shared" si="138"/>
        <v>38433404.5</v>
      </c>
      <c r="BJ900">
        <f t="shared" si="138"/>
        <v>135647310</v>
      </c>
      <c r="BK900">
        <f t="shared" si="138"/>
        <v>452157700</v>
      </c>
      <c r="BL900">
        <v>895</v>
      </c>
    </row>
    <row r="901" spans="1:64" ht="17.25" thickBot="1" x14ac:dyDescent="0.25">
      <c r="A901" s="131">
        <v>897</v>
      </c>
      <c r="B901" s="135">
        <v>1171797555</v>
      </c>
      <c r="D901" s="131">
        <v>897</v>
      </c>
      <c r="E901" s="132">
        <v>45.365279999999998</v>
      </c>
      <c r="AK901">
        <v>895</v>
      </c>
      <c r="AL901" s="24">
        <f t="shared" si="137"/>
        <v>45.265659999999997</v>
      </c>
      <c r="AM901">
        <f t="shared" si="139"/>
        <v>316.85961999999995</v>
      </c>
      <c r="AN901">
        <f t="shared" si="139"/>
        <v>452.65659999999997</v>
      </c>
      <c r="AO901">
        <f t="shared" si="139"/>
        <v>678.98489999999993</v>
      </c>
      <c r="AP901">
        <f t="shared" si="139"/>
        <v>905.31319999999994</v>
      </c>
      <c r="AQ901">
        <f t="shared" si="139"/>
        <v>1584.2981</v>
      </c>
      <c r="AR901">
        <f t="shared" si="139"/>
        <v>2263.2829999999999</v>
      </c>
      <c r="AS901">
        <f t="shared" si="139"/>
        <v>3621.2527999999998</v>
      </c>
      <c r="AT901">
        <f t="shared" si="139"/>
        <v>5431.8791999999994</v>
      </c>
      <c r="AU901">
        <f t="shared" si="139"/>
        <v>7695.1621999999998</v>
      </c>
      <c r="AV901">
        <f t="shared" si="139"/>
        <v>10863.758399999999</v>
      </c>
      <c r="AW901">
        <f t="shared" si="139"/>
        <v>14937.667799999999</v>
      </c>
      <c r="AX901">
        <f t="shared" si="139"/>
        <v>20822.203599999997</v>
      </c>
      <c r="AY901">
        <f t="shared" si="139"/>
        <v>36212.527999999998</v>
      </c>
      <c r="AZ901">
        <f t="shared" si="139"/>
        <v>67898.489999999991</v>
      </c>
      <c r="BA901">
        <f t="shared" si="139"/>
        <v>113164.15</v>
      </c>
      <c r="BB901">
        <f t="shared" si="139"/>
        <v>181062.63999999998</v>
      </c>
      <c r="BC901">
        <f t="shared" si="138"/>
        <v>452656.6</v>
      </c>
      <c r="BD901">
        <f t="shared" si="138"/>
        <v>678984.89999999991</v>
      </c>
      <c r="BE901">
        <f t="shared" si="138"/>
        <v>1086375.8399999999</v>
      </c>
      <c r="BF901">
        <f t="shared" si="138"/>
        <v>1357969.7999999998</v>
      </c>
      <c r="BG901">
        <f t="shared" si="138"/>
        <v>4526566</v>
      </c>
      <c r="BH901">
        <f t="shared" si="138"/>
        <v>13579698</v>
      </c>
      <c r="BI901">
        <f t="shared" si="138"/>
        <v>38475811</v>
      </c>
      <c r="BJ901">
        <f t="shared" si="138"/>
        <v>135796980</v>
      </c>
      <c r="BK901">
        <f t="shared" si="138"/>
        <v>452656599.99999994</v>
      </c>
      <c r="BL901">
        <v>896</v>
      </c>
    </row>
    <row r="902" spans="1:64" ht="17.25" thickBot="1" x14ac:dyDescent="0.25">
      <c r="A902" s="131">
        <v>898</v>
      </c>
      <c r="B902" s="135">
        <v>1179276605</v>
      </c>
      <c r="D902" s="131">
        <v>898</v>
      </c>
      <c r="E902" s="132">
        <v>45.415010000000002</v>
      </c>
      <c r="AK902">
        <v>896</v>
      </c>
      <c r="AL902" s="24">
        <f t="shared" si="137"/>
        <v>45.3155</v>
      </c>
      <c r="AM902">
        <f t="shared" si="139"/>
        <v>317.20850000000002</v>
      </c>
      <c r="AN902">
        <f t="shared" si="139"/>
        <v>453.15499999999997</v>
      </c>
      <c r="AO902">
        <f t="shared" si="139"/>
        <v>679.73249999999996</v>
      </c>
      <c r="AP902">
        <f t="shared" si="139"/>
        <v>906.31</v>
      </c>
      <c r="AQ902">
        <f t="shared" si="139"/>
        <v>1586.0425</v>
      </c>
      <c r="AR902">
        <f t="shared" si="139"/>
        <v>2265.7750000000001</v>
      </c>
      <c r="AS902">
        <f t="shared" si="139"/>
        <v>3625.24</v>
      </c>
      <c r="AT902">
        <f t="shared" si="139"/>
        <v>5437.86</v>
      </c>
      <c r="AU902">
        <f t="shared" si="139"/>
        <v>7703.6350000000002</v>
      </c>
      <c r="AV902">
        <f t="shared" si="139"/>
        <v>10875.72</v>
      </c>
      <c r="AW902">
        <f t="shared" si="139"/>
        <v>14954.115</v>
      </c>
      <c r="AX902">
        <f t="shared" si="139"/>
        <v>20845.13</v>
      </c>
      <c r="AY902">
        <f t="shared" si="139"/>
        <v>36252.400000000001</v>
      </c>
      <c r="AZ902">
        <f t="shared" si="139"/>
        <v>67973.25</v>
      </c>
      <c r="BA902">
        <f t="shared" si="139"/>
        <v>113288.75</v>
      </c>
      <c r="BB902">
        <f t="shared" si="139"/>
        <v>181262</v>
      </c>
      <c r="BC902">
        <f t="shared" si="138"/>
        <v>453155</v>
      </c>
      <c r="BD902">
        <f t="shared" si="138"/>
        <v>679732.5</v>
      </c>
      <c r="BE902">
        <f t="shared" si="138"/>
        <v>1087572</v>
      </c>
      <c r="BF902">
        <f t="shared" si="138"/>
        <v>1359465</v>
      </c>
      <c r="BG902">
        <f t="shared" si="138"/>
        <v>4531550</v>
      </c>
      <c r="BH902">
        <f t="shared" si="138"/>
        <v>13594650</v>
      </c>
      <c r="BI902">
        <f t="shared" si="138"/>
        <v>38518175</v>
      </c>
      <c r="BJ902">
        <f t="shared" si="138"/>
        <v>135946500</v>
      </c>
      <c r="BK902">
        <f t="shared" si="138"/>
        <v>453155000</v>
      </c>
      <c r="BL902">
        <v>897</v>
      </c>
    </row>
    <row r="903" spans="1:64" ht="17.25" thickBot="1" x14ac:dyDescent="0.25">
      <c r="A903" s="131">
        <v>899</v>
      </c>
      <c r="B903" s="135">
        <v>1186795500</v>
      </c>
      <c r="D903" s="131">
        <v>899</v>
      </c>
      <c r="E903" s="132">
        <v>45.464680000000001</v>
      </c>
      <c r="AK903">
        <v>897</v>
      </c>
      <c r="AL903" s="24">
        <f t="shared" si="137"/>
        <v>45.365279999999998</v>
      </c>
      <c r="AM903">
        <f t="shared" si="139"/>
        <v>317.55696</v>
      </c>
      <c r="AN903">
        <f t="shared" si="139"/>
        <v>453.65279999999996</v>
      </c>
      <c r="AO903">
        <f t="shared" si="139"/>
        <v>680.47919999999999</v>
      </c>
      <c r="AP903">
        <f t="shared" si="139"/>
        <v>907.30559999999991</v>
      </c>
      <c r="AQ903">
        <f t="shared" si="139"/>
        <v>1587.7847999999999</v>
      </c>
      <c r="AR903">
        <f t="shared" si="139"/>
        <v>2268.2640000000001</v>
      </c>
      <c r="AS903">
        <f t="shared" si="139"/>
        <v>3629.2223999999997</v>
      </c>
      <c r="AT903">
        <f t="shared" si="139"/>
        <v>5443.8335999999999</v>
      </c>
      <c r="AU903">
        <f t="shared" si="139"/>
        <v>7712.0976000000001</v>
      </c>
      <c r="AV903">
        <f t="shared" si="139"/>
        <v>10887.6672</v>
      </c>
      <c r="AW903">
        <f t="shared" si="139"/>
        <v>14970.5424</v>
      </c>
      <c r="AX903">
        <f t="shared" si="139"/>
        <v>20868.0288</v>
      </c>
      <c r="AY903">
        <f t="shared" si="139"/>
        <v>36292.224000000002</v>
      </c>
      <c r="AZ903">
        <f t="shared" si="139"/>
        <v>68047.92</v>
      </c>
      <c r="BA903">
        <f t="shared" si="139"/>
        <v>113413.2</v>
      </c>
      <c r="BB903">
        <f t="shared" si="139"/>
        <v>181461.12</v>
      </c>
      <c r="BC903">
        <f t="shared" si="138"/>
        <v>453652.8</v>
      </c>
      <c r="BD903">
        <f t="shared" si="138"/>
        <v>680479.2</v>
      </c>
      <c r="BE903">
        <f t="shared" si="138"/>
        <v>1088766.72</v>
      </c>
      <c r="BF903">
        <f t="shared" si="138"/>
        <v>1360958.4</v>
      </c>
      <c r="BG903">
        <f t="shared" si="138"/>
        <v>4536528</v>
      </c>
      <c r="BH903">
        <f t="shared" si="138"/>
        <v>13609584</v>
      </c>
      <c r="BI903">
        <f t="shared" si="138"/>
        <v>38560488</v>
      </c>
      <c r="BJ903">
        <f t="shared" si="138"/>
        <v>136095840</v>
      </c>
      <c r="BK903">
        <f t="shared" si="138"/>
        <v>453652800</v>
      </c>
      <c r="BL903">
        <v>898</v>
      </c>
    </row>
    <row r="904" spans="1:64" ht="17.25" thickBot="1" x14ac:dyDescent="0.25">
      <c r="A904" s="131">
        <v>900</v>
      </c>
      <c r="B904" s="135">
        <v>1194354388</v>
      </c>
      <c r="D904" s="131">
        <v>900</v>
      </c>
      <c r="E904" s="132">
        <v>45.514299999999999</v>
      </c>
      <c r="AK904">
        <v>898</v>
      </c>
      <c r="AL904" s="24">
        <f t="shared" si="137"/>
        <v>45.415010000000002</v>
      </c>
      <c r="AM904">
        <f t="shared" si="139"/>
        <v>317.90507000000002</v>
      </c>
      <c r="AN904">
        <f t="shared" si="139"/>
        <v>454.15010000000001</v>
      </c>
      <c r="AO904">
        <f t="shared" si="139"/>
        <v>681.22514999999999</v>
      </c>
      <c r="AP904">
        <f t="shared" si="139"/>
        <v>908.30020000000002</v>
      </c>
      <c r="AQ904">
        <f t="shared" si="139"/>
        <v>1589.5253500000001</v>
      </c>
      <c r="AR904">
        <f t="shared" si="139"/>
        <v>2270.7505000000001</v>
      </c>
      <c r="AS904">
        <f t="shared" si="139"/>
        <v>3633.2008000000001</v>
      </c>
      <c r="AT904">
        <f t="shared" si="139"/>
        <v>5449.8011999999999</v>
      </c>
      <c r="AU904">
        <f t="shared" si="139"/>
        <v>7720.5517</v>
      </c>
      <c r="AV904">
        <f t="shared" si="139"/>
        <v>10899.6024</v>
      </c>
      <c r="AW904">
        <f t="shared" si="139"/>
        <v>14986.953300000001</v>
      </c>
      <c r="AX904">
        <f t="shared" si="139"/>
        <v>20890.904600000002</v>
      </c>
      <c r="AY904">
        <f t="shared" si="139"/>
        <v>36332.008000000002</v>
      </c>
      <c r="AZ904">
        <f t="shared" si="139"/>
        <v>68122.514999999999</v>
      </c>
      <c r="BA904">
        <f t="shared" si="139"/>
        <v>113537.52500000001</v>
      </c>
      <c r="BB904">
        <f t="shared" si="139"/>
        <v>181660.04</v>
      </c>
      <c r="BC904">
        <f t="shared" si="138"/>
        <v>454150.10000000003</v>
      </c>
      <c r="BD904">
        <f t="shared" si="138"/>
        <v>681225.15</v>
      </c>
      <c r="BE904">
        <f t="shared" si="138"/>
        <v>1089960.24</v>
      </c>
      <c r="BF904">
        <f t="shared" si="138"/>
        <v>1362450.3</v>
      </c>
      <c r="BG904">
        <f t="shared" si="138"/>
        <v>4541501</v>
      </c>
      <c r="BH904">
        <f t="shared" si="138"/>
        <v>13624503</v>
      </c>
      <c r="BI904">
        <f t="shared" si="138"/>
        <v>38602758.5</v>
      </c>
      <c r="BJ904">
        <f t="shared" si="138"/>
        <v>136245030</v>
      </c>
      <c r="BK904">
        <f t="shared" si="138"/>
        <v>454150100</v>
      </c>
      <c r="BL904">
        <v>899</v>
      </c>
    </row>
    <row r="905" spans="1:64" ht="17.25" thickBot="1" x14ac:dyDescent="0.25">
      <c r="A905" s="131">
        <v>901</v>
      </c>
      <c r="B905" s="135">
        <v>1201953433</v>
      </c>
      <c r="D905" s="131">
        <v>901</v>
      </c>
      <c r="E905" s="132">
        <v>45.563859999999998</v>
      </c>
      <c r="AK905">
        <v>899</v>
      </c>
      <c r="AL905" s="24">
        <f t="shared" si="137"/>
        <v>45.464680000000001</v>
      </c>
      <c r="AM905">
        <f t="shared" si="139"/>
        <v>318.25276000000002</v>
      </c>
      <c r="AN905">
        <f t="shared" si="139"/>
        <v>454.64679999999998</v>
      </c>
      <c r="AO905">
        <f t="shared" si="139"/>
        <v>681.97019999999998</v>
      </c>
      <c r="AP905">
        <f t="shared" si="139"/>
        <v>909.29359999999997</v>
      </c>
      <c r="AQ905">
        <f t="shared" si="139"/>
        <v>1591.2637999999999</v>
      </c>
      <c r="AR905">
        <f t="shared" si="139"/>
        <v>2273.2339999999999</v>
      </c>
      <c r="AS905">
        <f t="shared" si="139"/>
        <v>3637.1743999999999</v>
      </c>
      <c r="AT905">
        <f t="shared" si="139"/>
        <v>5455.7615999999998</v>
      </c>
      <c r="AU905">
        <f t="shared" si="139"/>
        <v>7728.9956000000002</v>
      </c>
      <c r="AV905">
        <f t="shared" si="139"/>
        <v>10911.5232</v>
      </c>
      <c r="AW905">
        <f t="shared" si="139"/>
        <v>15003.3444</v>
      </c>
      <c r="AX905">
        <f t="shared" si="139"/>
        <v>20913.752800000002</v>
      </c>
      <c r="AY905">
        <f t="shared" si="139"/>
        <v>36371.743999999999</v>
      </c>
      <c r="AZ905">
        <f t="shared" si="139"/>
        <v>68197.02</v>
      </c>
      <c r="BA905">
        <f t="shared" si="139"/>
        <v>113661.7</v>
      </c>
      <c r="BB905">
        <f t="shared" si="139"/>
        <v>181858.72</v>
      </c>
      <c r="BC905">
        <f t="shared" si="138"/>
        <v>454646.8</v>
      </c>
      <c r="BD905">
        <f t="shared" si="138"/>
        <v>681970.20000000007</v>
      </c>
      <c r="BE905">
        <f t="shared" si="138"/>
        <v>1091152.32</v>
      </c>
      <c r="BF905">
        <f t="shared" si="138"/>
        <v>1363940.4000000001</v>
      </c>
      <c r="BG905">
        <f t="shared" si="138"/>
        <v>4546468</v>
      </c>
      <c r="BH905">
        <f t="shared" si="138"/>
        <v>13639404</v>
      </c>
      <c r="BI905">
        <f t="shared" si="138"/>
        <v>38644978</v>
      </c>
      <c r="BJ905">
        <f t="shared" si="138"/>
        <v>136394040</v>
      </c>
      <c r="BK905">
        <f t="shared" si="138"/>
        <v>454646800</v>
      </c>
      <c r="BL905">
        <v>900</v>
      </c>
    </row>
    <row r="906" spans="1:64" ht="17.25" thickBot="1" x14ac:dyDescent="0.25">
      <c r="A906" s="131">
        <v>902</v>
      </c>
      <c r="B906" s="135">
        <v>1209592788</v>
      </c>
      <c r="D906" s="131">
        <v>902</v>
      </c>
      <c r="E906" s="132">
        <v>45.613370000000003</v>
      </c>
      <c r="AK906">
        <v>900</v>
      </c>
      <c r="AL906" s="24">
        <f t="shared" si="137"/>
        <v>45.514299999999999</v>
      </c>
      <c r="AM906">
        <f t="shared" si="139"/>
        <v>318.6001</v>
      </c>
      <c r="AN906">
        <f t="shared" si="139"/>
        <v>455.14299999999997</v>
      </c>
      <c r="AO906">
        <f t="shared" si="139"/>
        <v>682.71449999999993</v>
      </c>
      <c r="AP906">
        <f t="shared" si="139"/>
        <v>910.28599999999994</v>
      </c>
      <c r="AQ906">
        <f t="shared" si="139"/>
        <v>1593.0004999999999</v>
      </c>
      <c r="AR906">
        <f t="shared" si="139"/>
        <v>2275.7150000000001</v>
      </c>
      <c r="AS906">
        <f t="shared" si="139"/>
        <v>3641.1439999999998</v>
      </c>
      <c r="AT906">
        <f t="shared" si="139"/>
        <v>5461.7159999999994</v>
      </c>
      <c r="AU906">
        <f t="shared" si="139"/>
        <v>7737.4309999999996</v>
      </c>
      <c r="AV906">
        <f t="shared" si="139"/>
        <v>10923.431999999999</v>
      </c>
      <c r="AW906">
        <f t="shared" si="139"/>
        <v>15019.718999999999</v>
      </c>
      <c r="AX906">
        <f t="shared" si="139"/>
        <v>20936.577999999998</v>
      </c>
      <c r="AY906">
        <f t="shared" si="139"/>
        <v>36411.440000000002</v>
      </c>
      <c r="AZ906">
        <f t="shared" si="139"/>
        <v>68271.45</v>
      </c>
      <c r="BA906">
        <f t="shared" si="139"/>
        <v>113785.75</v>
      </c>
      <c r="BB906">
        <f t="shared" si="139"/>
        <v>182057.19999999998</v>
      </c>
      <c r="BC906">
        <f t="shared" si="138"/>
        <v>455143</v>
      </c>
      <c r="BD906">
        <f t="shared" si="138"/>
        <v>682714.5</v>
      </c>
      <c r="BE906">
        <f t="shared" si="138"/>
        <v>1092343.2</v>
      </c>
      <c r="BF906">
        <f t="shared" si="138"/>
        <v>1365429</v>
      </c>
      <c r="BG906">
        <f t="shared" si="138"/>
        <v>4551430</v>
      </c>
      <c r="BH906">
        <f t="shared" si="138"/>
        <v>13654290</v>
      </c>
      <c r="BI906">
        <f t="shared" si="138"/>
        <v>38687155</v>
      </c>
      <c r="BJ906">
        <f t="shared" si="138"/>
        <v>136542900</v>
      </c>
      <c r="BK906">
        <f t="shared" si="138"/>
        <v>455143000</v>
      </c>
      <c r="BL906">
        <v>901</v>
      </c>
    </row>
    <row r="907" spans="1:64" ht="17.25" thickBot="1" x14ac:dyDescent="0.25">
      <c r="A907" s="131">
        <v>903</v>
      </c>
      <c r="B907" s="135">
        <v>1217272605</v>
      </c>
      <c r="D907" s="131">
        <v>903</v>
      </c>
      <c r="E907" s="132">
        <v>45.66283</v>
      </c>
      <c r="AK907">
        <v>901</v>
      </c>
      <c r="AL907" s="24">
        <f t="shared" si="137"/>
        <v>45.563859999999998</v>
      </c>
      <c r="AM907">
        <f t="shared" si="139"/>
        <v>318.94702000000001</v>
      </c>
      <c r="AN907">
        <f t="shared" si="139"/>
        <v>455.6386</v>
      </c>
      <c r="AO907">
        <f t="shared" si="139"/>
        <v>683.4579</v>
      </c>
      <c r="AP907">
        <f t="shared" si="139"/>
        <v>911.27719999999999</v>
      </c>
      <c r="AQ907">
        <f t="shared" si="139"/>
        <v>1594.7350999999999</v>
      </c>
      <c r="AR907">
        <f t="shared" si="139"/>
        <v>2278.1929999999998</v>
      </c>
      <c r="AS907">
        <f t="shared" si="139"/>
        <v>3645.1088</v>
      </c>
      <c r="AT907">
        <f t="shared" si="139"/>
        <v>5467.6632</v>
      </c>
      <c r="AU907">
        <f t="shared" si="139"/>
        <v>7745.8561999999993</v>
      </c>
      <c r="AV907">
        <f t="shared" si="139"/>
        <v>10935.3264</v>
      </c>
      <c r="AW907">
        <f t="shared" si="139"/>
        <v>15036.0738</v>
      </c>
      <c r="AX907">
        <f t="shared" si="139"/>
        <v>20959.375599999999</v>
      </c>
      <c r="AY907">
        <f t="shared" si="139"/>
        <v>36451.087999999996</v>
      </c>
      <c r="AZ907">
        <f t="shared" si="139"/>
        <v>68345.789999999994</v>
      </c>
      <c r="BA907">
        <f t="shared" si="139"/>
        <v>113909.65</v>
      </c>
      <c r="BB907">
        <f t="shared" si="139"/>
        <v>182255.44</v>
      </c>
      <c r="BC907">
        <f t="shared" si="138"/>
        <v>455638.6</v>
      </c>
      <c r="BD907">
        <f t="shared" si="138"/>
        <v>683457.9</v>
      </c>
      <c r="BE907">
        <f t="shared" si="138"/>
        <v>1093532.6399999999</v>
      </c>
      <c r="BF907">
        <f t="shared" si="138"/>
        <v>1366915.8</v>
      </c>
      <c r="BG907">
        <f t="shared" si="138"/>
        <v>4556386</v>
      </c>
      <c r="BH907">
        <f t="shared" si="138"/>
        <v>13669158</v>
      </c>
      <c r="BI907">
        <f t="shared" si="138"/>
        <v>38729281</v>
      </c>
      <c r="BJ907">
        <f t="shared" si="138"/>
        <v>136691580</v>
      </c>
      <c r="BK907">
        <f t="shared" si="138"/>
        <v>455638600</v>
      </c>
      <c r="BL907">
        <v>902</v>
      </c>
    </row>
    <row r="908" spans="1:64" ht="17.25" thickBot="1" x14ac:dyDescent="0.25">
      <c r="A908" s="131">
        <v>904</v>
      </c>
      <c r="B908" s="135">
        <v>1224993044</v>
      </c>
      <c r="D908" s="131">
        <v>904</v>
      </c>
      <c r="E908" s="132">
        <v>45.712229999999998</v>
      </c>
      <c r="AK908">
        <v>902</v>
      </c>
      <c r="AL908" s="24">
        <f t="shared" si="137"/>
        <v>45.613370000000003</v>
      </c>
      <c r="AM908">
        <f t="shared" si="139"/>
        <v>319.29358999999999</v>
      </c>
      <c r="AN908">
        <f t="shared" si="139"/>
        <v>456.13370000000003</v>
      </c>
      <c r="AO908">
        <f t="shared" si="139"/>
        <v>684.20055000000002</v>
      </c>
      <c r="AP908">
        <f t="shared" si="139"/>
        <v>912.26740000000007</v>
      </c>
      <c r="AQ908">
        <f t="shared" si="139"/>
        <v>1596.4679500000002</v>
      </c>
      <c r="AR908">
        <f t="shared" si="139"/>
        <v>2280.6685000000002</v>
      </c>
      <c r="AS908">
        <f t="shared" si="139"/>
        <v>3649.0696000000003</v>
      </c>
      <c r="AT908">
        <f t="shared" si="139"/>
        <v>5473.6044000000002</v>
      </c>
      <c r="AU908">
        <f t="shared" si="139"/>
        <v>7754.2729000000008</v>
      </c>
      <c r="AV908">
        <f t="shared" si="139"/>
        <v>10947.2088</v>
      </c>
      <c r="AW908">
        <f t="shared" si="139"/>
        <v>15052.412100000001</v>
      </c>
      <c r="AX908">
        <f t="shared" si="139"/>
        <v>20982.1502</v>
      </c>
      <c r="AY908">
        <f t="shared" si="139"/>
        <v>36490.696000000004</v>
      </c>
      <c r="AZ908">
        <f t="shared" si="139"/>
        <v>68420.055000000008</v>
      </c>
      <c r="BA908">
        <f t="shared" si="139"/>
        <v>114033.425</v>
      </c>
      <c r="BB908">
        <f t="shared" si="139"/>
        <v>182453.48</v>
      </c>
      <c r="BC908">
        <f t="shared" si="138"/>
        <v>456133.7</v>
      </c>
      <c r="BD908">
        <f t="shared" si="138"/>
        <v>684200.55</v>
      </c>
      <c r="BE908">
        <f t="shared" si="138"/>
        <v>1094720.8800000001</v>
      </c>
      <c r="BF908">
        <f t="shared" si="138"/>
        <v>1368401.1</v>
      </c>
      <c r="BG908">
        <f t="shared" si="138"/>
        <v>4561337</v>
      </c>
      <c r="BH908">
        <f t="shared" si="138"/>
        <v>13684011.000000002</v>
      </c>
      <c r="BI908">
        <f t="shared" si="138"/>
        <v>38771364.5</v>
      </c>
      <c r="BJ908">
        <f t="shared" si="138"/>
        <v>136840110</v>
      </c>
      <c r="BK908">
        <f t="shared" si="138"/>
        <v>456133700.00000006</v>
      </c>
      <c r="BL908">
        <v>903</v>
      </c>
    </row>
    <row r="909" spans="1:64" ht="17.25" thickBot="1" x14ac:dyDescent="0.25">
      <c r="A909" s="131">
        <v>905</v>
      </c>
      <c r="B909" s="135">
        <v>1232754261</v>
      </c>
      <c r="D909" s="131">
        <v>905</v>
      </c>
      <c r="E909" s="132">
        <v>45.761580000000002</v>
      </c>
      <c r="AK909">
        <v>903</v>
      </c>
      <c r="AL909" s="24">
        <f t="shared" si="137"/>
        <v>45.66283</v>
      </c>
      <c r="AM909">
        <f t="shared" si="139"/>
        <v>319.63981000000001</v>
      </c>
      <c r="AN909">
        <f t="shared" si="139"/>
        <v>456.62829999999997</v>
      </c>
      <c r="AO909">
        <f t="shared" si="139"/>
        <v>684.94245000000001</v>
      </c>
      <c r="AP909">
        <f t="shared" si="139"/>
        <v>913.25659999999993</v>
      </c>
      <c r="AQ909">
        <f t="shared" si="139"/>
        <v>1598.1990499999999</v>
      </c>
      <c r="AR909">
        <f t="shared" si="139"/>
        <v>2283.1415000000002</v>
      </c>
      <c r="AS909">
        <f t="shared" si="139"/>
        <v>3653.0263999999997</v>
      </c>
      <c r="AT909">
        <f t="shared" si="139"/>
        <v>5479.5396000000001</v>
      </c>
      <c r="AU909">
        <f t="shared" si="139"/>
        <v>7762.6810999999998</v>
      </c>
      <c r="AV909">
        <f t="shared" si="139"/>
        <v>10959.0792</v>
      </c>
      <c r="AW909">
        <f t="shared" si="139"/>
        <v>15068.733899999999</v>
      </c>
      <c r="AX909">
        <f t="shared" si="139"/>
        <v>21004.9018</v>
      </c>
      <c r="AY909">
        <f t="shared" si="139"/>
        <v>36530.264000000003</v>
      </c>
      <c r="AZ909">
        <f t="shared" si="139"/>
        <v>68494.244999999995</v>
      </c>
      <c r="BA909">
        <f t="shared" si="139"/>
        <v>114157.075</v>
      </c>
      <c r="BB909">
        <f t="shared" si="139"/>
        <v>182651.32</v>
      </c>
      <c r="BC909">
        <f t="shared" si="138"/>
        <v>456628.3</v>
      </c>
      <c r="BD909">
        <f t="shared" si="138"/>
        <v>684942.45</v>
      </c>
      <c r="BE909">
        <f t="shared" si="138"/>
        <v>1095907.92</v>
      </c>
      <c r="BF909">
        <f t="shared" si="138"/>
        <v>1369884.9</v>
      </c>
      <c r="BG909">
        <f t="shared" si="138"/>
        <v>4566283</v>
      </c>
      <c r="BH909">
        <f t="shared" si="138"/>
        <v>13698849</v>
      </c>
      <c r="BI909">
        <f t="shared" si="138"/>
        <v>38813405.5</v>
      </c>
      <c r="BJ909">
        <f t="shared" si="138"/>
        <v>136988490</v>
      </c>
      <c r="BK909">
        <f t="shared" si="138"/>
        <v>456628300</v>
      </c>
      <c r="BL909">
        <v>904</v>
      </c>
    </row>
    <row r="910" spans="1:64" ht="17.25" thickBot="1" x14ac:dyDescent="0.25">
      <c r="A910" s="131">
        <v>906</v>
      </c>
      <c r="B910" s="135">
        <v>1240556416</v>
      </c>
      <c r="D910" s="131">
        <v>906</v>
      </c>
      <c r="E910" s="132">
        <v>45.810870000000001</v>
      </c>
      <c r="AK910">
        <v>904</v>
      </c>
      <c r="AL910" s="24">
        <f t="shared" si="137"/>
        <v>45.712229999999998</v>
      </c>
      <c r="AM910">
        <f t="shared" si="139"/>
        <v>319.98561000000001</v>
      </c>
      <c r="AN910">
        <f t="shared" si="139"/>
        <v>457.1223</v>
      </c>
      <c r="AO910">
        <f t="shared" si="139"/>
        <v>685.68344999999999</v>
      </c>
      <c r="AP910">
        <f t="shared" si="139"/>
        <v>914.24459999999999</v>
      </c>
      <c r="AQ910">
        <f t="shared" si="139"/>
        <v>1599.92805</v>
      </c>
      <c r="AR910">
        <f t="shared" si="139"/>
        <v>2285.6115</v>
      </c>
      <c r="AS910">
        <f t="shared" ref="AM910:BB926" si="140">AS$5*VLOOKUP($AK910,$D$2:$E$1404,2,FALSE)</f>
        <v>3656.9784</v>
      </c>
      <c r="AT910">
        <f t="shared" si="140"/>
        <v>5485.4675999999999</v>
      </c>
      <c r="AU910">
        <f t="shared" si="140"/>
        <v>7771.0790999999999</v>
      </c>
      <c r="AV910">
        <f t="shared" si="140"/>
        <v>10970.9352</v>
      </c>
      <c r="AW910">
        <f t="shared" si="140"/>
        <v>15085.035899999999</v>
      </c>
      <c r="AX910">
        <f t="shared" si="140"/>
        <v>21027.625799999998</v>
      </c>
      <c r="AY910">
        <f t="shared" si="140"/>
        <v>36569.784</v>
      </c>
      <c r="AZ910">
        <f t="shared" si="140"/>
        <v>68568.345000000001</v>
      </c>
      <c r="BA910">
        <f t="shared" si="140"/>
        <v>114280.575</v>
      </c>
      <c r="BB910">
        <f t="shared" si="140"/>
        <v>182848.91999999998</v>
      </c>
      <c r="BC910">
        <f t="shared" si="138"/>
        <v>457122.3</v>
      </c>
      <c r="BD910">
        <f t="shared" si="138"/>
        <v>685683.45</v>
      </c>
      <c r="BE910">
        <f t="shared" si="138"/>
        <v>1097093.52</v>
      </c>
      <c r="BF910">
        <f t="shared" si="138"/>
        <v>1371366.9</v>
      </c>
      <c r="BG910">
        <f t="shared" si="138"/>
        <v>4571223</v>
      </c>
      <c r="BH910">
        <f t="shared" si="138"/>
        <v>13713669</v>
      </c>
      <c r="BI910">
        <f t="shared" si="138"/>
        <v>38855395.5</v>
      </c>
      <c r="BJ910">
        <f t="shared" si="138"/>
        <v>137136690</v>
      </c>
      <c r="BK910">
        <f t="shared" si="138"/>
        <v>457122300</v>
      </c>
      <c r="BL910">
        <v>905</v>
      </c>
    </row>
    <row r="911" spans="1:64" ht="17.25" thickBot="1" x14ac:dyDescent="0.25">
      <c r="A911" s="131">
        <v>907</v>
      </c>
      <c r="B911" s="135">
        <v>1248399661</v>
      </c>
      <c r="D911" s="131">
        <v>907</v>
      </c>
      <c r="E911" s="132">
        <v>45.860109999999999</v>
      </c>
      <c r="AK911">
        <v>905</v>
      </c>
      <c r="AL911" s="24">
        <f t="shared" si="137"/>
        <v>45.761580000000002</v>
      </c>
      <c r="AM911">
        <f t="shared" si="140"/>
        <v>320.33106000000004</v>
      </c>
      <c r="AN911">
        <f t="shared" si="140"/>
        <v>457.61580000000004</v>
      </c>
      <c r="AO911">
        <f t="shared" si="140"/>
        <v>686.42370000000005</v>
      </c>
      <c r="AP911">
        <f t="shared" si="140"/>
        <v>915.23160000000007</v>
      </c>
      <c r="AQ911">
        <f t="shared" si="140"/>
        <v>1601.6553000000001</v>
      </c>
      <c r="AR911">
        <f t="shared" si="140"/>
        <v>2288.0790000000002</v>
      </c>
      <c r="AS911">
        <f t="shared" si="140"/>
        <v>3660.9264000000003</v>
      </c>
      <c r="AT911">
        <f t="shared" si="140"/>
        <v>5491.3896000000004</v>
      </c>
      <c r="AU911">
        <f t="shared" si="140"/>
        <v>7779.4686000000002</v>
      </c>
      <c r="AV911">
        <f t="shared" si="140"/>
        <v>10982.779200000001</v>
      </c>
      <c r="AW911">
        <f t="shared" si="140"/>
        <v>15101.321400000001</v>
      </c>
      <c r="AX911">
        <f t="shared" si="140"/>
        <v>21050.326800000003</v>
      </c>
      <c r="AY911">
        <f t="shared" si="140"/>
        <v>36609.264000000003</v>
      </c>
      <c r="AZ911">
        <f t="shared" si="140"/>
        <v>68642.37000000001</v>
      </c>
      <c r="BA911">
        <f t="shared" si="140"/>
        <v>114403.95000000001</v>
      </c>
      <c r="BB911">
        <f t="shared" si="140"/>
        <v>183046.32</v>
      </c>
      <c r="BC911">
        <f t="shared" si="138"/>
        <v>457615.80000000005</v>
      </c>
      <c r="BD911">
        <f t="shared" si="138"/>
        <v>686423.70000000007</v>
      </c>
      <c r="BE911">
        <f t="shared" si="138"/>
        <v>1098277.9200000002</v>
      </c>
      <c r="BF911">
        <f t="shared" si="138"/>
        <v>1372847.4000000001</v>
      </c>
      <c r="BG911">
        <f t="shared" si="138"/>
        <v>4576158</v>
      </c>
      <c r="BH911">
        <f t="shared" si="138"/>
        <v>13728474</v>
      </c>
      <c r="BI911">
        <f t="shared" si="138"/>
        <v>38897343</v>
      </c>
      <c r="BJ911">
        <f t="shared" si="138"/>
        <v>137284740</v>
      </c>
      <c r="BK911">
        <f t="shared" si="138"/>
        <v>457615800</v>
      </c>
      <c r="BL911">
        <v>906</v>
      </c>
    </row>
    <row r="912" spans="1:64" ht="17.25" thickBot="1" x14ac:dyDescent="0.25">
      <c r="A912" s="131">
        <v>908</v>
      </c>
      <c r="B912" s="135">
        <v>1256284161</v>
      </c>
      <c r="D912" s="131">
        <v>908</v>
      </c>
      <c r="E912" s="132">
        <v>45.909300000000002</v>
      </c>
      <c r="AK912">
        <v>906</v>
      </c>
      <c r="AL912" s="24">
        <f t="shared" si="137"/>
        <v>45.810870000000001</v>
      </c>
      <c r="AM912">
        <f t="shared" si="140"/>
        <v>320.67608999999999</v>
      </c>
      <c r="AN912">
        <f t="shared" si="140"/>
        <v>458.1087</v>
      </c>
      <c r="AO912">
        <f t="shared" si="140"/>
        <v>687.16305</v>
      </c>
      <c r="AP912">
        <f t="shared" si="140"/>
        <v>916.2174</v>
      </c>
      <c r="AQ912">
        <f t="shared" si="140"/>
        <v>1603.3804500000001</v>
      </c>
      <c r="AR912">
        <f t="shared" si="140"/>
        <v>2290.5435000000002</v>
      </c>
      <c r="AS912">
        <f t="shared" si="140"/>
        <v>3664.8696</v>
      </c>
      <c r="AT912">
        <f t="shared" si="140"/>
        <v>5497.3044</v>
      </c>
      <c r="AU912">
        <f t="shared" si="140"/>
        <v>7787.8479000000007</v>
      </c>
      <c r="AV912">
        <f t="shared" si="140"/>
        <v>10994.6088</v>
      </c>
      <c r="AW912">
        <f t="shared" si="140"/>
        <v>15117.587100000001</v>
      </c>
      <c r="AX912">
        <f t="shared" si="140"/>
        <v>21073.000200000002</v>
      </c>
      <c r="AY912">
        <f t="shared" si="140"/>
        <v>36648.696000000004</v>
      </c>
      <c r="AZ912">
        <f t="shared" si="140"/>
        <v>68716.305000000008</v>
      </c>
      <c r="BA912">
        <f t="shared" si="140"/>
        <v>114527.175</v>
      </c>
      <c r="BB912">
        <f t="shared" si="140"/>
        <v>183243.48</v>
      </c>
      <c r="BC912">
        <f t="shared" si="138"/>
        <v>458108.7</v>
      </c>
      <c r="BD912">
        <f t="shared" si="138"/>
        <v>687163.05</v>
      </c>
      <c r="BE912">
        <f t="shared" si="138"/>
        <v>1099460.8800000001</v>
      </c>
      <c r="BF912">
        <f t="shared" si="138"/>
        <v>1374326.1</v>
      </c>
      <c r="BG912">
        <f t="shared" si="138"/>
        <v>4581087</v>
      </c>
      <c r="BH912">
        <f t="shared" si="138"/>
        <v>13743261</v>
      </c>
      <c r="BI912">
        <f t="shared" si="138"/>
        <v>38939239.5</v>
      </c>
      <c r="BJ912">
        <f t="shared" si="138"/>
        <v>137432610</v>
      </c>
      <c r="BK912">
        <f t="shared" si="138"/>
        <v>458108700</v>
      </c>
      <c r="BL912">
        <v>907</v>
      </c>
    </row>
    <row r="913" spans="1:64" ht="17.25" thickBot="1" x14ac:dyDescent="0.25">
      <c r="A913" s="131">
        <v>909</v>
      </c>
      <c r="B913" s="135">
        <v>1264210066</v>
      </c>
      <c r="D913" s="131">
        <v>909</v>
      </c>
      <c r="E913" s="132">
        <v>45.95843</v>
      </c>
      <c r="AK913">
        <v>907</v>
      </c>
      <c r="AL913" s="24">
        <f t="shared" si="137"/>
        <v>45.860109999999999</v>
      </c>
      <c r="AM913">
        <f t="shared" si="140"/>
        <v>321.02076999999997</v>
      </c>
      <c r="AN913">
        <f t="shared" si="140"/>
        <v>458.60109999999997</v>
      </c>
      <c r="AO913">
        <f t="shared" si="140"/>
        <v>687.90165000000002</v>
      </c>
      <c r="AP913">
        <f t="shared" si="140"/>
        <v>917.20219999999995</v>
      </c>
      <c r="AQ913">
        <f t="shared" si="140"/>
        <v>1605.10385</v>
      </c>
      <c r="AR913">
        <f t="shared" si="140"/>
        <v>2293.0054999999998</v>
      </c>
      <c r="AS913">
        <f t="shared" si="140"/>
        <v>3668.8087999999998</v>
      </c>
      <c r="AT913">
        <f t="shared" si="140"/>
        <v>5503.2132000000001</v>
      </c>
      <c r="AU913">
        <f t="shared" si="140"/>
        <v>7796.2186999999994</v>
      </c>
      <c r="AV913">
        <f t="shared" si="140"/>
        <v>11006.4264</v>
      </c>
      <c r="AW913">
        <f t="shared" si="140"/>
        <v>15133.836299999999</v>
      </c>
      <c r="AX913">
        <f t="shared" si="140"/>
        <v>21095.650600000001</v>
      </c>
      <c r="AY913">
        <f t="shared" si="140"/>
        <v>36688.087999999996</v>
      </c>
      <c r="AZ913">
        <f t="shared" si="140"/>
        <v>68790.164999999994</v>
      </c>
      <c r="BA913">
        <f t="shared" si="140"/>
        <v>114650.27499999999</v>
      </c>
      <c r="BB913">
        <f t="shared" si="140"/>
        <v>183440.44</v>
      </c>
      <c r="BC913">
        <f t="shared" si="138"/>
        <v>458601.1</v>
      </c>
      <c r="BD913">
        <f t="shared" si="138"/>
        <v>687901.65</v>
      </c>
      <c r="BE913">
        <f t="shared" si="138"/>
        <v>1100642.6399999999</v>
      </c>
      <c r="BF913">
        <f t="shared" si="138"/>
        <v>1375803.3</v>
      </c>
      <c r="BG913">
        <f t="shared" si="138"/>
        <v>4586011</v>
      </c>
      <c r="BH913">
        <f t="shared" si="138"/>
        <v>13758033</v>
      </c>
      <c r="BI913">
        <f t="shared" si="138"/>
        <v>38981093.5</v>
      </c>
      <c r="BJ913">
        <f t="shared" si="138"/>
        <v>137580330</v>
      </c>
      <c r="BK913">
        <f t="shared" si="138"/>
        <v>458601100</v>
      </c>
      <c r="BL913">
        <v>908</v>
      </c>
    </row>
    <row r="914" spans="1:64" ht="17.25" thickBot="1" x14ac:dyDescent="0.25">
      <c r="A914" s="131">
        <v>910</v>
      </c>
      <c r="B914" s="135">
        <v>1272177544</v>
      </c>
      <c r="D914" s="131">
        <v>910</v>
      </c>
      <c r="E914" s="132">
        <v>46.007510000000003</v>
      </c>
      <c r="AK914">
        <v>908</v>
      </c>
      <c r="AL914" s="24">
        <f t="shared" si="137"/>
        <v>45.909300000000002</v>
      </c>
      <c r="AM914">
        <f t="shared" si="140"/>
        <v>321.36509999999998</v>
      </c>
      <c r="AN914">
        <f t="shared" si="140"/>
        <v>459.09300000000002</v>
      </c>
      <c r="AO914">
        <f t="shared" si="140"/>
        <v>688.6395</v>
      </c>
      <c r="AP914">
        <f t="shared" si="140"/>
        <v>918.18600000000004</v>
      </c>
      <c r="AQ914">
        <f t="shared" si="140"/>
        <v>1606.8255000000001</v>
      </c>
      <c r="AR914">
        <f t="shared" si="140"/>
        <v>2295.4650000000001</v>
      </c>
      <c r="AS914">
        <f t="shared" si="140"/>
        <v>3672.7440000000001</v>
      </c>
      <c r="AT914">
        <f t="shared" si="140"/>
        <v>5509.116</v>
      </c>
      <c r="AU914">
        <f t="shared" si="140"/>
        <v>7804.5810000000001</v>
      </c>
      <c r="AV914">
        <f t="shared" si="140"/>
        <v>11018.232</v>
      </c>
      <c r="AW914">
        <f t="shared" si="140"/>
        <v>15150.069000000001</v>
      </c>
      <c r="AX914">
        <f t="shared" si="140"/>
        <v>21118.278000000002</v>
      </c>
      <c r="AY914">
        <f t="shared" si="140"/>
        <v>36727.440000000002</v>
      </c>
      <c r="AZ914">
        <f t="shared" si="140"/>
        <v>68863.95</v>
      </c>
      <c r="BA914">
        <f t="shared" si="140"/>
        <v>114773.25</v>
      </c>
      <c r="BB914">
        <f t="shared" si="140"/>
        <v>183637.2</v>
      </c>
      <c r="BC914">
        <f t="shared" si="138"/>
        <v>459093</v>
      </c>
      <c r="BD914">
        <f t="shared" si="138"/>
        <v>688639.5</v>
      </c>
      <c r="BE914">
        <f t="shared" si="138"/>
        <v>1101823.2</v>
      </c>
      <c r="BF914">
        <f t="shared" si="138"/>
        <v>1377279</v>
      </c>
      <c r="BG914">
        <f t="shared" si="138"/>
        <v>4590930</v>
      </c>
      <c r="BH914">
        <f t="shared" si="138"/>
        <v>13772790</v>
      </c>
      <c r="BI914">
        <f t="shared" si="138"/>
        <v>39022905</v>
      </c>
      <c r="BJ914">
        <f t="shared" si="138"/>
        <v>137727900</v>
      </c>
      <c r="BK914">
        <f t="shared" si="138"/>
        <v>459093000</v>
      </c>
      <c r="BL914">
        <v>909</v>
      </c>
    </row>
    <row r="915" spans="1:64" ht="17.25" thickBot="1" x14ac:dyDescent="0.25">
      <c r="A915" s="131">
        <v>911</v>
      </c>
      <c r="B915" s="135">
        <v>1280186744</v>
      </c>
      <c r="D915" s="131">
        <v>911</v>
      </c>
      <c r="E915" s="132">
        <v>46.056530000000002</v>
      </c>
      <c r="AK915">
        <v>909</v>
      </c>
      <c r="AL915" s="24">
        <f t="shared" si="137"/>
        <v>45.95843</v>
      </c>
      <c r="AM915">
        <f t="shared" si="140"/>
        <v>321.70900999999998</v>
      </c>
      <c r="AN915">
        <f t="shared" si="140"/>
        <v>459.58429999999998</v>
      </c>
      <c r="AO915">
        <f t="shared" si="140"/>
        <v>689.37644999999998</v>
      </c>
      <c r="AP915">
        <f t="shared" si="140"/>
        <v>919.16859999999997</v>
      </c>
      <c r="AQ915">
        <f t="shared" si="140"/>
        <v>1608.5450499999999</v>
      </c>
      <c r="AR915">
        <f t="shared" si="140"/>
        <v>2297.9214999999999</v>
      </c>
      <c r="AS915">
        <f t="shared" si="140"/>
        <v>3676.6743999999999</v>
      </c>
      <c r="AT915">
        <f t="shared" si="140"/>
        <v>5515.0115999999998</v>
      </c>
      <c r="AU915">
        <f t="shared" si="140"/>
        <v>7812.9331000000002</v>
      </c>
      <c r="AV915">
        <f t="shared" si="140"/>
        <v>11030.0232</v>
      </c>
      <c r="AW915">
        <f t="shared" si="140"/>
        <v>15166.2819</v>
      </c>
      <c r="AX915">
        <f t="shared" si="140"/>
        <v>21140.877799999998</v>
      </c>
      <c r="AY915">
        <f t="shared" si="140"/>
        <v>36766.743999999999</v>
      </c>
      <c r="AZ915">
        <f t="shared" si="140"/>
        <v>68937.645000000004</v>
      </c>
      <c r="BA915">
        <f t="shared" si="140"/>
        <v>114896.075</v>
      </c>
      <c r="BB915">
        <f t="shared" si="140"/>
        <v>183833.72</v>
      </c>
      <c r="BC915">
        <f t="shared" si="138"/>
        <v>459584.3</v>
      </c>
      <c r="BD915">
        <f t="shared" si="138"/>
        <v>689376.45</v>
      </c>
      <c r="BE915">
        <f t="shared" si="138"/>
        <v>1103002.32</v>
      </c>
      <c r="BF915">
        <f t="shared" si="138"/>
        <v>1378752.9</v>
      </c>
      <c r="BG915">
        <f t="shared" si="138"/>
        <v>4595843</v>
      </c>
      <c r="BH915">
        <f t="shared" si="138"/>
        <v>13787529</v>
      </c>
      <c r="BI915">
        <f t="shared" si="138"/>
        <v>39064665.5</v>
      </c>
      <c r="BJ915">
        <f t="shared" si="138"/>
        <v>137875290</v>
      </c>
      <c r="BK915">
        <f t="shared" si="138"/>
        <v>459584300</v>
      </c>
      <c r="BL915">
        <v>910</v>
      </c>
    </row>
    <row r="916" spans="1:64" ht="17.25" thickBot="1" x14ac:dyDescent="0.25">
      <c r="A916" s="131">
        <v>912</v>
      </c>
      <c r="B916" s="135">
        <v>1288237833</v>
      </c>
      <c r="D916" s="131">
        <v>912</v>
      </c>
      <c r="E916" s="132">
        <v>46.105499999999999</v>
      </c>
      <c r="AK916">
        <v>910</v>
      </c>
      <c r="AL916" s="24">
        <f t="shared" si="137"/>
        <v>46.007510000000003</v>
      </c>
      <c r="AM916">
        <f t="shared" si="140"/>
        <v>322.05257</v>
      </c>
      <c r="AN916">
        <f t="shared" si="140"/>
        <v>460.07510000000002</v>
      </c>
      <c r="AO916">
        <f t="shared" si="140"/>
        <v>690.11265000000003</v>
      </c>
      <c r="AP916">
        <f t="shared" si="140"/>
        <v>920.15020000000004</v>
      </c>
      <c r="AQ916">
        <f t="shared" si="140"/>
        <v>1610.2628500000001</v>
      </c>
      <c r="AR916">
        <f t="shared" si="140"/>
        <v>2300.3755000000001</v>
      </c>
      <c r="AS916">
        <f t="shared" si="140"/>
        <v>3680.6008000000002</v>
      </c>
      <c r="AT916">
        <f t="shared" si="140"/>
        <v>5520.9012000000002</v>
      </c>
      <c r="AU916">
        <f t="shared" si="140"/>
        <v>7821.2767000000003</v>
      </c>
      <c r="AV916">
        <f t="shared" si="140"/>
        <v>11041.8024</v>
      </c>
      <c r="AW916">
        <f t="shared" si="140"/>
        <v>15182.478300000001</v>
      </c>
      <c r="AX916">
        <f t="shared" si="140"/>
        <v>21163.454600000001</v>
      </c>
      <c r="AY916">
        <f t="shared" si="140"/>
        <v>36806.008000000002</v>
      </c>
      <c r="AZ916">
        <f t="shared" si="140"/>
        <v>69011.264999999999</v>
      </c>
      <c r="BA916">
        <f t="shared" si="140"/>
        <v>115018.77500000001</v>
      </c>
      <c r="BB916">
        <f t="shared" si="140"/>
        <v>184030.04</v>
      </c>
      <c r="BC916">
        <f t="shared" si="138"/>
        <v>460075.10000000003</v>
      </c>
      <c r="BD916">
        <f t="shared" si="138"/>
        <v>690112.65</v>
      </c>
      <c r="BE916">
        <f t="shared" si="138"/>
        <v>1104180.24</v>
      </c>
      <c r="BF916">
        <f t="shared" si="138"/>
        <v>1380225.3</v>
      </c>
      <c r="BG916">
        <f t="shared" si="138"/>
        <v>4600751</v>
      </c>
      <c r="BH916">
        <f t="shared" si="138"/>
        <v>13802253.000000002</v>
      </c>
      <c r="BI916">
        <f t="shared" si="138"/>
        <v>39106383.5</v>
      </c>
      <c r="BJ916">
        <f t="shared" si="138"/>
        <v>138022530</v>
      </c>
      <c r="BK916">
        <f t="shared" si="138"/>
        <v>460075100.00000006</v>
      </c>
      <c r="BL916">
        <v>911</v>
      </c>
    </row>
    <row r="917" spans="1:64" ht="17.25" thickBot="1" x14ac:dyDescent="0.25">
      <c r="A917" s="131">
        <v>913</v>
      </c>
      <c r="B917" s="135">
        <v>1296330972</v>
      </c>
      <c r="D917" s="131">
        <v>913</v>
      </c>
      <c r="E917" s="132">
        <v>46.154420000000002</v>
      </c>
      <c r="AK917">
        <v>911</v>
      </c>
      <c r="AL917" s="24">
        <f t="shared" si="137"/>
        <v>46.056530000000002</v>
      </c>
      <c r="AM917">
        <f t="shared" si="140"/>
        <v>322.39571000000001</v>
      </c>
      <c r="AN917">
        <f t="shared" si="140"/>
        <v>460.56530000000004</v>
      </c>
      <c r="AO917">
        <f t="shared" si="140"/>
        <v>690.84795000000008</v>
      </c>
      <c r="AP917">
        <f t="shared" si="140"/>
        <v>921.13060000000007</v>
      </c>
      <c r="AQ917">
        <f t="shared" si="140"/>
        <v>1611.97855</v>
      </c>
      <c r="AR917">
        <f t="shared" si="140"/>
        <v>2302.8265000000001</v>
      </c>
      <c r="AS917">
        <f t="shared" si="140"/>
        <v>3684.5224000000003</v>
      </c>
      <c r="AT917">
        <f t="shared" si="140"/>
        <v>5526.7836000000007</v>
      </c>
      <c r="AU917">
        <f t="shared" si="140"/>
        <v>7829.6101000000008</v>
      </c>
      <c r="AV917">
        <f t="shared" si="140"/>
        <v>11053.567200000001</v>
      </c>
      <c r="AW917">
        <f t="shared" si="140"/>
        <v>15198.654900000001</v>
      </c>
      <c r="AX917">
        <f t="shared" si="140"/>
        <v>21186.003800000002</v>
      </c>
      <c r="AY917">
        <f t="shared" si="140"/>
        <v>36845.224000000002</v>
      </c>
      <c r="AZ917">
        <f t="shared" si="140"/>
        <v>69084.794999999998</v>
      </c>
      <c r="BA917">
        <f t="shared" si="140"/>
        <v>115141.32500000001</v>
      </c>
      <c r="BB917">
        <f t="shared" si="140"/>
        <v>184226.12</v>
      </c>
      <c r="BC917">
        <f t="shared" si="138"/>
        <v>460565.30000000005</v>
      </c>
      <c r="BD917">
        <f t="shared" si="138"/>
        <v>690847.95000000007</v>
      </c>
      <c r="BE917">
        <f t="shared" si="138"/>
        <v>1105356.72</v>
      </c>
      <c r="BF917">
        <f t="shared" si="138"/>
        <v>1381695.9000000001</v>
      </c>
      <c r="BG917">
        <f t="shared" si="138"/>
        <v>4605653</v>
      </c>
      <c r="BH917">
        <f t="shared" si="138"/>
        <v>13816959</v>
      </c>
      <c r="BI917">
        <f t="shared" si="138"/>
        <v>39148050.5</v>
      </c>
      <c r="BJ917">
        <f t="shared" si="138"/>
        <v>138169590</v>
      </c>
      <c r="BK917">
        <f t="shared" si="138"/>
        <v>460565300</v>
      </c>
      <c r="BL917">
        <v>912</v>
      </c>
    </row>
    <row r="918" spans="1:64" ht="17.25" thickBot="1" x14ac:dyDescent="0.25">
      <c r="A918" s="131">
        <v>914</v>
      </c>
      <c r="B918" s="135">
        <v>1304466316</v>
      </c>
      <c r="D918" s="131">
        <v>914</v>
      </c>
      <c r="E918" s="132">
        <v>46.203279999999999</v>
      </c>
      <c r="AK918">
        <v>912</v>
      </c>
      <c r="AL918" s="24">
        <f t="shared" si="137"/>
        <v>46.105499999999999</v>
      </c>
      <c r="AM918">
        <f t="shared" si="140"/>
        <v>322.73849999999999</v>
      </c>
      <c r="AN918">
        <f t="shared" si="140"/>
        <v>461.05500000000001</v>
      </c>
      <c r="AO918">
        <f t="shared" si="140"/>
        <v>691.58249999999998</v>
      </c>
      <c r="AP918">
        <f t="shared" si="140"/>
        <v>922.11</v>
      </c>
      <c r="AQ918">
        <f t="shared" si="140"/>
        <v>1613.6924999999999</v>
      </c>
      <c r="AR918">
        <f t="shared" si="140"/>
        <v>2305.2750000000001</v>
      </c>
      <c r="AS918">
        <f t="shared" si="140"/>
        <v>3688.44</v>
      </c>
      <c r="AT918">
        <f t="shared" si="140"/>
        <v>5532.66</v>
      </c>
      <c r="AU918">
        <f t="shared" si="140"/>
        <v>7837.9349999999995</v>
      </c>
      <c r="AV918">
        <f t="shared" si="140"/>
        <v>11065.32</v>
      </c>
      <c r="AW918">
        <f t="shared" si="140"/>
        <v>15214.815000000001</v>
      </c>
      <c r="AX918">
        <f t="shared" si="140"/>
        <v>21208.53</v>
      </c>
      <c r="AY918">
        <f t="shared" si="140"/>
        <v>36884.400000000001</v>
      </c>
      <c r="AZ918">
        <f t="shared" si="140"/>
        <v>69158.25</v>
      </c>
      <c r="BA918">
        <f t="shared" si="140"/>
        <v>115263.75</v>
      </c>
      <c r="BB918">
        <f t="shared" si="140"/>
        <v>184422</v>
      </c>
      <c r="BC918">
        <f t="shared" si="138"/>
        <v>461055</v>
      </c>
      <c r="BD918">
        <f t="shared" si="138"/>
        <v>691582.5</v>
      </c>
      <c r="BE918">
        <f t="shared" si="138"/>
        <v>1106532</v>
      </c>
      <c r="BF918">
        <f t="shared" si="138"/>
        <v>1383165</v>
      </c>
      <c r="BG918">
        <f t="shared" si="138"/>
        <v>4610550</v>
      </c>
      <c r="BH918">
        <f t="shared" si="138"/>
        <v>13831650</v>
      </c>
      <c r="BI918">
        <f t="shared" si="138"/>
        <v>39189675</v>
      </c>
      <c r="BJ918">
        <f t="shared" si="138"/>
        <v>138316500</v>
      </c>
      <c r="BK918">
        <f t="shared" si="138"/>
        <v>461055000</v>
      </c>
      <c r="BL918">
        <v>913</v>
      </c>
    </row>
    <row r="919" spans="1:64" ht="17.25" thickBot="1" x14ac:dyDescent="0.25">
      <c r="A919" s="131">
        <v>915</v>
      </c>
      <c r="B919" s="135">
        <v>1312644027</v>
      </c>
      <c r="D919" s="131">
        <v>915</v>
      </c>
      <c r="E919" s="132">
        <v>46.252090000000003</v>
      </c>
      <c r="AK919">
        <v>913</v>
      </c>
      <c r="AL919" s="24">
        <f t="shared" si="137"/>
        <v>46.154420000000002</v>
      </c>
      <c r="AM919">
        <f t="shared" si="140"/>
        <v>323.08094</v>
      </c>
      <c r="AN919">
        <f t="shared" si="140"/>
        <v>461.54420000000005</v>
      </c>
      <c r="AO919">
        <f t="shared" si="140"/>
        <v>692.31630000000007</v>
      </c>
      <c r="AP919">
        <f t="shared" si="140"/>
        <v>923.08840000000009</v>
      </c>
      <c r="AQ919">
        <f t="shared" si="140"/>
        <v>1615.4047</v>
      </c>
      <c r="AR919">
        <f t="shared" si="140"/>
        <v>2307.721</v>
      </c>
      <c r="AS919">
        <f t="shared" si="140"/>
        <v>3692.3536000000004</v>
      </c>
      <c r="AT919">
        <f t="shared" si="140"/>
        <v>5538.5304000000006</v>
      </c>
      <c r="AU919">
        <f t="shared" si="140"/>
        <v>7846.2514000000001</v>
      </c>
      <c r="AV919">
        <f t="shared" si="140"/>
        <v>11077.060800000001</v>
      </c>
      <c r="AW919">
        <f t="shared" si="140"/>
        <v>15230.9586</v>
      </c>
      <c r="AX919">
        <f t="shared" si="140"/>
        <v>21231.033200000002</v>
      </c>
      <c r="AY919">
        <f t="shared" si="140"/>
        <v>36923.536</v>
      </c>
      <c r="AZ919">
        <f t="shared" si="140"/>
        <v>69231.63</v>
      </c>
      <c r="BA919">
        <f t="shared" si="140"/>
        <v>115386.05</v>
      </c>
      <c r="BB919">
        <f t="shared" si="140"/>
        <v>184617.68</v>
      </c>
      <c r="BC919">
        <f t="shared" si="138"/>
        <v>461544.2</v>
      </c>
      <c r="BD919">
        <f t="shared" si="138"/>
        <v>692316.3</v>
      </c>
      <c r="BE919">
        <f t="shared" si="138"/>
        <v>1107706.08</v>
      </c>
      <c r="BF919">
        <f t="shared" si="138"/>
        <v>1384632.6</v>
      </c>
      <c r="BG919">
        <f t="shared" si="138"/>
        <v>4615442</v>
      </c>
      <c r="BH919">
        <f t="shared" si="138"/>
        <v>13846326</v>
      </c>
      <c r="BI919">
        <f t="shared" si="138"/>
        <v>39231257</v>
      </c>
      <c r="BJ919">
        <f t="shared" si="138"/>
        <v>138463260</v>
      </c>
      <c r="BK919">
        <f t="shared" si="138"/>
        <v>461544200</v>
      </c>
      <c r="BL919">
        <v>914</v>
      </c>
    </row>
    <row r="920" spans="1:64" ht="17.25" thickBot="1" x14ac:dyDescent="0.25">
      <c r="A920" s="131">
        <v>916</v>
      </c>
      <c r="B920" s="135">
        <v>1320864266</v>
      </c>
      <c r="D920" s="131">
        <v>916</v>
      </c>
      <c r="E920" s="132">
        <v>46.300849999999997</v>
      </c>
      <c r="AK920">
        <v>914</v>
      </c>
      <c r="AL920" s="24">
        <f t="shared" si="137"/>
        <v>46.203279999999999</v>
      </c>
      <c r="AM920">
        <f t="shared" si="140"/>
        <v>323.42295999999999</v>
      </c>
      <c r="AN920">
        <f t="shared" si="140"/>
        <v>462.03280000000001</v>
      </c>
      <c r="AO920">
        <f t="shared" si="140"/>
        <v>693.04920000000004</v>
      </c>
      <c r="AP920">
        <f t="shared" si="140"/>
        <v>924.06560000000002</v>
      </c>
      <c r="AQ920">
        <f t="shared" si="140"/>
        <v>1617.1148000000001</v>
      </c>
      <c r="AR920">
        <f t="shared" si="140"/>
        <v>2310.1639999999998</v>
      </c>
      <c r="AS920">
        <f t="shared" si="140"/>
        <v>3696.2624000000001</v>
      </c>
      <c r="AT920">
        <f t="shared" si="140"/>
        <v>5544.3936000000003</v>
      </c>
      <c r="AU920">
        <f t="shared" si="140"/>
        <v>7854.5576000000001</v>
      </c>
      <c r="AV920">
        <f t="shared" si="140"/>
        <v>11088.787200000001</v>
      </c>
      <c r="AW920">
        <f t="shared" si="140"/>
        <v>15247.082399999999</v>
      </c>
      <c r="AX920">
        <f t="shared" si="140"/>
        <v>21253.5088</v>
      </c>
      <c r="AY920">
        <f t="shared" si="140"/>
        <v>36962.623999999996</v>
      </c>
      <c r="AZ920">
        <f t="shared" si="140"/>
        <v>69304.92</v>
      </c>
      <c r="BA920">
        <f t="shared" si="140"/>
        <v>115508.2</v>
      </c>
      <c r="BB920">
        <f t="shared" si="140"/>
        <v>184813.12</v>
      </c>
      <c r="BC920">
        <f t="shared" si="138"/>
        <v>462032.8</v>
      </c>
      <c r="BD920">
        <f t="shared" si="138"/>
        <v>693049.2</v>
      </c>
      <c r="BE920">
        <f t="shared" si="138"/>
        <v>1108878.72</v>
      </c>
      <c r="BF920">
        <f t="shared" si="138"/>
        <v>1386098.4</v>
      </c>
      <c r="BG920">
        <f t="shared" si="138"/>
        <v>4620328</v>
      </c>
      <c r="BH920">
        <f t="shared" ref="BC920:BK948" si="141">BH$5*VLOOKUP($AK920,$D$2:$E$1404,2,FALSE)</f>
        <v>13860984</v>
      </c>
      <c r="BI920">
        <f t="shared" si="141"/>
        <v>39272788</v>
      </c>
      <c r="BJ920">
        <f t="shared" si="141"/>
        <v>138609840</v>
      </c>
      <c r="BK920">
        <f t="shared" si="141"/>
        <v>462032800</v>
      </c>
      <c r="BL920">
        <v>915</v>
      </c>
    </row>
    <row r="921" spans="1:64" ht="17.25" thickBot="1" x14ac:dyDescent="0.25">
      <c r="A921" s="131">
        <v>917</v>
      </c>
      <c r="B921" s="135">
        <v>1329127200</v>
      </c>
      <c r="D921" s="131">
        <v>917</v>
      </c>
      <c r="E921" s="132">
        <v>46.349559999999997</v>
      </c>
      <c r="AK921">
        <v>915</v>
      </c>
      <c r="AL921" s="24">
        <f t="shared" si="137"/>
        <v>46.252090000000003</v>
      </c>
      <c r="AM921">
        <f t="shared" si="140"/>
        <v>323.76463000000001</v>
      </c>
      <c r="AN921">
        <f t="shared" si="140"/>
        <v>462.52090000000004</v>
      </c>
      <c r="AO921">
        <f t="shared" si="140"/>
        <v>693.78135000000009</v>
      </c>
      <c r="AP921">
        <f t="shared" si="140"/>
        <v>925.04180000000008</v>
      </c>
      <c r="AQ921">
        <f t="shared" si="140"/>
        <v>1618.8231500000002</v>
      </c>
      <c r="AR921">
        <f t="shared" si="140"/>
        <v>2312.6044999999999</v>
      </c>
      <c r="AS921">
        <f t="shared" si="140"/>
        <v>3700.1672000000003</v>
      </c>
      <c r="AT921">
        <f t="shared" si="140"/>
        <v>5550.2508000000007</v>
      </c>
      <c r="AU921">
        <f t="shared" si="140"/>
        <v>7862.8553000000002</v>
      </c>
      <c r="AV921">
        <f t="shared" si="140"/>
        <v>11100.501600000001</v>
      </c>
      <c r="AW921">
        <f t="shared" si="140"/>
        <v>15263.189700000001</v>
      </c>
      <c r="AX921">
        <f t="shared" si="140"/>
        <v>21275.9614</v>
      </c>
      <c r="AY921">
        <f t="shared" si="140"/>
        <v>37001.671999999999</v>
      </c>
      <c r="AZ921">
        <f t="shared" si="140"/>
        <v>69378.135000000009</v>
      </c>
      <c r="BA921">
        <f t="shared" si="140"/>
        <v>115630.22500000001</v>
      </c>
      <c r="BB921">
        <f t="shared" si="140"/>
        <v>185008.36000000002</v>
      </c>
      <c r="BC921">
        <f t="shared" si="141"/>
        <v>462520.9</v>
      </c>
      <c r="BD921">
        <f t="shared" si="141"/>
        <v>693781.35000000009</v>
      </c>
      <c r="BE921">
        <f t="shared" si="141"/>
        <v>1110050.1600000001</v>
      </c>
      <c r="BF921">
        <f t="shared" si="141"/>
        <v>1387562.7000000002</v>
      </c>
      <c r="BG921">
        <f t="shared" si="141"/>
        <v>4625209</v>
      </c>
      <c r="BH921">
        <f t="shared" si="141"/>
        <v>13875627</v>
      </c>
      <c r="BI921">
        <f t="shared" si="141"/>
        <v>39314276.5</v>
      </c>
      <c r="BJ921">
        <f t="shared" si="141"/>
        <v>138756270</v>
      </c>
      <c r="BK921">
        <f t="shared" si="141"/>
        <v>462520900</v>
      </c>
      <c r="BL921">
        <v>916</v>
      </c>
    </row>
    <row r="922" spans="1:64" ht="17.25" thickBot="1" x14ac:dyDescent="0.25">
      <c r="A922" s="131">
        <v>918</v>
      </c>
      <c r="B922" s="135">
        <v>1337432983</v>
      </c>
      <c r="D922" s="131">
        <v>918</v>
      </c>
      <c r="E922" s="132">
        <v>46.398209999999999</v>
      </c>
      <c r="AK922">
        <v>916</v>
      </c>
      <c r="AL922" s="24">
        <f t="shared" si="137"/>
        <v>46.300849999999997</v>
      </c>
      <c r="AM922">
        <f t="shared" si="140"/>
        <v>324.10595000000001</v>
      </c>
      <c r="AN922">
        <f t="shared" si="140"/>
        <v>463.00849999999997</v>
      </c>
      <c r="AO922">
        <f t="shared" si="140"/>
        <v>694.51274999999998</v>
      </c>
      <c r="AP922">
        <f t="shared" si="140"/>
        <v>926.01699999999994</v>
      </c>
      <c r="AQ922">
        <f t="shared" si="140"/>
        <v>1620.5297499999999</v>
      </c>
      <c r="AR922">
        <f t="shared" si="140"/>
        <v>2315.0425</v>
      </c>
      <c r="AS922">
        <f t="shared" si="140"/>
        <v>3704.0679999999998</v>
      </c>
      <c r="AT922">
        <f t="shared" si="140"/>
        <v>5556.1019999999999</v>
      </c>
      <c r="AU922">
        <f t="shared" si="140"/>
        <v>7871.1444999999994</v>
      </c>
      <c r="AV922">
        <f t="shared" si="140"/>
        <v>11112.204</v>
      </c>
      <c r="AW922">
        <f t="shared" si="140"/>
        <v>15279.280499999999</v>
      </c>
      <c r="AX922">
        <f t="shared" si="140"/>
        <v>21298.391</v>
      </c>
      <c r="AY922">
        <f t="shared" si="140"/>
        <v>37040.68</v>
      </c>
      <c r="AZ922">
        <f t="shared" si="140"/>
        <v>69451.274999999994</v>
      </c>
      <c r="BA922">
        <f t="shared" si="140"/>
        <v>115752.12499999999</v>
      </c>
      <c r="BB922">
        <f t="shared" si="140"/>
        <v>185203.4</v>
      </c>
      <c r="BC922">
        <f t="shared" si="141"/>
        <v>463008.49999999994</v>
      </c>
      <c r="BD922">
        <f t="shared" si="141"/>
        <v>694512.75</v>
      </c>
      <c r="BE922">
        <f t="shared" si="141"/>
        <v>1111220.3999999999</v>
      </c>
      <c r="BF922">
        <f t="shared" si="141"/>
        <v>1389025.5</v>
      </c>
      <c r="BG922">
        <f t="shared" si="141"/>
        <v>4630085</v>
      </c>
      <c r="BH922">
        <f t="shared" si="141"/>
        <v>13890255</v>
      </c>
      <c r="BI922">
        <f t="shared" si="141"/>
        <v>39355722.5</v>
      </c>
      <c r="BJ922">
        <f t="shared" si="141"/>
        <v>138902550</v>
      </c>
      <c r="BK922">
        <f t="shared" si="141"/>
        <v>463008499.99999994</v>
      </c>
      <c r="BL922">
        <v>917</v>
      </c>
    </row>
    <row r="923" spans="1:64" ht="17.25" thickBot="1" x14ac:dyDescent="0.25">
      <c r="A923" s="131">
        <v>919</v>
      </c>
      <c r="B923" s="135">
        <v>1345781783</v>
      </c>
      <c r="D923" s="131">
        <v>919</v>
      </c>
      <c r="E923" s="132">
        <v>46.446809999999999</v>
      </c>
      <c r="AK923">
        <v>917</v>
      </c>
      <c r="AL923" s="24">
        <f t="shared" si="137"/>
        <v>46.349559999999997</v>
      </c>
      <c r="AM923">
        <f t="shared" si="140"/>
        <v>324.44691999999998</v>
      </c>
      <c r="AN923">
        <f t="shared" si="140"/>
        <v>463.49559999999997</v>
      </c>
      <c r="AO923">
        <f t="shared" si="140"/>
        <v>695.24339999999995</v>
      </c>
      <c r="AP923">
        <f t="shared" si="140"/>
        <v>926.99119999999994</v>
      </c>
      <c r="AQ923">
        <f t="shared" si="140"/>
        <v>1622.2345999999998</v>
      </c>
      <c r="AR923">
        <f t="shared" si="140"/>
        <v>2317.4780000000001</v>
      </c>
      <c r="AS923">
        <f t="shared" si="140"/>
        <v>3707.9647999999997</v>
      </c>
      <c r="AT923">
        <f t="shared" si="140"/>
        <v>5561.9471999999996</v>
      </c>
      <c r="AU923">
        <f t="shared" si="140"/>
        <v>7879.4251999999997</v>
      </c>
      <c r="AV923">
        <f t="shared" si="140"/>
        <v>11123.894399999999</v>
      </c>
      <c r="AW923">
        <f t="shared" si="140"/>
        <v>15295.354799999999</v>
      </c>
      <c r="AX923">
        <f t="shared" si="140"/>
        <v>21320.797599999998</v>
      </c>
      <c r="AY923">
        <f t="shared" si="140"/>
        <v>37079.648000000001</v>
      </c>
      <c r="AZ923">
        <f t="shared" si="140"/>
        <v>69524.34</v>
      </c>
      <c r="BA923">
        <f t="shared" si="140"/>
        <v>115873.9</v>
      </c>
      <c r="BB923">
        <f t="shared" si="140"/>
        <v>185398.24</v>
      </c>
      <c r="BC923">
        <f t="shared" si="141"/>
        <v>463495.6</v>
      </c>
      <c r="BD923">
        <f t="shared" si="141"/>
        <v>695243.39999999991</v>
      </c>
      <c r="BE923">
        <f t="shared" si="141"/>
        <v>1112389.44</v>
      </c>
      <c r="BF923">
        <f t="shared" si="141"/>
        <v>1390486.7999999998</v>
      </c>
      <c r="BG923">
        <f t="shared" si="141"/>
        <v>4634956</v>
      </c>
      <c r="BH923">
        <f t="shared" si="141"/>
        <v>13904867.999999998</v>
      </c>
      <c r="BI923">
        <f t="shared" si="141"/>
        <v>39397126</v>
      </c>
      <c r="BJ923">
        <f t="shared" si="141"/>
        <v>139048680</v>
      </c>
      <c r="BK923">
        <f t="shared" si="141"/>
        <v>463495599.99999994</v>
      </c>
      <c r="BL923">
        <v>918</v>
      </c>
    </row>
    <row r="924" spans="1:64" ht="17.25" thickBot="1" x14ac:dyDescent="0.25">
      <c r="A924" s="131">
        <v>920</v>
      </c>
      <c r="B924" s="135">
        <v>1354173761</v>
      </c>
      <c r="D924" s="131">
        <v>920</v>
      </c>
      <c r="E924" s="132">
        <v>46.495359999999998</v>
      </c>
      <c r="AK924">
        <v>918</v>
      </c>
      <c r="AL924" s="24">
        <f t="shared" si="137"/>
        <v>46.398209999999999</v>
      </c>
      <c r="AM924">
        <f t="shared" si="140"/>
        <v>324.78746999999998</v>
      </c>
      <c r="AN924">
        <f t="shared" si="140"/>
        <v>463.9821</v>
      </c>
      <c r="AO924">
        <f t="shared" si="140"/>
        <v>695.97315000000003</v>
      </c>
      <c r="AP924">
        <f t="shared" si="140"/>
        <v>927.96420000000001</v>
      </c>
      <c r="AQ924">
        <f t="shared" si="140"/>
        <v>1623.9373499999999</v>
      </c>
      <c r="AR924">
        <f t="shared" si="140"/>
        <v>2319.9105</v>
      </c>
      <c r="AS924">
        <f t="shared" si="140"/>
        <v>3711.8568</v>
      </c>
      <c r="AT924">
        <f t="shared" si="140"/>
        <v>5567.7852000000003</v>
      </c>
      <c r="AU924">
        <f t="shared" si="140"/>
        <v>7887.6957000000002</v>
      </c>
      <c r="AV924">
        <f t="shared" si="140"/>
        <v>11135.570400000001</v>
      </c>
      <c r="AW924">
        <f t="shared" si="140"/>
        <v>15311.409299999999</v>
      </c>
      <c r="AX924">
        <f t="shared" si="140"/>
        <v>21343.176599999999</v>
      </c>
      <c r="AY924">
        <f t="shared" si="140"/>
        <v>37118.567999999999</v>
      </c>
      <c r="AZ924">
        <f t="shared" si="140"/>
        <v>69597.315000000002</v>
      </c>
      <c r="BA924">
        <f t="shared" si="140"/>
        <v>115995.52499999999</v>
      </c>
      <c r="BB924">
        <f t="shared" si="140"/>
        <v>185592.84</v>
      </c>
      <c r="BC924">
        <f t="shared" si="141"/>
        <v>463982.1</v>
      </c>
      <c r="BD924">
        <f t="shared" si="141"/>
        <v>695973.15</v>
      </c>
      <c r="BE924">
        <f t="shared" si="141"/>
        <v>1113557.04</v>
      </c>
      <c r="BF924">
        <f t="shared" si="141"/>
        <v>1391946.3</v>
      </c>
      <c r="BG924">
        <f t="shared" si="141"/>
        <v>4639821</v>
      </c>
      <c r="BH924">
        <f t="shared" si="141"/>
        <v>13919463</v>
      </c>
      <c r="BI924">
        <f t="shared" si="141"/>
        <v>39438478.5</v>
      </c>
      <c r="BJ924">
        <f t="shared" si="141"/>
        <v>139194630</v>
      </c>
      <c r="BK924">
        <f t="shared" si="141"/>
        <v>463982100</v>
      </c>
      <c r="BL924">
        <v>919</v>
      </c>
    </row>
    <row r="925" spans="1:64" ht="17.25" thickBot="1" x14ac:dyDescent="0.25">
      <c r="A925" s="131">
        <v>921</v>
      </c>
      <c r="B925" s="135">
        <v>1362609077</v>
      </c>
      <c r="D925" s="131">
        <v>921</v>
      </c>
      <c r="E925" s="132">
        <v>46.543860000000002</v>
      </c>
      <c r="AK925">
        <v>919</v>
      </c>
      <c r="AL925" s="24">
        <f t="shared" si="137"/>
        <v>46.446809999999999</v>
      </c>
      <c r="AM925">
        <f t="shared" si="140"/>
        <v>325.12766999999997</v>
      </c>
      <c r="AN925">
        <f t="shared" si="140"/>
        <v>464.46809999999999</v>
      </c>
      <c r="AO925">
        <f t="shared" si="140"/>
        <v>696.70214999999996</v>
      </c>
      <c r="AP925">
        <f t="shared" si="140"/>
        <v>928.93619999999999</v>
      </c>
      <c r="AQ925">
        <f t="shared" si="140"/>
        <v>1625.6383499999999</v>
      </c>
      <c r="AR925">
        <f t="shared" si="140"/>
        <v>2322.3404999999998</v>
      </c>
      <c r="AS925">
        <f t="shared" si="140"/>
        <v>3715.7447999999999</v>
      </c>
      <c r="AT925">
        <f t="shared" si="140"/>
        <v>5573.6171999999997</v>
      </c>
      <c r="AU925">
        <f t="shared" si="140"/>
        <v>7895.9576999999999</v>
      </c>
      <c r="AV925">
        <f t="shared" si="140"/>
        <v>11147.234399999999</v>
      </c>
      <c r="AW925">
        <f t="shared" si="140"/>
        <v>15327.4473</v>
      </c>
      <c r="AX925">
        <f t="shared" si="140"/>
        <v>21365.532599999999</v>
      </c>
      <c r="AY925">
        <f t="shared" si="140"/>
        <v>37157.447999999997</v>
      </c>
      <c r="AZ925">
        <f t="shared" si="140"/>
        <v>69670.214999999997</v>
      </c>
      <c r="BA925">
        <f t="shared" si="140"/>
        <v>116117.02499999999</v>
      </c>
      <c r="BB925">
        <f t="shared" si="140"/>
        <v>185787.24</v>
      </c>
      <c r="BC925">
        <f t="shared" si="141"/>
        <v>464468.1</v>
      </c>
      <c r="BD925">
        <f t="shared" si="141"/>
        <v>696702.15</v>
      </c>
      <c r="BE925">
        <f t="shared" si="141"/>
        <v>1114723.44</v>
      </c>
      <c r="BF925">
        <f t="shared" si="141"/>
        <v>1393404.3</v>
      </c>
      <c r="BG925">
        <f t="shared" si="141"/>
        <v>4644681</v>
      </c>
      <c r="BH925">
        <f t="shared" si="141"/>
        <v>13934043</v>
      </c>
      <c r="BI925">
        <f t="shared" si="141"/>
        <v>39479788.5</v>
      </c>
      <c r="BJ925">
        <f t="shared" si="141"/>
        <v>139340430</v>
      </c>
      <c r="BK925">
        <f t="shared" si="141"/>
        <v>464468100</v>
      </c>
      <c r="BL925">
        <v>920</v>
      </c>
    </row>
    <row r="926" spans="1:64" ht="17.25" thickBot="1" x14ac:dyDescent="0.25">
      <c r="A926" s="131">
        <v>922</v>
      </c>
      <c r="B926" s="135">
        <v>1371087900</v>
      </c>
      <c r="D926" s="131">
        <v>922</v>
      </c>
      <c r="E926" s="132">
        <v>46.592300000000002</v>
      </c>
      <c r="AK926">
        <v>920</v>
      </c>
      <c r="AL926" s="24">
        <f t="shared" si="137"/>
        <v>46.495359999999998</v>
      </c>
      <c r="AM926">
        <f t="shared" si="140"/>
        <v>325.46751999999998</v>
      </c>
      <c r="AN926">
        <f t="shared" si="140"/>
        <v>464.95359999999999</v>
      </c>
      <c r="AO926">
        <f t="shared" si="140"/>
        <v>697.43039999999996</v>
      </c>
      <c r="AP926">
        <f t="shared" si="140"/>
        <v>929.90719999999999</v>
      </c>
      <c r="AQ926">
        <f t="shared" si="140"/>
        <v>1627.3375999999998</v>
      </c>
      <c r="AR926">
        <f t="shared" ref="AM926:BB942" si="142">AR$5*VLOOKUP($AK926,$D$2:$E$1404,2,FALSE)</f>
        <v>2324.768</v>
      </c>
      <c r="AS926">
        <f t="shared" si="142"/>
        <v>3719.6288</v>
      </c>
      <c r="AT926">
        <f t="shared" si="142"/>
        <v>5579.4431999999997</v>
      </c>
      <c r="AU926">
        <f t="shared" si="142"/>
        <v>7904.2111999999997</v>
      </c>
      <c r="AV926">
        <f t="shared" si="142"/>
        <v>11158.886399999999</v>
      </c>
      <c r="AW926">
        <f t="shared" si="142"/>
        <v>15343.468799999999</v>
      </c>
      <c r="AX926">
        <f t="shared" si="142"/>
        <v>21387.865599999997</v>
      </c>
      <c r="AY926">
        <f t="shared" si="142"/>
        <v>37196.288</v>
      </c>
      <c r="AZ926">
        <f t="shared" si="142"/>
        <v>69743.039999999994</v>
      </c>
      <c r="BA926">
        <f t="shared" si="142"/>
        <v>116238.39999999999</v>
      </c>
      <c r="BB926">
        <f t="shared" si="142"/>
        <v>185981.44</v>
      </c>
      <c r="BC926">
        <f t="shared" si="141"/>
        <v>464953.59999999998</v>
      </c>
      <c r="BD926">
        <f t="shared" si="141"/>
        <v>697430.4</v>
      </c>
      <c r="BE926">
        <f t="shared" si="141"/>
        <v>1115888.6399999999</v>
      </c>
      <c r="BF926">
        <f t="shared" si="141"/>
        <v>1394860.8</v>
      </c>
      <c r="BG926">
        <f t="shared" si="141"/>
        <v>4649536</v>
      </c>
      <c r="BH926">
        <f t="shared" si="141"/>
        <v>13948608</v>
      </c>
      <c r="BI926">
        <f t="shared" si="141"/>
        <v>39521056</v>
      </c>
      <c r="BJ926">
        <f t="shared" si="141"/>
        <v>139486080</v>
      </c>
      <c r="BK926">
        <f t="shared" si="141"/>
        <v>464953600</v>
      </c>
      <c r="BL926">
        <v>921</v>
      </c>
    </row>
    <row r="927" spans="1:64" ht="17.25" thickBot="1" x14ac:dyDescent="0.25">
      <c r="A927" s="131">
        <v>923</v>
      </c>
      <c r="B927" s="135">
        <v>1379610388</v>
      </c>
      <c r="D927" s="131">
        <v>923</v>
      </c>
      <c r="E927" s="132">
        <v>46.640689999999999</v>
      </c>
      <c r="AK927">
        <v>921</v>
      </c>
      <c r="AL927" s="24">
        <f t="shared" si="137"/>
        <v>46.543860000000002</v>
      </c>
      <c r="AM927">
        <f t="shared" si="142"/>
        <v>325.80702000000002</v>
      </c>
      <c r="AN927">
        <f t="shared" si="142"/>
        <v>465.43860000000001</v>
      </c>
      <c r="AO927">
        <f t="shared" si="142"/>
        <v>698.15790000000004</v>
      </c>
      <c r="AP927">
        <f t="shared" si="142"/>
        <v>930.87720000000002</v>
      </c>
      <c r="AQ927">
        <f t="shared" si="142"/>
        <v>1629.0351000000001</v>
      </c>
      <c r="AR927">
        <f t="shared" si="142"/>
        <v>2327.1930000000002</v>
      </c>
      <c r="AS927">
        <f t="shared" si="142"/>
        <v>3723.5088000000001</v>
      </c>
      <c r="AT927">
        <f t="shared" si="142"/>
        <v>5585.2632000000003</v>
      </c>
      <c r="AU927">
        <f t="shared" si="142"/>
        <v>7912.4562000000005</v>
      </c>
      <c r="AV927">
        <f t="shared" si="142"/>
        <v>11170.526400000001</v>
      </c>
      <c r="AW927">
        <f t="shared" si="142"/>
        <v>15359.473800000002</v>
      </c>
      <c r="AX927">
        <f t="shared" si="142"/>
        <v>21410.175600000002</v>
      </c>
      <c r="AY927">
        <f t="shared" si="142"/>
        <v>37235.088000000003</v>
      </c>
      <c r="AZ927">
        <f t="shared" si="142"/>
        <v>69815.790000000008</v>
      </c>
      <c r="BA927">
        <f t="shared" si="142"/>
        <v>116359.65000000001</v>
      </c>
      <c r="BB927">
        <f t="shared" si="142"/>
        <v>186175.44</v>
      </c>
      <c r="BC927">
        <f t="shared" si="141"/>
        <v>465438.60000000003</v>
      </c>
      <c r="BD927">
        <f t="shared" si="141"/>
        <v>698157.9</v>
      </c>
      <c r="BE927">
        <f t="shared" si="141"/>
        <v>1117052.6400000001</v>
      </c>
      <c r="BF927">
        <f t="shared" si="141"/>
        <v>1396315.8</v>
      </c>
      <c r="BG927">
        <f t="shared" si="141"/>
        <v>4654386</v>
      </c>
      <c r="BH927">
        <f t="shared" si="141"/>
        <v>13963158</v>
      </c>
      <c r="BI927">
        <f t="shared" si="141"/>
        <v>39562281</v>
      </c>
      <c r="BJ927">
        <f t="shared" si="141"/>
        <v>139631580</v>
      </c>
      <c r="BK927">
        <f t="shared" si="141"/>
        <v>465438600</v>
      </c>
      <c r="BL927">
        <v>922</v>
      </c>
    </row>
    <row r="928" spans="1:64" ht="17.25" thickBot="1" x14ac:dyDescent="0.25">
      <c r="A928" s="131">
        <v>924</v>
      </c>
      <c r="B928" s="135">
        <v>1388176711</v>
      </c>
      <c r="D928" s="131">
        <v>924</v>
      </c>
      <c r="E928" s="132">
        <v>46.689030000000002</v>
      </c>
      <c r="AK928">
        <v>922</v>
      </c>
      <c r="AL928" s="24">
        <f t="shared" si="137"/>
        <v>46.592300000000002</v>
      </c>
      <c r="AM928">
        <f t="shared" si="142"/>
        <v>326.14609999999999</v>
      </c>
      <c r="AN928">
        <f t="shared" si="142"/>
        <v>465.923</v>
      </c>
      <c r="AO928">
        <f t="shared" si="142"/>
        <v>698.8845</v>
      </c>
      <c r="AP928">
        <f t="shared" si="142"/>
        <v>931.846</v>
      </c>
      <c r="AQ928">
        <f t="shared" si="142"/>
        <v>1630.7305000000001</v>
      </c>
      <c r="AR928">
        <f t="shared" si="142"/>
        <v>2329.6150000000002</v>
      </c>
      <c r="AS928">
        <f t="shared" si="142"/>
        <v>3727.384</v>
      </c>
      <c r="AT928">
        <f t="shared" si="142"/>
        <v>5591.076</v>
      </c>
      <c r="AU928">
        <f t="shared" si="142"/>
        <v>7920.6910000000007</v>
      </c>
      <c r="AV928">
        <f t="shared" si="142"/>
        <v>11182.152</v>
      </c>
      <c r="AW928">
        <f t="shared" si="142"/>
        <v>15375.459000000001</v>
      </c>
      <c r="AX928">
        <f t="shared" si="142"/>
        <v>21432.458000000002</v>
      </c>
      <c r="AY928">
        <f t="shared" si="142"/>
        <v>37273.840000000004</v>
      </c>
      <c r="AZ928">
        <f t="shared" si="142"/>
        <v>69888.45</v>
      </c>
      <c r="BA928">
        <f t="shared" si="142"/>
        <v>116480.75</v>
      </c>
      <c r="BB928">
        <f t="shared" si="142"/>
        <v>186369.2</v>
      </c>
      <c r="BC928">
        <f t="shared" si="141"/>
        <v>465923</v>
      </c>
      <c r="BD928">
        <f t="shared" si="141"/>
        <v>698884.5</v>
      </c>
      <c r="BE928">
        <f t="shared" si="141"/>
        <v>1118215.2</v>
      </c>
      <c r="BF928">
        <f t="shared" si="141"/>
        <v>1397769</v>
      </c>
      <c r="BG928">
        <f t="shared" si="141"/>
        <v>4659230</v>
      </c>
      <c r="BH928">
        <f t="shared" si="141"/>
        <v>13977690</v>
      </c>
      <c r="BI928">
        <f t="shared" si="141"/>
        <v>39603455</v>
      </c>
      <c r="BJ928">
        <f t="shared" si="141"/>
        <v>139776900</v>
      </c>
      <c r="BK928">
        <f t="shared" si="141"/>
        <v>465923000</v>
      </c>
      <c r="BL928">
        <v>923</v>
      </c>
    </row>
    <row r="929" spans="1:64" ht="17.25" thickBot="1" x14ac:dyDescent="0.25">
      <c r="A929" s="131">
        <v>925</v>
      </c>
      <c r="B929" s="135">
        <v>1396787027</v>
      </c>
      <c r="D929" s="131">
        <v>925</v>
      </c>
      <c r="E929" s="132">
        <v>46.737319999999997</v>
      </c>
      <c r="AK929">
        <v>923</v>
      </c>
      <c r="AL929" s="24">
        <f t="shared" si="137"/>
        <v>46.640689999999999</v>
      </c>
      <c r="AM929">
        <f t="shared" si="142"/>
        <v>326.48482999999999</v>
      </c>
      <c r="AN929">
        <f t="shared" si="142"/>
        <v>466.40690000000001</v>
      </c>
      <c r="AO929">
        <f t="shared" si="142"/>
        <v>699.61035000000004</v>
      </c>
      <c r="AP929">
        <f t="shared" si="142"/>
        <v>932.81380000000001</v>
      </c>
      <c r="AQ929">
        <f t="shared" si="142"/>
        <v>1632.4241500000001</v>
      </c>
      <c r="AR929">
        <f t="shared" si="142"/>
        <v>2332.0344999999998</v>
      </c>
      <c r="AS929">
        <f t="shared" si="142"/>
        <v>3731.2552000000001</v>
      </c>
      <c r="AT929">
        <f t="shared" si="142"/>
        <v>5596.8828000000003</v>
      </c>
      <c r="AU929">
        <f t="shared" si="142"/>
        <v>7928.9173000000001</v>
      </c>
      <c r="AV929">
        <f t="shared" si="142"/>
        <v>11193.765600000001</v>
      </c>
      <c r="AW929">
        <f t="shared" si="142"/>
        <v>15391.4277</v>
      </c>
      <c r="AX929">
        <f t="shared" si="142"/>
        <v>21454.717400000001</v>
      </c>
      <c r="AY929">
        <f t="shared" si="142"/>
        <v>37312.551999999996</v>
      </c>
      <c r="AZ929">
        <f t="shared" si="142"/>
        <v>69961.035000000003</v>
      </c>
      <c r="BA929">
        <f t="shared" si="142"/>
        <v>116601.72499999999</v>
      </c>
      <c r="BB929">
        <f t="shared" si="142"/>
        <v>186562.76</v>
      </c>
      <c r="BC929">
        <f t="shared" si="141"/>
        <v>466406.89999999997</v>
      </c>
      <c r="BD929">
        <f t="shared" si="141"/>
        <v>699610.35</v>
      </c>
      <c r="BE929">
        <f t="shared" si="141"/>
        <v>1119376.56</v>
      </c>
      <c r="BF929">
        <f t="shared" si="141"/>
        <v>1399220.7</v>
      </c>
      <c r="BG929">
        <f t="shared" si="141"/>
        <v>4664069</v>
      </c>
      <c r="BH929">
        <f t="shared" si="141"/>
        <v>13992207</v>
      </c>
      <c r="BI929">
        <f t="shared" si="141"/>
        <v>39644586.5</v>
      </c>
      <c r="BJ929">
        <f t="shared" si="141"/>
        <v>139922070</v>
      </c>
      <c r="BK929">
        <f t="shared" si="141"/>
        <v>466406900</v>
      </c>
      <c r="BL929">
        <v>924</v>
      </c>
    </row>
    <row r="930" spans="1:64" ht="17.25" thickBot="1" x14ac:dyDescent="0.25">
      <c r="A930" s="131">
        <v>926</v>
      </c>
      <c r="B930" s="135">
        <v>1405441505</v>
      </c>
      <c r="D930" s="131">
        <v>926</v>
      </c>
      <c r="E930" s="132">
        <v>46.785559999999997</v>
      </c>
      <c r="AK930">
        <v>924</v>
      </c>
      <c r="AL930" s="24">
        <f t="shared" si="137"/>
        <v>46.689030000000002</v>
      </c>
      <c r="AM930">
        <f t="shared" si="142"/>
        <v>326.82321000000002</v>
      </c>
      <c r="AN930">
        <f t="shared" si="142"/>
        <v>466.89030000000002</v>
      </c>
      <c r="AO930">
        <f t="shared" si="142"/>
        <v>700.33545000000004</v>
      </c>
      <c r="AP930">
        <f t="shared" si="142"/>
        <v>933.78060000000005</v>
      </c>
      <c r="AQ930">
        <f t="shared" si="142"/>
        <v>1634.1160500000001</v>
      </c>
      <c r="AR930">
        <f t="shared" si="142"/>
        <v>2334.4515000000001</v>
      </c>
      <c r="AS930">
        <f t="shared" si="142"/>
        <v>3735.1224000000002</v>
      </c>
      <c r="AT930">
        <f t="shared" si="142"/>
        <v>5602.6836000000003</v>
      </c>
      <c r="AU930">
        <f t="shared" si="142"/>
        <v>7937.1351000000004</v>
      </c>
      <c r="AV930">
        <f t="shared" si="142"/>
        <v>11205.367200000001</v>
      </c>
      <c r="AW930">
        <f t="shared" si="142"/>
        <v>15407.3799</v>
      </c>
      <c r="AX930">
        <f t="shared" si="142"/>
        <v>21476.953800000003</v>
      </c>
      <c r="AY930">
        <f t="shared" si="142"/>
        <v>37351.224000000002</v>
      </c>
      <c r="AZ930">
        <f t="shared" si="142"/>
        <v>70033.544999999998</v>
      </c>
      <c r="BA930">
        <f t="shared" si="142"/>
        <v>116722.57500000001</v>
      </c>
      <c r="BB930">
        <f t="shared" si="142"/>
        <v>186756.12</v>
      </c>
      <c r="BC930">
        <f t="shared" si="141"/>
        <v>466890.30000000005</v>
      </c>
      <c r="BD930">
        <f t="shared" si="141"/>
        <v>700335.45000000007</v>
      </c>
      <c r="BE930">
        <f t="shared" si="141"/>
        <v>1120536.72</v>
      </c>
      <c r="BF930">
        <f t="shared" si="141"/>
        <v>1400670.9000000001</v>
      </c>
      <c r="BG930">
        <f t="shared" si="141"/>
        <v>4668903</v>
      </c>
      <c r="BH930">
        <f t="shared" si="141"/>
        <v>14006709</v>
      </c>
      <c r="BI930">
        <f t="shared" si="141"/>
        <v>39685675.5</v>
      </c>
      <c r="BJ930">
        <f t="shared" si="141"/>
        <v>140067090</v>
      </c>
      <c r="BK930">
        <f t="shared" si="141"/>
        <v>466890300</v>
      </c>
      <c r="BL930">
        <v>925</v>
      </c>
    </row>
    <row r="931" spans="1:64" ht="17.25" thickBot="1" x14ac:dyDescent="0.25">
      <c r="A931" s="131">
        <v>927</v>
      </c>
      <c r="B931" s="135">
        <v>1414140316</v>
      </c>
      <c r="D931" s="131">
        <v>927</v>
      </c>
      <c r="E931" s="132">
        <v>46.833739999999999</v>
      </c>
      <c r="AK931">
        <v>925</v>
      </c>
      <c r="AL931" s="24">
        <f t="shared" si="137"/>
        <v>46.737319999999997</v>
      </c>
      <c r="AM931">
        <f t="shared" si="142"/>
        <v>327.16123999999996</v>
      </c>
      <c r="AN931">
        <f t="shared" si="142"/>
        <v>467.3732</v>
      </c>
      <c r="AO931">
        <f t="shared" si="142"/>
        <v>701.0598</v>
      </c>
      <c r="AP931">
        <f t="shared" si="142"/>
        <v>934.74639999999999</v>
      </c>
      <c r="AQ931">
        <f t="shared" si="142"/>
        <v>1635.8062</v>
      </c>
      <c r="AR931">
        <f t="shared" si="142"/>
        <v>2336.866</v>
      </c>
      <c r="AS931">
        <f t="shared" si="142"/>
        <v>3738.9856</v>
      </c>
      <c r="AT931">
        <f t="shared" si="142"/>
        <v>5608.4784</v>
      </c>
      <c r="AU931">
        <f t="shared" si="142"/>
        <v>7945.344399999999</v>
      </c>
      <c r="AV931">
        <f t="shared" si="142"/>
        <v>11216.9568</v>
      </c>
      <c r="AW931">
        <f t="shared" si="142"/>
        <v>15423.315599999998</v>
      </c>
      <c r="AX931">
        <f t="shared" si="142"/>
        <v>21499.1672</v>
      </c>
      <c r="AY931">
        <f t="shared" si="142"/>
        <v>37389.856</v>
      </c>
      <c r="AZ931">
        <f t="shared" si="142"/>
        <v>70105.98</v>
      </c>
      <c r="BA931">
        <f t="shared" si="142"/>
        <v>116843.29999999999</v>
      </c>
      <c r="BB931">
        <f t="shared" si="142"/>
        <v>186949.28</v>
      </c>
      <c r="BC931">
        <f t="shared" si="141"/>
        <v>467373.19999999995</v>
      </c>
      <c r="BD931">
        <f t="shared" si="141"/>
        <v>701059.79999999993</v>
      </c>
      <c r="BE931">
        <f t="shared" si="141"/>
        <v>1121695.68</v>
      </c>
      <c r="BF931">
        <f t="shared" si="141"/>
        <v>1402119.5999999999</v>
      </c>
      <c r="BG931">
        <f t="shared" si="141"/>
        <v>4673732</v>
      </c>
      <c r="BH931">
        <f t="shared" si="141"/>
        <v>14021195.999999998</v>
      </c>
      <c r="BI931">
        <f t="shared" si="141"/>
        <v>39726722</v>
      </c>
      <c r="BJ931">
        <f t="shared" si="141"/>
        <v>140211960</v>
      </c>
      <c r="BK931">
        <f t="shared" si="141"/>
        <v>467373199.99999994</v>
      </c>
      <c r="BL931">
        <v>926</v>
      </c>
    </row>
    <row r="932" spans="1:64" ht="17.25" thickBot="1" x14ac:dyDescent="0.25">
      <c r="A932" s="131">
        <v>928</v>
      </c>
      <c r="B932" s="135">
        <v>1422883616</v>
      </c>
      <c r="D932" s="131">
        <v>928</v>
      </c>
      <c r="E932" s="132">
        <v>46.881869999999999</v>
      </c>
      <c r="AK932">
        <v>926</v>
      </c>
      <c r="AL932" s="24">
        <f t="shared" si="137"/>
        <v>46.785559999999997</v>
      </c>
      <c r="AM932">
        <f t="shared" si="142"/>
        <v>327.49892</v>
      </c>
      <c r="AN932">
        <f t="shared" si="142"/>
        <v>467.85559999999998</v>
      </c>
      <c r="AO932">
        <f t="shared" si="142"/>
        <v>701.78339999999992</v>
      </c>
      <c r="AP932">
        <f t="shared" si="142"/>
        <v>935.71119999999996</v>
      </c>
      <c r="AQ932">
        <f t="shared" si="142"/>
        <v>1637.4946</v>
      </c>
      <c r="AR932">
        <f t="shared" si="142"/>
        <v>2339.2779999999998</v>
      </c>
      <c r="AS932">
        <f t="shared" si="142"/>
        <v>3742.8447999999999</v>
      </c>
      <c r="AT932">
        <f t="shared" si="142"/>
        <v>5614.2671999999993</v>
      </c>
      <c r="AU932">
        <f t="shared" si="142"/>
        <v>7953.5451999999996</v>
      </c>
      <c r="AV932">
        <f t="shared" si="142"/>
        <v>11228.534399999999</v>
      </c>
      <c r="AW932">
        <f t="shared" si="142"/>
        <v>15439.234799999998</v>
      </c>
      <c r="AX932">
        <f t="shared" si="142"/>
        <v>21521.357599999999</v>
      </c>
      <c r="AY932">
        <f t="shared" si="142"/>
        <v>37428.447999999997</v>
      </c>
      <c r="AZ932">
        <f t="shared" si="142"/>
        <v>70178.34</v>
      </c>
      <c r="BA932">
        <f t="shared" si="142"/>
        <v>116963.9</v>
      </c>
      <c r="BB932">
        <f t="shared" si="142"/>
        <v>187142.24</v>
      </c>
      <c r="BC932">
        <f t="shared" si="141"/>
        <v>467855.6</v>
      </c>
      <c r="BD932">
        <f t="shared" si="141"/>
        <v>701783.39999999991</v>
      </c>
      <c r="BE932">
        <f t="shared" si="141"/>
        <v>1122853.44</v>
      </c>
      <c r="BF932">
        <f t="shared" si="141"/>
        <v>1403566.7999999998</v>
      </c>
      <c r="BG932">
        <f t="shared" si="141"/>
        <v>4678556</v>
      </c>
      <c r="BH932">
        <f t="shared" si="141"/>
        <v>14035667.999999998</v>
      </c>
      <c r="BI932">
        <f t="shared" si="141"/>
        <v>39767726</v>
      </c>
      <c r="BJ932">
        <f t="shared" si="141"/>
        <v>140356680</v>
      </c>
      <c r="BK932">
        <f t="shared" si="141"/>
        <v>467855599.99999994</v>
      </c>
      <c r="BL932">
        <v>927</v>
      </c>
    </row>
    <row r="933" spans="1:64" ht="17.25" thickBot="1" x14ac:dyDescent="0.25">
      <c r="A933" s="131">
        <v>929</v>
      </c>
      <c r="B933" s="135">
        <v>1431671577</v>
      </c>
      <c r="D933" s="131">
        <v>929</v>
      </c>
      <c r="E933" s="132">
        <v>46.929949999999998</v>
      </c>
      <c r="AK933">
        <v>927</v>
      </c>
      <c r="AL933" s="24">
        <f t="shared" si="137"/>
        <v>46.833739999999999</v>
      </c>
      <c r="AM933">
        <f t="shared" si="142"/>
        <v>327.83618000000001</v>
      </c>
      <c r="AN933">
        <f t="shared" si="142"/>
        <v>468.3374</v>
      </c>
      <c r="AO933">
        <f t="shared" si="142"/>
        <v>702.50609999999995</v>
      </c>
      <c r="AP933">
        <f t="shared" si="142"/>
        <v>936.6748</v>
      </c>
      <c r="AQ933">
        <f t="shared" si="142"/>
        <v>1639.1809000000001</v>
      </c>
      <c r="AR933">
        <f t="shared" si="142"/>
        <v>2341.6869999999999</v>
      </c>
      <c r="AS933">
        <f t="shared" si="142"/>
        <v>3746.6992</v>
      </c>
      <c r="AT933">
        <f t="shared" si="142"/>
        <v>5620.0487999999996</v>
      </c>
      <c r="AU933">
        <f t="shared" si="142"/>
        <v>7961.7357999999995</v>
      </c>
      <c r="AV933">
        <f t="shared" si="142"/>
        <v>11240.097599999999</v>
      </c>
      <c r="AW933">
        <f t="shared" si="142"/>
        <v>15455.1342</v>
      </c>
      <c r="AX933">
        <f t="shared" si="142"/>
        <v>21543.520400000001</v>
      </c>
      <c r="AY933">
        <f t="shared" si="142"/>
        <v>37466.991999999998</v>
      </c>
      <c r="AZ933">
        <f t="shared" si="142"/>
        <v>70250.61</v>
      </c>
      <c r="BA933">
        <f t="shared" si="142"/>
        <v>117084.34999999999</v>
      </c>
      <c r="BB933">
        <f t="shared" si="142"/>
        <v>187334.96</v>
      </c>
      <c r="BC933">
        <f t="shared" si="141"/>
        <v>468337.39999999997</v>
      </c>
      <c r="BD933">
        <f t="shared" si="141"/>
        <v>702506.1</v>
      </c>
      <c r="BE933">
        <f t="shared" si="141"/>
        <v>1124009.76</v>
      </c>
      <c r="BF933">
        <f t="shared" si="141"/>
        <v>1405012.2</v>
      </c>
      <c r="BG933">
        <f t="shared" si="141"/>
        <v>4683374</v>
      </c>
      <c r="BH933">
        <f t="shared" si="141"/>
        <v>14050122</v>
      </c>
      <c r="BI933">
        <f t="shared" si="141"/>
        <v>39808679</v>
      </c>
      <c r="BJ933">
        <f t="shared" si="141"/>
        <v>140501220</v>
      </c>
      <c r="BK933">
        <f t="shared" si="141"/>
        <v>468337400</v>
      </c>
      <c r="BL933">
        <v>928</v>
      </c>
    </row>
    <row r="934" spans="1:64" ht="17.25" thickBot="1" x14ac:dyDescent="0.25">
      <c r="A934" s="131">
        <v>930</v>
      </c>
      <c r="B934" s="135">
        <v>1440504366</v>
      </c>
      <c r="D934" s="131">
        <v>930</v>
      </c>
      <c r="E934" s="132">
        <v>46.977980000000002</v>
      </c>
      <c r="AK934">
        <v>928</v>
      </c>
      <c r="AL934" s="24">
        <f t="shared" si="137"/>
        <v>46.881869999999999</v>
      </c>
      <c r="AM934">
        <f t="shared" si="142"/>
        <v>328.17309</v>
      </c>
      <c r="AN934">
        <f t="shared" si="142"/>
        <v>468.81869999999998</v>
      </c>
      <c r="AO934">
        <f t="shared" si="142"/>
        <v>703.22804999999994</v>
      </c>
      <c r="AP934">
        <f t="shared" si="142"/>
        <v>937.63739999999996</v>
      </c>
      <c r="AQ934">
        <f t="shared" si="142"/>
        <v>1640.86545</v>
      </c>
      <c r="AR934">
        <f t="shared" si="142"/>
        <v>2344.0934999999999</v>
      </c>
      <c r="AS934">
        <f t="shared" si="142"/>
        <v>3750.5495999999998</v>
      </c>
      <c r="AT934">
        <f t="shared" si="142"/>
        <v>5625.8243999999995</v>
      </c>
      <c r="AU934">
        <f t="shared" si="142"/>
        <v>7969.9178999999995</v>
      </c>
      <c r="AV934">
        <f t="shared" si="142"/>
        <v>11251.648799999999</v>
      </c>
      <c r="AW934">
        <f t="shared" si="142"/>
        <v>15471.017099999999</v>
      </c>
      <c r="AX934">
        <f t="shared" si="142"/>
        <v>21565.660199999998</v>
      </c>
      <c r="AY934">
        <f t="shared" si="142"/>
        <v>37505.495999999999</v>
      </c>
      <c r="AZ934">
        <f t="shared" si="142"/>
        <v>70322.804999999993</v>
      </c>
      <c r="BA934">
        <f t="shared" si="142"/>
        <v>117204.675</v>
      </c>
      <c r="BB934">
        <f t="shared" si="142"/>
        <v>187527.48</v>
      </c>
      <c r="BC934">
        <f t="shared" si="141"/>
        <v>468818.7</v>
      </c>
      <c r="BD934">
        <f t="shared" si="141"/>
        <v>703228.05</v>
      </c>
      <c r="BE934">
        <f t="shared" si="141"/>
        <v>1125164.8799999999</v>
      </c>
      <c r="BF934">
        <f t="shared" si="141"/>
        <v>1406456.1</v>
      </c>
      <c r="BG934">
        <f t="shared" si="141"/>
        <v>4688187</v>
      </c>
      <c r="BH934">
        <f t="shared" si="141"/>
        <v>14064561</v>
      </c>
      <c r="BI934">
        <f t="shared" si="141"/>
        <v>39849589.5</v>
      </c>
      <c r="BJ934">
        <f t="shared" si="141"/>
        <v>140645610</v>
      </c>
      <c r="BK934">
        <f t="shared" si="141"/>
        <v>468818700</v>
      </c>
      <c r="BL934">
        <v>929</v>
      </c>
    </row>
    <row r="935" spans="1:64" ht="17.25" thickBot="1" x14ac:dyDescent="0.25">
      <c r="A935" s="131">
        <v>931</v>
      </c>
      <c r="B935" s="135">
        <v>1449382150</v>
      </c>
      <c r="D935" s="131">
        <v>931</v>
      </c>
      <c r="E935" s="132">
        <v>47.025959999999998</v>
      </c>
      <c r="AK935">
        <v>929</v>
      </c>
      <c r="AL935" s="24">
        <f t="shared" si="137"/>
        <v>46.929949999999998</v>
      </c>
      <c r="AM935">
        <f t="shared" si="142"/>
        <v>328.50964999999997</v>
      </c>
      <c r="AN935">
        <f t="shared" si="142"/>
        <v>469.29949999999997</v>
      </c>
      <c r="AO935">
        <f t="shared" si="142"/>
        <v>703.94925000000001</v>
      </c>
      <c r="AP935">
        <f t="shared" si="142"/>
        <v>938.59899999999993</v>
      </c>
      <c r="AQ935">
        <f t="shared" si="142"/>
        <v>1642.5482499999998</v>
      </c>
      <c r="AR935">
        <f t="shared" si="142"/>
        <v>2346.4974999999999</v>
      </c>
      <c r="AS935">
        <f t="shared" si="142"/>
        <v>3754.3959999999997</v>
      </c>
      <c r="AT935">
        <f t="shared" si="142"/>
        <v>5631.5940000000001</v>
      </c>
      <c r="AU935">
        <f t="shared" si="142"/>
        <v>7978.0914999999995</v>
      </c>
      <c r="AV935">
        <f t="shared" si="142"/>
        <v>11263.188</v>
      </c>
      <c r="AW935">
        <f t="shared" si="142"/>
        <v>15486.8835</v>
      </c>
      <c r="AX935">
        <f t="shared" si="142"/>
        <v>21587.776999999998</v>
      </c>
      <c r="AY935">
        <f t="shared" si="142"/>
        <v>37543.96</v>
      </c>
      <c r="AZ935">
        <f t="shared" si="142"/>
        <v>70394.925000000003</v>
      </c>
      <c r="BA935">
        <f t="shared" si="142"/>
        <v>117324.875</v>
      </c>
      <c r="BB935">
        <f t="shared" si="142"/>
        <v>187719.8</v>
      </c>
      <c r="BC935">
        <f t="shared" si="141"/>
        <v>469299.5</v>
      </c>
      <c r="BD935">
        <f t="shared" si="141"/>
        <v>703949.25</v>
      </c>
      <c r="BE935">
        <f t="shared" si="141"/>
        <v>1126318.8</v>
      </c>
      <c r="BF935">
        <f t="shared" si="141"/>
        <v>1407898.5</v>
      </c>
      <c r="BG935">
        <f t="shared" si="141"/>
        <v>4692995</v>
      </c>
      <c r="BH935">
        <f t="shared" si="141"/>
        <v>14078985</v>
      </c>
      <c r="BI935">
        <f t="shared" si="141"/>
        <v>39890457.5</v>
      </c>
      <c r="BJ935">
        <f t="shared" si="141"/>
        <v>140789850</v>
      </c>
      <c r="BK935">
        <f t="shared" si="141"/>
        <v>469299500</v>
      </c>
      <c r="BL935">
        <v>930</v>
      </c>
    </row>
    <row r="936" spans="1:64" ht="17.25" thickBot="1" x14ac:dyDescent="0.25">
      <c r="A936" s="131">
        <v>932</v>
      </c>
      <c r="B936" s="135">
        <v>1458305094</v>
      </c>
      <c r="D936" s="131">
        <v>932</v>
      </c>
      <c r="E936" s="132">
        <v>47.073889999999999</v>
      </c>
      <c r="AK936">
        <v>930</v>
      </c>
      <c r="AL936" s="24">
        <f t="shared" si="137"/>
        <v>46.977980000000002</v>
      </c>
      <c r="AM936">
        <f t="shared" si="142"/>
        <v>328.84586000000002</v>
      </c>
      <c r="AN936">
        <f t="shared" si="142"/>
        <v>469.77980000000002</v>
      </c>
      <c r="AO936">
        <f t="shared" si="142"/>
        <v>704.66970000000003</v>
      </c>
      <c r="AP936">
        <f t="shared" si="142"/>
        <v>939.55960000000005</v>
      </c>
      <c r="AQ936">
        <f t="shared" si="142"/>
        <v>1644.2293</v>
      </c>
      <c r="AR936">
        <f t="shared" si="142"/>
        <v>2348.8990000000003</v>
      </c>
      <c r="AS936">
        <f t="shared" si="142"/>
        <v>3758.2384000000002</v>
      </c>
      <c r="AT936">
        <f t="shared" si="142"/>
        <v>5637.3576000000003</v>
      </c>
      <c r="AU936">
        <f t="shared" si="142"/>
        <v>7986.2566000000006</v>
      </c>
      <c r="AV936">
        <f t="shared" si="142"/>
        <v>11274.715200000001</v>
      </c>
      <c r="AW936">
        <f t="shared" si="142"/>
        <v>15502.733400000001</v>
      </c>
      <c r="AX936">
        <f t="shared" si="142"/>
        <v>21609.870800000001</v>
      </c>
      <c r="AY936">
        <f t="shared" si="142"/>
        <v>37582.384000000005</v>
      </c>
      <c r="AZ936">
        <f t="shared" si="142"/>
        <v>70466.97</v>
      </c>
      <c r="BA936">
        <f t="shared" si="142"/>
        <v>117444.95000000001</v>
      </c>
      <c r="BB936">
        <f t="shared" si="142"/>
        <v>187911.92</v>
      </c>
      <c r="BC936">
        <f t="shared" si="141"/>
        <v>469779.80000000005</v>
      </c>
      <c r="BD936">
        <f t="shared" si="141"/>
        <v>704669.70000000007</v>
      </c>
      <c r="BE936">
        <f t="shared" si="141"/>
        <v>1127471.52</v>
      </c>
      <c r="BF936">
        <f t="shared" si="141"/>
        <v>1409339.4000000001</v>
      </c>
      <c r="BG936">
        <f t="shared" si="141"/>
        <v>4697798</v>
      </c>
      <c r="BH936">
        <f t="shared" si="141"/>
        <v>14093394</v>
      </c>
      <c r="BI936">
        <f t="shared" si="141"/>
        <v>39931283</v>
      </c>
      <c r="BJ936">
        <f t="shared" si="141"/>
        <v>140933940</v>
      </c>
      <c r="BK936">
        <f t="shared" si="141"/>
        <v>469779800</v>
      </c>
      <c r="BL936">
        <v>931</v>
      </c>
    </row>
    <row r="937" spans="1:64" ht="17.25" thickBot="1" x14ac:dyDescent="0.25">
      <c r="A937" s="131">
        <v>933</v>
      </c>
      <c r="B937" s="135">
        <v>1467273372</v>
      </c>
      <c r="D937" s="131">
        <v>933</v>
      </c>
      <c r="E937" s="132">
        <v>47.121769999999998</v>
      </c>
      <c r="AK937">
        <v>931</v>
      </c>
      <c r="AL937" s="24">
        <f t="shared" si="137"/>
        <v>47.025959999999998</v>
      </c>
      <c r="AM937">
        <f t="shared" si="142"/>
        <v>329.18171999999998</v>
      </c>
      <c r="AN937">
        <f t="shared" si="142"/>
        <v>470.25959999999998</v>
      </c>
      <c r="AO937">
        <f t="shared" si="142"/>
        <v>705.38940000000002</v>
      </c>
      <c r="AP937">
        <f t="shared" si="142"/>
        <v>940.51919999999996</v>
      </c>
      <c r="AQ937">
        <f t="shared" si="142"/>
        <v>1645.9086</v>
      </c>
      <c r="AR937">
        <f t="shared" si="142"/>
        <v>2351.2979999999998</v>
      </c>
      <c r="AS937">
        <f t="shared" si="142"/>
        <v>3762.0767999999998</v>
      </c>
      <c r="AT937">
        <f t="shared" si="142"/>
        <v>5643.1152000000002</v>
      </c>
      <c r="AU937">
        <f t="shared" si="142"/>
        <v>7994.4132</v>
      </c>
      <c r="AV937">
        <f t="shared" si="142"/>
        <v>11286.2304</v>
      </c>
      <c r="AW937">
        <f t="shared" si="142"/>
        <v>15518.566799999999</v>
      </c>
      <c r="AX937">
        <f t="shared" si="142"/>
        <v>21631.941599999998</v>
      </c>
      <c r="AY937">
        <f t="shared" si="142"/>
        <v>37620.767999999996</v>
      </c>
      <c r="AZ937">
        <f t="shared" si="142"/>
        <v>70538.94</v>
      </c>
      <c r="BA937">
        <f t="shared" si="142"/>
        <v>117564.9</v>
      </c>
      <c r="BB937">
        <f t="shared" si="142"/>
        <v>188103.84</v>
      </c>
      <c r="BC937">
        <f t="shared" si="141"/>
        <v>470259.6</v>
      </c>
      <c r="BD937">
        <f t="shared" si="141"/>
        <v>705389.4</v>
      </c>
      <c r="BE937">
        <f t="shared" si="141"/>
        <v>1128623.04</v>
      </c>
      <c r="BF937">
        <f t="shared" si="141"/>
        <v>1410778.8</v>
      </c>
      <c r="BG937">
        <f t="shared" si="141"/>
        <v>4702596</v>
      </c>
      <c r="BH937">
        <f t="shared" si="141"/>
        <v>14107788</v>
      </c>
      <c r="BI937">
        <f t="shared" si="141"/>
        <v>39972066</v>
      </c>
      <c r="BJ937">
        <f t="shared" si="141"/>
        <v>141077880</v>
      </c>
      <c r="BK937">
        <f t="shared" si="141"/>
        <v>470259600</v>
      </c>
      <c r="BL937">
        <v>932</v>
      </c>
    </row>
    <row r="938" spans="1:64" ht="17.25" thickBot="1" x14ac:dyDescent="0.25">
      <c r="A938" s="131">
        <v>934</v>
      </c>
      <c r="B938" s="135">
        <v>1476287144</v>
      </c>
      <c r="D938" s="131">
        <v>934</v>
      </c>
      <c r="E938" s="132">
        <v>47.169600000000003</v>
      </c>
      <c r="AK938">
        <v>932</v>
      </c>
      <c r="AL938" s="24">
        <f t="shared" si="137"/>
        <v>47.073889999999999</v>
      </c>
      <c r="AM938">
        <f t="shared" si="142"/>
        <v>329.51722999999998</v>
      </c>
      <c r="AN938">
        <f t="shared" si="142"/>
        <v>470.7389</v>
      </c>
      <c r="AO938">
        <f t="shared" si="142"/>
        <v>706.10834999999997</v>
      </c>
      <c r="AP938">
        <f t="shared" si="142"/>
        <v>941.4778</v>
      </c>
      <c r="AQ938">
        <f t="shared" si="142"/>
        <v>1647.5861499999999</v>
      </c>
      <c r="AR938">
        <f t="shared" si="142"/>
        <v>2353.6945000000001</v>
      </c>
      <c r="AS938">
        <f t="shared" si="142"/>
        <v>3765.9112</v>
      </c>
      <c r="AT938">
        <f t="shared" si="142"/>
        <v>5648.8667999999998</v>
      </c>
      <c r="AU938">
        <f t="shared" si="142"/>
        <v>8002.5612999999994</v>
      </c>
      <c r="AV938">
        <f t="shared" si="142"/>
        <v>11297.7336</v>
      </c>
      <c r="AW938">
        <f t="shared" si="142"/>
        <v>15534.3837</v>
      </c>
      <c r="AX938">
        <f t="shared" si="142"/>
        <v>21653.989399999999</v>
      </c>
      <c r="AY938">
        <f t="shared" si="142"/>
        <v>37659.112000000001</v>
      </c>
      <c r="AZ938">
        <f t="shared" si="142"/>
        <v>70610.834999999992</v>
      </c>
      <c r="BA938">
        <f t="shared" si="142"/>
        <v>117684.72499999999</v>
      </c>
      <c r="BB938">
        <f t="shared" si="142"/>
        <v>188295.56</v>
      </c>
      <c r="BC938">
        <f t="shared" si="141"/>
        <v>470738.89999999997</v>
      </c>
      <c r="BD938">
        <f t="shared" si="141"/>
        <v>706108.35</v>
      </c>
      <c r="BE938">
        <f t="shared" si="141"/>
        <v>1129773.3599999999</v>
      </c>
      <c r="BF938">
        <f t="shared" si="141"/>
        <v>1412216.7</v>
      </c>
      <c r="BG938">
        <f t="shared" si="141"/>
        <v>4707389</v>
      </c>
      <c r="BH938">
        <f t="shared" si="141"/>
        <v>14122167</v>
      </c>
      <c r="BI938">
        <f t="shared" si="141"/>
        <v>40012806.5</v>
      </c>
      <c r="BJ938">
        <f t="shared" si="141"/>
        <v>141221670</v>
      </c>
      <c r="BK938">
        <f t="shared" si="141"/>
        <v>470738900</v>
      </c>
      <c r="BL938">
        <v>933</v>
      </c>
    </row>
    <row r="939" spans="1:64" ht="17.25" thickBot="1" x14ac:dyDescent="0.25">
      <c r="A939" s="131">
        <v>935</v>
      </c>
      <c r="B939" s="135">
        <v>1485346588</v>
      </c>
      <c r="D939" s="131">
        <v>935</v>
      </c>
      <c r="E939" s="132">
        <v>47.217379999999999</v>
      </c>
      <c r="AK939">
        <v>933</v>
      </c>
      <c r="AL939" s="24">
        <f t="shared" si="137"/>
        <v>47.121769999999998</v>
      </c>
      <c r="AM939">
        <f t="shared" si="142"/>
        <v>329.85239000000001</v>
      </c>
      <c r="AN939">
        <f t="shared" si="142"/>
        <v>471.21769999999998</v>
      </c>
      <c r="AO939">
        <f t="shared" si="142"/>
        <v>706.82655</v>
      </c>
      <c r="AP939">
        <f t="shared" si="142"/>
        <v>942.43539999999996</v>
      </c>
      <c r="AQ939">
        <f t="shared" si="142"/>
        <v>1649.2619499999998</v>
      </c>
      <c r="AR939">
        <f t="shared" si="142"/>
        <v>2356.0884999999998</v>
      </c>
      <c r="AS939">
        <f t="shared" si="142"/>
        <v>3769.7415999999998</v>
      </c>
      <c r="AT939">
        <f t="shared" si="142"/>
        <v>5654.6124</v>
      </c>
      <c r="AU939">
        <f t="shared" si="142"/>
        <v>8010.7008999999998</v>
      </c>
      <c r="AV939">
        <f t="shared" si="142"/>
        <v>11309.2248</v>
      </c>
      <c r="AW939">
        <f t="shared" si="142"/>
        <v>15550.184099999999</v>
      </c>
      <c r="AX939">
        <f t="shared" si="142"/>
        <v>21676.014199999998</v>
      </c>
      <c r="AY939">
        <f t="shared" si="142"/>
        <v>37697.415999999997</v>
      </c>
      <c r="AZ939">
        <f t="shared" si="142"/>
        <v>70682.654999999999</v>
      </c>
      <c r="BA939">
        <f t="shared" si="142"/>
        <v>117804.42499999999</v>
      </c>
      <c r="BB939">
        <f t="shared" si="142"/>
        <v>188487.08</v>
      </c>
      <c r="BC939">
        <f t="shared" si="141"/>
        <v>471217.69999999995</v>
      </c>
      <c r="BD939">
        <f t="shared" si="141"/>
        <v>706826.54999999993</v>
      </c>
      <c r="BE939">
        <f t="shared" si="141"/>
        <v>1130922.48</v>
      </c>
      <c r="BF939">
        <f t="shared" si="141"/>
        <v>1413653.0999999999</v>
      </c>
      <c r="BG939">
        <f t="shared" si="141"/>
        <v>4712177</v>
      </c>
      <c r="BH939">
        <f t="shared" si="141"/>
        <v>14136531</v>
      </c>
      <c r="BI939">
        <f t="shared" si="141"/>
        <v>40053504.5</v>
      </c>
      <c r="BJ939">
        <f t="shared" si="141"/>
        <v>141365310</v>
      </c>
      <c r="BK939">
        <f t="shared" si="141"/>
        <v>471217700</v>
      </c>
      <c r="BL939">
        <v>934</v>
      </c>
    </row>
    <row r="940" spans="1:64" ht="17.25" thickBot="1" x14ac:dyDescent="0.25">
      <c r="A940" s="131">
        <v>936</v>
      </c>
      <c r="B940" s="135">
        <v>1494451866</v>
      </c>
      <c r="D940" s="131">
        <v>936</v>
      </c>
      <c r="E940" s="132">
        <v>47.26511</v>
      </c>
      <c r="AK940">
        <v>934</v>
      </c>
      <c r="AL940" s="24">
        <f t="shared" si="137"/>
        <v>47.169600000000003</v>
      </c>
      <c r="AM940">
        <f t="shared" si="142"/>
        <v>330.18720000000002</v>
      </c>
      <c r="AN940">
        <f t="shared" si="142"/>
        <v>471.69600000000003</v>
      </c>
      <c r="AO940">
        <f t="shared" si="142"/>
        <v>707.5440000000001</v>
      </c>
      <c r="AP940">
        <f t="shared" si="142"/>
        <v>943.39200000000005</v>
      </c>
      <c r="AQ940">
        <f t="shared" si="142"/>
        <v>1650.9360000000001</v>
      </c>
      <c r="AR940">
        <f t="shared" si="142"/>
        <v>2358.48</v>
      </c>
      <c r="AS940">
        <f t="shared" si="142"/>
        <v>3773.5680000000002</v>
      </c>
      <c r="AT940">
        <f t="shared" si="142"/>
        <v>5660.3520000000008</v>
      </c>
      <c r="AU940">
        <f t="shared" si="142"/>
        <v>8018.8320000000003</v>
      </c>
      <c r="AV940">
        <f t="shared" si="142"/>
        <v>11320.704000000002</v>
      </c>
      <c r="AW940">
        <f t="shared" si="142"/>
        <v>15565.968000000001</v>
      </c>
      <c r="AX940">
        <f t="shared" si="142"/>
        <v>21698.016</v>
      </c>
      <c r="AY940">
        <f t="shared" si="142"/>
        <v>37735.68</v>
      </c>
      <c r="AZ940">
        <f t="shared" si="142"/>
        <v>70754.400000000009</v>
      </c>
      <c r="BA940">
        <f t="shared" si="142"/>
        <v>117924</v>
      </c>
      <c r="BB940">
        <f t="shared" si="142"/>
        <v>188678.40000000002</v>
      </c>
      <c r="BC940">
        <f t="shared" si="141"/>
        <v>471696</v>
      </c>
      <c r="BD940">
        <f t="shared" si="141"/>
        <v>707544</v>
      </c>
      <c r="BE940">
        <f t="shared" si="141"/>
        <v>1132070.4000000001</v>
      </c>
      <c r="BF940">
        <f t="shared" si="141"/>
        <v>1415088</v>
      </c>
      <c r="BG940">
        <f t="shared" si="141"/>
        <v>4716960</v>
      </c>
      <c r="BH940">
        <f t="shared" si="141"/>
        <v>14150880</v>
      </c>
      <c r="BI940">
        <f t="shared" si="141"/>
        <v>40094160</v>
      </c>
      <c r="BJ940">
        <f t="shared" si="141"/>
        <v>141508800</v>
      </c>
      <c r="BK940">
        <f t="shared" si="141"/>
        <v>471696000</v>
      </c>
      <c r="BL940">
        <v>935</v>
      </c>
    </row>
    <row r="941" spans="1:64" ht="17.25" thickBot="1" x14ac:dyDescent="0.25">
      <c r="A941" s="131">
        <v>937</v>
      </c>
      <c r="B941" s="135">
        <v>1503603150</v>
      </c>
      <c r="D941" s="131">
        <v>937</v>
      </c>
      <c r="E941" s="132">
        <v>47.312779999999997</v>
      </c>
      <c r="AK941">
        <v>935</v>
      </c>
      <c r="AL941" s="24">
        <f t="shared" si="137"/>
        <v>47.217379999999999</v>
      </c>
      <c r="AM941">
        <f t="shared" si="142"/>
        <v>330.52166</v>
      </c>
      <c r="AN941">
        <f t="shared" si="142"/>
        <v>472.17379999999997</v>
      </c>
      <c r="AO941">
        <f t="shared" si="142"/>
        <v>708.26069999999993</v>
      </c>
      <c r="AP941">
        <f t="shared" si="142"/>
        <v>944.34759999999994</v>
      </c>
      <c r="AQ941">
        <f t="shared" si="142"/>
        <v>1652.6082999999999</v>
      </c>
      <c r="AR941">
        <f t="shared" si="142"/>
        <v>2360.8690000000001</v>
      </c>
      <c r="AS941">
        <f t="shared" si="142"/>
        <v>3777.3903999999998</v>
      </c>
      <c r="AT941">
        <f t="shared" si="142"/>
        <v>5666.0855999999994</v>
      </c>
      <c r="AU941">
        <f t="shared" si="142"/>
        <v>8026.9546</v>
      </c>
      <c r="AV941">
        <f t="shared" si="142"/>
        <v>11332.171199999999</v>
      </c>
      <c r="AW941">
        <f t="shared" si="142"/>
        <v>15581.7354</v>
      </c>
      <c r="AX941">
        <f t="shared" si="142"/>
        <v>21719.9948</v>
      </c>
      <c r="AY941">
        <f t="shared" si="142"/>
        <v>37773.904000000002</v>
      </c>
      <c r="AZ941">
        <f t="shared" si="142"/>
        <v>70826.069999999992</v>
      </c>
      <c r="BA941">
        <f t="shared" si="142"/>
        <v>118043.45</v>
      </c>
      <c r="BB941">
        <f t="shared" si="142"/>
        <v>188869.52</v>
      </c>
      <c r="BC941">
        <f t="shared" si="141"/>
        <v>472173.8</v>
      </c>
      <c r="BD941">
        <f t="shared" si="141"/>
        <v>708260.7</v>
      </c>
      <c r="BE941">
        <f t="shared" si="141"/>
        <v>1133217.1199999999</v>
      </c>
      <c r="BF941">
        <f t="shared" si="141"/>
        <v>1416521.4</v>
      </c>
      <c r="BG941">
        <f t="shared" si="141"/>
        <v>4721738</v>
      </c>
      <c r="BH941">
        <f t="shared" si="141"/>
        <v>14165214</v>
      </c>
      <c r="BI941">
        <f t="shared" si="141"/>
        <v>40134773</v>
      </c>
      <c r="BJ941">
        <f t="shared" si="141"/>
        <v>141652140</v>
      </c>
      <c r="BK941">
        <f t="shared" si="141"/>
        <v>472173800</v>
      </c>
      <c r="BL941">
        <v>936</v>
      </c>
    </row>
    <row r="942" spans="1:64" ht="17.25" thickBot="1" x14ac:dyDescent="0.25">
      <c r="A942" s="131">
        <v>938</v>
      </c>
      <c r="B942" s="135">
        <v>1512800611</v>
      </c>
      <c r="D942" s="131">
        <v>938</v>
      </c>
      <c r="E942" s="132">
        <v>47.360399999999998</v>
      </c>
      <c r="AK942">
        <v>936</v>
      </c>
      <c r="AL942" s="24">
        <f t="shared" si="137"/>
        <v>47.26511</v>
      </c>
      <c r="AM942">
        <f t="shared" si="142"/>
        <v>330.85577000000001</v>
      </c>
      <c r="AN942">
        <f t="shared" si="142"/>
        <v>472.65109999999999</v>
      </c>
      <c r="AO942">
        <f t="shared" si="142"/>
        <v>708.97664999999995</v>
      </c>
      <c r="AP942">
        <f t="shared" si="142"/>
        <v>945.30219999999997</v>
      </c>
      <c r="AQ942">
        <f t="shared" ref="AM942:BB958" si="143">AQ$5*VLOOKUP($AK942,$D$2:$E$1404,2,FALSE)</f>
        <v>1654.2788499999999</v>
      </c>
      <c r="AR942">
        <f t="shared" si="143"/>
        <v>2363.2555000000002</v>
      </c>
      <c r="AS942">
        <f t="shared" si="143"/>
        <v>3781.2087999999999</v>
      </c>
      <c r="AT942">
        <f t="shared" si="143"/>
        <v>5671.8131999999996</v>
      </c>
      <c r="AU942">
        <f t="shared" si="143"/>
        <v>8035.0686999999998</v>
      </c>
      <c r="AV942">
        <f t="shared" si="143"/>
        <v>11343.626399999999</v>
      </c>
      <c r="AW942">
        <f t="shared" si="143"/>
        <v>15597.4863</v>
      </c>
      <c r="AX942">
        <f t="shared" si="143"/>
        <v>21741.9506</v>
      </c>
      <c r="AY942">
        <f t="shared" si="143"/>
        <v>37812.088000000003</v>
      </c>
      <c r="AZ942">
        <f t="shared" si="143"/>
        <v>70897.664999999994</v>
      </c>
      <c r="BA942">
        <f t="shared" si="143"/>
        <v>118162.77499999999</v>
      </c>
      <c r="BB942">
        <f t="shared" si="143"/>
        <v>189060.44</v>
      </c>
      <c r="BC942">
        <f t="shared" si="141"/>
        <v>472651.1</v>
      </c>
      <c r="BD942">
        <f t="shared" si="141"/>
        <v>708976.65</v>
      </c>
      <c r="BE942">
        <f t="shared" si="141"/>
        <v>1134362.6399999999</v>
      </c>
      <c r="BF942">
        <f t="shared" si="141"/>
        <v>1417953.3</v>
      </c>
      <c r="BG942">
        <f t="shared" si="141"/>
        <v>4726511</v>
      </c>
      <c r="BH942">
        <f t="shared" si="141"/>
        <v>14179533</v>
      </c>
      <c r="BI942">
        <f t="shared" si="141"/>
        <v>40175343.5</v>
      </c>
      <c r="BJ942">
        <f t="shared" si="141"/>
        <v>141795330</v>
      </c>
      <c r="BK942">
        <f t="shared" si="141"/>
        <v>472651100</v>
      </c>
      <c r="BL942">
        <v>937</v>
      </c>
    </row>
    <row r="943" spans="1:64" ht="17.25" thickBot="1" x14ac:dyDescent="0.25">
      <c r="A943" s="131">
        <v>939</v>
      </c>
      <c r="B943" s="135">
        <v>1522044416</v>
      </c>
      <c r="D943" s="131">
        <v>939</v>
      </c>
      <c r="E943" s="132">
        <v>47.407969999999999</v>
      </c>
      <c r="AK943">
        <v>937</v>
      </c>
      <c r="AL943" s="24">
        <f t="shared" si="137"/>
        <v>47.312779999999997</v>
      </c>
      <c r="AM943">
        <f t="shared" si="143"/>
        <v>331.18946</v>
      </c>
      <c r="AN943">
        <f t="shared" si="143"/>
        <v>473.12779999999998</v>
      </c>
      <c r="AO943">
        <f t="shared" si="143"/>
        <v>709.69169999999997</v>
      </c>
      <c r="AP943">
        <f t="shared" si="143"/>
        <v>946.25559999999996</v>
      </c>
      <c r="AQ943">
        <f t="shared" si="143"/>
        <v>1655.9472999999998</v>
      </c>
      <c r="AR943">
        <f t="shared" si="143"/>
        <v>2365.6389999999997</v>
      </c>
      <c r="AS943">
        <f t="shared" si="143"/>
        <v>3785.0223999999998</v>
      </c>
      <c r="AT943">
        <f t="shared" si="143"/>
        <v>5677.5335999999998</v>
      </c>
      <c r="AU943">
        <f t="shared" si="143"/>
        <v>8043.172599999999</v>
      </c>
      <c r="AV943">
        <f t="shared" si="143"/>
        <v>11355.0672</v>
      </c>
      <c r="AW943">
        <f t="shared" si="143"/>
        <v>15613.2174</v>
      </c>
      <c r="AX943">
        <f t="shared" si="143"/>
        <v>21763.878799999999</v>
      </c>
      <c r="AY943">
        <f t="shared" si="143"/>
        <v>37850.223999999995</v>
      </c>
      <c r="AZ943">
        <f t="shared" si="143"/>
        <v>70969.17</v>
      </c>
      <c r="BA943">
        <f t="shared" si="143"/>
        <v>118281.95</v>
      </c>
      <c r="BB943">
        <f t="shared" si="143"/>
        <v>189251.12</v>
      </c>
      <c r="BC943">
        <f t="shared" si="141"/>
        <v>473127.8</v>
      </c>
      <c r="BD943">
        <f t="shared" si="141"/>
        <v>709691.7</v>
      </c>
      <c r="BE943">
        <f t="shared" si="141"/>
        <v>1135506.72</v>
      </c>
      <c r="BF943">
        <f t="shared" si="141"/>
        <v>1419383.4</v>
      </c>
      <c r="BG943">
        <f t="shared" si="141"/>
        <v>4731278</v>
      </c>
      <c r="BH943">
        <f t="shared" si="141"/>
        <v>14193833.999999998</v>
      </c>
      <c r="BI943">
        <f t="shared" si="141"/>
        <v>40215863</v>
      </c>
      <c r="BJ943">
        <f t="shared" si="141"/>
        <v>141938340</v>
      </c>
      <c r="BK943">
        <f t="shared" si="141"/>
        <v>473127799.99999994</v>
      </c>
      <c r="BL943">
        <v>938</v>
      </c>
    </row>
    <row r="944" spans="1:64" ht="17.25" thickBot="1" x14ac:dyDescent="0.25">
      <c r="A944" s="131">
        <v>940</v>
      </c>
      <c r="B944" s="135">
        <v>1531334738</v>
      </c>
      <c r="D944" s="131">
        <v>940</v>
      </c>
      <c r="E944" s="132">
        <v>47.455489999999998</v>
      </c>
      <c r="AK944">
        <v>938</v>
      </c>
      <c r="AL944" s="24">
        <f t="shared" si="137"/>
        <v>47.360399999999998</v>
      </c>
      <c r="AM944">
        <f t="shared" si="143"/>
        <v>331.52279999999996</v>
      </c>
      <c r="AN944">
        <f t="shared" si="143"/>
        <v>473.60399999999998</v>
      </c>
      <c r="AO944">
        <f t="shared" si="143"/>
        <v>710.40599999999995</v>
      </c>
      <c r="AP944">
        <f t="shared" si="143"/>
        <v>947.20799999999997</v>
      </c>
      <c r="AQ944">
        <f t="shared" si="143"/>
        <v>1657.614</v>
      </c>
      <c r="AR944">
        <f t="shared" si="143"/>
        <v>2368.02</v>
      </c>
      <c r="AS944">
        <f t="shared" si="143"/>
        <v>3788.8319999999999</v>
      </c>
      <c r="AT944">
        <f t="shared" si="143"/>
        <v>5683.2479999999996</v>
      </c>
      <c r="AU944">
        <f t="shared" si="143"/>
        <v>8051.268</v>
      </c>
      <c r="AV944">
        <f t="shared" si="143"/>
        <v>11366.495999999999</v>
      </c>
      <c r="AW944">
        <f t="shared" si="143"/>
        <v>15628.931999999999</v>
      </c>
      <c r="AX944">
        <f t="shared" si="143"/>
        <v>21785.784</v>
      </c>
      <c r="AY944">
        <f t="shared" si="143"/>
        <v>37888.32</v>
      </c>
      <c r="AZ944">
        <f t="shared" si="143"/>
        <v>71040.599999999991</v>
      </c>
      <c r="BA944">
        <f t="shared" si="143"/>
        <v>118401</v>
      </c>
      <c r="BB944">
        <f t="shared" si="143"/>
        <v>189441.6</v>
      </c>
      <c r="BC944">
        <f t="shared" si="141"/>
        <v>473604</v>
      </c>
      <c r="BD944">
        <f t="shared" si="141"/>
        <v>710406</v>
      </c>
      <c r="BE944">
        <f t="shared" si="141"/>
        <v>1136649.5999999999</v>
      </c>
      <c r="BF944">
        <f t="shared" si="141"/>
        <v>1420812</v>
      </c>
      <c r="BG944">
        <f t="shared" si="141"/>
        <v>4736040</v>
      </c>
      <c r="BH944">
        <f t="shared" si="141"/>
        <v>14208120</v>
      </c>
      <c r="BI944">
        <f t="shared" si="141"/>
        <v>40256340</v>
      </c>
      <c r="BJ944">
        <f t="shared" si="141"/>
        <v>142081200</v>
      </c>
      <c r="BK944">
        <f t="shared" si="141"/>
        <v>473604000</v>
      </c>
      <c r="BL944">
        <v>939</v>
      </c>
    </row>
    <row r="945" spans="1:64" ht="17.25" thickBot="1" x14ac:dyDescent="0.25">
      <c r="A945" s="131">
        <v>941</v>
      </c>
      <c r="B945" s="135">
        <v>1540671750</v>
      </c>
      <c r="D945" s="131">
        <v>941</v>
      </c>
      <c r="E945" s="132">
        <v>47.502960000000002</v>
      </c>
      <c r="AK945">
        <v>939</v>
      </c>
      <c r="AL945" s="24">
        <f t="shared" si="137"/>
        <v>47.407969999999999</v>
      </c>
      <c r="AM945">
        <f t="shared" si="143"/>
        <v>331.85579000000001</v>
      </c>
      <c r="AN945">
        <f t="shared" si="143"/>
        <v>474.0797</v>
      </c>
      <c r="AO945">
        <f t="shared" si="143"/>
        <v>711.11955</v>
      </c>
      <c r="AP945">
        <f t="shared" si="143"/>
        <v>948.15940000000001</v>
      </c>
      <c r="AQ945">
        <f t="shared" si="143"/>
        <v>1659.2789499999999</v>
      </c>
      <c r="AR945">
        <f t="shared" si="143"/>
        <v>2370.3984999999998</v>
      </c>
      <c r="AS945">
        <f t="shared" si="143"/>
        <v>3792.6376</v>
      </c>
      <c r="AT945">
        <f t="shared" si="143"/>
        <v>5688.9564</v>
      </c>
      <c r="AU945">
        <f t="shared" si="143"/>
        <v>8059.3548999999994</v>
      </c>
      <c r="AV945">
        <f t="shared" si="143"/>
        <v>11377.9128</v>
      </c>
      <c r="AW945">
        <f t="shared" si="143"/>
        <v>15644.6301</v>
      </c>
      <c r="AX945">
        <f t="shared" si="143"/>
        <v>21807.6662</v>
      </c>
      <c r="AY945">
        <f t="shared" si="143"/>
        <v>37926.375999999997</v>
      </c>
      <c r="AZ945">
        <f t="shared" si="143"/>
        <v>71111.955000000002</v>
      </c>
      <c r="BA945">
        <f t="shared" si="143"/>
        <v>118519.925</v>
      </c>
      <c r="BB945">
        <f t="shared" si="143"/>
        <v>189631.88</v>
      </c>
      <c r="BC945">
        <f t="shared" si="141"/>
        <v>474079.7</v>
      </c>
      <c r="BD945">
        <f t="shared" si="141"/>
        <v>711119.54999999993</v>
      </c>
      <c r="BE945">
        <f t="shared" si="141"/>
        <v>1137791.28</v>
      </c>
      <c r="BF945">
        <f t="shared" si="141"/>
        <v>1422239.0999999999</v>
      </c>
      <c r="BG945">
        <f t="shared" si="141"/>
        <v>4740797</v>
      </c>
      <c r="BH945">
        <f t="shared" si="141"/>
        <v>14222391</v>
      </c>
      <c r="BI945">
        <f t="shared" si="141"/>
        <v>40296774.5</v>
      </c>
      <c r="BJ945">
        <f t="shared" si="141"/>
        <v>142223910</v>
      </c>
      <c r="BK945">
        <f t="shared" si="141"/>
        <v>474079700</v>
      </c>
      <c r="BL945">
        <v>940</v>
      </c>
    </row>
    <row r="946" spans="1:64" ht="17.25" thickBot="1" x14ac:dyDescent="0.25">
      <c r="A946" s="131">
        <v>942</v>
      </c>
      <c r="B946" s="135">
        <v>1550055622</v>
      </c>
      <c r="D946" s="131">
        <v>942</v>
      </c>
      <c r="E946" s="132">
        <v>47.550379999999997</v>
      </c>
      <c r="AK946">
        <v>940</v>
      </c>
      <c r="AL946" s="24">
        <f t="shared" si="137"/>
        <v>47.455489999999998</v>
      </c>
      <c r="AM946">
        <f t="shared" si="143"/>
        <v>332.18842999999998</v>
      </c>
      <c r="AN946">
        <f t="shared" si="143"/>
        <v>474.55489999999998</v>
      </c>
      <c r="AO946">
        <f t="shared" si="143"/>
        <v>711.83234999999991</v>
      </c>
      <c r="AP946">
        <f t="shared" si="143"/>
        <v>949.10979999999995</v>
      </c>
      <c r="AQ946">
        <f t="shared" si="143"/>
        <v>1660.9421499999999</v>
      </c>
      <c r="AR946">
        <f t="shared" si="143"/>
        <v>2372.7745</v>
      </c>
      <c r="AS946">
        <f t="shared" si="143"/>
        <v>3796.4391999999998</v>
      </c>
      <c r="AT946">
        <f t="shared" si="143"/>
        <v>5694.6587999999992</v>
      </c>
      <c r="AU946">
        <f t="shared" si="143"/>
        <v>8067.4332999999997</v>
      </c>
      <c r="AV946">
        <f t="shared" si="143"/>
        <v>11389.317599999998</v>
      </c>
      <c r="AW946">
        <f t="shared" si="143"/>
        <v>15660.311699999998</v>
      </c>
      <c r="AX946">
        <f t="shared" si="143"/>
        <v>21829.525399999999</v>
      </c>
      <c r="AY946">
        <f t="shared" si="143"/>
        <v>37964.392</v>
      </c>
      <c r="AZ946">
        <f t="shared" si="143"/>
        <v>71183.235000000001</v>
      </c>
      <c r="BA946">
        <f t="shared" si="143"/>
        <v>118638.72499999999</v>
      </c>
      <c r="BB946">
        <f t="shared" si="143"/>
        <v>189821.96</v>
      </c>
      <c r="BC946">
        <f t="shared" si="141"/>
        <v>474554.89999999997</v>
      </c>
      <c r="BD946">
        <f t="shared" si="141"/>
        <v>711832.35</v>
      </c>
      <c r="BE946">
        <f t="shared" si="141"/>
        <v>1138931.76</v>
      </c>
      <c r="BF946">
        <f t="shared" si="141"/>
        <v>1423664.7</v>
      </c>
      <c r="BG946">
        <f t="shared" si="141"/>
        <v>4745549</v>
      </c>
      <c r="BH946">
        <f t="shared" si="141"/>
        <v>14236647</v>
      </c>
      <c r="BI946">
        <f t="shared" si="141"/>
        <v>40337166.5</v>
      </c>
      <c r="BJ946">
        <f t="shared" si="141"/>
        <v>142366470</v>
      </c>
      <c r="BK946">
        <f t="shared" si="141"/>
        <v>474554900</v>
      </c>
      <c r="BL946">
        <v>941</v>
      </c>
    </row>
    <row r="947" spans="1:64" ht="17.25" thickBot="1" x14ac:dyDescent="0.25">
      <c r="A947" s="131">
        <v>943</v>
      </c>
      <c r="B947" s="135">
        <v>1559486527</v>
      </c>
      <c r="D947" s="131">
        <v>943</v>
      </c>
      <c r="E947" s="132">
        <v>47.597749999999998</v>
      </c>
      <c r="AK947">
        <v>941</v>
      </c>
      <c r="AL947" s="24">
        <f t="shared" si="137"/>
        <v>47.502960000000002</v>
      </c>
      <c r="AM947">
        <f t="shared" si="143"/>
        <v>332.52071999999998</v>
      </c>
      <c r="AN947">
        <f t="shared" si="143"/>
        <v>475.02960000000002</v>
      </c>
      <c r="AO947">
        <f t="shared" si="143"/>
        <v>712.5444</v>
      </c>
      <c r="AP947">
        <f t="shared" si="143"/>
        <v>950.05920000000003</v>
      </c>
      <c r="AQ947">
        <f t="shared" si="143"/>
        <v>1662.6036000000001</v>
      </c>
      <c r="AR947">
        <f t="shared" si="143"/>
        <v>2375.1480000000001</v>
      </c>
      <c r="AS947">
        <f t="shared" si="143"/>
        <v>3800.2368000000001</v>
      </c>
      <c r="AT947">
        <f t="shared" si="143"/>
        <v>5700.3552</v>
      </c>
      <c r="AU947">
        <f t="shared" si="143"/>
        <v>8075.5032000000001</v>
      </c>
      <c r="AV947">
        <f t="shared" si="143"/>
        <v>11400.7104</v>
      </c>
      <c r="AW947">
        <f t="shared" si="143"/>
        <v>15675.9768</v>
      </c>
      <c r="AX947">
        <f t="shared" si="143"/>
        <v>21851.3616</v>
      </c>
      <c r="AY947">
        <f t="shared" si="143"/>
        <v>38002.368000000002</v>
      </c>
      <c r="AZ947">
        <f t="shared" si="143"/>
        <v>71254.44</v>
      </c>
      <c r="BA947">
        <f t="shared" si="143"/>
        <v>118757.40000000001</v>
      </c>
      <c r="BB947">
        <f t="shared" si="143"/>
        <v>190011.84</v>
      </c>
      <c r="BC947">
        <f t="shared" si="141"/>
        <v>475029.60000000003</v>
      </c>
      <c r="BD947">
        <f t="shared" si="141"/>
        <v>712544.4</v>
      </c>
      <c r="BE947">
        <f t="shared" si="141"/>
        <v>1140071.04</v>
      </c>
      <c r="BF947">
        <f t="shared" si="141"/>
        <v>1425088.8</v>
      </c>
      <c r="BG947">
        <f t="shared" si="141"/>
        <v>4750296</v>
      </c>
      <c r="BH947">
        <f t="shared" si="141"/>
        <v>14250888</v>
      </c>
      <c r="BI947">
        <f t="shared" si="141"/>
        <v>40377516</v>
      </c>
      <c r="BJ947">
        <f t="shared" si="141"/>
        <v>142508880</v>
      </c>
      <c r="BK947">
        <f t="shared" si="141"/>
        <v>475029600</v>
      </c>
      <c r="BL947">
        <v>942</v>
      </c>
    </row>
    <row r="948" spans="1:64" ht="17.25" thickBot="1" x14ac:dyDescent="0.25">
      <c r="A948" s="131">
        <v>944</v>
      </c>
      <c r="B948" s="135">
        <v>1568964638</v>
      </c>
      <c r="D948" s="131">
        <v>944</v>
      </c>
      <c r="E948" s="132">
        <v>47.645069999999997</v>
      </c>
      <c r="AK948">
        <v>942</v>
      </c>
      <c r="AL948" s="24">
        <f t="shared" si="137"/>
        <v>47.550379999999997</v>
      </c>
      <c r="AM948">
        <f t="shared" si="143"/>
        <v>332.85265999999996</v>
      </c>
      <c r="AN948">
        <f t="shared" si="143"/>
        <v>475.50379999999996</v>
      </c>
      <c r="AO948">
        <f t="shared" si="143"/>
        <v>713.25569999999993</v>
      </c>
      <c r="AP948">
        <f t="shared" si="143"/>
        <v>951.00759999999991</v>
      </c>
      <c r="AQ948">
        <f t="shared" si="143"/>
        <v>1664.2632999999998</v>
      </c>
      <c r="AR948">
        <f t="shared" si="143"/>
        <v>2377.5189999999998</v>
      </c>
      <c r="AS948">
        <f t="shared" si="143"/>
        <v>3804.0303999999996</v>
      </c>
      <c r="AT948">
        <f t="shared" si="143"/>
        <v>5706.0455999999995</v>
      </c>
      <c r="AU948">
        <f t="shared" si="143"/>
        <v>8083.5645999999997</v>
      </c>
      <c r="AV948">
        <f t="shared" si="143"/>
        <v>11412.091199999999</v>
      </c>
      <c r="AW948">
        <f t="shared" si="143"/>
        <v>15691.625399999999</v>
      </c>
      <c r="AX948">
        <f t="shared" si="143"/>
        <v>21873.174799999997</v>
      </c>
      <c r="AY948">
        <f t="shared" si="143"/>
        <v>38040.303999999996</v>
      </c>
      <c r="AZ948">
        <f t="shared" si="143"/>
        <v>71325.569999999992</v>
      </c>
      <c r="BA948">
        <f t="shared" si="143"/>
        <v>118875.95</v>
      </c>
      <c r="BB948">
        <f t="shared" si="143"/>
        <v>190201.52</v>
      </c>
      <c r="BC948">
        <f t="shared" si="141"/>
        <v>475503.8</v>
      </c>
      <c r="BD948">
        <f t="shared" si="141"/>
        <v>713255.7</v>
      </c>
      <c r="BE948">
        <f t="shared" si="141"/>
        <v>1141209.1199999999</v>
      </c>
      <c r="BF948">
        <f t="shared" si="141"/>
        <v>1426511.4</v>
      </c>
      <c r="BG948">
        <f t="shared" si="141"/>
        <v>4755038</v>
      </c>
      <c r="BH948">
        <f t="shared" si="141"/>
        <v>14265114</v>
      </c>
      <c r="BI948">
        <f t="shared" si="141"/>
        <v>40417823</v>
      </c>
      <c r="BJ948">
        <f t="shared" si="141"/>
        <v>142651140</v>
      </c>
      <c r="BK948">
        <f t="shared" ref="BC948:BK977" si="144">BK$5*VLOOKUP($AK948,$D$2:$E$1404,2,FALSE)</f>
        <v>475503799.99999994</v>
      </c>
      <c r="BL948">
        <v>943</v>
      </c>
    </row>
    <row r="949" spans="1:64" ht="17.25" thickBot="1" x14ac:dyDescent="0.25">
      <c r="A949" s="131">
        <v>945</v>
      </c>
      <c r="B949" s="135">
        <v>1578490127</v>
      </c>
      <c r="D949" s="131">
        <v>945</v>
      </c>
      <c r="E949" s="132">
        <v>47.692340000000002</v>
      </c>
      <c r="AK949">
        <v>943</v>
      </c>
      <c r="AL949" s="24">
        <f t="shared" si="137"/>
        <v>47.597749999999998</v>
      </c>
      <c r="AM949">
        <f t="shared" si="143"/>
        <v>333.18424999999996</v>
      </c>
      <c r="AN949">
        <f t="shared" si="143"/>
        <v>475.97749999999996</v>
      </c>
      <c r="AO949">
        <f t="shared" si="143"/>
        <v>713.96624999999995</v>
      </c>
      <c r="AP949">
        <f t="shared" si="143"/>
        <v>951.95499999999993</v>
      </c>
      <c r="AQ949">
        <f t="shared" si="143"/>
        <v>1665.9212499999999</v>
      </c>
      <c r="AR949">
        <f t="shared" si="143"/>
        <v>2379.8874999999998</v>
      </c>
      <c r="AS949">
        <f t="shared" si="143"/>
        <v>3807.8199999999997</v>
      </c>
      <c r="AT949">
        <f t="shared" si="143"/>
        <v>5711.73</v>
      </c>
      <c r="AU949">
        <f t="shared" si="143"/>
        <v>8091.6174999999994</v>
      </c>
      <c r="AV949">
        <f t="shared" si="143"/>
        <v>11423.46</v>
      </c>
      <c r="AW949">
        <f t="shared" si="143"/>
        <v>15707.2575</v>
      </c>
      <c r="AX949">
        <f t="shared" si="143"/>
        <v>21894.965</v>
      </c>
      <c r="AY949">
        <f t="shared" si="143"/>
        <v>38078.199999999997</v>
      </c>
      <c r="AZ949">
        <f t="shared" si="143"/>
        <v>71396.625</v>
      </c>
      <c r="BA949">
        <f t="shared" si="143"/>
        <v>118994.375</v>
      </c>
      <c r="BB949">
        <f t="shared" si="143"/>
        <v>190391</v>
      </c>
      <c r="BC949">
        <f t="shared" si="144"/>
        <v>475977.5</v>
      </c>
      <c r="BD949">
        <f t="shared" si="144"/>
        <v>713966.25</v>
      </c>
      <c r="BE949">
        <f t="shared" si="144"/>
        <v>1142346</v>
      </c>
      <c r="BF949">
        <f t="shared" si="144"/>
        <v>1427932.5</v>
      </c>
      <c r="BG949">
        <f t="shared" si="144"/>
        <v>4759775</v>
      </c>
      <c r="BH949">
        <f t="shared" si="144"/>
        <v>14279325</v>
      </c>
      <c r="BI949">
        <f t="shared" si="144"/>
        <v>40458087.5</v>
      </c>
      <c r="BJ949">
        <f t="shared" si="144"/>
        <v>142793250</v>
      </c>
      <c r="BK949">
        <f t="shared" si="144"/>
        <v>475977500</v>
      </c>
      <c r="BL949">
        <v>944</v>
      </c>
    </row>
    <row r="950" spans="1:64" ht="17.25" thickBot="1" x14ac:dyDescent="0.25">
      <c r="A950" s="131">
        <v>946</v>
      </c>
      <c r="B950" s="135">
        <v>1588063166</v>
      </c>
      <c r="D950" s="131">
        <v>946</v>
      </c>
      <c r="E950" s="132">
        <v>47.739559999999997</v>
      </c>
      <c r="AK950">
        <v>944</v>
      </c>
      <c r="AL950" s="24">
        <f t="shared" si="137"/>
        <v>47.645069999999997</v>
      </c>
      <c r="AM950">
        <f t="shared" si="143"/>
        <v>333.51549</v>
      </c>
      <c r="AN950">
        <f t="shared" si="143"/>
        <v>476.45069999999998</v>
      </c>
      <c r="AO950">
        <f t="shared" si="143"/>
        <v>714.67604999999992</v>
      </c>
      <c r="AP950">
        <f t="shared" si="143"/>
        <v>952.90139999999997</v>
      </c>
      <c r="AQ950">
        <f t="shared" si="143"/>
        <v>1667.57745</v>
      </c>
      <c r="AR950">
        <f t="shared" si="143"/>
        <v>2382.2534999999998</v>
      </c>
      <c r="AS950">
        <f t="shared" si="143"/>
        <v>3811.6055999999999</v>
      </c>
      <c r="AT950">
        <f t="shared" si="143"/>
        <v>5717.4083999999993</v>
      </c>
      <c r="AU950">
        <f t="shared" si="143"/>
        <v>8099.6618999999992</v>
      </c>
      <c r="AV950">
        <f t="shared" si="143"/>
        <v>11434.816799999999</v>
      </c>
      <c r="AW950">
        <f t="shared" si="143"/>
        <v>15722.873099999999</v>
      </c>
      <c r="AX950">
        <f t="shared" si="143"/>
        <v>21916.732199999999</v>
      </c>
      <c r="AY950">
        <f t="shared" si="143"/>
        <v>38116.055999999997</v>
      </c>
      <c r="AZ950">
        <f t="shared" si="143"/>
        <v>71467.604999999996</v>
      </c>
      <c r="BA950">
        <f t="shared" si="143"/>
        <v>119112.67499999999</v>
      </c>
      <c r="BB950">
        <f t="shared" si="143"/>
        <v>190580.28</v>
      </c>
      <c r="BC950">
        <f t="shared" si="144"/>
        <v>476450.69999999995</v>
      </c>
      <c r="BD950">
        <f t="shared" si="144"/>
        <v>714676.04999999993</v>
      </c>
      <c r="BE950">
        <f t="shared" si="144"/>
        <v>1143481.68</v>
      </c>
      <c r="BF950">
        <f t="shared" si="144"/>
        <v>1429352.0999999999</v>
      </c>
      <c r="BG950">
        <f t="shared" si="144"/>
        <v>4764507</v>
      </c>
      <c r="BH950">
        <f t="shared" si="144"/>
        <v>14293521</v>
      </c>
      <c r="BI950">
        <f t="shared" si="144"/>
        <v>40498309.5</v>
      </c>
      <c r="BJ950">
        <f t="shared" si="144"/>
        <v>142935210</v>
      </c>
      <c r="BK950">
        <f t="shared" si="144"/>
        <v>476450699.99999994</v>
      </c>
      <c r="BL950">
        <v>945</v>
      </c>
    </row>
    <row r="951" spans="1:64" ht="17.25" thickBot="1" x14ac:dyDescent="0.25">
      <c r="A951" s="131">
        <v>947</v>
      </c>
      <c r="B951" s="135">
        <v>1597683933</v>
      </c>
      <c r="D951" s="131">
        <v>947</v>
      </c>
      <c r="E951" s="132">
        <v>47.786729999999999</v>
      </c>
      <c r="AK951">
        <v>945</v>
      </c>
      <c r="AL951" s="24">
        <f t="shared" ref="AL951:AL1014" si="145">VLOOKUP(AK951,D$2:E$1404,2,FALSE)</f>
        <v>47.692340000000002</v>
      </c>
      <c r="AM951">
        <f t="shared" si="143"/>
        <v>333.84638000000001</v>
      </c>
      <c r="AN951">
        <f t="shared" si="143"/>
        <v>476.92340000000002</v>
      </c>
      <c r="AO951">
        <f t="shared" si="143"/>
        <v>715.38509999999997</v>
      </c>
      <c r="AP951">
        <f t="shared" si="143"/>
        <v>953.84680000000003</v>
      </c>
      <c r="AQ951">
        <f t="shared" si="143"/>
        <v>1669.2319</v>
      </c>
      <c r="AR951">
        <f t="shared" si="143"/>
        <v>2384.6170000000002</v>
      </c>
      <c r="AS951">
        <f t="shared" si="143"/>
        <v>3815.3872000000001</v>
      </c>
      <c r="AT951">
        <f t="shared" si="143"/>
        <v>5723.0807999999997</v>
      </c>
      <c r="AU951">
        <f t="shared" si="143"/>
        <v>8107.6977999999999</v>
      </c>
      <c r="AV951">
        <f t="shared" si="143"/>
        <v>11446.161599999999</v>
      </c>
      <c r="AW951">
        <f t="shared" si="143"/>
        <v>15738.4722</v>
      </c>
      <c r="AX951">
        <f t="shared" si="143"/>
        <v>21938.4764</v>
      </c>
      <c r="AY951">
        <f t="shared" si="143"/>
        <v>38153.872000000003</v>
      </c>
      <c r="AZ951">
        <f t="shared" si="143"/>
        <v>71538.510000000009</v>
      </c>
      <c r="BA951">
        <f t="shared" si="143"/>
        <v>119230.85</v>
      </c>
      <c r="BB951">
        <f t="shared" si="143"/>
        <v>190769.36000000002</v>
      </c>
      <c r="BC951">
        <f t="shared" si="144"/>
        <v>476923.4</v>
      </c>
      <c r="BD951">
        <f t="shared" si="144"/>
        <v>715385.1</v>
      </c>
      <c r="BE951">
        <f t="shared" si="144"/>
        <v>1144616.1600000001</v>
      </c>
      <c r="BF951">
        <f t="shared" si="144"/>
        <v>1430770.2</v>
      </c>
      <c r="BG951">
        <f t="shared" si="144"/>
        <v>4769234</v>
      </c>
      <c r="BH951">
        <f t="shared" si="144"/>
        <v>14307702</v>
      </c>
      <c r="BI951">
        <f t="shared" si="144"/>
        <v>40538489</v>
      </c>
      <c r="BJ951">
        <f t="shared" si="144"/>
        <v>143077020</v>
      </c>
      <c r="BK951">
        <f t="shared" si="144"/>
        <v>476923400</v>
      </c>
      <c r="BL951">
        <v>946</v>
      </c>
    </row>
    <row r="952" spans="1:64" ht="17.25" thickBot="1" x14ac:dyDescent="0.25">
      <c r="A952" s="131">
        <v>948</v>
      </c>
      <c r="B952" s="135">
        <v>1607352600</v>
      </c>
      <c r="D952" s="131">
        <v>948</v>
      </c>
      <c r="E952" s="132">
        <v>47.833860000000001</v>
      </c>
      <c r="AK952">
        <v>946</v>
      </c>
      <c r="AL952" s="24">
        <f t="shared" si="145"/>
        <v>47.739559999999997</v>
      </c>
      <c r="AM952">
        <f t="shared" si="143"/>
        <v>334.17692</v>
      </c>
      <c r="AN952">
        <f t="shared" si="143"/>
        <v>477.39559999999994</v>
      </c>
      <c r="AO952">
        <f t="shared" si="143"/>
        <v>716.09339999999997</v>
      </c>
      <c r="AP952">
        <f t="shared" si="143"/>
        <v>954.79119999999989</v>
      </c>
      <c r="AQ952">
        <f t="shared" si="143"/>
        <v>1670.8845999999999</v>
      </c>
      <c r="AR952">
        <f t="shared" si="143"/>
        <v>2386.9780000000001</v>
      </c>
      <c r="AS952">
        <f t="shared" si="143"/>
        <v>3819.1647999999996</v>
      </c>
      <c r="AT952">
        <f t="shared" si="143"/>
        <v>5728.7471999999998</v>
      </c>
      <c r="AU952">
        <f t="shared" si="143"/>
        <v>8115.7251999999999</v>
      </c>
      <c r="AV952">
        <f t="shared" si="143"/>
        <v>11457.4944</v>
      </c>
      <c r="AW952">
        <f t="shared" si="143"/>
        <v>15754.0548</v>
      </c>
      <c r="AX952">
        <f t="shared" si="143"/>
        <v>21960.1976</v>
      </c>
      <c r="AY952">
        <f t="shared" si="143"/>
        <v>38191.648000000001</v>
      </c>
      <c r="AZ952">
        <f t="shared" si="143"/>
        <v>71609.34</v>
      </c>
      <c r="BA952">
        <f t="shared" si="143"/>
        <v>119348.9</v>
      </c>
      <c r="BB952">
        <f t="shared" si="143"/>
        <v>190958.24</v>
      </c>
      <c r="BC952">
        <f t="shared" si="144"/>
        <v>477395.6</v>
      </c>
      <c r="BD952">
        <f t="shared" si="144"/>
        <v>716093.39999999991</v>
      </c>
      <c r="BE952">
        <f t="shared" si="144"/>
        <v>1145749.44</v>
      </c>
      <c r="BF952">
        <f t="shared" si="144"/>
        <v>1432186.7999999998</v>
      </c>
      <c r="BG952">
        <f t="shared" si="144"/>
        <v>4773956</v>
      </c>
      <c r="BH952">
        <f t="shared" si="144"/>
        <v>14321868</v>
      </c>
      <c r="BI952">
        <f t="shared" si="144"/>
        <v>40578626</v>
      </c>
      <c r="BJ952">
        <f t="shared" si="144"/>
        <v>143218680</v>
      </c>
      <c r="BK952">
        <f t="shared" si="144"/>
        <v>477395600</v>
      </c>
      <c r="BL952">
        <v>947</v>
      </c>
    </row>
    <row r="953" spans="1:64" ht="17.25" thickBot="1" x14ac:dyDescent="0.25">
      <c r="A953" s="131">
        <v>949</v>
      </c>
      <c r="B953" s="135">
        <v>1617069338</v>
      </c>
      <c r="D953" s="131">
        <v>949</v>
      </c>
      <c r="E953" s="132">
        <v>47.88617</v>
      </c>
      <c r="AK953">
        <v>947</v>
      </c>
      <c r="AL953" s="24">
        <f t="shared" si="145"/>
        <v>47.786729999999999</v>
      </c>
      <c r="AM953">
        <f t="shared" si="143"/>
        <v>334.50711000000001</v>
      </c>
      <c r="AN953">
        <f t="shared" si="143"/>
        <v>477.8673</v>
      </c>
      <c r="AO953">
        <f t="shared" si="143"/>
        <v>716.80094999999994</v>
      </c>
      <c r="AP953">
        <f t="shared" si="143"/>
        <v>955.7346</v>
      </c>
      <c r="AQ953">
        <f t="shared" si="143"/>
        <v>1672.5355500000001</v>
      </c>
      <c r="AR953">
        <f t="shared" si="143"/>
        <v>2389.3364999999999</v>
      </c>
      <c r="AS953">
        <f t="shared" si="143"/>
        <v>3822.9384</v>
      </c>
      <c r="AT953">
        <f t="shared" si="143"/>
        <v>5734.4075999999995</v>
      </c>
      <c r="AU953">
        <f t="shared" si="143"/>
        <v>8123.7440999999999</v>
      </c>
      <c r="AV953">
        <f t="shared" si="143"/>
        <v>11468.815199999999</v>
      </c>
      <c r="AW953">
        <f t="shared" si="143"/>
        <v>15769.6209</v>
      </c>
      <c r="AX953">
        <f t="shared" si="143"/>
        <v>21981.895799999998</v>
      </c>
      <c r="AY953">
        <f t="shared" si="143"/>
        <v>38229.383999999998</v>
      </c>
      <c r="AZ953">
        <f t="shared" si="143"/>
        <v>71680.095000000001</v>
      </c>
      <c r="BA953">
        <f t="shared" si="143"/>
        <v>119466.825</v>
      </c>
      <c r="BB953">
        <f t="shared" si="143"/>
        <v>191146.91999999998</v>
      </c>
      <c r="BC953">
        <f t="shared" si="144"/>
        <v>477867.3</v>
      </c>
      <c r="BD953">
        <f t="shared" si="144"/>
        <v>716800.95</v>
      </c>
      <c r="BE953">
        <f t="shared" si="144"/>
        <v>1146881.52</v>
      </c>
      <c r="BF953">
        <f t="shared" si="144"/>
        <v>1433601.9</v>
      </c>
      <c r="BG953">
        <f t="shared" si="144"/>
        <v>4778673</v>
      </c>
      <c r="BH953">
        <f t="shared" si="144"/>
        <v>14336019</v>
      </c>
      <c r="BI953">
        <f t="shared" si="144"/>
        <v>40618720.5</v>
      </c>
      <c r="BJ953">
        <f t="shared" si="144"/>
        <v>143360190</v>
      </c>
      <c r="BK953">
        <f t="shared" si="144"/>
        <v>477867300</v>
      </c>
      <c r="BL953">
        <v>948</v>
      </c>
    </row>
    <row r="954" spans="1:64" ht="17.25" thickBot="1" x14ac:dyDescent="0.25">
      <c r="A954" s="131">
        <v>950</v>
      </c>
      <c r="B954" s="135">
        <v>1626834327</v>
      </c>
      <c r="D954" s="131">
        <v>950</v>
      </c>
      <c r="E954" s="132">
        <v>47.938420000000001</v>
      </c>
      <c r="AK954">
        <v>948</v>
      </c>
      <c r="AL954" s="24">
        <f t="shared" si="145"/>
        <v>47.833860000000001</v>
      </c>
      <c r="AM954">
        <f t="shared" si="143"/>
        <v>334.83702</v>
      </c>
      <c r="AN954">
        <f t="shared" si="143"/>
        <v>478.33860000000004</v>
      </c>
      <c r="AO954">
        <f t="shared" si="143"/>
        <v>717.50790000000006</v>
      </c>
      <c r="AP954">
        <f t="shared" si="143"/>
        <v>956.67720000000008</v>
      </c>
      <c r="AQ954">
        <f t="shared" si="143"/>
        <v>1674.1851000000001</v>
      </c>
      <c r="AR954">
        <f t="shared" si="143"/>
        <v>2391.6930000000002</v>
      </c>
      <c r="AS954">
        <f t="shared" si="143"/>
        <v>3826.7088000000003</v>
      </c>
      <c r="AT954">
        <f t="shared" si="143"/>
        <v>5740.0632000000005</v>
      </c>
      <c r="AU954">
        <f t="shared" si="143"/>
        <v>8131.7561999999998</v>
      </c>
      <c r="AV954">
        <f t="shared" si="143"/>
        <v>11480.126400000001</v>
      </c>
      <c r="AW954">
        <f t="shared" si="143"/>
        <v>15785.1738</v>
      </c>
      <c r="AX954">
        <f t="shared" si="143"/>
        <v>22003.5756</v>
      </c>
      <c r="AY954">
        <f t="shared" si="143"/>
        <v>38267.088000000003</v>
      </c>
      <c r="AZ954">
        <f t="shared" si="143"/>
        <v>71750.790000000008</v>
      </c>
      <c r="BA954">
        <f t="shared" si="143"/>
        <v>119584.65000000001</v>
      </c>
      <c r="BB954">
        <f t="shared" si="143"/>
        <v>191335.44</v>
      </c>
      <c r="BC954">
        <f t="shared" si="144"/>
        <v>478338.60000000003</v>
      </c>
      <c r="BD954">
        <f t="shared" si="144"/>
        <v>717507.9</v>
      </c>
      <c r="BE954">
        <f t="shared" si="144"/>
        <v>1148012.6400000001</v>
      </c>
      <c r="BF954">
        <f t="shared" si="144"/>
        <v>1435015.8</v>
      </c>
      <c r="BG954">
        <f t="shared" si="144"/>
        <v>4783386</v>
      </c>
      <c r="BH954">
        <f t="shared" si="144"/>
        <v>14350158</v>
      </c>
      <c r="BI954">
        <f t="shared" si="144"/>
        <v>40658781</v>
      </c>
      <c r="BJ954">
        <f t="shared" si="144"/>
        <v>143501580</v>
      </c>
      <c r="BK954">
        <f t="shared" si="144"/>
        <v>478338600</v>
      </c>
      <c r="BL954">
        <v>949</v>
      </c>
    </row>
    <row r="955" spans="1:64" ht="17.25" thickBot="1" x14ac:dyDescent="0.25">
      <c r="A955" s="131">
        <v>951</v>
      </c>
      <c r="B955" s="135">
        <v>1636647744</v>
      </c>
      <c r="D955" s="131">
        <v>951</v>
      </c>
      <c r="E955" s="132">
        <v>47.99062</v>
      </c>
      <c r="AK955">
        <v>949</v>
      </c>
      <c r="AL955" s="24">
        <f t="shared" si="145"/>
        <v>47.88617</v>
      </c>
      <c r="AM955">
        <f t="shared" si="143"/>
        <v>335.20319000000001</v>
      </c>
      <c r="AN955">
        <f t="shared" si="143"/>
        <v>478.86169999999998</v>
      </c>
      <c r="AO955">
        <f t="shared" si="143"/>
        <v>718.29255000000001</v>
      </c>
      <c r="AP955">
        <f t="shared" si="143"/>
        <v>957.72339999999997</v>
      </c>
      <c r="AQ955">
        <f t="shared" si="143"/>
        <v>1676.01595</v>
      </c>
      <c r="AR955">
        <f t="shared" si="143"/>
        <v>2394.3085000000001</v>
      </c>
      <c r="AS955">
        <f t="shared" si="143"/>
        <v>3830.8935999999999</v>
      </c>
      <c r="AT955">
        <f t="shared" si="143"/>
        <v>5746.3404</v>
      </c>
      <c r="AU955">
        <f t="shared" si="143"/>
        <v>8140.6489000000001</v>
      </c>
      <c r="AV955">
        <f t="shared" si="143"/>
        <v>11492.6808</v>
      </c>
      <c r="AW955">
        <f t="shared" si="143"/>
        <v>15802.436100000001</v>
      </c>
      <c r="AX955">
        <f t="shared" si="143"/>
        <v>22027.638200000001</v>
      </c>
      <c r="AY955">
        <f t="shared" si="143"/>
        <v>38308.936000000002</v>
      </c>
      <c r="AZ955">
        <f t="shared" si="143"/>
        <v>71829.255000000005</v>
      </c>
      <c r="BA955">
        <f t="shared" si="143"/>
        <v>119715.425</v>
      </c>
      <c r="BB955">
        <f t="shared" si="143"/>
        <v>191544.68</v>
      </c>
      <c r="BC955">
        <f t="shared" si="144"/>
        <v>478861.7</v>
      </c>
      <c r="BD955">
        <f t="shared" si="144"/>
        <v>718292.55</v>
      </c>
      <c r="BE955">
        <f t="shared" si="144"/>
        <v>1149268.08</v>
      </c>
      <c r="BF955">
        <f t="shared" si="144"/>
        <v>1436585.1</v>
      </c>
      <c r="BG955">
        <f t="shared" si="144"/>
        <v>4788617</v>
      </c>
      <c r="BH955">
        <f t="shared" si="144"/>
        <v>14365851</v>
      </c>
      <c r="BI955">
        <f t="shared" si="144"/>
        <v>40703244.5</v>
      </c>
      <c r="BJ955">
        <f t="shared" si="144"/>
        <v>143658510</v>
      </c>
      <c r="BK955">
        <f t="shared" si="144"/>
        <v>478861700</v>
      </c>
      <c r="BL955">
        <v>950</v>
      </c>
    </row>
    <row r="956" spans="1:64" ht="17.25" thickBot="1" x14ac:dyDescent="0.25">
      <c r="A956" s="131">
        <v>952</v>
      </c>
      <c r="B956" s="135">
        <v>1646509761</v>
      </c>
      <c r="D956" s="131">
        <v>952</v>
      </c>
      <c r="E956" s="132">
        <v>48.042760000000001</v>
      </c>
      <c r="AK956">
        <v>950</v>
      </c>
      <c r="AL956" s="24">
        <f t="shared" si="145"/>
        <v>47.938420000000001</v>
      </c>
      <c r="AM956">
        <f t="shared" si="143"/>
        <v>335.56894</v>
      </c>
      <c r="AN956">
        <f t="shared" si="143"/>
        <v>479.38420000000002</v>
      </c>
      <c r="AO956">
        <f t="shared" si="143"/>
        <v>719.07630000000006</v>
      </c>
      <c r="AP956">
        <f t="shared" si="143"/>
        <v>958.76840000000004</v>
      </c>
      <c r="AQ956">
        <f t="shared" si="143"/>
        <v>1677.8447000000001</v>
      </c>
      <c r="AR956">
        <f t="shared" si="143"/>
        <v>2396.9209999999998</v>
      </c>
      <c r="AS956">
        <f t="shared" si="143"/>
        <v>3835.0736000000002</v>
      </c>
      <c r="AT956">
        <f t="shared" si="143"/>
        <v>5752.6104000000005</v>
      </c>
      <c r="AU956">
        <f t="shared" si="143"/>
        <v>8149.5313999999998</v>
      </c>
      <c r="AV956">
        <f t="shared" si="143"/>
        <v>11505.220800000001</v>
      </c>
      <c r="AW956">
        <f t="shared" si="143"/>
        <v>15819.678600000001</v>
      </c>
      <c r="AX956">
        <f t="shared" si="143"/>
        <v>22051.673200000001</v>
      </c>
      <c r="AY956">
        <f t="shared" si="143"/>
        <v>38350.735999999997</v>
      </c>
      <c r="AZ956">
        <f t="shared" si="143"/>
        <v>71907.63</v>
      </c>
      <c r="BA956">
        <f t="shared" si="143"/>
        <v>119846.05</v>
      </c>
      <c r="BB956">
        <f t="shared" si="143"/>
        <v>191753.68</v>
      </c>
      <c r="BC956">
        <f t="shared" si="144"/>
        <v>479384.2</v>
      </c>
      <c r="BD956">
        <f t="shared" si="144"/>
        <v>719076.3</v>
      </c>
      <c r="BE956">
        <f t="shared" si="144"/>
        <v>1150522.08</v>
      </c>
      <c r="BF956">
        <f t="shared" si="144"/>
        <v>1438152.6</v>
      </c>
      <c r="BG956">
        <f t="shared" si="144"/>
        <v>4793842</v>
      </c>
      <c r="BH956">
        <f t="shared" si="144"/>
        <v>14381526</v>
      </c>
      <c r="BI956">
        <f t="shared" si="144"/>
        <v>40747657</v>
      </c>
      <c r="BJ956">
        <f t="shared" si="144"/>
        <v>143815260</v>
      </c>
      <c r="BK956">
        <f t="shared" si="144"/>
        <v>479384200</v>
      </c>
      <c r="BL956">
        <v>951</v>
      </c>
    </row>
    <row r="957" spans="1:64" ht="17.25" thickBot="1" x14ac:dyDescent="0.25">
      <c r="A957" s="131">
        <v>953</v>
      </c>
      <c r="B957" s="135">
        <v>1656420550</v>
      </c>
      <c r="D957" s="131">
        <v>953</v>
      </c>
      <c r="E957" s="132">
        <v>48.094850000000001</v>
      </c>
      <c r="AK957">
        <v>951</v>
      </c>
      <c r="AL957" s="24">
        <f t="shared" si="145"/>
        <v>47.99062</v>
      </c>
      <c r="AM957">
        <f t="shared" si="143"/>
        <v>335.93434000000002</v>
      </c>
      <c r="AN957">
        <f t="shared" si="143"/>
        <v>479.90620000000001</v>
      </c>
      <c r="AO957">
        <f t="shared" si="143"/>
        <v>719.85929999999996</v>
      </c>
      <c r="AP957">
        <f t="shared" si="143"/>
        <v>959.81240000000003</v>
      </c>
      <c r="AQ957">
        <f t="shared" si="143"/>
        <v>1679.6717000000001</v>
      </c>
      <c r="AR957">
        <f t="shared" si="143"/>
        <v>2399.5309999999999</v>
      </c>
      <c r="AS957">
        <f t="shared" si="143"/>
        <v>3839.2496000000001</v>
      </c>
      <c r="AT957">
        <f t="shared" si="143"/>
        <v>5758.8743999999997</v>
      </c>
      <c r="AU957">
        <f t="shared" si="143"/>
        <v>8158.4053999999996</v>
      </c>
      <c r="AV957">
        <f t="shared" si="143"/>
        <v>11517.748799999999</v>
      </c>
      <c r="AW957">
        <f t="shared" si="143"/>
        <v>15836.9046</v>
      </c>
      <c r="AX957">
        <f t="shared" si="143"/>
        <v>22075.6852</v>
      </c>
      <c r="AY957">
        <f t="shared" si="143"/>
        <v>38392.495999999999</v>
      </c>
      <c r="AZ957">
        <f t="shared" si="143"/>
        <v>71985.929999999993</v>
      </c>
      <c r="BA957">
        <f t="shared" si="143"/>
        <v>119976.55</v>
      </c>
      <c r="BB957">
        <f t="shared" si="143"/>
        <v>191962.48</v>
      </c>
      <c r="BC957">
        <f t="shared" si="144"/>
        <v>479906.2</v>
      </c>
      <c r="BD957">
        <f t="shared" si="144"/>
        <v>719859.3</v>
      </c>
      <c r="BE957">
        <f t="shared" si="144"/>
        <v>1151774.8799999999</v>
      </c>
      <c r="BF957">
        <f t="shared" si="144"/>
        <v>1439718.6</v>
      </c>
      <c r="BG957">
        <f t="shared" si="144"/>
        <v>4799062</v>
      </c>
      <c r="BH957">
        <f t="shared" si="144"/>
        <v>14397186</v>
      </c>
      <c r="BI957">
        <f t="shared" si="144"/>
        <v>40792027</v>
      </c>
      <c r="BJ957">
        <f t="shared" si="144"/>
        <v>143971860</v>
      </c>
      <c r="BK957">
        <f t="shared" si="144"/>
        <v>479906200</v>
      </c>
      <c r="BL957">
        <v>952</v>
      </c>
    </row>
    <row r="958" spans="1:64" ht="17.25" thickBot="1" x14ac:dyDescent="0.25">
      <c r="A958" s="131">
        <v>954</v>
      </c>
      <c r="B958" s="135">
        <v>1666380294</v>
      </c>
      <c r="D958" s="131">
        <v>954</v>
      </c>
      <c r="E958" s="132">
        <v>48.146880000000003</v>
      </c>
      <c r="AK958">
        <v>952</v>
      </c>
      <c r="AL958" s="24">
        <f t="shared" si="145"/>
        <v>48.042760000000001</v>
      </c>
      <c r="AM958">
        <f t="shared" si="143"/>
        <v>336.29932000000002</v>
      </c>
      <c r="AN958">
        <f t="shared" si="143"/>
        <v>480.42759999999998</v>
      </c>
      <c r="AO958">
        <f t="shared" si="143"/>
        <v>720.64139999999998</v>
      </c>
      <c r="AP958">
        <f t="shared" ref="AM958:BB974" si="146">AP$5*VLOOKUP($AK958,$D$2:$E$1404,2,FALSE)</f>
        <v>960.85519999999997</v>
      </c>
      <c r="AQ958">
        <f t="shared" si="146"/>
        <v>1681.4965999999999</v>
      </c>
      <c r="AR958">
        <f t="shared" si="146"/>
        <v>2402.1379999999999</v>
      </c>
      <c r="AS958">
        <f t="shared" si="146"/>
        <v>3843.4207999999999</v>
      </c>
      <c r="AT958">
        <f t="shared" si="146"/>
        <v>5765.1311999999998</v>
      </c>
      <c r="AU958">
        <f t="shared" si="146"/>
        <v>8167.2692000000006</v>
      </c>
      <c r="AV958">
        <f t="shared" si="146"/>
        <v>11530.2624</v>
      </c>
      <c r="AW958">
        <f t="shared" si="146"/>
        <v>15854.1108</v>
      </c>
      <c r="AX958">
        <f t="shared" si="146"/>
        <v>22099.669600000001</v>
      </c>
      <c r="AY958">
        <f t="shared" si="146"/>
        <v>38434.207999999999</v>
      </c>
      <c r="AZ958">
        <f t="shared" si="146"/>
        <v>72064.14</v>
      </c>
      <c r="BA958">
        <f t="shared" si="146"/>
        <v>120106.90000000001</v>
      </c>
      <c r="BB958">
        <f t="shared" si="146"/>
        <v>192171.04</v>
      </c>
      <c r="BC958">
        <f t="shared" si="144"/>
        <v>480427.60000000003</v>
      </c>
      <c r="BD958">
        <f t="shared" si="144"/>
        <v>720641.4</v>
      </c>
      <c r="BE958">
        <f t="shared" si="144"/>
        <v>1153026.24</v>
      </c>
      <c r="BF958">
        <f t="shared" si="144"/>
        <v>1441282.8</v>
      </c>
      <c r="BG958">
        <f t="shared" si="144"/>
        <v>4804276</v>
      </c>
      <c r="BH958">
        <f t="shared" si="144"/>
        <v>14412828</v>
      </c>
      <c r="BI958">
        <f t="shared" si="144"/>
        <v>40836346</v>
      </c>
      <c r="BJ958">
        <f t="shared" si="144"/>
        <v>144128280</v>
      </c>
      <c r="BK958">
        <f t="shared" si="144"/>
        <v>480427600</v>
      </c>
      <c r="BL958">
        <v>953</v>
      </c>
    </row>
    <row r="959" spans="1:64" ht="17.25" thickBot="1" x14ac:dyDescent="0.25">
      <c r="A959" s="131">
        <v>955</v>
      </c>
      <c r="B959" s="135">
        <v>1676389172</v>
      </c>
      <c r="D959" s="131">
        <v>955</v>
      </c>
      <c r="E959" s="132">
        <v>48.198860000000003</v>
      </c>
      <c r="AK959">
        <v>953</v>
      </c>
      <c r="AL959" s="24">
        <f t="shared" si="145"/>
        <v>48.094850000000001</v>
      </c>
      <c r="AM959">
        <f t="shared" si="146"/>
        <v>336.66395</v>
      </c>
      <c r="AN959">
        <f t="shared" si="146"/>
        <v>480.94850000000002</v>
      </c>
      <c r="AO959">
        <f t="shared" si="146"/>
        <v>721.42275000000006</v>
      </c>
      <c r="AP959">
        <f t="shared" si="146"/>
        <v>961.89700000000005</v>
      </c>
      <c r="AQ959">
        <f t="shared" si="146"/>
        <v>1683.3197500000001</v>
      </c>
      <c r="AR959">
        <f t="shared" si="146"/>
        <v>2404.7424999999998</v>
      </c>
      <c r="AS959">
        <f t="shared" si="146"/>
        <v>3847.5880000000002</v>
      </c>
      <c r="AT959">
        <f t="shared" si="146"/>
        <v>5771.3820000000005</v>
      </c>
      <c r="AU959">
        <f t="shared" si="146"/>
        <v>8176.1244999999999</v>
      </c>
      <c r="AV959">
        <f t="shared" si="146"/>
        <v>11542.764000000001</v>
      </c>
      <c r="AW959">
        <f t="shared" si="146"/>
        <v>15871.300500000001</v>
      </c>
      <c r="AX959">
        <f t="shared" si="146"/>
        <v>22123.631000000001</v>
      </c>
      <c r="AY959">
        <f t="shared" si="146"/>
        <v>38475.879999999997</v>
      </c>
      <c r="AZ959">
        <f t="shared" si="146"/>
        <v>72142.275000000009</v>
      </c>
      <c r="BA959">
        <f t="shared" si="146"/>
        <v>120237.125</v>
      </c>
      <c r="BB959">
        <f t="shared" si="146"/>
        <v>192379.4</v>
      </c>
      <c r="BC959">
        <f t="shared" si="144"/>
        <v>480948.5</v>
      </c>
      <c r="BD959">
        <f t="shared" si="144"/>
        <v>721422.75</v>
      </c>
      <c r="BE959">
        <f t="shared" si="144"/>
        <v>1154276.4000000001</v>
      </c>
      <c r="BF959">
        <f t="shared" si="144"/>
        <v>1442845.5</v>
      </c>
      <c r="BG959">
        <f t="shared" si="144"/>
        <v>4809485</v>
      </c>
      <c r="BH959">
        <f t="shared" si="144"/>
        <v>14428455</v>
      </c>
      <c r="BI959">
        <f t="shared" si="144"/>
        <v>40880622.5</v>
      </c>
      <c r="BJ959">
        <f t="shared" si="144"/>
        <v>144284550</v>
      </c>
      <c r="BK959">
        <f t="shared" si="144"/>
        <v>480948500</v>
      </c>
      <c r="BL959">
        <v>954</v>
      </c>
    </row>
    <row r="960" spans="1:64" ht="17.25" thickBot="1" x14ac:dyDescent="0.25">
      <c r="A960" s="131">
        <v>956</v>
      </c>
      <c r="B960" s="135">
        <v>1686447355</v>
      </c>
      <c r="D960" s="131">
        <v>956</v>
      </c>
      <c r="E960" s="132">
        <v>48.250790000000002</v>
      </c>
      <c r="AK960">
        <v>954</v>
      </c>
      <c r="AL960" s="24">
        <f t="shared" si="145"/>
        <v>48.146880000000003</v>
      </c>
      <c r="AM960">
        <f t="shared" si="146"/>
        <v>337.02816000000001</v>
      </c>
      <c r="AN960">
        <f t="shared" si="146"/>
        <v>481.46880000000004</v>
      </c>
      <c r="AO960">
        <f t="shared" si="146"/>
        <v>722.20320000000004</v>
      </c>
      <c r="AP960">
        <f t="shared" si="146"/>
        <v>962.93760000000009</v>
      </c>
      <c r="AQ960">
        <f t="shared" si="146"/>
        <v>1685.1408000000001</v>
      </c>
      <c r="AR960">
        <f t="shared" si="146"/>
        <v>2407.3440000000001</v>
      </c>
      <c r="AS960">
        <f t="shared" si="146"/>
        <v>3851.7504000000004</v>
      </c>
      <c r="AT960">
        <f t="shared" si="146"/>
        <v>5777.6256000000003</v>
      </c>
      <c r="AU960">
        <f t="shared" si="146"/>
        <v>8184.9696000000004</v>
      </c>
      <c r="AV960">
        <f t="shared" si="146"/>
        <v>11555.251200000001</v>
      </c>
      <c r="AW960">
        <f t="shared" si="146"/>
        <v>15888.4704</v>
      </c>
      <c r="AX960">
        <f t="shared" si="146"/>
        <v>22147.5648</v>
      </c>
      <c r="AY960">
        <f t="shared" si="146"/>
        <v>38517.504000000001</v>
      </c>
      <c r="AZ960">
        <f t="shared" si="146"/>
        <v>72220.320000000007</v>
      </c>
      <c r="BA960">
        <f t="shared" si="146"/>
        <v>120367.20000000001</v>
      </c>
      <c r="BB960">
        <f t="shared" si="146"/>
        <v>192587.52000000002</v>
      </c>
      <c r="BC960">
        <f t="shared" si="144"/>
        <v>481468.80000000005</v>
      </c>
      <c r="BD960">
        <f t="shared" si="144"/>
        <v>722203.20000000007</v>
      </c>
      <c r="BE960">
        <f t="shared" si="144"/>
        <v>1155525.1200000001</v>
      </c>
      <c r="BF960">
        <f t="shared" si="144"/>
        <v>1444406.4000000001</v>
      </c>
      <c r="BG960">
        <f t="shared" si="144"/>
        <v>4814688</v>
      </c>
      <c r="BH960">
        <f t="shared" si="144"/>
        <v>14444064</v>
      </c>
      <c r="BI960">
        <f t="shared" si="144"/>
        <v>40924848</v>
      </c>
      <c r="BJ960">
        <f t="shared" si="144"/>
        <v>144440640</v>
      </c>
      <c r="BK960">
        <f t="shared" si="144"/>
        <v>481468800.00000006</v>
      </c>
      <c r="BL960">
        <v>955</v>
      </c>
    </row>
    <row r="961" spans="1:64" ht="17.25" thickBot="1" x14ac:dyDescent="0.25">
      <c r="A961" s="131">
        <v>957</v>
      </c>
      <c r="B961" s="135">
        <v>1696555022</v>
      </c>
      <c r="D961" s="131">
        <v>957</v>
      </c>
      <c r="E961" s="132">
        <v>48.302660000000003</v>
      </c>
      <c r="AK961">
        <v>955</v>
      </c>
      <c r="AL961" s="24">
        <f t="shared" si="145"/>
        <v>48.198860000000003</v>
      </c>
      <c r="AM961">
        <f t="shared" si="146"/>
        <v>337.39202</v>
      </c>
      <c r="AN961">
        <f t="shared" si="146"/>
        <v>481.98860000000002</v>
      </c>
      <c r="AO961">
        <f t="shared" si="146"/>
        <v>722.98290000000009</v>
      </c>
      <c r="AP961">
        <f t="shared" si="146"/>
        <v>963.97720000000004</v>
      </c>
      <c r="AQ961">
        <f t="shared" si="146"/>
        <v>1686.9601</v>
      </c>
      <c r="AR961">
        <f t="shared" si="146"/>
        <v>2409.9430000000002</v>
      </c>
      <c r="AS961">
        <f t="shared" si="146"/>
        <v>3855.9088000000002</v>
      </c>
      <c r="AT961">
        <f t="shared" si="146"/>
        <v>5783.8632000000007</v>
      </c>
      <c r="AU961">
        <f t="shared" si="146"/>
        <v>8193.8062000000009</v>
      </c>
      <c r="AV961">
        <f t="shared" si="146"/>
        <v>11567.726400000001</v>
      </c>
      <c r="AW961">
        <f t="shared" si="146"/>
        <v>15905.623800000001</v>
      </c>
      <c r="AX961">
        <f t="shared" si="146"/>
        <v>22171.475600000002</v>
      </c>
      <c r="AY961">
        <f t="shared" si="146"/>
        <v>38559.088000000003</v>
      </c>
      <c r="AZ961">
        <f t="shared" si="146"/>
        <v>72298.290000000008</v>
      </c>
      <c r="BA961">
        <f t="shared" si="146"/>
        <v>120497.15000000001</v>
      </c>
      <c r="BB961">
        <f t="shared" si="146"/>
        <v>192795.44</v>
      </c>
      <c r="BC961">
        <f t="shared" si="144"/>
        <v>481988.60000000003</v>
      </c>
      <c r="BD961">
        <f t="shared" si="144"/>
        <v>722982.9</v>
      </c>
      <c r="BE961">
        <f t="shared" si="144"/>
        <v>1156772.6400000001</v>
      </c>
      <c r="BF961">
        <f t="shared" si="144"/>
        <v>1445965.8</v>
      </c>
      <c r="BG961">
        <f t="shared" si="144"/>
        <v>4819886</v>
      </c>
      <c r="BH961">
        <f t="shared" si="144"/>
        <v>14459658.000000002</v>
      </c>
      <c r="BI961">
        <f t="shared" si="144"/>
        <v>40969031</v>
      </c>
      <c r="BJ961">
        <f t="shared" si="144"/>
        <v>144596580</v>
      </c>
      <c r="BK961">
        <f t="shared" si="144"/>
        <v>481988600.00000006</v>
      </c>
      <c r="BL961">
        <v>956</v>
      </c>
    </row>
    <row r="962" spans="1:64" ht="17.25" thickBot="1" x14ac:dyDescent="0.25">
      <c r="A962" s="131">
        <v>958</v>
      </c>
      <c r="B962" s="135">
        <v>1706712355</v>
      </c>
      <c r="D962" s="131">
        <v>958</v>
      </c>
      <c r="E962" s="132">
        <v>48.354480000000002</v>
      </c>
      <c r="AK962">
        <v>956</v>
      </c>
      <c r="AL962" s="24">
        <f t="shared" si="145"/>
        <v>48.250790000000002</v>
      </c>
      <c r="AM962">
        <f t="shared" si="146"/>
        <v>337.75553000000002</v>
      </c>
      <c r="AN962">
        <f t="shared" si="146"/>
        <v>482.50790000000001</v>
      </c>
      <c r="AO962">
        <f t="shared" si="146"/>
        <v>723.76184999999998</v>
      </c>
      <c r="AP962">
        <f t="shared" si="146"/>
        <v>965.01580000000001</v>
      </c>
      <c r="AQ962">
        <f t="shared" si="146"/>
        <v>1688.77765</v>
      </c>
      <c r="AR962">
        <f t="shared" si="146"/>
        <v>2412.5395000000003</v>
      </c>
      <c r="AS962">
        <f t="shared" si="146"/>
        <v>3860.0632000000001</v>
      </c>
      <c r="AT962">
        <f t="shared" si="146"/>
        <v>5790.0947999999999</v>
      </c>
      <c r="AU962">
        <f t="shared" si="146"/>
        <v>8202.6342999999997</v>
      </c>
      <c r="AV962">
        <f t="shared" si="146"/>
        <v>11580.1896</v>
      </c>
      <c r="AW962">
        <f t="shared" si="146"/>
        <v>15922.760700000001</v>
      </c>
      <c r="AX962">
        <f t="shared" si="146"/>
        <v>22195.363400000002</v>
      </c>
      <c r="AY962">
        <f t="shared" si="146"/>
        <v>38600.632000000005</v>
      </c>
      <c r="AZ962">
        <f t="shared" si="146"/>
        <v>72376.184999999998</v>
      </c>
      <c r="BA962">
        <f t="shared" si="146"/>
        <v>120626.97500000001</v>
      </c>
      <c r="BB962">
        <f t="shared" si="146"/>
        <v>193003.16</v>
      </c>
      <c r="BC962">
        <f t="shared" si="144"/>
        <v>482507.9</v>
      </c>
      <c r="BD962">
        <f t="shared" si="144"/>
        <v>723761.85</v>
      </c>
      <c r="BE962">
        <f t="shared" si="144"/>
        <v>1158018.96</v>
      </c>
      <c r="BF962">
        <f t="shared" si="144"/>
        <v>1447523.7</v>
      </c>
      <c r="BG962">
        <f t="shared" si="144"/>
        <v>4825079</v>
      </c>
      <c r="BH962">
        <f t="shared" si="144"/>
        <v>14475237</v>
      </c>
      <c r="BI962">
        <f t="shared" si="144"/>
        <v>41013171.5</v>
      </c>
      <c r="BJ962">
        <f t="shared" si="144"/>
        <v>144752370</v>
      </c>
      <c r="BK962">
        <f t="shared" si="144"/>
        <v>482507900</v>
      </c>
      <c r="BL962">
        <v>957</v>
      </c>
    </row>
    <row r="963" spans="1:64" ht="17.25" thickBot="1" x14ac:dyDescent="0.25">
      <c r="A963" s="131">
        <v>959</v>
      </c>
      <c r="B963" s="135">
        <v>1716919533</v>
      </c>
      <c r="D963" s="131">
        <v>959</v>
      </c>
      <c r="E963" s="132">
        <v>48.406239999999997</v>
      </c>
      <c r="AK963">
        <v>957</v>
      </c>
      <c r="AL963" s="24">
        <f t="shared" si="145"/>
        <v>48.302660000000003</v>
      </c>
      <c r="AM963">
        <f t="shared" si="146"/>
        <v>338.11862000000002</v>
      </c>
      <c r="AN963">
        <f t="shared" si="146"/>
        <v>483.02660000000003</v>
      </c>
      <c r="AO963">
        <f t="shared" si="146"/>
        <v>724.53989999999999</v>
      </c>
      <c r="AP963">
        <f t="shared" si="146"/>
        <v>966.05320000000006</v>
      </c>
      <c r="AQ963">
        <f t="shared" si="146"/>
        <v>1690.5931</v>
      </c>
      <c r="AR963">
        <f t="shared" si="146"/>
        <v>2415.1330000000003</v>
      </c>
      <c r="AS963">
        <f t="shared" si="146"/>
        <v>3864.2128000000002</v>
      </c>
      <c r="AT963">
        <f t="shared" si="146"/>
        <v>5796.3191999999999</v>
      </c>
      <c r="AU963">
        <f t="shared" si="146"/>
        <v>8211.4521999999997</v>
      </c>
      <c r="AV963">
        <f t="shared" si="146"/>
        <v>11592.6384</v>
      </c>
      <c r="AW963">
        <f t="shared" si="146"/>
        <v>15939.8778</v>
      </c>
      <c r="AX963">
        <f t="shared" si="146"/>
        <v>22219.223600000001</v>
      </c>
      <c r="AY963">
        <f t="shared" si="146"/>
        <v>38642.128000000004</v>
      </c>
      <c r="AZ963">
        <f t="shared" si="146"/>
        <v>72453.990000000005</v>
      </c>
      <c r="BA963">
        <f t="shared" si="146"/>
        <v>120756.65000000001</v>
      </c>
      <c r="BB963">
        <f t="shared" si="146"/>
        <v>193210.64</v>
      </c>
      <c r="BC963">
        <f t="shared" si="144"/>
        <v>483026.60000000003</v>
      </c>
      <c r="BD963">
        <f t="shared" si="144"/>
        <v>724539.9</v>
      </c>
      <c r="BE963">
        <f t="shared" si="144"/>
        <v>1159263.8400000001</v>
      </c>
      <c r="BF963">
        <f t="shared" si="144"/>
        <v>1449079.8</v>
      </c>
      <c r="BG963">
        <f t="shared" si="144"/>
        <v>4830266</v>
      </c>
      <c r="BH963">
        <f t="shared" si="144"/>
        <v>14490798</v>
      </c>
      <c r="BI963">
        <f t="shared" si="144"/>
        <v>41057261</v>
      </c>
      <c r="BJ963">
        <f t="shared" si="144"/>
        <v>144907980</v>
      </c>
      <c r="BK963">
        <f t="shared" si="144"/>
        <v>483026600.00000006</v>
      </c>
      <c r="BL963">
        <v>958</v>
      </c>
    </row>
    <row r="964" spans="1:64" ht="17.25" thickBot="1" x14ac:dyDescent="0.25">
      <c r="A964" s="131">
        <v>960</v>
      </c>
      <c r="B964" s="135">
        <v>1727176733</v>
      </c>
      <c r="D964" s="131">
        <v>960</v>
      </c>
      <c r="E964" s="132">
        <v>48.457949999999997</v>
      </c>
      <c r="AK964">
        <v>958</v>
      </c>
      <c r="AL964" s="24">
        <f t="shared" si="145"/>
        <v>48.354480000000002</v>
      </c>
      <c r="AM964">
        <f t="shared" si="146"/>
        <v>338.48136</v>
      </c>
      <c r="AN964">
        <f t="shared" si="146"/>
        <v>483.54480000000001</v>
      </c>
      <c r="AO964">
        <f t="shared" si="146"/>
        <v>725.31720000000007</v>
      </c>
      <c r="AP964">
        <f t="shared" si="146"/>
        <v>967.08960000000002</v>
      </c>
      <c r="AQ964">
        <f t="shared" si="146"/>
        <v>1692.4068</v>
      </c>
      <c r="AR964">
        <f t="shared" si="146"/>
        <v>2417.7240000000002</v>
      </c>
      <c r="AS964">
        <f t="shared" si="146"/>
        <v>3868.3584000000001</v>
      </c>
      <c r="AT964">
        <f t="shared" si="146"/>
        <v>5802.5376000000006</v>
      </c>
      <c r="AU964">
        <f t="shared" si="146"/>
        <v>8220.2615999999998</v>
      </c>
      <c r="AV964">
        <f t="shared" si="146"/>
        <v>11605.075200000001</v>
      </c>
      <c r="AW964">
        <f t="shared" si="146"/>
        <v>15956.9784</v>
      </c>
      <c r="AX964">
        <f t="shared" si="146"/>
        <v>22243.060799999999</v>
      </c>
      <c r="AY964">
        <f t="shared" si="146"/>
        <v>38683.584000000003</v>
      </c>
      <c r="AZ964">
        <f t="shared" si="146"/>
        <v>72531.72</v>
      </c>
      <c r="BA964">
        <f t="shared" si="146"/>
        <v>120886.20000000001</v>
      </c>
      <c r="BB964">
        <f t="shared" si="146"/>
        <v>193417.92</v>
      </c>
      <c r="BC964">
        <f t="shared" si="144"/>
        <v>483544.80000000005</v>
      </c>
      <c r="BD964">
        <f t="shared" si="144"/>
        <v>725317.20000000007</v>
      </c>
      <c r="BE964">
        <f t="shared" si="144"/>
        <v>1160507.52</v>
      </c>
      <c r="BF964">
        <f t="shared" si="144"/>
        <v>1450634.4000000001</v>
      </c>
      <c r="BG964">
        <f t="shared" si="144"/>
        <v>4835448</v>
      </c>
      <c r="BH964">
        <f t="shared" si="144"/>
        <v>14506344</v>
      </c>
      <c r="BI964">
        <f t="shared" si="144"/>
        <v>41101308</v>
      </c>
      <c r="BJ964">
        <f t="shared" si="144"/>
        <v>145063440</v>
      </c>
      <c r="BK964">
        <f t="shared" si="144"/>
        <v>483544800</v>
      </c>
      <c r="BL964">
        <v>959</v>
      </c>
    </row>
    <row r="965" spans="1:64" ht="17.25" thickBot="1" x14ac:dyDescent="0.25">
      <c r="A965" s="131">
        <v>961</v>
      </c>
      <c r="B965" s="135">
        <v>1737484133</v>
      </c>
      <c r="D965" s="131">
        <v>961</v>
      </c>
      <c r="E965" s="132">
        <v>48.509610000000002</v>
      </c>
      <c r="AK965">
        <v>959</v>
      </c>
      <c r="AL965" s="24">
        <f t="shared" si="145"/>
        <v>48.406239999999997</v>
      </c>
      <c r="AM965">
        <f t="shared" si="146"/>
        <v>338.84367999999995</v>
      </c>
      <c r="AN965">
        <f t="shared" si="146"/>
        <v>484.06239999999997</v>
      </c>
      <c r="AO965">
        <f t="shared" si="146"/>
        <v>726.09359999999992</v>
      </c>
      <c r="AP965">
        <f t="shared" si="146"/>
        <v>968.12479999999994</v>
      </c>
      <c r="AQ965">
        <f t="shared" si="146"/>
        <v>1694.2184</v>
      </c>
      <c r="AR965">
        <f t="shared" si="146"/>
        <v>2420.3119999999999</v>
      </c>
      <c r="AS965">
        <f t="shared" si="146"/>
        <v>3872.4991999999997</v>
      </c>
      <c r="AT965">
        <f t="shared" si="146"/>
        <v>5808.7487999999994</v>
      </c>
      <c r="AU965">
        <f t="shared" si="146"/>
        <v>8229.0607999999993</v>
      </c>
      <c r="AV965">
        <f t="shared" si="146"/>
        <v>11617.497599999999</v>
      </c>
      <c r="AW965">
        <f t="shared" si="146"/>
        <v>15974.0592</v>
      </c>
      <c r="AX965">
        <f t="shared" si="146"/>
        <v>22266.8704</v>
      </c>
      <c r="AY965">
        <f t="shared" si="146"/>
        <v>38724.991999999998</v>
      </c>
      <c r="AZ965">
        <f t="shared" si="146"/>
        <v>72609.36</v>
      </c>
      <c r="BA965">
        <f t="shared" si="146"/>
        <v>121015.59999999999</v>
      </c>
      <c r="BB965">
        <f t="shared" si="146"/>
        <v>193624.95999999999</v>
      </c>
      <c r="BC965">
        <f t="shared" si="144"/>
        <v>484062.39999999997</v>
      </c>
      <c r="BD965">
        <f t="shared" si="144"/>
        <v>726093.6</v>
      </c>
      <c r="BE965">
        <f t="shared" si="144"/>
        <v>1161749.76</v>
      </c>
      <c r="BF965">
        <f t="shared" si="144"/>
        <v>1452187.2</v>
      </c>
      <c r="BG965">
        <f t="shared" si="144"/>
        <v>4840624</v>
      </c>
      <c r="BH965">
        <f t="shared" si="144"/>
        <v>14521871.999999998</v>
      </c>
      <c r="BI965">
        <f t="shared" si="144"/>
        <v>41145304</v>
      </c>
      <c r="BJ965">
        <f t="shared" si="144"/>
        <v>145218720</v>
      </c>
      <c r="BK965">
        <f t="shared" si="144"/>
        <v>484062399.99999994</v>
      </c>
      <c r="BL965">
        <v>960</v>
      </c>
    </row>
    <row r="966" spans="1:64" ht="17.25" thickBot="1" x14ac:dyDescent="0.25">
      <c r="A966" s="131">
        <v>962</v>
      </c>
      <c r="B966" s="135">
        <v>1747841916</v>
      </c>
      <c r="D966" s="131">
        <v>962</v>
      </c>
      <c r="E966" s="132">
        <v>48.561210000000003</v>
      </c>
      <c r="AK966">
        <v>960</v>
      </c>
      <c r="AL966" s="24">
        <f t="shared" si="145"/>
        <v>48.457949999999997</v>
      </c>
      <c r="AM966">
        <f t="shared" si="146"/>
        <v>339.20564999999999</v>
      </c>
      <c r="AN966">
        <f t="shared" si="146"/>
        <v>484.57949999999994</v>
      </c>
      <c r="AO966">
        <f t="shared" si="146"/>
        <v>726.86924999999997</v>
      </c>
      <c r="AP966">
        <f t="shared" si="146"/>
        <v>969.15899999999988</v>
      </c>
      <c r="AQ966">
        <f t="shared" si="146"/>
        <v>1696.0282499999998</v>
      </c>
      <c r="AR966">
        <f t="shared" si="146"/>
        <v>2422.8975</v>
      </c>
      <c r="AS966">
        <f t="shared" si="146"/>
        <v>3876.6359999999995</v>
      </c>
      <c r="AT966">
        <f t="shared" si="146"/>
        <v>5814.9539999999997</v>
      </c>
      <c r="AU966">
        <f t="shared" si="146"/>
        <v>8237.8514999999989</v>
      </c>
      <c r="AV966">
        <f t="shared" si="146"/>
        <v>11629.907999999999</v>
      </c>
      <c r="AW966">
        <f t="shared" si="146"/>
        <v>15991.1235</v>
      </c>
      <c r="AX966">
        <f t="shared" si="146"/>
        <v>22290.656999999999</v>
      </c>
      <c r="AY966">
        <f t="shared" si="146"/>
        <v>38766.36</v>
      </c>
      <c r="AZ966">
        <f t="shared" si="146"/>
        <v>72686.924999999988</v>
      </c>
      <c r="BA966">
        <f t="shared" si="146"/>
        <v>121144.87499999999</v>
      </c>
      <c r="BB966">
        <f t="shared" si="146"/>
        <v>193831.8</v>
      </c>
      <c r="BC966">
        <f t="shared" si="144"/>
        <v>484579.49999999994</v>
      </c>
      <c r="BD966">
        <f t="shared" si="144"/>
        <v>726869.25</v>
      </c>
      <c r="BE966">
        <f t="shared" si="144"/>
        <v>1162990.7999999998</v>
      </c>
      <c r="BF966">
        <f t="shared" si="144"/>
        <v>1453738.5</v>
      </c>
      <c r="BG966">
        <f t="shared" si="144"/>
        <v>4845795</v>
      </c>
      <c r="BH966">
        <f t="shared" si="144"/>
        <v>14537384.999999998</v>
      </c>
      <c r="BI966">
        <f t="shared" si="144"/>
        <v>41189257.5</v>
      </c>
      <c r="BJ966">
        <f t="shared" si="144"/>
        <v>145373850</v>
      </c>
      <c r="BK966">
        <f t="shared" si="144"/>
        <v>484579499.99999994</v>
      </c>
      <c r="BL966">
        <v>961</v>
      </c>
    </row>
    <row r="967" spans="1:64" ht="17.25" thickBot="1" x14ac:dyDescent="0.25">
      <c r="A967" s="131">
        <v>963</v>
      </c>
      <c r="B967" s="135">
        <v>1758250261</v>
      </c>
      <c r="D967" s="131">
        <v>963</v>
      </c>
      <c r="E967" s="132">
        <v>48.612760000000002</v>
      </c>
      <c r="AK967">
        <v>961</v>
      </c>
      <c r="AL967" s="24">
        <f t="shared" si="145"/>
        <v>48.509610000000002</v>
      </c>
      <c r="AM967">
        <f t="shared" si="146"/>
        <v>339.56727000000001</v>
      </c>
      <c r="AN967">
        <f t="shared" si="146"/>
        <v>485.09610000000004</v>
      </c>
      <c r="AO967">
        <f t="shared" si="146"/>
        <v>727.64415000000008</v>
      </c>
      <c r="AP967">
        <f t="shared" si="146"/>
        <v>970.19220000000007</v>
      </c>
      <c r="AQ967">
        <f t="shared" si="146"/>
        <v>1697.83635</v>
      </c>
      <c r="AR967">
        <f t="shared" si="146"/>
        <v>2425.4805000000001</v>
      </c>
      <c r="AS967">
        <f t="shared" si="146"/>
        <v>3880.7688000000003</v>
      </c>
      <c r="AT967">
        <f t="shared" si="146"/>
        <v>5821.1532000000007</v>
      </c>
      <c r="AU967">
        <f t="shared" si="146"/>
        <v>8246.6337000000003</v>
      </c>
      <c r="AV967">
        <f t="shared" si="146"/>
        <v>11642.306400000001</v>
      </c>
      <c r="AW967">
        <f t="shared" si="146"/>
        <v>16008.1713</v>
      </c>
      <c r="AX967">
        <f t="shared" si="146"/>
        <v>22314.420600000001</v>
      </c>
      <c r="AY967">
        <f t="shared" si="146"/>
        <v>38807.688000000002</v>
      </c>
      <c r="AZ967">
        <f t="shared" si="146"/>
        <v>72764.415000000008</v>
      </c>
      <c r="BA967">
        <f t="shared" si="146"/>
        <v>121274.02500000001</v>
      </c>
      <c r="BB967">
        <f t="shared" si="146"/>
        <v>194038.44</v>
      </c>
      <c r="BC967">
        <f t="shared" si="144"/>
        <v>485096.10000000003</v>
      </c>
      <c r="BD967">
        <f t="shared" si="144"/>
        <v>727644.15</v>
      </c>
      <c r="BE967">
        <f t="shared" si="144"/>
        <v>1164230.6400000001</v>
      </c>
      <c r="BF967">
        <f t="shared" si="144"/>
        <v>1455288.3</v>
      </c>
      <c r="BG967">
        <f t="shared" si="144"/>
        <v>4850961</v>
      </c>
      <c r="BH967">
        <f t="shared" si="144"/>
        <v>14552883</v>
      </c>
      <c r="BI967">
        <f t="shared" si="144"/>
        <v>41233168.5</v>
      </c>
      <c r="BJ967">
        <f t="shared" si="144"/>
        <v>145528830</v>
      </c>
      <c r="BK967">
        <f t="shared" si="144"/>
        <v>485096100</v>
      </c>
      <c r="BL967">
        <v>962</v>
      </c>
    </row>
    <row r="968" spans="1:64" ht="17.25" thickBot="1" x14ac:dyDescent="0.25">
      <c r="A968" s="131">
        <v>964</v>
      </c>
      <c r="B968" s="135">
        <v>1768709350</v>
      </c>
      <c r="D968" s="131">
        <v>964</v>
      </c>
      <c r="E968" s="132">
        <v>48.664259999999999</v>
      </c>
      <c r="AK968">
        <v>962</v>
      </c>
      <c r="AL968" s="24">
        <f t="shared" si="145"/>
        <v>48.561210000000003</v>
      </c>
      <c r="AM968">
        <f t="shared" si="146"/>
        <v>339.92847</v>
      </c>
      <c r="AN968">
        <f t="shared" si="146"/>
        <v>485.61210000000005</v>
      </c>
      <c r="AO968">
        <f t="shared" si="146"/>
        <v>728.41815000000008</v>
      </c>
      <c r="AP968">
        <f t="shared" si="146"/>
        <v>971.22420000000011</v>
      </c>
      <c r="AQ968">
        <f t="shared" si="146"/>
        <v>1699.6423500000001</v>
      </c>
      <c r="AR968">
        <f t="shared" si="146"/>
        <v>2428.0605</v>
      </c>
      <c r="AS968">
        <f t="shared" si="146"/>
        <v>3884.8968000000004</v>
      </c>
      <c r="AT968">
        <f t="shared" si="146"/>
        <v>5827.3452000000007</v>
      </c>
      <c r="AU968">
        <f t="shared" si="146"/>
        <v>8255.4057000000012</v>
      </c>
      <c r="AV968">
        <f t="shared" si="146"/>
        <v>11654.690400000001</v>
      </c>
      <c r="AW968">
        <f t="shared" si="146"/>
        <v>16025.1993</v>
      </c>
      <c r="AX968">
        <f t="shared" si="146"/>
        <v>22338.156600000002</v>
      </c>
      <c r="AY968">
        <f t="shared" si="146"/>
        <v>38848.968000000001</v>
      </c>
      <c r="AZ968">
        <f t="shared" si="146"/>
        <v>72841.815000000002</v>
      </c>
      <c r="BA968">
        <f t="shared" si="146"/>
        <v>121403.02500000001</v>
      </c>
      <c r="BB968">
        <f t="shared" si="146"/>
        <v>194244.84</v>
      </c>
      <c r="BC968">
        <f t="shared" si="144"/>
        <v>485612.10000000003</v>
      </c>
      <c r="BD968">
        <f t="shared" si="144"/>
        <v>728418.15</v>
      </c>
      <c r="BE968">
        <f t="shared" si="144"/>
        <v>1165469.04</v>
      </c>
      <c r="BF968">
        <f t="shared" si="144"/>
        <v>1456836.3</v>
      </c>
      <c r="BG968">
        <f t="shared" si="144"/>
        <v>4856121</v>
      </c>
      <c r="BH968">
        <f t="shared" si="144"/>
        <v>14568363</v>
      </c>
      <c r="BI968">
        <f t="shared" si="144"/>
        <v>41277028.5</v>
      </c>
      <c r="BJ968">
        <f t="shared" si="144"/>
        <v>145683630</v>
      </c>
      <c r="BK968">
        <f t="shared" si="144"/>
        <v>485612100</v>
      </c>
      <c r="BL968">
        <v>963</v>
      </c>
    </row>
    <row r="969" spans="1:64" ht="17.25" thickBot="1" x14ac:dyDescent="0.25">
      <c r="A969" s="131">
        <v>965</v>
      </c>
      <c r="B969" s="135">
        <v>1779219366</v>
      </c>
      <c r="D969" s="131">
        <v>965</v>
      </c>
      <c r="E969" s="132">
        <v>48.715710000000001</v>
      </c>
      <c r="AK969">
        <v>963</v>
      </c>
      <c r="AL969" s="24">
        <f t="shared" si="145"/>
        <v>48.612760000000002</v>
      </c>
      <c r="AM969">
        <f t="shared" si="146"/>
        <v>340.28932000000003</v>
      </c>
      <c r="AN969">
        <f t="shared" si="146"/>
        <v>486.12760000000003</v>
      </c>
      <c r="AO969">
        <f t="shared" si="146"/>
        <v>729.19140000000004</v>
      </c>
      <c r="AP969">
        <f t="shared" si="146"/>
        <v>972.25520000000006</v>
      </c>
      <c r="AQ969">
        <f t="shared" si="146"/>
        <v>1701.4466</v>
      </c>
      <c r="AR969">
        <f t="shared" si="146"/>
        <v>2430.6379999999999</v>
      </c>
      <c r="AS969">
        <f t="shared" si="146"/>
        <v>3889.0208000000002</v>
      </c>
      <c r="AT969">
        <f t="shared" si="146"/>
        <v>5833.5312000000004</v>
      </c>
      <c r="AU969">
        <f t="shared" si="146"/>
        <v>8264.1692000000003</v>
      </c>
      <c r="AV969">
        <f t="shared" si="146"/>
        <v>11667.062400000001</v>
      </c>
      <c r="AW969">
        <f t="shared" si="146"/>
        <v>16042.210800000001</v>
      </c>
      <c r="AX969">
        <f t="shared" si="146"/>
        <v>22361.869600000002</v>
      </c>
      <c r="AY969">
        <f t="shared" si="146"/>
        <v>38890.207999999999</v>
      </c>
      <c r="AZ969">
        <f t="shared" si="146"/>
        <v>72919.14</v>
      </c>
      <c r="BA969">
        <f t="shared" si="146"/>
        <v>121531.90000000001</v>
      </c>
      <c r="BB969">
        <f t="shared" si="146"/>
        <v>194451.04</v>
      </c>
      <c r="BC969">
        <f t="shared" si="144"/>
        <v>486127.60000000003</v>
      </c>
      <c r="BD969">
        <f t="shared" si="144"/>
        <v>729191.4</v>
      </c>
      <c r="BE969">
        <f t="shared" si="144"/>
        <v>1166706.24</v>
      </c>
      <c r="BF969">
        <f t="shared" si="144"/>
        <v>1458382.8</v>
      </c>
      <c r="BG969">
        <f t="shared" si="144"/>
        <v>4861276</v>
      </c>
      <c r="BH969">
        <f t="shared" si="144"/>
        <v>14583828</v>
      </c>
      <c r="BI969">
        <f t="shared" si="144"/>
        <v>41320846</v>
      </c>
      <c r="BJ969">
        <f t="shared" si="144"/>
        <v>145838280</v>
      </c>
      <c r="BK969">
        <f t="shared" si="144"/>
        <v>486127600</v>
      </c>
      <c r="BL969">
        <v>964</v>
      </c>
    </row>
    <row r="970" spans="1:64" ht="17.25" thickBot="1" x14ac:dyDescent="0.25">
      <c r="A970" s="131">
        <v>966</v>
      </c>
      <c r="B970" s="135">
        <v>1789780488</v>
      </c>
      <c r="D970" s="131">
        <v>966</v>
      </c>
      <c r="E970" s="132">
        <v>48.767099999999999</v>
      </c>
      <c r="AK970">
        <v>964</v>
      </c>
      <c r="AL970" s="24">
        <f t="shared" si="145"/>
        <v>48.664259999999999</v>
      </c>
      <c r="AM970">
        <f t="shared" si="146"/>
        <v>340.64981999999998</v>
      </c>
      <c r="AN970">
        <f t="shared" si="146"/>
        <v>486.64260000000002</v>
      </c>
      <c r="AO970">
        <f t="shared" si="146"/>
        <v>729.96389999999997</v>
      </c>
      <c r="AP970">
        <f t="shared" si="146"/>
        <v>973.28520000000003</v>
      </c>
      <c r="AQ970">
        <f t="shared" si="146"/>
        <v>1703.2491</v>
      </c>
      <c r="AR970">
        <f t="shared" si="146"/>
        <v>2433.2129999999997</v>
      </c>
      <c r="AS970">
        <f t="shared" si="146"/>
        <v>3893.1408000000001</v>
      </c>
      <c r="AT970">
        <f t="shared" si="146"/>
        <v>5839.7111999999997</v>
      </c>
      <c r="AU970">
        <f t="shared" si="146"/>
        <v>8272.9241999999995</v>
      </c>
      <c r="AV970">
        <f t="shared" si="146"/>
        <v>11679.422399999999</v>
      </c>
      <c r="AW970">
        <f t="shared" si="146"/>
        <v>16059.2058</v>
      </c>
      <c r="AX970">
        <f t="shared" si="146"/>
        <v>22385.559600000001</v>
      </c>
      <c r="AY970">
        <f t="shared" si="146"/>
        <v>38931.407999999996</v>
      </c>
      <c r="AZ970">
        <f t="shared" si="146"/>
        <v>72996.39</v>
      </c>
      <c r="BA970">
        <f t="shared" si="146"/>
        <v>121660.65</v>
      </c>
      <c r="BB970">
        <f t="shared" si="146"/>
        <v>194657.04</v>
      </c>
      <c r="BC970">
        <f t="shared" si="144"/>
        <v>486642.6</v>
      </c>
      <c r="BD970">
        <f t="shared" si="144"/>
        <v>729963.9</v>
      </c>
      <c r="BE970">
        <f t="shared" si="144"/>
        <v>1167942.24</v>
      </c>
      <c r="BF970">
        <f t="shared" si="144"/>
        <v>1459927.8</v>
      </c>
      <c r="BG970">
        <f t="shared" si="144"/>
        <v>4866426</v>
      </c>
      <c r="BH970">
        <f t="shared" si="144"/>
        <v>14599278</v>
      </c>
      <c r="BI970">
        <f t="shared" si="144"/>
        <v>41364621</v>
      </c>
      <c r="BJ970">
        <f t="shared" si="144"/>
        <v>145992780</v>
      </c>
      <c r="BK970">
        <f t="shared" si="144"/>
        <v>486642600</v>
      </c>
      <c r="BL970">
        <v>965</v>
      </c>
    </row>
    <row r="971" spans="1:64" ht="17.25" thickBot="1" x14ac:dyDescent="0.25">
      <c r="A971" s="131">
        <v>967</v>
      </c>
      <c r="B971" s="135">
        <v>1800392900</v>
      </c>
      <c r="D971" s="131">
        <v>967</v>
      </c>
      <c r="E971" s="132">
        <v>48.818440000000002</v>
      </c>
      <c r="AK971">
        <v>965</v>
      </c>
      <c r="AL971" s="24">
        <f t="shared" si="145"/>
        <v>48.715710000000001</v>
      </c>
      <c r="AM971">
        <f t="shared" si="146"/>
        <v>341.00997000000001</v>
      </c>
      <c r="AN971">
        <f t="shared" si="146"/>
        <v>487.15710000000001</v>
      </c>
      <c r="AO971">
        <f t="shared" si="146"/>
        <v>730.73565000000008</v>
      </c>
      <c r="AP971">
        <f t="shared" si="146"/>
        <v>974.31420000000003</v>
      </c>
      <c r="AQ971">
        <f t="shared" si="146"/>
        <v>1705.0498500000001</v>
      </c>
      <c r="AR971">
        <f t="shared" si="146"/>
        <v>2435.7855</v>
      </c>
      <c r="AS971">
        <f t="shared" si="146"/>
        <v>3897.2568000000001</v>
      </c>
      <c r="AT971">
        <f t="shared" si="146"/>
        <v>5845.8852000000006</v>
      </c>
      <c r="AU971">
        <f t="shared" si="146"/>
        <v>8281.6707000000006</v>
      </c>
      <c r="AV971">
        <f t="shared" si="146"/>
        <v>11691.770400000001</v>
      </c>
      <c r="AW971">
        <f t="shared" si="146"/>
        <v>16076.184300000001</v>
      </c>
      <c r="AX971">
        <f t="shared" si="146"/>
        <v>22409.226600000002</v>
      </c>
      <c r="AY971">
        <f t="shared" si="146"/>
        <v>38972.567999999999</v>
      </c>
      <c r="AZ971">
        <f t="shared" si="146"/>
        <v>73073.565000000002</v>
      </c>
      <c r="BA971">
        <f t="shared" si="146"/>
        <v>121789.27500000001</v>
      </c>
      <c r="BB971">
        <f t="shared" si="146"/>
        <v>194862.84</v>
      </c>
      <c r="BC971">
        <f t="shared" si="144"/>
        <v>487157.10000000003</v>
      </c>
      <c r="BD971">
        <f t="shared" si="144"/>
        <v>730735.65</v>
      </c>
      <c r="BE971">
        <f t="shared" si="144"/>
        <v>1169177.04</v>
      </c>
      <c r="BF971">
        <f t="shared" si="144"/>
        <v>1461471.3</v>
      </c>
      <c r="BG971">
        <f t="shared" si="144"/>
        <v>4871571</v>
      </c>
      <c r="BH971">
        <f t="shared" si="144"/>
        <v>14614713</v>
      </c>
      <c r="BI971">
        <f t="shared" si="144"/>
        <v>41408353.5</v>
      </c>
      <c r="BJ971">
        <f t="shared" si="144"/>
        <v>146147130</v>
      </c>
      <c r="BK971">
        <f t="shared" si="144"/>
        <v>487157100</v>
      </c>
      <c r="BL971">
        <v>966</v>
      </c>
    </row>
    <row r="972" spans="1:64" ht="17.25" thickBot="1" x14ac:dyDescent="0.25">
      <c r="A972" s="131">
        <v>968</v>
      </c>
      <c r="B972" s="135">
        <v>1811056783</v>
      </c>
      <c r="D972" s="131">
        <v>968</v>
      </c>
      <c r="E972" s="132">
        <v>48.869729999999997</v>
      </c>
      <c r="AK972">
        <v>966</v>
      </c>
      <c r="AL972" s="24">
        <f t="shared" si="145"/>
        <v>48.767099999999999</v>
      </c>
      <c r="AM972">
        <f t="shared" si="146"/>
        <v>341.36969999999997</v>
      </c>
      <c r="AN972">
        <f t="shared" si="146"/>
        <v>487.67099999999999</v>
      </c>
      <c r="AO972">
        <f t="shared" si="146"/>
        <v>731.50649999999996</v>
      </c>
      <c r="AP972">
        <f t="shared" si="146"/>
        <v>975.34199999999998</v>
      </c>
      <c r="AQ972">
        <f t="shared" si="146"/>
        <v>1706.8485000000001</v>
      </c>
      <c r="AR972">
        <f t="shared" si="146"/>
        <v>2438.355</v>
      </c>
      <c r="AS972">
        <f t="shared" si="146"/>
        <v>3901.3679999999999</v>
      </c>
      <c r="AT972">
        <f t="shared" si="146"/>
        <v>5852.0519999999997</v>
      </c>
      <c r="AU972">
        <f t="shared" si="146"/>
        <v>8290.4069999999992</v>
      </c>
      <c r="AV972">
        <f t="shared" si="146"/>
        <v>11704.103999999999</v>
      </c>
      <c r="AW972">
        <f t="shared" si="146"/>
        <v>16093.143</v>
      </c>
      <c r="AX972">
        <f t="shared" si="146"/>
        <v>22432.865999999998</v>
      </c>
      <c r="AY972">
        <f t="shared" si="146"/>
        <v>39013.68</v>
      </c>
      <c r="AZ972">
        <f t="shared" si="146"/>
        <v>73150.649999999994</v>
      </c>
      <c r="BA972">
        <f t="shared" si="146"/>
        <v>121917.75</v>
      </c>
      <c r="BB972">
        <f t="shared" si="146"/>
        <v>195068.4</v>
      </c>
      <c r="BC972">
        <f t="shared" si="144"/>
        <v>487671</v>
      </c>
      <c r="BD972">
        <f t="shared" si="144"/>
        <v>731506.5</v>
      </c>
      <c r="BE972">
        <f t="shared" si="144"/>
        <v>1170410.3999999999</v>
      </c>
      <c r="BF972">
        <f t="shared" si="144"/>
        <v>1463013</v>
      </c>
      <c r="BG972">
        <f t="shared" si="144"/>
        <v>4876710</v>
      </c>
      <c r="BH972">
        <f t="shared" si="144"/>
        <v>14630130</v>
      </c>
      <c r="BI972">
        <f t="shared" si="144"/>
        <v>41452035</v>
      </c>
      <c r="BJ972">
        <f t="shared" si="144"/>
        <v>146301300</v>
      </c>
      <c r="BK972">
        <f t="shared" si="144"/>
        <v>487671000</v>
      </c>
      <c r="BL972">
        <v>967</v>
      </c>
    </row>
    <row r="973" spans="1:64" ht="17.25" thickBot="1" x14ac:dyDescent="0.25">
      <c r="A973" s="131">
        <v>969</v>
      </c>
      <c r="B973" s="135">
        <v>1821772316</v>
      </c>
      <c r="D973" s="131">
        <v>969</v>
      </c>
      <c r="E973" s="132">
        <v>48.920960000000001</v>
      </c>
      <c r="AK973">
        <v>967</v>
      </c>
      <c r="AL973" s="24">
        <f t="shared" si="145"/>
        <v>48.818440000000002</v>
      </c>
      <c r="AM973">
        <f t="shared" si="146"/>
        <v>341.72908000000001</v>
      </c>
      <c r="AN973">
        <f t="shared" si="146"/>
        <v>488.18440000000004</v>
      </c>
      <c r="AO973">
        <f t="shared" si="146"/>
        <v>732.27660000000003</v>
      </c>
      <c r="AP973">
        <f t="shared" si="146"/>
        <v>976.36880000000008</v>
      </c>
      <c r="AQ973">
        <f t="shared" si="146"/>
        <v>1708.6454000000001</v>
      </c>
      <c r="AR973">
        <f t="shared" si="146"/>
        <v>2440.922</v>
      </c>
      <c r="AS973">
        <f t="shared" si="146"/>
        <v>3905.4752000000003</v>
      </c>
      <c r="AT973">
        <f t="shared" si="146"/>
        <v>5858.2128000000002</v>
      </c>
      <c r="AU973">
        <f t="shared" si="146"/>
        <v>8299.1347999999998</v>
      </c>
      <c r="AV973">
        <f t="shared" si="146"/>
        <v>11716.4256</v>
      </c>
      <c r="AW973">
        <f t="shared" si="146"/>
        <v>16110.085200000001</v>
      </c>
      <c r="AX973">
        <f t="shared" si="146"/>
        <v>22456.482400000001</v>
      </c>
      <c r="AY973">
        <f t="shared" si="146"/>
        <v>39054.752</v>
      </c>
      <c r="AZ973">
        <f t="shared" si="146"/>
        <v>73227.66</v>
      </c>
      <c r="BA973">
        <f t="shared" si="146"/>
        <v>122046.1</v>
      </c>
      <c r="BB973">
        <f t="shared" si="146"/>
        <v>195273.76</v>
      </c>
      <c r="BC973">
        <f t="shared" si="144"/>
        <v>488184.4</v>
      </c>
      <c r="BD973">
        <f t="shared" si="144"/>
        <v>732276.60000000009</v>
      </c>
      <c r="BE973">
        <f t="shared" si="144"/>
        <v>1171642.56</v>
      </c>
      <c r="BF973">
        <f t="shared" si="144"/>
        <v>1464553.2000000002</v>
      </c>
      <c r="BG973">
        <f t="shared" si="144"/>
        <v>4881844</v>
      </c>
      <c r="BH973">
        <f t="shared" si="144"/>
        <v>14645532</v>
      </c>
      <c r="BI973">
        <f t="shared" si="144"/>
        <v>41495674</v>
      </c>
      <c r="BJ973">
        <f t="shared" si="144"/>
        <v>146455320</v>
      </c>
      <c r="BK973">
        <f t="shared" si="144"/>
        <v>488184400</v>
      </c>
      <c r="BL973">
        <v>968</v>
      </c>
    </row>
    <row r="974" spans="1:64" ht="17.25" thickBot="1" x14ac:dyDescent="0.25">
      <c r="A974" s="131">
        <v>970</v>
      </c>
      <c r="B974" s="135">
        <v>1832539688</v>
      </c>
      <c r="D974" s="131">
        <v>970</v>
      </c>
      <c r="E974" s="132">
        <v>48.972140000000003</v>
      </c>
      <c r="AK974">
        <v>968</v>
      </c>
      <c r="AL974" s="24">
        <f t="shared" si="145"/>
        <v>48.869729999999997</v>
      </c>
      <c r="AM974">
        <f t="shared" si="146"/>
        <v>342.08810999999997</v>
      </c>
      <c r="AN974">
        <f t="shared" si="146"/>
        <v>488.69729999999998</v>
      </c>
      <c r="AO974">
        <f t="shared" ref="AM974:BB990" si="147">AO$5*VLOOKUP($AK974,$D$2:$E$1404,2,FALSE)</f>
        <v>733.04594999999995</v>
      </c>
      <c r="AP974">
        <f t="shared" si="147"/>
        <v>977.39459999999997</v>
      </c>
      <c r="AQ974">
        <f t="shared" si="147"/>
        <v>1710.4405499999998</v>
      </c>
      <c r="AR974">
        <f t="shared" si="147"/>
        <v>2443.4865</v>
      </c>
      <c r="AS974">
        <f t="shared" si="147"/>
        <v>3909.5783999999999</v>
      </c>
      <c r="AT974">
        <f t="shared" si="147"/>
        <v>5864.3675999999996</v>
      </c>
      <c r="AU974">
        <f t="shared" si="147"/>
        <v>8307.8540999999987</v>
      </c>
      <c r="AV974">
        <f t="shared" si="147"/>
        <v>11728.735199999999</v>
      </c>
      <c r="AW974">
        <f t="shared" si="147"/>
        <v>16127.010899999999</v>
      </c>
      <c r="AX974">
        <f t="shared" si="147"/>
        <v>22480.075799999999</v>
      </c>
      <c r="AY974">
        <f t="shared" si="147"/>
        <v>39095.784</v>
      </c>
      <c r="AZ974">
        <f t="shared" si="147"/>
        <v>73304.595000000001</v>
      </c>
      <c r="BA974">
        <f t="shared" si="147"/>
        <v>122174.325</v>
      </c>
      <c r="BB974">
        <f t="shared" si="147"/>
        <v>195478.91999999998</v>
      </c>
      <c r="BC974">
        <f t="shared" si="144"/>
        <v>488697.3</v>
      </c>
      <c r="BD974">
        <f t="shared" si="144"/>
        <v>733045.95</v>
      </c>
      <c r="BE974">
        <f t="shared" si="144"/>
        <v>1172873.52</v>
      </c>
      <c r="BF974">
        <f t="shared" si="144"/>
        <v>1466091.9</v>
      </c>
      <c r="BG974">
        <f t="shared" si="144"/>
        <v>4886973</v>
      </c>
      <c r="BH974">
        <f t="shared" si="144"/>
        <v>14660919</v>
      </c>
      <c r="BI974">
        <f t="shared" si="144"/>
        <v>41539270.5</v>
      </c>
      <c r="BJ974">
        <f t="shared" si="144"/>
        <v>146609190</v>
      </c>
      <c r="BK974">
        <f t="shared" si="144"/>
        <v>488697299.99999994</v>
      </c>
      <c r="BL974">
        <v>969</v>
      </c>
    </row>
    <row r="975" spans="1:64" ht="17.25" thickBot="1" x14ac:dyDescent="0.25">
      <c r="A975" s="131">
        <v>971</v>
      </c>
      <c r="B975" s="135">
        <v>1843359083</v>
      </c>
      <c r="D975" s="131">
        <v>971</v>
      </c>
      <c r="E975" s="132">
        <v>49.023269999999997</v>
      </c>
      <c r="AK975">
        <v>969</v>
      </c>
      <c r="AL975" s="24">
        <f t="shared" si="145"/>
        <v>48.920960000000001</v>
      </c>
      <c r="AM975">
        <f t="shared" si="147"/>
        <v>342.44672000000003</v>
      </c>
      <c r="AN975">
        <f t="shared" si="147"/>
        <v>489.20960000000002</v>
      </c>
      <c r="AO975">
        <f t="shared" si="147"/>
        <v>733.81439999999998</v>
      </c>
      <c r="AP975">
        <f t="shared" si="147"/>
        <v>978.41920000000005</v>
      </c>
      <c r="AQ975">
        <f t="shared" si="147"/>
        <v>1712.2336</v>
      </c>
      <c r="AR975">
        <f t="shared" si="147"/>
        <v>2446.0480000000002</v>
      </c>
      <c r="AS975">
        <f t="shared" si="147"/>
        <v>3913.6768000000002</v>
      </c>
      <c r="AT975">
        <f t="shared" si="147"/>
        <v>5870.5151999999998</v>
      </c>
      <c r="AU975">
        <f t="shared" si="147"/>
        <v>8316.5632000000005</v>
      </c>
      <c r="AV975">
        <f t="shared" si="147"/>
        <v>11741.0304</v>
      </c>
      <c r="AW975">
        <f t="shared" si="147"/>
        <v>16143.916800000001</v>
      </c>
      <c r="AX975">
        <f t="shared" si="147"/>
        <v>22503.641599999999</v>
      </c>
      <c r="AY975">
        <f t="shared" si="147"/>
        <v>39136.768000000004</v>
      </c>
      <c r="AZ975">
        <f t="shared" si="147"/>
        <v>73381.440000000002</v>
      </c>
      <c r="BA975">
        <f t="shared" si="147"/>
        <v>122302.40000000001</v>
      </c>
      <c r="BB975">
        <f t="shared" si="147"/>
        <v>195683.84</v>
      </c>
      <c r="BC975">
        <f t="shared" si="144"/>
        <v>489209.60000000003</v>
      </c>
      <c r="BD975">
        <f t="shared" si="144"/>
        <v>733814.4</v>
      </c>
      <c r="BE975">
        <f t="shared" si="144"/>
        <v>1174103.04</v>
      </c>
      <c r="BF975">
        <f t="shared" si="144"/>
        <v>1467628.8</v>
      </c>
      <c r="BG975">
        <f t="shared" si="144"/>
        <v>4892096</v>
      </c>
      <c r="BH975">
        <f t="shared" si="144"/>
        <v>14676288</v>
      </c>
      <c r="BI975">
        <f t="shared" si="144"/>
        <v>41582816</v>
      </c>
      <c r="BJ975">
        <f t="shared" si="144"/>
        <v>146762880</v>
      </c>
      <c r="BK975">
        <f t="shared" si="144"/>
        <v>489209600</v>
      </c>
      <c r="BL975">
        <v>970</v>
      </c>
    </row>
    <row r="976" spans="1:64" ht="17.25" thickBot="1" x14ac:dyDescent="0.25">
      <c r="A976" s="131">
        <v>972</v>
      </c>
      <c r="B976" s="135">
        <v>1854230683</v>
      </c>
      <c r="D976" s="131">
        <v>972</v>
      </c>
      <c r="E976" s="132">
        <v>49.074350000000003</v>
      </c>
      <c r="AK976">
        <v>970</v>
      </c>
      <c r="AL976" s="24">
        <f t="shared" si="145"/>
        <v>48.972140000000003</v>
      </c>
      <c r="AM976">
        <f t="shared" si="147"/>
        <v>342.80498</v>
      </c>
      <c r="AN976">
        <f t="shared" si="147"/>
        <v>489.72140000000002</v>
      </c>
      <c r="AO976">
        <f t="shared" si="147"/>
        <v>734.58210000000008</v>
      </c>
      <c r="AP976">
        <f t="shared" si="147"/>
        <v>979.44280000000003</v>
      </c>
      <c r="AQ976">
        <f t="shared" si="147"/>
        <v>1714.0249000000001</v>
      </c>
      <c r="AR976">
        <f t="shared" si="147"/>
        <v>2448.607</v>
      </c>
      <c r="AS976">
        <f t="shared" si="147"/>
        <v>3917.7712000000001</v>
      </c>
      <c r="AT976">
        <f t="shared" si="147"/>
        <v>5876.6568000000007</v>
      </c>
      <c r="AU976">
        <f t="shared" si="147"/>
        <v>8325.2638000000006</v>
      </c>
      <c r="AV976">
        <f t="shared" si="147"/>
        <v>11753.313600000001</v>
      </c>
      <c r="AW976">
        <f t="shared" si="147"/>
        <v>16160.806200000001</v>
      </c>
      <c r="AX976">
        <f t="shared" si="147"/>
        <v>22527.184400000002</v>
      </c>
      <c r="AY976">
        <f t="shared" si="147"/>
        <v>39177.712</v>
      </c>
      <c r="AZ976">
        <f t="shared" si="147"/>
        <v>73458.210000000006</v>
      </c>
      <c r="BA976">
        <f t="shared" si="147"/>
        <v>122430.35</v>
      </c>
      <c r="BB976">
        <f t="shared" si="147"/>
        <v>195888.56000000003</v>
      </c>
      <c r="BC976">
        <f t="shared" si="144"/>
        <v>489721.4</v>
      </c>
      <c r="BD976">
        <f t="shared" si="144"/>
        <v>734582.10000000009</v>
      </c>
      <c r="BE976">
        <f t="shared" si="144"/>
        <v>1175331.3600000001</v>
      </c>
      <c r="BF976">
        <f t="shared" si="144"/>
        <v>1469164.2000000002</v>
      </c>
      <c r="BG976">
        <f t="shared" si="144"/>
        <v>4897214</v>
      </c>
      <c r="BH976">
        <f t="shared" si="144"/>
        <v>14691642.000000002</v>
      </c>
      <c r="BI976">
        <f t="shared" si="144"/>
        <v>41626319</v>
      </c>
      <c r="BJ976">
        <f t="shared" si="144"/>
        <v>146916420</v>
      </c>
      <c r="BK976">
        <f t="shared" si="144"/>
        <v>489721400.00000006</v>
      </c>
      <c r="BL976">
        <v>971</v>
      </c>
    </row>
    <row r="977" spans="1:64" ht="17.25" thickBot="1" x14ac:dyDescent="0.25">
      <c r="A977" s="131">
        <v>973</v>
      </c>
      <c r="B977" s="135">
        <v>1865154677</v>
      </c>
      <c r="D977" s="131">
        <v>973</v>
      </c>
      <c r="E977" s="132">
        <v>49.12538</v>
      </c>
      <c r="AK977">
        <v>971</v>
      </c>
      <c r="AL977" s="24">
        <f t="shared" si="145"/>
        <v>49.023269999999997</v>
      </c>
      <c r="AM977">
        <f t="shared" si="147"/>
        <v>343.16288999999995</v>
      </c>
      <c r="AN977">
        <f t="shared" si="147"/>
        <v>490.23269999999997</v>
      </c>
      <c r="AO977">
        <f t="shared" si="147"/>
        <v>735.34904999999992</v>
      </c>
      <c r="AP977">
        <f t="shared" si="147"/>
        <v>980.46539999999993</v>
      </c>
      <c r="AQ977">
        <f t="shared" si="147"/>
        <v>1715.8144499999999</v>
      </c>
      <c r="AR977">
        <f t="shared" si="147"/>
        <v>2451.1634999999997</v>
      </c>
      <c r="AS977">
        <f t="shared" si="147"/>
        <v>3921.8615999999997</v>
      </c>
      <c r="AT977">
        <f t="shared" si="147"/>
        <v>5882.7923999999994</v>
      </c>
      <c r="AU977">
        <f t="shared" si="147"/>
        <v>8333.955899999999</v>
      </c>
      <c r="AV977">
        <f t="shared" si="147"/>
        <v>11765.584799999999</v>
      </c>
      <c r="AW977">
        <f t="shared" si="147"/>
        <v>16177.679099999999</v>
      </c>
      <c r="AX977">
        <f t="shared" si="147"/>
        <v>22550.7042</v>
      </c>
      <c r="AY977">
        <f t="shared" si="147"/>
        <v>39218.615999999995</v>
      </c>
      <c r="AZ977">
        <f t="shared" si="147"/>
        <v>73534.904999999999</v>
      </c>
      <c r="BA977">
        <f t="shared" si="147"/>
        <v>122558.17499999999</v>
      </c>
      <c r="BB977">
        <f t="shared" si="147"/>
        <v>196093.08</v>
      </c>
      <c r="BC977">
        <f t="shared" si="144"/>
        <v>490232.69999999995</v>
      </c>
      <c r="BD977">
        <f t="shared" si="144"/>
        <v>735349.04999999993</v>
      </c>
      <c r="BE977">
        <f t="shared" ref="BC977:BK1005" si="148">BE$5*VLOOKUP($AK977,$D$2:$E$1404,2,FALSE)</f>
        <v>1176558.48</v>
      </c>
      <c r="BF977">
        <f t="shared" si="148"/>
        <v>1470698.0999999999</v>
      </c>
      <c r="BG977">
        <f t="shared" si="148"/>
        <v>4902327</v>
      </c>
      <c r="BH977">
        <f t="shared" si="148"/>
        <v>14706980.999999998</v>
      </c>
      <c r="BI977">
        <f t="shared" si="148"/>
        <v>41669779.5</v>
      </c>
      <c r="BJ977">
        <f t="shared" si="148"/>
        <v>147069810</v>
      </c>
      <c r="BK977">
        <f t="shared" si="148"/>
        <v>490232699.99999994</v>
      </c>
      <c r="BL977">
        <v>972</v>
      </c>
    </row>
    <row r="978" spans="1:64" ht="17.25" thickBot="1" x14ac:dyDescent="0.25">
      <c r="A978" s="131">
        <v>974</v>
      </c>
      <c r="B978" s="135">
        <v>1876131244</v>
      </c>
      <c r="D978" s="131">
        <v>974</v>
      </c>
      <c r="E978" s="132">
        <v>49.176349999999999</v>
      </c>
      <c r="AK978">
        <v>972</v>
      </c>
      <c r="AL978" s="24">
        <f t="shared" si="145"/>
        <v>49.074350000000003</v>
      </c>
      <c r="AM978">
        <f t="shared" si="147"/>
        <v>343.52045000000004</v>
      </c>
      <c r="AN978">
        <f t="shared" si="147"/>
        <v>490.74350000000004</v>
      </c>
      <c r="AO978">
        <f t="shared" si="147"/>
        <v>736.11525000000006</v>
      </c>
      <c r="AP978">
        <f t="shared" si="147"/>
        <v>981.48700000000008</v>
      </c>
      <c r="AQ978">
        <f t="shared" si="147"/>
        <v>1717.6022500000001</v>
      </c>
      <c r="AR978">
        <f t="shared" si="147"/>
        <v>2453.7175000000002</v>
      </c>
      <c r="AS978">
        <f t="shared" si="147"/>
        <v>3925.9480000000003</v>
      </c>
      <c r="AT978">
        <f t="shared" si="147"/>
        <v>5888.9220000000005</v>
      </c>
      <c r="AU978">
        <f t="shared" si="147"/>
        <v>8342.6395000000011</v>
      </c>
      <c r="AV978">
        <f t="shared" si="147"/>
        <v>11777.844000000001</v>
      </c>
      <c r="AW978">
        <f t="shared" si="147"/>
        <v>16194.5355</v>
      </c>
      <c r="AX978">
        <f t="shared" si="147"/>
        <v>22574.201000000001</v>
      </c>
      <c r="AY978">
        <f t="shared" si="147"/>
        <v>39259.480000000003</v>
      </c>
      <c r="AZ978">
        <f t="shared" si="147"/>
        <v>73611.525000000009</v>
      </c>
      <c r="BA978">
        <f t="shared" si="147"/>
        <v>122685.875</v>
      </c>
      <c r="BB978">
        <f t="shared" si="147"/>
        <v>196297.40000000002</v>
      </c>
      <c r="BC978">
        <f t="shared" si="148"/>
        <v>490743.5</v>
      </c>
      <c r="BD978">
        <f t="shared" si="148"/>
        <v>736115.25</v>
      </c>
      <c r="BE978">
        <f t="shared" si="148"/>
        <v>1177784.4000000001</v>
      </c>
      <c r="BF978">
        <f t="shared" si="148"/>
        <v>1472230.5</v>
      </c>
      <c r="BG978">
        <f t="shared" si="148"/>
        <v>4907435</v>
      </c>
      <c r="BH978">
        <f t="shared" si="148"/>
        <v>14722305</v>
      </c>
      <c r="BI978">
        <f t="shared" si="148"/>
        <v>41713197.5</v>
      </c>
      <c r="BJ978">
        <f t="shared" si="148"/>
        <v>147223050</v>
      </c>
      <c r="BK978">
        <f t="shared" si="148"/>
        <v>490743500</v>
      </c>
      <c r="BL978">
        <v>973</v>
      </c>
    </row>
    <row r="979" spans="1:64" ht="17.25" thickBot="1" x14ac:dyDescent="0.25">
      <c r="A979" s="131">
        <v>975</v>
      </c>
      <c r="B979" s="135">
        <v>1887160577</v>
      </c>
      <c r="D979" s="131">
        <v>975</v>
      </c>
      <c r="E979" s="132">
        <v>49.227269999999997</v>
      </c>
      <c r="AK979">
        <v>973</v>
      </c>
      <c r="AL979" s="24">
        <f t="shared" si="145"/>
        <v>49.12538</v>
      </c>
      <c r="AM979">
        <f t="shared" si="147"/>
        <v>343.87765999999999</v>
      </c>
      <c r="AN979">
        <f t="shared" si="147"/>
        <v>491.25380000000001</v>
      </c>
      <c r="AO979">
        <f t="shared" si="147"/>
        <v>736.88070000000005</v>
      </c>
      <c r="AP979">
        <f t="shared" si="147"/>
        <v>982.50760000000002</v>
      </c>
      <c r="AQ979">
        <f t="shared" si="147"/>
        <v>1719.3883000000001</v>
      </c>
      <c r="AR979">
        <f t="shared" si="147"/>
        <v>2456.2689999999998</v>
      </c>
      <c r="AS979">
        <f t="shared" si="147"/>
        <v>3930.0304000000001</v>
      </c>
      <c r="AT979">
        <f t="shared" si="147"/>
        <v>5895.0456000000004</v>
      </c>
      <c r="AU979">
        <f t="shared" si="147"/>
        <v>8351.3145999999997</v>
      </c>
      <c r="AV979">
        <f t="shared" si="147"/>
        <v>11790.091200000001</v>
      </c>
      <c r="AW979">
        <f t="shared" si="147"/>
        <v>16211.375400000001</v>
      </c>
      <c r="AX979">
        <f t="shared" si="147"/>
        <v>22597.674800000001</v>
      </c>
      <c r="AY979">
        <f t="shared" si="147"/>
        <v>39300.303999999996</v>
      </c>
      <c r="AZ979">
        <f t="shared" si="147"/>
        <v>73688.070000000007</v>
      </c>
      <c r="BA979">
        <f t="shared" si="147"/>
        <v>122813.45</v>
      </c>
      <c r="BB979">
        <f t="shared" si="147"/>
        <v>196501.52</v>
      </c>
      <c r="BC979">
        <f t="shared" si="148"/>
        <v>491253.8</v>
      </c>
      <c r="BD979">
        <f t="shared" si="148"/>
        <v>736880.7</v>
      </c>
      <c r="BE979">
        <f t="shared" si="148"/>
        <v>1179009.1200000001</v>
      </c>
      <c r="BF979">
        <f t="shared" si="148"/>
        <v>1473761.4</v>
      </c>
      <c r="BG979">
        <f t="shared" si="148"/>
        <v>4912538</v>
      </c>
      <c r="BH979">
        <f t="shared" si="148"/>
        <v>14737614</v>
      </c>
      <c r="BI979">
        <f t="shared" si="148"/>
        <v>41756573</v>
      </c>
      <c r="BJ979">
        <f t="shared" si="148"/>
        <v>147376140</v>
      </c>
      <c r="BK979">
        <f t="shared" si="148"/>
        <v>491253800</v>
      </c>
      <c r="BL979">
        <v>974</v>
      </c>
    </row>
    <row r="980" spans="1:64" ht="17.25" thickBot="1" x14ac:dyDescent="0.25">
      <c r="A980" s="131">
        <v>976</v>
      </c>
      <c r="B980" s="135">
        <v>1898242855</v>
      </c>
      <c r="D980" s="131">
        <v>976</v>
      </c>
      <c r="E980" s="132">
        <v>49.27814</v>
      </c>
      <c r="AK980">
        <v>974</v>
      </c>
      <c r="AL980" s="24">
        <f t="shared" si="145"/>
        <v>49.176349999999999</v>
      </c>
      <c r="AM980">
        <f t="shared" si="147"/>
        <v>344.23444999999998</v>
      </c>
      <c r="AN980">
        <f t="shared" si="147"/>
        <v>491.76350000000002</v>
      </c>
      <c r="AO980">
        <f t="shared" si="147"/>
        <v>737.64525000000003</v>
      </c>
      <c r="AP980">
        <f t="shared" si="147"/>
        <v>983.52700000000004</v>
      </c>
      <c r="AQ980">
        <f t="shared" si="147"/>
        <v>1721.1722500000001</v>
      </c>
      <c r="AR980">
        <f t="shared" si="147"/>
        <v>2458.8175000000001</v>
      </c>
      <c r="AS980">
        <f t="shared" si="147"/>
        <v>3934.1080000000002</v>
      </c>
      <c r="AT980">
        <f t="shared" si="147"/>
        <v>5901.1620000000003</v>
      </c>
      <c r="AU980">
        <f t="shared" si="147"/>
        <v>8359.9794999999995</v>
      </c>
      <c r="AV980">
        <f t="shared" si="147"/>
        <v>11802.324000000001</v>
      </c>
      <c r="AW980">
        <f t="shared" si="147"/>
        <v>16228.1955</v>
      </c>
      <c r="AX980">
        <f t="shared" si="147"/>
        <v>22621.120999999999</v>
      </c>
      <c r="AY980">
        <f t="shared" si="147"/>
        <v>39341.08</v>
      </c>
      <c r="AZ980">
        <f t="shared" si="147"/>
        <v>73764.524999999994</v>
      </c>
      <c r="BA980">
        <f t="shared" si="147"/>
        <v>122940.875</v>
      </c>
      <c r="BB980">
        <f t="shared" si="147"/>
        <v>196705.4</v>
      </c>
      <c r="BC980">
        <f t="shared" si="148"/>
        <v>491763.5</v>
      </c>
      <c r="BD980">
        <f t="shared" si="148"/>
        <v>737645.25</v>
      </c>
      <c r="BE980">
        <f t="shared" si="148"/>
        <v>1180232.3999999999</v>
      </c>
      <c r="BF980">
        <f t="shared" si="148"/>
        <v>1475290.5</v>
      </c>
      <c r="BG980">
        <f t="shared" si="148"/>
        <v>4917635</v>
      </c>
      <c r="BH980">
        <f t="shared" si="148"/>
        <v>14752905</v>
      </c>
      <c r="BI980">
        <f t="shared" si="148"/>
        <v>41799897.5</v>
      </c>
      <c r="BJ980">
        <f t="shared" si="148"/>
        <v>147529050</v>
      </c>
      <c r="BK980">
        <f t="shared" si="148"/>
        <v>491763500</v>
      </c>
      <c r="BL980">
        <v>975</v>
      </c>
    </row>
    <row r="981" spans="1:64" ht="17.25" thickBot="1" x14ac:dyDescent="0.25">
      <c r="A981" s="131">
        <v>977</v>
      </c>
      <c r="B981" s="135">
        <v>1909378266</v>
      </c>
      <c r="D981" s="131">
        <v>977</v>
      </c>
      <c r="E981" s="132">
        <v>49.328960000000002</v>
      </c>
      <c r="AK981">
        <v>975</v>
      </c>
      <c r="AL981" s="24">
        <f t="shared" si="145"/>
        <v>49.227269999999997</v>
      </c>
      <c r="AM981">
        <f t="shared" si="147"/>
        <v>344.59089</v>
      </c>
      <c r="AN981">
        <f t="shared" si="147"/>
        <v>492.27269999999999</v>
      </c>
      <c r="AO981">
        <f t="shared" si="147"/>
        <v>738.40904999999998</v>
      </c>
      <c r="AP981">
        <f t="shared" si="147"/>
        <v>984.54539999999997</v>
      </c>
      <c r="AQ981">
        <f t="shared" si="147"/>
        <v>1722.95445</v>
      </c>
      <c r="AR981">
        <f t="shared" si="147"/>
        <v>2461.3634999999999</v>
      </c>
      <c r="AS981">
        <f t="shared" si="147"/>
        <v>3938.1815999999999</v>
      </c>
      <c r="AT981">
        <f t="shared" si="147"/>
        <v>5907.2723999999998</v>
      </c>
      <c r="AU981">
        <f t="shared" si="147"/>
        <v>8368.6358999999993</v>
      </c>
      <c r="AV981">
        <f t="shared" si="147"/>
        <v>11814.5448</v>
      </c>
      <c r="AW981">
        <f t="shared" si="147"/>
        <v>16244.999099999999</v>
      </c>
      <c r="AX981">
        <f t="shared" si="147"/>
        <v>22644.5442</v>
      </c>
      <c r="AY981">
        <f t="shared" si="147"/>
        <v>39381.815999999999</v>
      </c>
      <c r="AZ981">
        <f t="shared" si="147"/>
        <v>73840.904999999999</v>
      </c>
      <c r="BA981">
        <f t="shared" si="147"/>
        <v>123068.17499999999</v>
      </c>
      <c r="BB981">
        <f t="shared" si="147"/>
        <v>196909.08</v>
      </c>
      <c r="BC981">
        <f t="shared" si="148"/>
        <v>492272.69999999995</v>
      </c>
      <c r="BD981">
        <f t="shared" si="148"/>
        <v>738409.04999999993</v>
      </c>
      <c r="BE981">
        <f t="shared" si="148"/>
        <v>1181454.48</v>
      </c>
      <c r="BF981">
        <f t="shared" si="148"/>
        <v>1476818.0999999999</v>
      </c>
      <c r="BG981">
        <f t="shared" si="148"/>
        <v>4922727</v>
      </c>
      <c r="BH981">
        <f t="shared" si="148"/>
        <v>14768181</v>
      </c>
      <c r="BI981">
        <f t="shared" si="148"/>
        <v>41843179.5</v>
      </c>
      <c r="BJ981">
        <f t="shared" si="148"/>
        <v>147681810</v>
      </c>
      <c r="BK981">
        <f t="shared" si="148"/>
        <v>492272700</v>
      </c>
      <c r="BL981">
        <v>976</v>
      </c>
    </row>
    <row r="982" spans="1:64" ht="17.25" thickBot="1" x14ac:dyDescent="0.25">
      <c r="A982" s="131">
        <v>978</v>
      </c>
      <c r="B982" s="135">
        <v>1920567000</v>
      </c>
      <c r="D982" s="131">
        <v>978</v>
      </c>
      <c r="E982" s="132">
        <v>49.379730000000002</v>
      </c>
      <c r="AK982">
        <v>976</v>
      </c>
      <c r="AL982" s="24">
        <f t="shared" si="145"/>
        <v>49.27814</v>
      </c>
      <c r="AM982">
        <f t="shared" si="147"/>
        <v>344.94698</v>
      </c>
      <c r="AN982">
        <f t="shared" si="147"/>
        <v>492.78140000000002</v>
      </c>
      <c r="AO982">
        <f t="shared" si="147"/>
        <v>739.1721</v>
      </c>
      <c r="AP982">
        <f t="shared" si="147"/>
        <v>985.56280000000004</v>
      </c>
      <c r="AQ982">
        <f t="shared" si="147"/>
        <v>1724.7348999999999</v>
      </c>
      <c r="AR982">
        <f t="shared" si="147"/>
        <v>2463.9070000000002</v>
      </c>
      <c r="AS982">
        <f t="shared" si="147"/>
        <v>3942.2512000000002</v>
      </c>
      <c r="AT982">
        <f t="shared" si="147"/>
        <v>5913.3768</v>
      </c>
      <c r="AU982">
        <f t="shared" si="147"/>
        <v>8377.2837999999992</v>
      </c>
      <c r="AV982">
        <f t="shared" si="147"/>
        <v>11826.7536</v>
      </c>
      <c r="AW982">
        <f t="shared" si="147"/>
        <v>16261.7862</v>
      </c>
      <c r="AX982">
        <f t="shared" si="147"/>
        <v>22667.9444</v>
      </c>
      <c r="AY982">
        <f t="shared" si="147"/>
        <v>39422.512000000002</v>
      </c>
      <c r="AZ982">
        <f t="shared" si="147"/>
        <v>73917.210000000006</v>
      </c>
      <c r="BA982">
        <f t="shared" si="147"/>
        <v>123195.35</v>
      </c>
      <c r="BB982">
        <f t="shared" si="147"/>
        <v>197112.56</v>
      </c>
      <c r="BC982">
        <f t="shared" si="148"/>
        <v>492781.4</v>
      </c>
      <c r="BD982">
        <f t="shared" si="148"/>
        <v>739172.1</v>
      </c>
      <c r="BE982">
        <f t="shared" si="148"/>
        <v>1182675.3600000001</v>
      </c>
      <c r="BF982">
        <f t="shared" si="148"/>
        <v>1478344.2</v>
      </c>
      <c r="BG982">
        <f t="shared" si="148"/>
        <v>4927814</v>
      </c>
      <c r="BH982">
        <f t="shared" si="148"/>
        <v>14783442</v>
      </c>
      <c r="BI982">
        <f t="shared" si="148"/>
        <v>41886419</v>
      </c>
      <c r="BJ982">
        <f t="shared" si="148"/>
        <v>147834420</v>
      </c>
      <c r="BK982">
        <f t="shared" si="148"/>
        <v>492781400</v>
      </c>
      <c r="BL982">
        <v>977</v>
      </c>
    </row>
    <row r="983" spans="1:64" ht="17.25" thickBot="1" x14ac:dyDescent="0.25">
      <c r="A983" s="131">
        <v>979</v>
      </c>
      <c r="B983" s="135">
        <v>1931809244</v>
      </c>
      <c r="D983" s="131">
        <v>979</v>
      </c>
      <c r="E983" s="132">
        <v>49.430439999999997</v>
      </c>
      <c r="AK983">
        <v>977</v>
      </c>
      <c r="AL983" s="24">
        <f t="shared" si="145"/>
        <v>49.328960000000002</v>
      </c>
      <c r="AM983">
        <f t="shared" si="147"/>
        <v>345.30272000000002</v>
      </c>
      <c r="AN983">
        <f t="shared" si="147"/>
        <v>493.28960000000001</v>
      </c>
      <c r="AO983">
        <f t="shared" si="147"/>
        <v>739.93439999999998</v>
      </c>
      <c r="AP983">
        <f t="shared" si="147"/>
        <v>986.57920000000001</v>
      </c>
      <c r="AQ983">
        <f t="shared" si="147"/>
        <v>1726.5136</v>
      </c>
      <c r="AR983">
        <f t="shared" si="147"/>
        <v>2466.4480000000003</v>
      </c>
      <c r="AS983">
        <f t="shared" si="147"/>
        <v>3946.3168000000001</v>
      </c>
      <c r="AT983">
        <f t="shared" si="147"/>
        <v>5919.4751999999999</v>
      </c>
      <c r="AU983">
        <f t="shared" si="147"/>
        <v>8385.9232000000011</v>
      </c>
      <c r="AV983">
        <f t="shared" si="147"/>
        <v>11838.9504</v>
      </c>
      <c r="AW983">
        <f t="shared" si="147"/>
        <v>16278.5568</v>
      </c>
      <c r="AX983">
        <f t="shared" si="147"/>
        <v>22691.321599999999</v>
      </c>
      <c r="AY983">
        <f t="shared" si="147"/>
        <v>39463.168000000005</v>
      </c>
      <c r="AZ983">
        <f t="shared" si="147"/>
        <v>73993.440000000002</v>
      </c>
      <c r="BA983">
        <f t="shared" si="147"/>
        <v>123322.40000000001</v>
      </c>
      <c r="BB983">
        <f t="shared" si="147"/>
        <v>197315.84</v>
      </c>
      <c r="BC983">
        <f t="shared" si="148"/>
        <v>493289.60000000003</v>
      </c>
      <c r="BD983">
        <f t="shared" si="148"/>
        <v>739934.4</v>
      </c>
      <c r="BE983">
        <f t="shared" si="148"/>
        <v>1183895.04</v>
      </c>
      <c r="BF983">
        <f t="shared" si="148"/>
        <v>1479868.8</v>
      </c>
      <c r="BG983">
        <f t="shared" si="148"/>
        <v>4932896</v>
      </c>
      <c r="BH983">
        <f t="shared" si="148"/>
        <v>14798688</v>
      </c>
      <c r="BI983">
        <f t="shared" si="148"/>
        <v>41929616</v>
      </c>
      <c r="BJ983">
        <f t="shared" si="148"/>
        <v>147986880</v>
      </c>
      <c r="BK983">
        <f t="shared" si="148"/>
        <v>493289600</v>
      </c>
      <c r="BL983">
        <v>978</v>
      </c>
    </row>
    <row r="984" spans="1:64" ht="17.25" thickBot="1" x14ac:dyDescent="0.25">
      <c r="A984" s="131">
        <v>980</v>
      </c>
      <c r="B984" s="135">
        <v>1943105183</v>
      </c>
      <c r="D984" s="131">
        <v>980</v>
      </c>
      <c r="E984" s="132">
        <v>49.481099999999998</v>
      </c>
      <c r="AK984">
        <v>978</v>
      </c>
      <c r="AL984" s="24">
        <f t="shared" si="145"/>
        <v>49.379730000000002</v>
      </c>
      <c r="AM984">
        <f t="shared" si="147"/>
        <v>345.65811000000002</v>
      </c>
      <c r="AN984">
        <f t="shared" si="147"/>
        <v>493.79730000000001</v>
      </c>
      <c r="AO984">
        <f t="shared" si="147"/>
        <v>740.69595000000004</v>
      </c>
      <c r="AP984">
        <f t="shared" si="147"/>
        <v>987.59460000000001</v>
      </c>
      <c r="AQ984">
        <f t="shared" si="147"/>
        <v>1728.2905500000002</v>
      </c>
      <c r="AR984">
        <f t="shared" si="147"/>
        <v>2468.9865</v>
      </c>
      <c r="AS984">
        <f t="shared" si="147"/>
        <v>3950.3784000000001</v>
      </c>
      <c r="AT984">
        <f t="shared" si="147"/>
        <v>5925.5676000000003</v>
      </c>
      <c r="AU984">
        <f t="shared" si="147"/>
        <v>8394.5541000000012</v>
      </c>
      <c r="AV984">
        <f t="shared" si="147"/>
        <v>11851.135200000001</v>
      </c>
      <c r="AW984">
        <f t="shared" si="147"/>
        <v>16295.3109</v>
      </c>
      <c r="AX984">
        <f t="shared" si="147"/>
        <v>22714.675800000001</v>
      </c>
      <c r="AY984">
        <f t="shared" si="147"/>
        <v>39503.784</v>
      </c>
      <c r="AZ984">
        <f t="shared" si="147"/>
        <v>74069.595000000001</v>
      </c>
      <c r="BA984">
        <f t="shared" si="147"/>
        <v>123449.32500000001</v>
      </c>
      <c r="BB984">
        <f t="shared" si="147"/>
        <v>197518.92</v>
      </c>
      <c r="BC984">
        <f t="shared" si="148"/>
        <v>493797.30000000005</v>
      </c>
      <c r="BD984">
        <f t="shared" si="148"/>
        <v>740695.95000000007</v>
      </c>
      <c r="BE984">
        <f t="shared" si="148"/>
        <v>1185113.52</v>
      </c>
      <c r="BF984">
        <f t="shared" si="148"/>
        <v>1481391.9000000001</v>
      </c>
      <c r="BG984">
        <f t="shared" si="148"/>
        <v>4937973</v>
      </c>
      <c r="BH984">
        <f t="shared" si="148"/>
        <v>14813919</v>
      </c>
      <c r="BI984">
        <f t="shared" si="148"/>
        <v>41972770.5</v>
      </c>
      <c r="BJ984">
        <f t="shared" si="148"/>
        <v>148139190</v>
      </c>
      <c r="BK984">
        <f t="shared" si="148"/>
        <v>493797300</v>
      </c>
      <c r="BL984">
        <v>979</v>
      </c>
    </row>
    <row r="985" spans="1:64" ht="17.25" thickBot="1" x14ac:dyDescent="0.25">
      <c r="A985" s="131">
        <v>981</v>
      </c>
      <c r="B985" s="135">
        <v>1954455005</v>
      </c>
      <c r="D985" s="131">
        <v>981</v>
      </c>
      <c r="E985" s="132">
        <v>49.531709999999997</v>
      </c>
      <c r="AK985">
        <v>979</v>
      </c>
      <c r="AL985" s="24">
        <f t="shared" si="145"/>
        <v>49.430439999999997</v>
      </c>
      <c r="AM985">
        <f t="shared" si="147"/>
        <v>346.01308</v>
      </c>
      <c r="AN985">
        <f t="shared" si="147"/>
        <v>494.30439999999999</v>
      </c>
      <c r="AO985">
        <f t="shared" si="147"/>
        <v>741.45659999999998</v>
      </c>
      <c r="AP985">
        <f t="shared" si="147"/>
        <v>988.60879999999997</v>
      </c>
      <c r="AQ985">
        <f t="shared" si="147"/>
        <v>1730.0654</v>
      </c>
      <c r="AR985">
        <f t="shared" si="147"/>
        <v>2471.5219999999999</v>
      </c>
      <c r="AS985">
        <f t="shared" si="147"/>
        <v>3954.4351999999999</v>
      </c>
      <c r="AT985">
        <f t="shared" si="147"/>
        <v>5931.6527999999998</v>
      </c>
      <c r="AU985">
        <f t="shared" si="147"/>
        <v>8403.1747999999989</v>
      </c>
      <c r="AV985">
        <f t="shared" si="147"/>
        <v>11863.3056</v>
      </c>
      <c r="AW985">
        <f t="shared" si="147"/>
        <v>16312.045199999999</v>
      </c>
      <c r="AX985">
        <f t="shared" si="147"/>
        <v>22738.002399999998</v>
      </c>
      <c r="AY985">
        <f t="shared" si="147"/>
        <v>39544.351999999999</v>
      </c>
      <c r="AZ985">
        <f t="shared" si="147"/>
        <v>74145.659999999989</v>
      </c>
      <c r="BA985">
        <f t="shared" si="147"/>
        <v>123576.09999999999</v>
      </c>
      <c r="BB985">
        <f t="shared" si="147"/>
        <v>197721.75999999998</v>
      </c>
      <c r="BC985">
        <f t="shared" si="148"/>
        <v>494304.39999999997</v>
      </c>
      <c r="BD985">
        <f t="shared" si="148"/>
        <v>741456.6</v>
      </c>
      <c r="BE985">
        <f t="shared" si="148"/>
        <v>1186330.5599999998</v>
      </c>
      <c r="BF985">
        <f t="shared" si="148"/>
        <v>1482913.2</v>
      </c>
      <c r="BG985">
        <f t="shared" si="148"/>
        <v>4943044</v>
      </c>
      <c r="BH985">
        <f t="shared" si="148"/>
        <v>14829132</v>
      </c>
      <c r="BI985">
        <f t="shared" si="148"/>
        <v>42015874</v>
      </c>
      <c r="BJ985">
        <f t="shared" si="148"/>
        <v>148291320</v>
      </c>
      <c r="BK985">
        <f t="shared" si="148"/>
        <v>494304400</v>
      </c>
      <c r="BL985">
        <v>980</v>
      </c>
    </row>
    <row r="986" spans="1:64" ht="17.25" thickBot="1" x14ac:dyDescent="0.25">
      <c r="A986" s="131">
        <v>982</v>
      </c>
      <c r="B986" s="135">
        <v>1965858900</v>
      </c>
      <c r="D986" s="131">
        <v>982</v>
      </c>
      <c r="E986" s="132">
        <v>49.582270000000001</v>
      </c>
      <c r="AK986">
        <v>980</v>
      </c>
      <c r="AL986" s="24">
        <f t="shared" si="145"/>
        <v>49.481099999999998</v>
      </c>
      <c r="AM986">
        <f t="shared" si="147"/>
        <v>346.36770000000001</v>
      </c>
      <c r="AN986">
        <f t="shared" si="147"/>
        <v>494.81099999999998</v>
      </c>
      <c r="AO986">
        <f t="shared" si="147"/>
        <v>742.2165</v>
      </c>
      <c r="AP986">
        <f t="shared" si="147"/>
        <v>989.62199999999996</v>
      </c>
      <c r="AQ986">
        <f t="shared" si="147"/>
        <v>1731.8384999999998</v>
      </c>
      <c r="AR986">
        <f t="shared" si="147"/>
        <v>2474.0549999999998</v>
      </c>
      <c r="AS986">
        <f t="shared" si="147"/>
        <v>3958.4879999999998</v>
      </c>
      <c r="AT986">
        <f t="shared" si="147"/>
        <v>5937.732</v>
      </c>
      <c r="AU986">
        <f t="shared" si="147"/>
        <v>8411.7870000000003</v>
      </c>
      <c r="AV986">
        <f t="shared" si="147"/>
        <v>11875.464</v>
      </c>
      <c r="AW986">
        <f t="shared" si="147"/>
        <v>16328.762999999999</v>
      </c>
      <c r="AX986">
        <f t="shared" si="147"/>
        <v>22761.306</v>
      </c>
      <c r="AY986">
        <f t="shared" si="147"/>
        <v>39584.879999999997</v>
      </c>
      <c r="AZ986">
        <f t="shared" si="147"/>
        <v>74221.649999999994</v>
      </c>
      <c r="BA986">
        <f t="shared" si="147"/>
        <v>123702.75</v>
      </c>
      <c r="BB986">
        <f t="shared" si="147"/>
        <v>197924.4</v>
      </c>
      <c r="BC986">
        <f t="shared" si="148"/>
        <v>494811</v>
      </c>
      <c r="BD986">
        <f t="shared" si="148"/>
        <v>742216.5</v>
      </c>
      <c r="BE986">
        <f t="shared" si="148"/>
        <v>1187546.3999999999</v>
      </c>
      <c r="BF986">
        <f t="shared" si="148"/>
        <v>1484433</v>
      </c>
      <c r="BG986">
        <f t="shared" si="148"/>
        <v>4948110</v>
      </c>
      <c r="BH986">
        <f t="shared" si="148"/>
        <v>14844330</v>
      </c>
      <c r="BI986">
        <f t="shared" si="148"/>
        <v>42058935</v>
      </c>
      <c r="BJ986">
        <f t="shared" si="148"/>
        <v>148443300</v>
      </c>
      <c r="BK986">
        <f t="shared" si="148"/>
        <v>494811000</v>
      </c>
      <c r="BL986">
        <v>981</v>
      </c>
    </row>
    <row r="987" spans="1:64" ht="17.25" thickBot="1" x14ac:dyDescent="0.25">
      <c r="A987" s="131">
        <v>983</v>
      </c>
      <c r="B987" s="135">
        <v>1977317055</v>
      </c>
      <c r="D987" s="131">
        <v>983</v>
      </c>
      <c r="E987" s="132">
        <v>49.632779999999997</v>
      </c>
      <c r="AK987">
        <v>981</v>
      </c>
      <c r="AL987" s="24">
        <f t="shared" si="145"/>
        <v>49.531709999999997</v>
      </c>
      <c r="AM987">
        <f t="shared" si="147"/>
        <v>346.72197</v>
      </c>
      <c r="AN987">
        <f t="shared" si="147"/>
        <v>495.31709999999998</v>
      </c>
      <c r="AO987">
        <f t="shared" si="147"/>
        <v>742.97564999999997</v>
      </c>
      <c r="AP987">
        <f t="shared" si="147"/>
        <v>990.63419999999996</v>
      </c>
      <c r="AQ987">
        <f t="shared" si="147"/>
        <v>1733.6098499999998</v>
      </c>
      <c r="AR987">
        <f t="shared" si="147"/>
        <v>2476.5854999999997</v>
      </c>
      <c r="AS987">
        <f t="shared" si="147"/>
        <v>3962.5367999999999</v>
      </c>
      <c r="AT987">
        <f t="shared" si="147"/>
        <v>5943.8051999999998</v>
      </c>
      <c r="AU987">
        <f t="shared" si="147"/>
        <v>8420.3906999999999</v>
      </c>
      <c r="AV987">
        <f t="shared" si="147"/>
        <v>11887.6104</v>
      </c>
      <c r="AW987">
        <f t="shared" si="147"/>
        <v>16345.4643</v>
      </c>
      <c r="AX987">
        <f t="shared" si="147"/>
        <v>22784.586599999999</v>
      </c>
      <c r="AY987">
        <f t="shared" si="147"/>
        <v>39625.367999999995</v>
      </c>
      <c r="AZ987">
        <f t="shared" si="147"/>
        <v>74297.565000000002</v>
      </c>
      <c r="BA987">
        <f t="shared" si="147"/>
        <v>123829.27499999999</v>
      </c>
      <c r="BB987">
        <f t="shared" si="147"/>
        <v>198126.84</v>
      </c>
      <c r="BC987">
        <f t="shared" si="148"/>
        <v>495317.1</v>
      </c>
      <c r="BD987">
        <f t="shared" si="148"/>
        <v>742975.64999999991</v>
      </c>
      <c r="BE987">
        <f t="shared" si="148"/>
        <v>1188761.04</v>
      </c>
      <c r="BF987">
        <f t="shared" si="148"/>
        <v>1485951.2999999998</v>
      </c>
      <c r="BG987">
        <f t="shared" si="148"/>
        <v>4953171</v>
      </c>
      <c r="BH987">
        <f t="shared" si="148"/>
        <v>14859512.999999998</v>
      </c>
      <c r="BI987">
        <f t="shared" si="148"/>
        <v>42101953.5</v>
      </c>
      <c r="BJ987">
        <f t="shared" si="148"/>
        <v>148595130</v>
      </c>
      <c r="BK987">
        <f t="shared" si="148"/>
        <v>495317099.99999994</v>
      </c>
      <c r="BL987">
        <v>982</v>
      </c>
    </row>
    <row r="988" spans="1:64" ht="17.25" thickBot="1" x14ac:dyDescent="0.25">
      <c r="A988" s="131">
        <v>984</v>
      </c>
      <c r="B988" s="135">
        <v>1988829666</v>
      </c>
      <c r="D988" s="131">
        <v>984</v>
      </c>
      <c r="E988" s="132">
        <v>49.683239999999998</v>
      </c>
      <c r="AK988">
        <v>982</v>
      </c>
      <c r="AL988" s="24">
        <f t="shared" si="145"/>
        <v>49.582270000000001</v>
      </c>
      <c r="AM988">
        <f t="shared" si="147"/>
        <v>347.07589000000002</v>
      </c>
      <c r="AN988">
        <f t="shared" si="147"/>
        <v>495.8227</v>
      </c>
      <c r="AO988">
        <f t="shared" si="147"/>
        <v>743.73405000000002</v>
      </c>
      <c r="AP988">
        <f t="shared" si="147"/>
        <v>991.6454</v>
      </c>
      <c r="AQ988">
        <f t="shared" si="147"/>
        <v>1735.3794500000001</v>
      </c>
      <c r="AR988">
        <f t="shared" si="147"/>
        <v>2479.1134999999999</v>
      </c>
      <c r="AS988">
        <f t="shared" si="147"/>
        <v>3966.5816</v>
      </c>
      <c r="AT988">
        <f t="shared" si="147"/>
        <v>5949.8724000000002</v>
      </c>
      <c r="AU988">
        <f t="shared" si="147"/>
        <v>8428.9858999999997</v>
      </c>
      <c r="AV988">
        <f t="shared" si="147"/>
        <v>11899.7448</v>
      </c>
      <c r="AW988">
        <f t="shared" si="147"/>
        <v>16362.149100000001</v>
      </c>
      <c r="AX988">
        <f t="shared" si="147"/>
        <v>22807.8442</v>
      </c>
      <c r="AY988">
        <f t="shared" si="147"/>
        <v>39665.815999999999</v>
      </c>
      <c r="AZ988">
        <f t="shared" si="147"/>
        <v>74373.404999999999</v>
      </c>
      <c r="BA988">
        <f t="shared" si="147"/>
        <v>123955.675</v>
      </c>
      <c r="BB988">
        <f t="shared" si="147"/>
        <v>198329.08000000002</v>
      </c>
      <c r="BC988">
        <f t="shared" si="148"/>
        <v>495822.7</v>
      </c>
      <c r="BD988">
        <f t="shared" si="148"/>
        <v>743734.05</v>
      </c>
      <c r="BE988">
        <f t="shared" si="148"/>
        <v>1189974.48</v>
      </c>
      <c r="BF988">
        <f t="shared" si="148"/>
        <v>1487468.1</v>
      </c>
      <c r="BG988">
        <f t="shared" si="148"/>
        <v>4958227</v>
      </c>
      <c r="BH988">
        <f t="shared" si="148"/>
        <v>14874681</v>
      </c>
      <c r="BI988">
        <f t="shared" si="148"/>
        <v>42144929.5</v>
      </c>
      <c r="BJ988">
        <f t="shared" si="148"/>
        <v>148746810</v>
      </c>
      <c r="BK988">
        <f t="shared" si="148"/>
        <v>495822700</v>
      </c>
      <c r="BL988">
        <v>983</v>
      </c>
    </row>
    <row r="989" spans="1:64" ht="17.25" thickBot="1" x14ac:dyDescent="0.25">
      <c r="A989" s="131">
        <v>985</v>
      </c>
      <c r="B989" s="135">
        <v>2000396916</v>
      </c>
      <c r="D989" s="131">
        <v>985</v>
      </c>
      <c r="E989" s="132">
        <v>49.733649999999997</v>
      </c>
      <c r="AK989">
        <v>983</v>
      </c>
      <c r="AL989" s="24">
        <f t="shared" si="145"/>
        <v>49.632779999999997</v>
      </c>
      <c r="AM989">
        <f t="shared" si="147"/>
        <v>347.42945999999995</v>
      </c>
      <c r="AN989">
        <f t="shared" si="147"/>
        <v>496.32779999999997</v>
      </c>
      <c r="AO989">
        <f t="shared" si="147"/>
        <v>744.49169999999992</v>
      </c>
      <c r="AP989">
        <f t="shared" si="147"/>
        <v>992.65559999999994</v>
      </c>
      <c r="AQ989">
        <f t="shared" si="147"/>
        <v>1737.1472999999999</v>
      </c>
      <c r="AR989">
        <f t="shared" si="147"/>
        <v>2481.6389999999997</v>
      </c>
      <c r="AS989">
        <f t="shared" si="147"/>
        <v>3970.6223999999997</v>
      </c>
      <c r="AT989">
        <f t="shared" si="147"/>
        <v>5955.9335999999994</v>
      </c>
      <c r="AU989">
        <f t="shared" si="147"/>
        <v>8437.5725999999995</v>
      </c>
      <c r="AV989">
        <f t="shared" si="147"/>
        <v>11911.867199999999</v>
      </c>
      <c r="AW989">
        <f t="shared" si="147"/>
        <v>16378.817399999998</v>
      </c>
      <c r="AX989">
        <f t="shared" si="147"/>
        <v>22831.078799999999</v>
      </c>
      <c r="AY989">
        <f t="shared" si="147"/>
        <v>39706.223999999995</v>
      </c>
      <c r="AZ989">
        <f t="shared" si="147"/>
        <v>74449.17</v>
      </c>
      <c r="BA989">
        <f t="shared" si="147"/>
        <v>124081.95</v>
      </c>
      <c r="BB989">
        <f t="shared" si="147"/>
        <v>198531.12</v>
      </c>
      <c r="BC989">
        <f t="shared" si="148"/>
        <v>496327.8</v>
      </c>
      <c r="BD989">
        <f t="shared" si="148"/>
        <v>744491.7</v>
      </c>
      <c r="BE989">
        <f t="shared" si="148"/>
        <v>1191186.72</v>
      </c>
      <c r="BF989">
        <f t="shared" si="148"/>
        <v>1488983.4</v>
      </c>
      <c r="BG989">
        <f t="shared" si="148"/>
        <v>4963278</v>
      </c>
      <c r="BH989">
        <f t="shared" si="148"/>
        <v>14889833.999999998</v>
      </c>
      <c r="BI989">
        <f t="shared" si="148"/>
        <v>42187863</v>
      </c>
      <c r="BJ989">
        <f t="shared" si="148"/>
        <v>148898340</v>
      </c>
      <c r="BK989">
        <f t="shared" si="148"/>
        <v>496327799.99999994</v>
      </c>
      <c r="BL989">
        <v>984</v>
      </c>
    </row>
    <row r="990" spans="1:64" ht="17.25" thickBot="1" x14ac:dyDescent="0.25">
      <c r="A990" s="131">
        <v>986</v>
      </c>
      <c r="B990" s="135">
        <v>2012019000</v>
      </c>
      <c r="D990" s="131">
        <v>986</v>
      </c>
      <c r="E990" s="132">
        <v>49.784010000000002</v>
      </c>
      <c r="AK990">
        <v>984</v>
      </c>
      <c r="AL990" s="24">
        <f t="shared" si="145"/>
        <v>49.683239999999998</v>
      </c>
      <c r="AM990">
        <f t="shared" si="147"/>
        <v>347.78267999999997</v>
      </c>
      <c r="AN990">
        <f t="shared" ref="AM990:BB1005" si="149">AN$5*VLOOKUP($AK990,$D$2:$E$1404,2,FALSE)</f>
        <v>496.83240000000001</v>
      </c>
      <c r="AO990">
        <f t="shared" si="149"/>
        <v>745.24860000000001</v>
      </c>
      <c r="AP990">
        <f t="shared" si="149"/>
        <v>993.66480000000001</v>
      </c>
      <c r="AQ990">
        <f t="shared" si="149"/>
        <v>1738.9133999999999</v>
      </c>
      <c r="AR990">
        <f t="shared" si="149"/>
        <v>2484.1619999999998</v>
      </c>
      <c r="AS990">
        <f t="shared" si="149"/>
        <v>3974.6592000000001</v>
      </c>
      <c r="AT990">
        <f t="shared" si="149"/>
        <v>5961.9888000000001</v>
      </c>
      <c r="AU990">
        <f t="shared" si="149"/>
        <v>8446.1507999999994</v>
      </c>
      <c r="AV990">
        <f t="shared" si="149"/>
        <v>11923.9776</v>
      </c>
      <c r="AW990">
        <f t="shared" si="149"/>
        <v>16395.4692</v>
      </c>
      <c r="AX990">
        <f t="shared" si="149"/>
        <v>22854.290399999998</v>
      </c>
      <c r="AY990">
        <f t="shared" si="149"/>
        <v>39746.591999999997</v>
      </c>
      <c r="AZ990">
        <f t="shared" si="149"/>
        <v>74524.86</v>
      </c>
      <c r="BA990">
        <f t="shared" si="149"/>
        <v>124208.09999999999</v>
      </c>
      <c r="BB990">
        <f t="shared" si="149"/>
        <v>198732.96</v>
      </c>
      <c r="BC990">
        <f t="shared" si="148"/>
        <v>496832.39999999997</v>
      </c>
      <c r="BD990">
        <f t="shared" si="148"/>
        <v>745248.6</v>
      </c>
      <c r="BE990">
        <f t="shared" si="148"/>
        <v>1192397.76</v>
      </c>
      <c r="BF990">
        <f t="shared" si="148"/>
        <v>1490497.2</v>
      </c>
      <c r="BG990">
        <f t="shared" si="148"/>
        <v>4968324</v>
      </c>
      <c r="BH990">
        <f t="shared" si="148"/>
        <v>14904972</v>
      </c>
      <c r="BI990">
        <f t="shared" si="148"/>
        <v>42230754</v>
      </c>
      <c r="BJ990">
        <f t="shared" si="148"/>
        <v>149049720</v>
      </c>
      <c r="BK990">
        <f t="shared" si="148"/>
        <v>496832400</v>
      </c>
      <c r="BL990">
        <v>985</v>
      </c>
    </row>
    <row r="991" spans="1:64" ht="17.25" thickBot="1" x14ac:dyDescent="0.25">
      <c r="A991" s="131">
        <v>987</v>
      </c>
      <c r="B991" s="135">
        <v>2023696105</v>
      </c>
      <c r="D991" s="131">
        <v>987</v>
      </c>
      <c r="E991" s="132">
        <v>49.834319999999998</v>
      </c>
      <c r="AK991">
        <v>985</v>
      </c>
      <c r="AL991" s="24">
        <f t="shared" si="145"/>
        <v>49.733649999999997</v>
      </c>
      <c r="AM991">
        <f t="shared" si="149"/>
        <v>348.13554999999997</v>
      </c>
      <c r="AN991">
        <f t="shared" si="149"/>
        <v>497.3365</v>
      </c>
      <c r="AO991">
        <f t="shared" si="149"/>
        <v>746.00474999999994</v>
      </c>
      <c r="AP991">
        <f t="shared" si="149"/>
        <v>994.673</v>
      </c>
      <c r="AQ991">
        <f t="shared" si="149"/>
        <v>1740.6777499999998</v>
      </c>
      <c r="AR991">
        <f t="shared" si="149"/>
        <v>2486.6824999999999</v>
      </c>
      <c r="AS991">
        <f t="shared" si="149"/>
        <v>3978.692</v>
      </c>
      <c r="AT991">
        <f t="shared" si="149"/>
        <v>5968.0379999999996</v>
      </c>
      <c r="AU991">
        <f t="shared" si="149"/>
        <v>8454.7204999999994</v>
      </c>
      <c r="AV991">
        <f t="shared" si="149"/>
        <v>11936.075999999999</v>
      </c>
      <c r="AW991">
        <f t="shared" si="149"/>
        <v>16412.104499999998</v>
      </c>
      <c r="AX991">
        <f t="shared" si="149"/>
        <v>22877.478999999999</v>
      </c>
      <c r="AY991">
        <f t="shared" si="149"/>
        <v>39786.92</v>
      </c>
      <c r="AZ991">
        <f t="shared" si="149"/>
        <v>74600.474999999991</v>
      </c>
      <c r="BA991">
        <f t="shared" si="149"/>
        <v>124334.125</v>
      </c>
      <c r="BB991">
        <f t="shared" si="149"/>
        <v>198934.59999999998</v>
      </c>
      <c r="BC991">
        <f t="shared" si="148"/>
        <v>497336.5</v>
      </c>
      <c r="BD991">
        <f t="shared" si="148"/>
        <v>746004.75</v>
      </c>
      <c r="BE991">
        <f t="shared" si="148"/>
        <v>1193607.5999999999</v>
      </c>
      <c r="BF991">
        <f t="shared" si="148"/>
        <v>1492009.5</v>
      </c>
      <c r="BG991">
        <f t="shared" si="148"/>
        <v>4973365</v>
      </c>
      <c r="BH991">
        <f t="shared" si="148"/>
        <v>14920095</v>
      </c>
      <c r="BI991">
        <f t="shared" si="148"/>
        <v>42273602.5</v>
      </c>
      <c r="BJ991">
        <f t="shared" si="148"/>
        <v>149200950</v>
      </c>
      <c r="BK991">
        <f t="shared" si="148"/>
        <v>497336500</v>
      </c>
      <c r="BL991">
        <v>986</v>
      </c>
    </row>
    <row r="992" spans="1:64" ht="17.25" thickBot="1" x14ac:dyDescent="0.25">
      <c r="A992" s="131">
        <v>988</v>
      </c>
      <c r="B992" s="135">
        <v>2035428422</v>
      </c>
      <c r="D992" s="131">
        <v>988</v>
      </c>
      <c r="E992" s="132">
        <v>49.88458</v>
      </c>
      <c r="AK992">
        <v>986</v>
      </c>
      <c r="AL992" s="24">
        <f t="shared" si="145"/>
        <v>49.784010000000002</v>
      </c>
      <c r="AM992">
        <f t="shared" si="149"/>
        <v>348.48806999999999</v>
      </c>
      <c r="AN992">
        <f t="shared" si="149"/>
        <v>497.84010000000001</v>
      </c>
      <c r="AO992">
        <f t="shared" si="149"/>
        <v>746.76015000000007</v>
      </c>
      <c r="AP992">
        <f t="shared" si="149"/>
        <v>995.68020000000001</v>
      </c>
      <c r="AQ992">
        <f t="shared" si="149"/>
        <v>1742.4403500000001</v>
      </c>
      <c r="AR992">
        <f t="shared" si="149"/>
        <v>2489.2004999999999</v>
      </c>
      <c r="AS992">
        <f t="shared" si="149"/>
        <v>3982.7208000000001</v>
      </c>
      <c r="AT992">
        <f t="shared" si="149"/>
        <v>5974.0812000000005</v>
      </c>
      <c r="AU992">
        <f t="shared" si="149"/>
        <v>8463.2816999999995</v>
      </c>
      <c r="AV992">
        <f t="shared" si="149"/>
        <v>11948.162400000001</v>
      </c>
      <c r="AW992">
        <f t="shared" si="149"/>
        <v>16428.723300000001</v>
      </c>
      <c r="AX992">
        <f t="shared" si="149"/>
        <v>22900.6446</v>
      </c>
      <c r="AY992">
        <f t="shared" si="149"/>
        <v>39827.207999999999</v>
      </c>
      <c r="AZ992">
        <f t="shared" si="149"/>
        <v>74676.014999999999</v>
      </c>
      <c r="BA992">
        <f t="shared" si="149"/>
        <v>124460.02500000001</v>
      </c>
      <c r="BB992">
        <f t="shared" si="149"/>
        <v>199136.04</v>
      </c>
      <c r="BC992">
        <f t="shared" si="148"/>
        <v>497840.10000000003</v>
      </c>
      <c r="BD992">
        <f t="shared" si="148"/>
        <v>746760.15</v>
      </c>
      <c r="BE992">
        <f t="shared" si="148"/>
        <v>1194816.24</v>
      </c>
      <c r="BF992">
        <f t="shared" si="148"/>
        <v>1493520.3</v>
      </c>
      <c r="BG992">
        <f t="shared" si="148"/>
        <v>4978401</v>
      </c>
      <c r="BH992">
        <f t="shared" si="148"/>
        <v>14935203</v>
      </c>
      <c r="BI992">
        <f t="shared" si="148"/>
        <v>42316408.5</v>
      </c>
      <c r="BJ992">
        <f t="shared" si="148"/>
        <v>149352030</v>
      </c>
      <c r="BK992">
        <f t="shared" si="148"/>
        <v>497840100</v>
      </c>
      <c r="BL992">
        <v>987</v>
      </c>
    </row>
    <row r="993" spans="1:64" ht="17.25" thickBot="1" x14ac:dyDescent="0.25">
      <c r="A993" s="131">
        <v>989</v>
      </c>
      <c r="B993" s="135">
        <v>2047216144</v>
      </c>
      <c r="D993" s="131">
        <v>989</v>
      </c>
      <c r="E993" s="132">
        <v>49.93479</v>
      </c>
      <c r="AK993">
        <v>987</v>
      </c>
      <c r="AL993" s="24">
        <f t="shared" si="145"/>
        <v>49.834319999999998</v>
      </c>
      <c r="AM993">
        <f t="shared" si="149"/>
        <v>348.84023999999999</v>
      </c>
      <c r="AN993">
        <f t="shared" si="149"/>
        <v>498.34319999999997</v>
      </c>
      <c r="AO993">
        <f t="shared" si="149"/>
        <v>747.51479999999992</v>
      </c>
      <c r="AP993">
        <f t="shared" si="149"/>
        <v>996.68639999999994</v>
      </c>
      <c r="AQ993">
        <f t="shared" si="149"/>
        <v>1744.2012</v>
      </c>
      <c r="AR993">
        <f t="shared" si="149"/>
        <v>2491.7159999999999</v>
      </c>
      <c r="AS993">
        <f t="shared" si="149"/>
        <v>3986.7455999999997</v>
      </c>
      <c r="AT993">
        <f t="shared" si="149"/>
        <v>5980.1183999999994</v>
      </c>
      <c r="AU993">
        <f t="shared" si="149"/>
        <v>8471.8343999999997</v>
      </c>
      <c r="AV993">
        <f t="shared" si="149"/>
        <v>11960.236799999999</v>
      </c>
      <c r="AW993">
        <f t="shared" si="149"/>
        <v>16445.3256</v>
      </c>
      <c r="AX993">
        <f t="shared" si="149"/>
        <v>22923.787199999999</v>
      </c>
      <c r="AY993">
        <f t="shared" si="149"/>
        <v>39867.455999999998</v>
      </c>
      <c r="AZ993">
        <f t="shared" si="149"/>
        <v>74751.48</v>
      </c>
      <c r="BA993">
        <f t="shared" si="149"/>
        <v>124585.79999999999</v>
      </c>
      <c r="BB993">
        <f t="shared" si="149"/>
        <v>199337.28</v>
      </c>
      <c r="BC993">
        <f t="shared" si="148"/>
        <v>498343.19999999995</v>
      </c>
      <c r="BD993">
        <f t="shared" si="148"/>
        <v>747514.79999999993</v>
      </c>
      <c r="BE993">
        <f t="shared" si="148"/>
        <v>1196023.68</v>
      </c>
      <c r="BF993">
        <f t="shared" si="148"/>
        <v>1495029.5999999999</v>
      </c>
      <c r="BG993">
        <f t="shared" si="148"/>
        <v>4983432</v>
      </c>
      <c r="BH993">
        <f t="shared" si="148"/>
        <v>14950296</v>
      </c>
      <c r="BI993">
        <f t="shared" si="148"/>
        <v>42359172</v>
      </c>
      <c r="BJ993">
        <f t="shared" si="148"/>
        <v>149502960</v>
      </c>
      <c r="BK993">
        <f t="shared" si="148"/>
        <v>498343200</v>
      </c>
      <c r="BL993">
        <v>988</v>
      </c>
    </row>
    <row r="994" spans="1:64" ht="17.25" thickBot="1" x14ac:dyDescent="0.25">
      <c r="A994" s="131">
        <v>990</v>
      </c>
      <c r="B994" s="135">
        <v>2059059466</v>
      </c>
      <c r="D994" s="131">
        <v>990</v>
      </c>
      <c r="E994" s="132">
        <v>49.984949999999998</v>
      </c>
      <c r="AK994">
        <v>988</v>
      </c>
      <c r="AL994" s="24">
        <f t="shared" si="145"/>
        <v>49.88458</v>
      </c>
      <c r="AM994">
        <f t="shared" si="149"/>
        <v>349.19205999999997</v>
      </c>
      <c r="AN994">
        <f t="shared" si="149"/>
        <v>498.8458</v>
      </c>
      <c r="AO994">
        <f t="shared" si="149"/>
        <v>748.26869999999997</v>
      </c>
      <c r="AP994">
        <f t="shared" si="149"/>
        <v>997.69159999999999</v>
      </c>
      <c r="AQ994">
        <f t="shared" si="149"/>
        <v>1745.9603</v>
      </c>
      <c r="AR994">
        <f t="shared" si="149"/>
        <v>2494.2289999999998</v>
      </c>
      <c r="AS994">
        <f t="shared" si="149"/>
        <v>3990.7664</v>
      </c>
      <c r="AT994">
        <f t="shared" si="149"/>
        <v>5986.1495999999997</v>
      </c>
      <c r="AU994">
        <f t="shared" si="149"/>
        <v>8480.3786</v>
      </c>
      <c r="AV994">
        <f t="shared" si="149"/>
        <v>11972.299199999999</v>
      </c>
      <c r="AW994">
        <f t="shared" si="149"/>
        <v>16461.911400000001</v>
      </c>
      <c r="AX994">
        <f t="shared" si="149"/>
        <v>22946.906800000001</v>
      </c>
      <c r="AY994">
        <f t="shared" si="149"/>
        <v>39907.663999999997</v>
      </c>
      <c r="AZ994">
        <f t="shared" si="149"/>
        <v>74826.87</v>
      </c>
      <c r="BA994">
        <f t="shared" si="149"/>
        <v>124711.45</v>
      </c>
      <c r="BB994">
        <f t="shared" si="149"/>
        <v>199538.32</v>
      </c>
      <c r="BC994">
        <f t="shared" si="148"/>
        <v>498845.8</v>
      </c>
      <c r="BD994">
        <f t="shared" si="148"/>
        <v>748268.7</v>
      </c>
      <c r="BE994">
        <f t="shared" si="148"/>
        <v>1197229.92</v>
      </c>
      <c r="BF994">
        <f t="shared" si="148"/>
        <v>1496537.4</v>
      </c>
      <c r="BG994">
        <f t="shared" si="148"/>
        <v>4988458</v>
      </c>
      <c r="BH994">
        <f t="shared" si="148"/>
        <v>14965374</v>
      </c>
      <c r="BI994">
        <f t="shared" si="148"/>
        <v>42401893</v>
      </c>
      <c r="BJ994">
        <f t="shared" si="148"/>
        <v>149653740</v>
      </c>
      <c r="BK994">
        <f t="shared" si="148"/>
        <v>498845800</v>
      </c>
      <c r="BL994">
        <v>989</v>
      </c>
    </row>
    <row r="995" spans="1:64" ht="17.25" thickBot="1" x14ac:dyDescent="0.25">
      <c r="A995" s="131">
        <v>991</v>
      </c>
      <c r="B995" s="135">
        <v>2070958577</v>
      </c>
      <c r="D995" s="131">
        <v>991</v>
      </c>
      <c r="E995" s="132">
        <v>50.035060000000001</v>
      </c>
      <c r="AK995">
        <v>989</v>
      </c>
      <c r="AL995" s="24">
        <f t="shared" si="145"/>
        <v>49.93479</v>
      </c>
      <c r="AM995">
        <f t="shared" si="149"/>
        <v>349.54352999999998</v>
      </c>
      <c r="AN995">
        <f t="shared" si="149"/>
        <v>499.34789999999998</v>
      </c>
      <c r="AO995">
        <f t="shared" si="149"/>
        <v>749.02184999999997</v>
      </c>
      <c r="AP995">
        <f t="shared" si="149"/>
        <v>998.69579999999996</v>
      </c>
      <c r="AQ995">
        <f t="shared" si="149"/>
        <v>1747.71765</v>
      </c>
      <c r="AR995">
        <f t="shared" si="149"/>
        <v>2496.7395000000001</v>
      </c>
      <c r="AS995">
        <f t="shared" si="149"/>
        <v>3994.7831999999999</v>
      </c>
      <c r="AT995">
        <f t="shared" si="149"/>
        <v>5992.1747999999998</v>
      </c>
      <c r="AU995">
        <f t="shared" si="149"/>
        <v>8488.9143000000004</v>
      </c>
      <c r="AV995">
        <f t="shared" si="149"/>
        <v>11984.3496</v>
      </c>
      <c r="AW995">
        <f t="shared" si="149"/>
        <v>16478.4807</v>
      </c>
      <c r="AX995">
        <f t="shared" si="149"/>
        <v>22970.003400000001</v>
      </c>
      <c r="AY995">
        <f t="shared" si="149"/>
        <v>39947.832000000002</v>
      </c>
      <c r="AZ995">
        <f t="shared" si="149"/>
        <v>74902.184999999998</v>
      </c>
      <c r="BA995">
        <f t="shared" si="149"/>
        <v>124836.97500000001</v>
      </c>
      <c r="BB995">
        <f t="shared" si="149"/>
        <v>199739.16</v>
      </c>
      <c r="BC995">
        <f t="shared" si="148"/>
        <v>499347.9</v>
      </c>
      <c r="BD995">
        <f t="shared" si="148"/>
        <v>749021.85</v>
      </c>
      <c r="BE995">
        <f t="shared" si="148"/>
        <v>1198434.96</v>
      </c>
      <c r="BF995">
        <f t="shared" si="148"/>
        <v>1498043.7</v>
      </c>
      <c r="BG995">
        <f t="shared" si="148"/>
        <v>4993479</v>
      </c>
      <c r="BH995">
        <f t="shared" si="148"/>
        <v>14980437</v>
      </c>
      <c r="BI995">
        <f t="shared" si="148"/>
        <v>42444571.5</v>
      </c>
      <c r="BJ995">
        <f t="shared" si="148"/>
        <v>149804370</v>
      </c>
      <c r="BK995">
        <f t="shared" si="148"/>
        <v>499347900</v>
      </c>
      <c r="BL995">
        <v>990</v>
      </c>
    </row>
    <row r="996" spans="1:64" ht="17.25" thickBot="1" x14ac:dyDescent="0.25">
      <c r="A996" s="131">
        <v>992</v>
      </c>
      <c r="B996" s="135">
        <v>2082913672</v>
      </c>
      <c r="D996" s="131">
        <v>992</v>
      </c>
      <c r="E996" s="132">
        <v>50.085120000000003</v>
      </c>
      <c r="AK996">
        <v>990</v>
      </c>
      <c r="AL996" s="24">
        <f t="shared" si="145"/>
        <v>49.984949999999998</v>
      </c>
      <c r="AM996">
        <f t="shared" si="149"/>
        <v>349.89464999999996</v>
      </c>
      <c r="AN996">
        <f t="shared" si="149"/>
        <v>499.84949999999998</v>
      </c>
      <c r="AO996">
        <f t="shared" si="149"/>
        <v>749.77424999999994</v>
      </c>
      <c r="AP996">
        <f t="shared" si="149"/>
        <v>999.69899999999996</v>
      </c>
      <c r="AQ996">
        <f t="shared" si="149"/>
        <v>1749.47325</v>
      </c>
      <c r="AR996">
        <f t="shared" si="149"/>
        <v>2499.2474999999999</v>
      </c>
      <c r="AS996">
        <f t="shared" si="149"/>
        <v>3998.7959999999998</v>
      </c>
      <c r="AT996">
        <f t="shared" si="149"/>
        <v>5998.1939999999995</v>
      </c>
      <c r="AU996">
        <f t="shared" si="149"/>
        <v>8497.441499999999</v>
      </c>
      <c r="AV996">
        <f t="shared" si="149"/>
        <v>11996.387999999999</v>
      </c>
      <c r="AW996">
        <f t="shared" si="149"/>
        <v>16495.033499999998</v>
      </c>
      <c r="AX996">
        <f t="shared" si="149"/>
        <v>22993.076999999997</v>
      </c>
      <c r="AY996">
        <f t="shared" si="149"/>
        <v>39987.96</v>
      </c>
      <c r="AZ996">
        <f t="shared" si="149"/>
        <v>74977.425000000003</v>
      </c>
      <c r="BA996">
        <f t="shared" si="149"/>
        <v>124962.375</v>
      </c>
      <c r="BB996">
        <f t="shared" si="149"/>
        <v>199939.8</v>
      </c>
      <c r="BC996">
        <f t="shared" si="148"/>
        <v>499849.5</v>
      </c>
      <c r="BD996">
        <f t="shared" si="148"/>
        <v>749774.25</v>
      </c>
      <c r="BE996">
        <f t="shared" si="148"/>
        <v>1199638.8</v>
      </c>
      <c r="BF996">
        <f t="shared" si="148"/>
        <v>1499548.5</v>
      </c>
      <c r="BG996">
        <f t="shared" si="148"/>
        <v>4998495</v>
      </c>
      <c r="BH996">
        <f t="shared" si="148"/>
        <v>14995485</v>
      </c>
      <c r="BI996">
        <f t="shared" si="148"/>
        <v>42487207.5</v>
      </c>
      <c r="BJ996">
        <f t="shared" si="148"/>
        <v>149954850</v>
      </c>
      <c r="BK996">
        <f t="shared" si="148"/>
        <v>499849500</v>
      </c>
      <c r="BL996">
        <v>991</v>
      </c>
    </row>
    <row r="997" spans="1:64" ht="17.25" thickBot="1" x14ac:dyDescent="0.25">
      <c r="A997" s="131">
        <v>993</v>
      </c>
      <c r="B997" s="135">
        <v>2094924944</v>
      </c>
      <c r="D997" s="131">
        <v>993</v>
      </c>
      <c r="E997" s="132">
        <v>50.135120000000001</v>
      </c>
      <c r="AK997">
        <v>991</v>
      </c>
      <c r="AL997" s="24">
        <f t="shared" si="145"/>
        <v>50.035060000000001</v>
      </c>
      <c r="AM997">
        <f t="shared" si="149"/>
        <v>350.24542000000002</v>
      </c>
      <c r="AN997">
        <f t="shared" si="149"/>
        <v>500.35059999999999</v>
      </c>
      <c r="AO997">
        <f t="shared" si="149"/>
        <v>750.52589999999998</v>
      </c>
      <c r="AP997">
        <f t="shared" si="149"/>
        <v>1000.7012</v>
      </c>
      <c r="AQ997">
        <f t="shared" si="149"/>
        <v>1751.2271000000001</v>
      </c>
      <c r="AR997">
        <f t="shared" si="149"/>
        <v>2501.7530000000002</v>
      </c>
      <c r="AS997">
        <f t="shared" si="149"/>
        <v>4002.8047999999999</v>
      </c>
      <c r="AT997">
        <f t="shared" si="149"/>
        <v>6004.2071999999998</v>
      </c>
      <c r="AU997">
        <f t="shared" si="149"/>
        <v>8505.9601999999995</v>
      </c>
      <c r="AV997">
        <f t="shared" si="149"/>
        <v>12008.4144</v>
      </c>
      <c r="AW997">
        <f t="shared" si="149"/>
        <v>16511.569800000001</v>
      </c>
      <c r="AX997">
        <f t="shared" si="149"/>
        <v>23016.1276</v>
      </c>
      <c r="AY997">
        <f t="shared" si="149"/>
        <v>40028.048000000003</v>
      </c>
      <c r="AZ997">
        <f t="shared" si="149"/>
        <v>75052.59</v>
      </c>
      <c r="BA997">
        <f t="shared" si="149"/>
        <v>125087.65000000001</v>
      </c>
      <c r="BB997">
        <f t="shared" si="149"/>
        <v>200140.24000000002</v>
      </c>
      <c r="BC997">
        <f t="shared" si="148"/>
        <v>500350.60000000003</v>
      </c>
      <c r="BD997">
        <f t="shared" si="148"/>
        <v>750525.9</v>
      </c>
      <c r="BE997">
        <f t="shared" si="148"/>
        <v>1200841.44</v>
      </c>
      <c r="BF997">
        <f t="shared" si="148"/>
        <v>1501051.8</v>
      </c>
      <c r="BG997">
        <f t="shared" si="148"/>
        <v>5003506</v>
      </c>
      <c r="BH997">
        <f t="shared" si="148"/>
        <v>15010518</v>
      </c>
      <c r="BI997">
        <f t="shared" si="148"/>
        <v>42529801</v>
      </c>
      <c r="BJ997">
        <f t="shared" si="148"/>
        <v>150105180</v>
      </c>
      <c r="BK997">
        <f t="shared" si="148"/>
        <v>500350600</v>
      </c>
      <c r="BL997">
        <v>992</v>
      </c>
    </row>
    <row r="998" spans="1:64" ht="17.25" thickBot="1" x14ac:dyDescent="0.25">
      <c r="A998" s="131">
        <v>994</v>
      </c>
      <c r="B998" s="135">
        <v>2106992583</v>
      </c>
      <c r="D998" s="131">
        <v>994</v>
      </c>
      <c r="E998" s="132">
        <v>50.185079999999999</v>
      </c>
      <c r="AK998">
        <v>992</v>
      </c>
      <c r="AL998" s="24">
        <f t="shared" si="145"/>
        <v>50.085120000000003</v>
      </c>
      <c r="AM998">
        <f t="shared" si="149"/>
        <v>350.59584000000001</v>
      </c>
      <c r="AN998">
        <f t="shared" si="149"/>
        <v>500.85120000000006</v>
      </c>
      <c r="AO998">
        <f t="shared" si="149"/>
        <v>751.27680000000009</v>
      </c>
      <c r="AP998">
        <f t="shared" si="149"/>
        <v>1001.7024000000001</v>
      </c>
      <c r="AQ998">
        <f t="shared" si="149"/>
        <v>1752.9792000000002</v>
      </c>
      <c r="AR998">
        <f t="shared" si="149"/>
        <v>2504.2560000000003</v>
      </c>
      <c r="AS998">
        <f t="shared" si="149"/>
        <v>4006.8096000000005</v>
      </c>
      <c r="AT998">
        <f t="shared" si="149"/>
        <v>6010.2144000000008</v>
      </c>
      <c r="AU998">
        <f t="shared" si="149"/>
        <v>8514.4704000000002</v>
      </c>
      <c r="AV998">
        <f t="shared" si="149"/>
        <v>12020.428800000002</v>
      </c>
      <c r="AW998">
        <f t="shared" si="149"/>
        <v>16528.089599999999</v>
      </c>
      <c r="AX998">
        <f t="shared" si="149"/>
        <v>23039.155200000001</v>
      </c>
      <c r="AY998">
        <f t="shared" si="149"/>
        <v>40068.096000000005</v>
      </c>
      <c r="AZ998">
        <f t="shared" si="149"/>
        <v>75127.680000000008</v>
      </c>
      <c r="BA998">
        <f t="shared" si="149"/>
        <v>125212.8</v>
      </c>
      <c r="BB998">
        <f t="shared" si="149"/>
        <v>200340.48000000001</v>
      </c>
      <c r="BC998">
        <f t="shared" si="148"/>
        <v>500851.20000000001</v>
      </c>
      <c r="BD998">
        <f t="shared" si="148"/>
        <v>751276.8</v>
      </c>
      <c r="BE998">
        <f t="shared" si="148"/>
        <v>1202042.8800000001</v>
      </c>
      <c r="BF998">
        <f t="shared" si="148"/>
        <v>1502553.6</v>
      </c>
      <c r="BG998">
        <f t="shared" si="148"/>
        <v>5008512</v>
      </c>
      <c r="BH998">
        <f t="shared" si="148"/>
        <v>15025536.000000002</v>
      </c>
      <c r="BI998">
        <f t="shared" si="148"/>
        <v>42572352</v>
      </c>
      <c r="BJ998">
        <f t="shared" si="148"/>
        <v>150255360</v>
      </c>
      <c r="BK998">
        <f t="shared" si="148"/>
        <v>500851200.00000006</v>
      </c>
      <c r="BL998">
        <v>993</v>
      </c>
    </row>
    <row r="999" spans="1:64" ht="17.25" thickBot="1" x14ac:dyDescent="0.25">
      <c r="A999" s="131">
        <v>995</v>
      </c>
      <c r="B999" s="135">
        <v>2119116788</v>
      </c>
      <c r="D999" s="131">
        <v>995</v>
      </c>
      <c r="E999" s="132">
        <v>50.234990000000003</v>
      </c>
      <c r="AK999">
        <v>993</v>
      </c>
      <c r="AL999" s="24">
        <f t="shared" si="145"/>
        <v>50.135120000000001</v>
      </c>
      <c r="AM999">
        <f t="shared" si="149"/>
        <v>350.94583999999998</v>
      </c>
      <c r="AN999">
        <f t="shared" si="149"/>
        <v>501.35120000000001</v>
      </c>
      <c r="AO999">
        <f t="shared" si="149"/>
        <v>752.02679999999998</v>
      </c>
      <c r="AP999">
        <f t="shared" si="149"/>
        <v>1002.7024</v>
      </c>
      <c r="AQ999">
        <f t="shared" si="149"/>
        <v>1754.7292</v>
      </c>
      <c r="AR999">
        <f t="shared" si="149"/>
        <v>2506.7559999999999</v>
      </c>
      <c r="AS999">
        <f t="shared" si="149"/>
        <v>4010.8096</v>
      </c>
      <c r="AT999">
        <f t="shared" si="149"/>
        <v>6016.2143999999998</v>
      </c>
      <c r="AU999">
        <f t="shared" si="149"/>
        <v>8522.9704000000002</v>
      </c>
      <c r="AV999">
        <f t="shared" si="149"/>
        <v>12032.4288</v>
      </c>
      <c r="AW999">
        <f t="shared" si="149"/>
        <v>16544.589599999999</v>
      </c>
      <c r="AX999">
        <f t="shared" si="149"/>
        <v>23062.155200000001</v>
      </c>
      <c r="AY999">
        <f t="shared" si="149"/>
        <v>40108.095999999998</v>
      </c>
      <c r="AZ999">
        <f t="shared" si="149"/>
        <v>75202.680000000008</v>
      </c>
      <c r="BA999">
        <f t="shared" si="149"/>
        <v>125337.8</v>
      </c>
      <c r="BB999">
        <f t="shared" si="149"/>
        <v>200540.48</v>
      </c>
      <c r="BC999">
        <f t="shared" si="148"/>
        <v>501351.2</v>
      </c>
      <c r="BD999">
        <f t="shared" si="148"/>
        <v>752026.8</v>
      </c>
      <c r="BE999">
        <f t="shared" si="148"/>
        <v>1203242.8800000001</v>
      </c>
      <c r="BF999">
        <f t="shared" si="148"/>
        <v>1504053.6</v>
      </c>
      <c r="BG999">
        <f t="shared" si="148"/>
        <v>5013512</v>
      </c>
      <c r="BH999">
        <f t="shared" si="148"/>
        <v>15040536</v>
      </c>
      <c r="BI999">
        <f t="shared" si="148"/>
        <v>42614852</v>
      </c>
      <c r="BJ999">
        <f t="shared" si="148"/>
        <v>150405360</v>
      </c>
      <c r="BK999">
        <f t="shared" si="148"/>
        <v>501351200</v>
      </c>
      <c r="BL999">
        <v>994</v>
      </c>
    </row>
    <row r="1000" spans="1:64" ht="17.25" thickBot="1" x14ac:dyDescent="0.25">
      <c r="A1000" s="131">
        <v>996</v>
      </c>
      <c r="B1000" s="135">
        <v>2131297755</v>
      </c>
      <c r="D1000" s="131">
        <v>996</v>
      </c>
      <c r="E1000" s="132">
        <v>50.284849999999999</v>
      </c>
      <c r="AK1000">
        <v>994</v>
      </c>
      <c r="AL1000" s="24">
        <f t="shared" si="145"/>
        <v>50.185079999999999</v>
      </c>
      <c r="AM1000">
        <f t="shared" si="149"/>
        <v>351.29556000000002</v>
      </c>
      <c r="AN1000">
        <f t="shared" si="149"/>
        <v>501.85079999999999</v>
      </c>
      <c r="AO1000">
        <f t="shared" si="149"/>
        <v>752.77620000000002</v>
      </c>
      <c r="AP1000">
        <f t="shared" si="149"/>
        <v>1003.7016</v>
      </c>
      <c r="AQ1000">
        <f t="shared" si="149"/>
        <v>1756.4777999999999</v>
      </c>
      <c r="AR1000">
        <f t="shared" si="149"/>
        <v>2509.2539999999999</v>
      </c>
      <c r="AS1000">
        <f t="shared" si="149"/>
        <v>4014.8063999999999</v>
      </c>
      <c r="AT1000">
        <f t="shared" si="149"/>
        <v>6022.2096000000001</v>
      </c>
      <c r="AU1000">
        <f t="shared" si="149"/>
        <v>8531.4635999999991</v>
      </c>
      <c r="AV1000">
        <f t="shared" si="149"/>
        <v>12044.4192</v>
      </c>
      <c r="AW1000">
        <f t="shared" si="149"/>
        <v>16561.076399999998</v>
      </c>
      <c r="AX1000">
        <f t="shared" si="149"/>
        <v>23085.1368</v>
      </c>
      <c r="AY1000">
        <f t="shared" si="149"/>
        <v>40148.063999999998</v>
      </c>
      <c r="AZ1000">
        <f t="shared" si="149"/>
        <v>75277.62</v>
      </c>
      <c r="BA1000">
        <f t="shared" si="149"/>
        <v>125462.7</v>
      </c>
      <c r="BB1000">
        <f t="shared" si="149"/>
        <v>200740.32</v>
      </c>
      <c r="BC1000">
        <f t="shared" si="148"/>
        <v>501850.8</v>
      </c>
      <c r="BD1000">
        <f t="shared" si="148"/>
        <v>752776.2</v>
      </c>
      <c r="BE1000">
        <f t="shared" si="148"/>
        <v>1204441.92</v>
      </c>
      <c r="BF1000">
        <f t="shared" si="148"/>
        <v>1505552.4</v>
      </c>
      <c r="BG1000">
        <f t="shared" si="148"/>
        <v>5018508</v>
      </c>
      <c r="BH1000">
        <f t="shared" si="148"/>
        <v>15055524</v>
      </c>
      <c r="BI1000">
        <f t="shared" si="148"/>
        <v>42657318</v>
      </c>
      <c r="BJ1000">
        <f t="shared" si="148"/>
        <v>150555240</v>
      </c>
      <c r="BK1000">
        <f t="shared" si="148"/>
        <v>501850800</v>
      </c>
      <c r="BL1000">
        <v>995</v>
      </c>
    </row>
    <row r="1001" spans="1:64" ht="17.25" thickBot="1" x14ac:dyDescent="0.25">
      <c r="A1001" s="131">
        <v>997</v>
      </c>
      <c r="B1001" s="135">
        <v>2143535677</v>
      </c>
      <c r="D1001" s="131">
        <v>997</v>
      </c>
      <c r="E1001" s="132">
        <v>50.33466</v>
      </c>
      <c r="AK1001">
        <v>995</v>
      </c>
      <c r="AL1001" s="24">
        <f t="shared" si="145"/>
        <v>50.234990000000003</v>
      </c>
      <c r="AM1001">
        <f t="shared" si="149"/>
        <v>351.64493000000004</v>
      </c>
      <c r="AN1001">
        <f t="shared" si="149"/>
        <v>502.34990000000005</v>
      </c>
      <c r="AO1001">
        <f t="shared" si="149"/>
        <v>753.52485000000001</v>
      </c>
      <c r="AP1001">
        <f t="shared" si="149"/>
        <v>1004.6998000000001</v>
      </c>
      <c r="AQ1001">
        <f t="shared" si="149"/>
        <v>1758.2246500000001</v>
      </c>
      <c r="AR1001">
        <f t="shared" si="149"/>
        <v>2511.7495000000004</v>
      </c>
      <c r="AS1001">
        <f t="shared" si="149"/>
        <v>4018.7992000000004</v>
      </c>
      <c r="AT1001">
        <f t="shared" si="149"/>
        <v>6028.1988000000001</v>
      </c>
      <c r="AU1001">
        <f t="shared" si="149"/>
        <v>8539.9483</v>
      </c>
      <c r="AV1001">
        <f t="shared" si="149"/>
        <v>12056.3976</v>
      </c>
      <c r="AW1001">
        <f t="shared" si="149"/>
        <v>16577.546700000003</v>
      </c>
      <c r="AX1001">
        <f t="shared" si="149"/>
        <v>23108.095400000002</v>
      </c>
      <c r="AY1001">
        <f t="shared" si="149"/>
        <v>40187.992000000006</v>
      </c>
      <c r="AZ1001">
        <f t="shared" si="149"/>
        <v>75352.485000000001</v>
      </c>
      <c r="BA1001">
        <f t="shared" si="149"/>
        <v>125587.47500000001</v>
      </c>
      <c r="BB1001">
        <f t="shared" si="149"/>
        <v>200939.96000000002</v>
      </c>
      <c r="BC1001">
        <f t="shared" si="148"/>
        <v>502349.9</v>
      </c>
      <c r="BD1001">
        <f t="shared" si="148"/>
        <v>753524.85000000009</v>
      </c>
      <c r="BE1001">
        <f t="shared" si="148"/>
        <v>1205639.76</v>
      </c>
      <c r="BF1001">
        <f t="shared" si="148"/>
        <v>1507049.7000000002</v>
      </c>
      <c r="BG1001">
        <f t="shared" si="148"/>
        <v>5023499</v>
      </c>
      <c r="BH1001">
        <f t="shared" si="148"/>
        <v>15070497.000000002</v>
      </c>
      <c r="BI1001">
        <f t="shared" si="148"/>
        <v>42699741.5</v>
      </c>
      <c r="BJ1001">
        <f t="shared" si="148"/>
        <v>150704970</v>
      </c>
      <c r="BK1001">
        <f t="shared" si="148"/>
        <v>502349900.00000006</v>
      </c>
      <c r="BL1001">
        <v>996</v>
      </c>
    </row>
    <row r="1002" spans="1:64" ht="17.25" thickBot="1" x14ac:dyDescent="0.25">
      <c r="A1002" s="131">
        <v>998</v>
      </c>
      <c r="B1002" s="135">
        <v>2155830750</v>
      </c>
      <c r="D1002" s="131">
        <v>998</v>
      </c>
      <c r="E1002" s="132">
        <v>50.384419999999999</v>
      </c>
      <c r="AK1002">
        <v>996</v>
      </c>
      <c r="AL1002" s="24">
        <f t="shared" si="145"/>
        <v>50.284849999999999</v>
      </c>
      <c r="AM1002">
        <f t="shared" si="149"/>
        <v>351.99394999999998</v>
      </c>
      <c r="AN1002">
        <f t="shared" si="149"/>
        <v>502.8485</v>
      </c>
      <c r="AO1002">
        <f t="shared" si="149"/>
        <v>754.27274999999997</v>
      </c>
      <c r="AP1002">
        <f t="shared" si="149"/>
        <v>1005.697</v>
      </c>
      <c r="AQ1002">
        <f t="shared" si="149"/>
        <v>1759.96975</v>
      </c>
      <c r="AR1002">
        <f t="shared" si="149"/>
        <v>2514.2424999999998</v>
      </c>
      <c r="AS1002">
        <f t="shared" si="149"/>
        <v>4022.788</v>
      </c>
      <c r="AT1002">
        <f t="shared" si="149"/>
        <v>6034.1819999999998</v>
      </c>
      <c r="AU1002">
        <f t="shared" si="149"/>
        <v>8548.4244999999992</v>
      </c>
      <c r="AV1002">
        <f t="shared" si="149"/>
        <v>12068.364</v>
      </c>
      <c r="AW1002">
        <f t="shared" si="149"/>
        <v>16594.000499999998</v>
      </c>
      <c r="AX1002">
        <f t="shared" si="149"/>
        <v>23131.030999999999</v>
      </c>
      <c r="AY1002">
        <f t="shared" si="149"/>
        <v>40227.879999999997</v>
      </c>
      <c r="AZ1002">
        <f t="shared" si="149"/>
        <v>75427.274999999994</v>
      </c>
      <c r="BA1002">
        <f t="shared" si="149"/>
        <v>125712.125</v>
      </c>
      <c r="BB1002">
        <f t="shared" si="149"/>
        <v>201139.4</v>
      </c>
      <c r="BC1002">
        <f t="shared" si="148"/>
        <v>502848.5</v>
      </c>
      <c r="BD1002">
        <f t="shared" si="148"/>
        <v>754272.75</v>
      </c>
      <c r="BE1002">
        <f t="shared" si="148"/>
        <v>1206836.3999999999</v>
      </c>
      <c r="BF1002">
        <f t="shared" si="148"/>
        <v>1508545.5</v>
      </c>
      <c r="BG1002">
        <f t="shared" si="148"/>
        <v>5028485</v>
      </c>
      <c r="BH1002">
        <f t="shared" si="148"/>
        <v>15085455</v>
      </c>
      <c r="BI1002">
        <f t="shared" si="148"/>
        <v>42742122.5</v>
      </c>
      <c r="BJ1002">
        <f t="shared" si="148"/>
        <v>150854550</v>
      </c>
      <c r="BK1002">
        <f t="shared" si="148"/>
        <v>502848500</v>
      </c>
      <c r="BL1002">
        <v>997</v>
      </c>
    </row>
    <row r="1003" spans="1:64" ht="17.25" thickBot="1" x14ac:dyDescent="0.25">
      <c r="A1003" s="131">
        <v>999</v>
      </c>
      <c r="B1003" s="135">
        <v>2168183166</v>
      </c>
      <c r="D1003" s="131">
        <v>999</v>
      </c>
      <c r="E1003" s="132">
        <v>50.434130000000003</v>
      </c>
      <c r="AK1003">
        <v>997</v>
      </c>
      <c r="AL1003" s="24">
        <f t="shared" si="145"/>
        <v>50.33466</v>
      </c>
      <c r="AM1003">
        <f t="shared" si="149"/>
        <v>352.34262000000001</v>
      </c>
      <c r="AN1003">
        <f t="shared" si="149"/>
        <v>503.34659999999997</v>
      </c>
      <c r="AO1003">
        <f t="shared" si="149"/>
        <v>755.01990000000001</v>
      </c>
      <c r="AP1003">
        <f t="shared" si="149"/>
        <v>1006.6931999999999</v>
      </c>
      <c r="AQ1003">
        <f t="shared" si="149"/>
        <v>1761.7130999999999</v>
      </c>
      <c r="AR1003">
        <f t="shared" si="149"/>
        <v>2516.7330000000002</v>
      </c>
      <c r="AS1003">
        <f t="shared" si="149"/>
        <v>4026.7727999999997</v>
      </c>
      <c r="AT1003">
        <f t="shared" si="149"/>
        <v>6040.1592000000001</v>
      </c>
      <c r="AU1003">
        <f t="shared" si="149"/>
        <v>8556.8922000000002</v>
      </c>
      <c r="AV1003">
        <f t="shared" si="149"/>
        <v>12080.3184</v>
      </c>
      <c r="AW1003">
        <f t="shared" si="149"/>
        <v>16610.4378</v>
      </c>
      <c r="AX1003">
        <f t="shared" si="149"/>
        <v>23153.943599999999</v>
      </c>
      <c r="AY1003">
        <f t="shared" si="149"/>
        <v>40267.728000000003</v>
      </c>
      <c r="AZ1003">
        <f t="shared" si="149"/>
        <v>75501.990000000005</v>
      </c>
      <c r="BA1003">
        <f t="shared" si="149"/>
        <v>125836.65</v>
      </c>
      <c r="BB1003">
        <f t="shared" si="149"/>
        <v>201338.63999999998</v>
      </c>
      <c r="BC1003">
        <f t="shared" si="148"/>
        <v>503346.6</v>
      </c>
      <c r="BD1003">
        <f t="shared" si="148"/>
        <v>755019.9</v>
      </c>
      <c r="BE1003">
        <f t="shared" si="148"/>
        <v>1208031.8400000001</v>
      </c>
      <c r="BF1003">
        <f t="shared" si="148"/>
        <v>1510039.8</v>
      </c>
      <c r="BG1003">
        <f t="shared" si="148"/>
        <v>5033466</v>
      </c>
      <c r="BH1003">
        <f t="shared" si="148"/>
        <v>15100398</v>
      </c>
      <c r="BI1003">
        <f t="shared" si="148"/>
        <v>42784461</v>
      </c>
      <c r="BJ1003">
        <f t="shared" si="148"/>
        <v>151003980</v>
      </c>
      <c r="BK1003">
        <f t="shared" si="148"/>
        <v>503346600</v>
      </c>
      <c r="BL1003">
        <v>998</v>
      </c>
    </row>
    <row r="1004" spans="1:64" ht="17.25" thickBot="1" x14ac:dyDescent="0.25">
      <c r="A1004" s="131">
        <v>1000</v>
      </c>
      <c r="B1004" s="135">
        <v>2180593122</v>
      </c>
      <c r="D1004" s="131">
        <v>1000</v>
      </c>
      <c r="E1004" s="132">
        <v>50.483789999999999</v>
      </c>
      <c r="AK1004">
        <v>998</v>
      </c>
      <c r="AL1004" s="24">
        <f t="shared" si="145"/>
        <v>50.384419999999999</v>
      </c>
      <c r="AM1004">
        <f t="shared" si="149"/>
        <v>352.69094000000001</v>
      </c>
      <c r="AN1004">
        <f t="shared" si="149"/>
        <v>503.8442</v>
      </c>
      <c r="AO1004">
        <f t="shared" si="149"/>
        <v>755.7663</v>
      </c>
      <c r="AP1004">
        <f t="shared" si="149"/>
        <v>1007.6884</v>
      </c>
      <c r="AQ1004">
        <f t="shared" si="149"/>
        <v>1763.4547</v>
      </c>
      <c r="AR1004">
        <f t="shared" si="149"/>
        <v>2519.221</v>
      </c>
      <c r="AS1004">
        <f t="shared" si="149"/>
        <v>4030.7536</v>
      </c>
      <c r="AT1004">
        <f t="shared" si="149"/>
        <v>6046.1304</v>
      </c>
      <c r="AU1004">
        <f t="shared" si="149"/>
        <v>8565.3513999999996</v>
      </c>
      <c r="AV1004">
        <f t="shared" si="149"/>
        <v>12092.2608</v>
      </c>
      <c r="AW1004">
        <f t="shared" si="149"/>
        <v>16626.8586</v>
      </c>
      <c r="AX1004">
        <f t="shared" si="149"/>
        <v>23176.833200000001</v>
      </c>
      <c r="AY1004">
        <f t="shared" si="149"/>
        <v>40307.536</v>
      </c>
      <c r="AZ1004">
        <f t="shared" si="149"/>
        <v>75576.63</v>
      </c>
      <c r="BA1004">
        <f t="shared" si="149"/>
        <v>125961.05</v>
      </c>
      <c r="BB1004">
        <f t="shared" si="149"/>
        <v>201537.68</v>
      </c>
      <c r="BC1004">
        <f t="shared" si="148"/>
        <v>503844.2</v>
      </c>
      <c r="BD1004">
        <f t="shared" si="148"/>
        <v>755766.29999999993</v>
      </c>
      <c r="BE1004">
        <f t="shared" si="148"/>
        <v>1209226.08</v>
      </c>
      <c r="BF1004">
        <f t="shared" si="148"/>
        <v>1511532.5999999999</v>
      </c>
      <c r="BG1004">
        <f t="shared" si="148"/>
        <v>5038442</v>
      </c>
      <c r="BH1004">
        <f t="shared" si="148"/>
        <v>15115326</v>
      </c>
      <c r="BI1004">
        <f t="shared" si="148"/>
        <v>42826757</v>
      </c>
      <c r="BJ1004">
        <f t="shared" si="148"/>
        <v>151153260</v>
      </c>
      <c r="BK1004">
        <f t="shared" si="148"/>
        <v>503844200</v>
      </c>
      <c r="BL1004">
        <v>999</v>
      </c>
    </row>
    <row r="1005" spans="1:64" ht="17.25" thickBot="1" x14ac:dyDescent="0.25">
      <c r="A1005" s="131">
        <v>1001</v>
      </c>
      <c r="B1005" s="135">
        <v>2193060822</v>
      </c>
      <c r="D1005" s="131">
        <v>1001</v>
      </c>
      <c r="E1005" s="132">
        <v>50.5334</v>
      </c>
      <c r="AK1005">
        <v>999</v>
      </c>
      <c r="AL1005" s="24">
        <f t="shared" si="145"/>
        <v>50.434130000000003</v>
      </c>
      <c r="AM1005">
        <f t="shared" si="149"/>
        <v>353.03891000000004</v>
      </c>
      <c r="AN1005">
        <f t="shared" si="149"/>
        <v>504.34130000000005</v>
      </c>
      <c r="AO1005">
        <f t="shared" si="149"/>
        <v>756.51195000000007</v>
      </c>
      <c r="AP1005">
        <f t="shared" si="149"/>
        <v>1008.6826000000001</v>
      </c>
      <c r="AQ1005">
        <f t="shared" si="149"/>
        <v>1765.1945500000002</v>
      </c>
      <c r="AR1005">
        <f t="shared" si="149"/>
        <v>2521.7065000000002</v>
      </c>
      <c r="AS1005">
        <f t="shared" si="149"/>
        <v>4034.7304000000004</v>
      </c>
      <c r="AT1005">
        <f t="shared" si="149"/>
        <v>6052.0956000000006</v>
      </c>
      <c r="AU1005">
        <f t="shared" si="149"/>
        <v>8573.8021000000008</v>
      </c>
      <c r="AV1005">
        <f t="shared" si="149"/>
        <v>12104.191200000001</v>
      </c>
      <c r="AW1005">
        <f t="shared" si="149"/>
        <v>16643.262900000002</v>
      </c>
      <c r="AX1005">
        <f t="shared" si="149"/>
        <v>23199.699800000002</v>
      </c>
      <c r="AY1005">
        <f t="shared" si="149"/>
        <v>40347.304000000004</v>
      </c>
      <c r="AZ1005">
        <f t="shared" si="149"/>
        <v>75651.195000000007</v>
      </c>
      <c r="BA1005">
        <f t="shared" si="149"/>
        <v>126085.32500000001</v>
      </c>
      <c r="BB1005">
        <f t="shared" si="149"/>
        <v>201736.52000000002</v>
      </c>
      <c r="BC1005">
        <f t="shared" si="148"/>
        <v>504341.30000000005</v>
      </c>
      <c r="BD1005">
        <f t="shared" si="148"/>
        <v>756511.95000000007</v>
      </c>
      <c r="BE1005">
        <f t="shared" si="148"/>
        <v>1210419.1200000001</v>
      </c>
      <c r="BF1005">
        <f t="shared" si="148"/>
        <v>1513023.9000000001</v>
      </c>
      <c r="BG1005">
        <f t="shared" si="148"/>
        <v>5043413</v>
      </c>
      <c r="BH1005">
        <f t="shared" ref="BC1005:BK1033" si="150">BH$5*VLOOKUP($AK1005,$D$2:$E$1404,2,FALSE)</f>
        <v>15130239.000000002</v>
      </c>
      <c r="BI1005">
        <f t="shared" si="150"/>
        <v>42869010.5</v>
      </c>
      <c r="BJ1005">
        <f t="shared" si="150"/>
        <v>151302390</v>
      </c>
      <c r="BK1005">
        <f t="shared" si="150"/>
        <v>504341300.00000006</v>
      </c>
      <c r="BL1005">
        <v>1000</v>
      </c>
    </row>
    <row r="1006" spans="1:64" ht="17.25" thickBot="1" x14ac:dyDescent="0.25">
      <c r="A1006" s="131">
        <v>1002</v>
      </c>
      <c r="B1006" s="135">
        <v>2205586455</v>
      </c>
      <c r="D1006" s="131">
        <v>1002</v>
      </c>
      <c r="E1006" s="132">
        <v>50.58296</v>
      </c>
      <c r="AK1006">
        <v>1000</v>
      </c>
      <c r="AL1006" s="24">
        <f t="shared" si="145"/>
        <v>50.483789999999999</v>
      </c>
      <c r="AM1006">
        <f t="shared" ref="AM1006:BB1021" si="151">AM$5*VLOOKUP($AK1006,$D$2:$E$1404,2,FALSE)</f>
        <v>353.38652999999999</v>
      </c>
      <c r="AN1006">
        <f t="shared" si="151"/>
        <v>504.83789999999999</v>
      </c>
      <c r="AO1006">
        <f t="shared" si="151"/>
        <v>757.25684999999999</v>
      </c>
      <c r="AP1006">
        <f t="shared" si="151"/>
        <v>1009.6758</v>
      </c>
      <c r="AQ1006">
        <f t="shared" si="151"/>
        <v>1766.93265</v>
      </c>
      <c r="AR1006">
        <f t="shared" si="151"/>
        <v>2524.1895</v>
      </c>
      <c r="AS1006">
        <f t="shared" si="151"/>
        <v>4038.7031999999999</v>
      </c>
      <c r="AT1006">
        <f t="shared" si="151"/>
        <v>6058.0547999999999</v>
      </c>
      <c r="AU1006">
        <f t="shared" si="151"/>
        <v>8582.2443000000003</v>
      </c>
      <c r="AV1006">
        <f t="shared" si="151"/>
        <v>12116.1096</v>
      </c>
      <c r="AW1006">
        <f t="shared" si="151"/>
        <v>16659.650699999998</v>
      </c>
      <c r="AX1006">
        <f t="shared" si="151"/>
        <v>23222.543399999999</v>
      </c>
      <c r="AY1006">
        <f t="shared" si="151"/>
        <v>40387.031999999999</v>
      </c>
      <c r="AZ1006">
        <f t="shared" si="151"/>
        <v>75725.684999999998</v>
      </c>
      <c r="BA1006">
        <f t="shared" si="151"/>
        <v>126209.47499999999</v>
      </c>
      <c r="BB1006">
        <f t="shared" si="151"/>
        <v>201935.16</v>
      </c>
      <c r="BC1006">
        <f t="shared" si="150"/>
        <v>504837.89999999997</v>
      </c>
      <c r="BD1006">
        <f t="shared" si="150"/>
        <v>757256.85</v>
      </c>
      <c r="BE1006">
        <f t="shared" si="150"/>
        <v>1211610.96</v>
      </c>
      <c r="BF1006">
        <f t="shared" si="150"/>
        <v>1514513.7</v>
      </c>
      <c r="BG1006">
        <f t="shared" si="150"/>
        <v>5048379</v>
      </c>
      <c r="BH1006">
        <f t="shared" si="150"/>
        <v>15145137</v>
      </c>
      <c r="BI1006">
        <f t="shared" si="150"/>
        <v>42911221.5</v>
      </c>
      <c r="BJ1006">
        <f t="shared" si="150"/>
        <v>151451370</v>
      </c>
      <c r="BK1006">
        <f t="shared" si="150"/>
        <v>504837900</v>
      </c>
      <c r="BL1006">
        <v>1001</v>
      </c>
    </row>
    <row r="1007" spans="1:64" ht="17.25" thickBot="1" x14ac:dyDescent="0.25">
      <c r="A1007" s="131">
        <v>1003</v>
      </c>
      <c r="B1007" s="135">
        <v>2218170222</v>
      </c>
      <c r="D1007" s="131">
        <v>1003</v>
      </c>
      <c r="E1007" s="132">
        <v>50.632469999999998</v>
      </c>
      <c r="AK1007">
        <v>1001</v>
      </c>
      <c r="AL1007" s="24">
        <f t="shared" si="145"/>
        <v>50.5334</v>
      </c>
      <c r="AM1007">
        <f t="shared" si="151"/>
        <v>353.73379999999997</v>
      </c>
      <c r="AN1007">
        <f t="shared" si="151"/>
        <v>505.334</v>
      </c>
      <c r="AO1007">
        <f t="shared" si="151"/>
        <v>758.00099999999998</v>
      </c>
      <c r="AP1007">
        <f t="shared" si="151"/>
        <v>1010.668</v>
      </c>
      <c r="AQ1007">
        <f t="shared" si="151"/>
        <v>1768.6690000000001</v>
      </c>
      <c r="AR1007">
        <f t="shared" si="151"/>
        <v>2526.67</v>
      </c>
      <c r="AS1007">
        <f t="shared" si="151"/>
        <v>4042.672</v>
      </c>
      <c r="AT1007">
        <f t="shared" si="151"/>
        <v>6064.0079999999998</v>
      </c>
      <c r="AU1007">
        <f t="shared" si="151"/>
        <v>8590.6779999999999</v>
      </c>
      <c r="AV1007">
        <f t="shared" si="151"/>
        <v>12128.016</v>
      </c>
      <c r="AW1007">
        <f t="shared" si="151"/>
        <v>16676.022000000001</v>
      </c>
      <c r="AX1007">
        <f t="shared" si="151"/>
        <v>23245.364000000001</v>
      </c>
      <c r="AY1007">
        <f t="shared" si="151"/>
        <v>40426.720000000001</v>
      </c>
      <c r="AZ1007">
        <f t="shared" si="151"/>
        <v>75800.100000000006</v>
      </c>
      <c r="BA1007">
        <f t="shared" si="151"/>
        <v>126333.5</v>
      </c>
      <c r="BB1007">
        <f t="shared" si="151"/>
        <v>202133.6</v>
      </c>
      <c r="BC1007">
        <f t="shared" si="150"/>
        <v>505334</v>
      </c>
      <c r="BD1007">
        <f t="shared" si="150"/>
        <v>758001</v>
      </c>
      <c r="BE1007">
        <f t="shared" si="150"/>
        <v>1212801.6000000001</v>
      </c>
      <c r="BF1007">
        <f t="shared" si="150"/>
        <v>1516002</v>
      </c>
      <c r="BG1007">
        <f t="shared" si="150"/>
        <v>5053340</v>
      </c>
      <c r="BH1007">
        <f t="shared" si="150"/>
        <v>15160020</v>
      </c>
      <c r="BI1007">
        <f t="shared" si="150"/>
        <v>42953390</v>
      </c>
      <c r="BJ1007">
        <f t="shared" si="150"/>
        <v>151600200</v>
      </c>
      <c r="BK1007">
        <f t="shared" si="150"/>
        <v>505334000</v>
      </c>
      <c r="BL1007">
        <v>1002</v>
      </c>
    </row>
    <row r="1008" spans="1:64" ht="17.25" thickBot="1" x14ac:dyDescent="0.25">
      <c r="A1008" s="131">
        <v>1004</v>
      </c>
      <c r="B1008" s="135">
        <v>2230812322</v>
      </c>
      <c r="D1008" s="131">
        <v>1004</v>
      </c>
      <c r="E1008" s="132">
        <v>50.681930000000001</v>
      </c>
      <c r="AK1008">
        <v>1002</v>
      </c>
      <c r="AL1008" s="24">
        <f t="shared" si="145"/>
        <v>50.58296</v>
      </c>
      <c r="AM1008">
        <f t="shared" si="151"/>
        <v>354.08071999999999</v>
      </c>
      <c r="AN1008">
        <f t="shared" si="151"/>
        <v>505.82960000000003</v>
      </c>
      <c r="AO1008">
        <f t="shared" si="151"/>
        <v>758.74440000000004</v>
      </c>
      <c r="AP1008">
        <f t="shared" si="151"/>
        <v>1011.6592000000001</v>
      </c>
      <c r="AQ1008">
        <f t="shared" si="151"/>
        <v>1770.4036000000001</v>
      </c>
      <c r="AR1008">
        <f t="shared" si="151"/>
        <v>2529.1480000000001</v>
      </c>
      <c r="AS1008">
        <f t="shared" si="151"/>
        <v>4046.6368000000002</v>
      </c>
      <c r="AT1008">
        <f t="shared" si="151"/>
        <v>6069.9552000000003</v>
      </c>
      <c r="AU1008">
        <f t="shared" si="151"/>
        <v>8599.1031999999996</v>
      </c>
      <c r="AV1008">
        <f t="shared" si="151"/>
        <v>12139.910400000001</v>
      </c>
      <c r="AW1008">
        <f t="shared" si="151"/>
        <v>16692.376799999998</v>
      </c>
      <c r="AX1008">
        <f t="shared" si="151"/>
        <v>23268.161599999999</v>
      </c>
      <c r="AY1008">
        <f t="shared" si="151"/>
        <v>40466.368000000002</v>
      </c>
      <c r="AZ1008">
        <f t="shared" si="151"/>
        <v>75874.44</v>
      </c>
      <c r="BA1008">
        <f t="shared" si="151"/>
        <v>126457.4</v>
      </c>
      <c r="BB1008">
        <f t="shared" si="151"/>
        <v>202331.84</v>
      </c>
      <c r="BC1008">
        <f t="shared" si="150"/>
        <v>505829.6</v>
      </c>
      <c r="BD1008">
        <f t="shared" si="150"/>
        <v>758744.4</v>
      </c>
      <c r="BE1008">
        <f t="shared" si="150"/>
        <v>1213991.04</v>
      </c>
      <c r="BF1008">
        <f t="shared" si="150"/>
        <v>1517488.8</v>
      </c>
      <c r="BG1008">
        <f t="shared" si="150"/>
        <v>5058296</v>
      </c>
      <c r="BH1008">
        <f t="shared" si="150"/>
        <v>15174888</v>
      </c>
      <c r="BI1008">
        <f t="shared" si="150"/>
        <v>42995516</v>
      </c>
      <c r="BJ1008">
        <f t="shared" si="150"/>
        <v>151748880</v>
      </c>
      <c r="BK1008">
        <f t="shared" si="150"/>
        <v>505829600</v>
      </c>
      <c r="BL1008">
        <v>1003</v>
      </c>
    </row>
    <row r="1009" spans="1:64" ht="17.25" thickBot="1" x14ac:dyDescent="0.25">
      <c r="A1009" s="131">
        <v>1005</v>
      </c>
      <c r="B1009" s="135">
        <v>2243512955</v>
      </c>
      <c r="D1009" s="131">
        <v>1005</v>
      </c>
      <c r="E1009" s="132">
        <v>50.731340000000003</v>
      </c>
      <c r="AK1009">
        <v>1003</v>
      </c>
      <c r="AL1009" s="24">
        <f t="shared" si="145"/>
        <v>50.632469999999998</v>
      </c>
      <c r="AM1009">
        <f t="shared" si="151"/>
        <v>354.42728999999997</v>
      </c>
      <c r="AN1009">
        <f t="shared" si="151"/>
        <v>506.32470000000001</v>
      </c>
      <c r="AO1009">
        <f t="shared" si="151"/>
        <v>759.48704999999995</v>
      </c>
      <c r="AP1009">
        <f t="shared" si="151"/>
        <v>1012.6494</v>
      </c>
      <c r="AQ1009">
        <f t="shared" si="151"/>
        <v>1772.13645</v>
      </c>
      <c r="AR1009">
        <f t="shared" si="151"/>
        <v>2531.6234999999997</v>
      </c>
      <c r="AS1009">
        <f t="shared" si="151"/>
        <v>4050.5976000000001</v>
      </c>
      <c r="AT1009">
        <f t="shared" si="151"/>
        <v>6075.8963999999996</v>
      </c>
      <c r="AU1009">
        <f t="shared" si="151"/>
        <v>8607.5198999999993</v>
      </c>
      <c r="AV1009">
        <f t="shared" si="151"/>
        <v>12151.792799999999</v>
      </c>
      <c r="AW1009">
        <f t="shared" si="151"/>
        <v>16708.715099999998</v>
      </c>
      <c r="AX1009">
        <f t="shared" si="151"/>
        <v>23290.9362</v>
      </c>
      <c r="AY1009">
        <f t="shared" si="151"/>
        <v>40505.975999999995</v>
      </c>
      <c r="AZ1009">
        <f t="shared" si="151"/>
        <v>75948.705000000002</v>
      </c>
      <c r="BA1009">
        <f t="shared" si="151"/>
        <v>126581.17499999999</v>
      </c>
      <c r="BB1009">
        <f t="shared" si="151"/>
        <v>202529.88</v>
      </c>
      <c r="BC1009">
        <f t="shared" si="150"/>
        <v>506324.69999999995</v>
      </c>
      <c r="BD1009">
        <f t="shared" si="150"/>
        <v>759487.04999999993</v>
      </c>
      <c r="BE1009">
        <f t="shared" si="150"/>
        <v>1215179.28</v>
      </c>
      <c r="BF1009">
        <f t="shared" si="150"/>
        <v>1518974.0999999999</v>
      </c>
      <c r="BG1009">
        <f t="shared" si="150"/>
        <v>5063247</v>
      </c>
      <c r="BH1009">
        <f t="shared" si="150"/>
        <v>15189741</v>
      </c>
      <c r="BI1009">
        <f t="shared" si="150"/>
        <v>43037599.5</v>
      </c>
      <c r="BJ1009">
        <f t="shared" si="150"/>
        <v>151897410</v>
      </c>
      <c r="BK1009">
        <f t="shared" si="150"/>
        <v>506324700</v>
      </c>
      <c r="BL1009">
        <v>1004</v>
      </c>
    </row>
    <row r="1010" spans="1:64" ht="17.25" thickBot="1" x14ac:dyDescent="0.25">
      <c r="A1010" s="131">
        <v>1006</v>
      </c>
      <c r="B1010" s="135">
        <v>2256272322</v>
      </c>
      <c r="D1010" s="131">
        <v>1006</v>
      </c>
      <c r="E1010" s="132">
        <v>50.780700000000003</v>
      </c>
      <c r="AK1010">
        <v>1004</v>
      </c>
      <c r="AL1010" s="24">
        <f t="shared" si="145"/>
        <v>50.681930000000001</v>
      </c>
      <c r="AM1010">
        <f t="shared" si="151"/>
        <v>354.77350999999999</v>
      </c>
      <c r="AN1010">
        <f t="shared" si="151"/>
        <v>506.8193</v>
      </c>
      <c r="AO1010">
        <f t="shared" si="151"/>
        <v>760.22895000000005</v>
      </c>
      <c r="AP1010">
        <f t="shared" si="151"/>
        <v>1013.6386</v>
      </c>
      <c r="AQ1010">
        <f t="shared" si="151"/>
        <v>1773.8675499999999</v>
      </c>
      <c r="AR1010">
        <f t="shared" si="151"/>
        <v>2534.0965000000001</v>
      </c>
      <c r="AS1010">
        <f t="shared" si="151"/>
        <v>4054.5544</v>
      </c>
      <c r="AT1010">
        <f t="shared" si="151"/>
        <v>6081.8316000000004</v>
      </c>
      <c r="AU1010">
        <f t="shared" si="151"/>
        <v>8615.928100000001</v>
      </c>
      <c r="AV1010">
        <f t="shared" si="151"/>
        <v>12163.663200000001</v>
      </c>
      <c r="AW1010">
        <f t="shared" si="151"/>
        <v>16725.036899999999</v>
      </c>
      <c r="AX1010">
        <f t="shared" si="151"/>
        <v>23313.6878</v>
      </c>
      <c r="AY1010">
        <f t="shared" si="151"/>
        <v>40545.544000000002</v>
      </c>
      <c r="AZ1010">
        <f t="shared" si="151"/>
        <v>76022.895000000004</v>
      </c>
      <c r="BA1010">
        <f t="shared" si="151"/>
        <v>126704.825</v>
      </c>
      <c r="BB1010">
        <f t="shared" si="151"/>
        <v>202727.72</v>
      </c>
      <c r="BC1010">
        <f t="shared" si="150"/>
        <v>506819.3</v>
      </c>
      <c r="BD1010">
        <f t="shared" si="150"/>
        <v>760228.95000000007</v>
      </c>
      <c r="BE1010">
        <f t="shared" si="150"/>
        <v>1216366.32</v>
      </c>
      <c r="BF1010">
        <f t="shared" si="150"/>
        <v>1520457.9000000001</v>
      </c>
      <c r="BG1010">
        <f t="shared" si="150"/>
        <v>5068193</v>
      </c>
      <c r="BH1010">
        <f t="shared" si="150"/>
        <v>15204579</v>
      </c>
      <c r="BI1010">
        <f t="shared" si="150"/>
        <v>43079640.5</v>
      </c>
      <c r="BJ1010">
        <f t="shared" si="150"/>
        <v>152045790</v>
      </c>
      <c r="BK1010">
        <f t="shared" si="150"/>
        <v>506819300</v>
      </c>
      <c r="BL1010">
        <v>1005</v>
      </c>
    </row>
    <row r="1011" spans="1:64" ht="17.25" thickBot="1" x14ac:dyDescent="0.25">
      <c r="A1011" s="131">
        <v>1007</v>
      </c>
      <c r="B1011" s="135">
        <v>2269090616</v>
      </c>
      <c r="D1011" s="131">
        <v>1007</v>
      </c>
      <c r="E1011" s="132">
        <v>50.830010000000001</v>
      </c>
      <c r="AK1011">
        <v>1005</v>
      </c>
      <c r="AL1011" s="24">
        <f t="shared" si="145"/>
        <v>50.731340000000003</v>
      </c>
      <c r="AM1011">
        <f t="shared" si="151"/>
        <v>355.11938000000004</v>
      </c>
      <c r="AN1011">
        <f t="shared" si="151"/>
        <v>507.3134</v>
      </c>
      <c r="AO1011">
        <f t="shared" si="151"/>
        <v>760.9701</v>
      </c>
      <c r="AP1011">
        <f t="shared" si="151"/>
        <v>1014.6268</v>
      </c>
      <c r="AQ1011">
        <f t="shared" si="151"/>
        <v>1775.5969</v>
      </c>
      <c r="AR1011">
        <f t="shared" si="151"/>
        <v>2536.567</v>
      </c>
      <c r="AS1011">
        <f t="shared" si="151"/>
        <v>4058.5072</v>
      </c>
      <c r="AT1011">
        <f t="shared" si="151"/>
        <v>6087.7608</v>
      </c>
      <c r="AU1011">
        <f t="shared" si="151"/>
        <v>8624.3278000000009</v>
      </c>
      <c r="AV1011">
        <f t="shared" si="151"/>
        <v>12175.5216</v>
      </c>
      <c r="AW1011">
        <f t="shared" si="151"/>
        <v>16741.342200000003</v>
      </c>
      <c r="AX1011">
        <f t="shared" si="151"/>
        <v>23336.416400000002</v>
      </c>
      <c r="AY1011">
        <f t="shared" si="151"/>
        <v>40585.072</v>
      </c>
      <c r="AZ1011">
        <f t="shared" si="151"/>
        <v>76097.010000000009</v>
      </c>
      <c r="BA1011">
        <f t="shared" si="151"/>
        <v>126828.35</v>
      </c>
      <c r="BB1011">
        <f t="shared" si="151"/>
        <v>202925.36000000002</v>
      </c>
      <c r="BC1011">
        <f t="shared" si="150"/>
        <v>507313.4</v>
      </c>
      <c r="BD1011">
        <f t="shared" si="150"/>
        <v>760970.10000000009</v>
      </c>
      <c r="BE1011">
        <f t="shared" si="150"/>
        <v>1217552.1600000001</v>
      </c>
      <c r="BF1011">
        <f t="shared" si="150"/>
        <v>1521940.2000000002</v>
      </c>
      <c r="BG1011">
        <f t="shared" si="150"/>
        <v>5073134</v>
      </c>
      <c r="BH1011">
        <f t="shared" si="150"/>
        <v>15219402</v>
      </c>
      <c r="BI1011">
        <f t="shared" si="150"/>
        <v>43121639</v>
      </c>
      <c r="BJ1011">
        <f t="shared" si="150"/>
        <v>152194020</v>
      </c>
      <c r="BK1011">
        <f t="shared" si="150"/>
        <v>507313400.00000006</v>
      </c>
      <c r="BL1011">
        <v>1006</v>
      </c>
    </row>
    <row r="1012" spans="1:64" ht="17.25" thickBot="1" x14ac:dyDescent="0.25">
      <c r="A1012" s="131">
        <v>1008</v>
      </c>
      <c r="B1012" s="135">
        <v>2281968044</v>
      </c>
      <c r="D1012" s="131">
        <v>1008</v>
      </c>
      <c r="E1012" s="132">
        <v>50.879280000000001</v>
      </c>
      <c r="AK1012">
        <v>1006</v>
      </c>
      <c r="AL1012" s="24">
        <f t="shared" si="145"/>
        <v>50.780700000000003</v>
      </c>
      <c r="AM1012">
        <f t="shared" si="151"/>
        <v>355.4649</v>
      </c>
      <c r="AN1012">
        <f t="shared" si="151"/>
        <v>507.80700000000002</v>
      </c>
      <c r="AO1012">
        <f t="shared" si="151"/>
        <v>761.71050000000002</v>
      </c>
      <c r="AP1012">
        <f t="shared" si="151"/>
        <v>1015.614</v>
      </c>
      <c r="AQ1012">
        <f t="shared" si="151"/>
        <v>1777.3245000000002</v>
      </c>
      <c r="AR1012">
        <f t="shared" si="151"/>
        <v>2539.0350000000003</v>
      </c>
      <c r="AS1012">
        <f t="shared" si="151"/>
        <v>4062.4560000000001</v>
      </c>
      <c r="AT1012">
        <f t="shared" si="151"/>
        <v>6093.6840000000002</v>
      </c>
      <c r="AU1012">
        <f t="shared" si="151"/>
        <v>8632.719000000001</v>
      </c>
      <c r="AV1012">
        <f t="shared" si="151"/>
        <v>12187.368</v>
      </c>
      <c r="AW1012">
        <f t="shared" si="151"/>
        <v>16757.631000000001</v>
      </c>
      <c r="AX1012">
        <f t="shared" si="151"/>
        <v>23359.122000000003</v>
      </c>
      <c r="AY1012">
        <f t="shared" si="151"/>
        <v>40624.560000000005</v>
      </c>
      <c r="AZ1012">
        <f t="shared" si="151"/>
        <v>76171.05</v>
      </c>
      <c r="BA1012">
        <f t="shared" si="151"/>
        <v>126951.75000000001</v>
      </c>
      <c r="BB1012">
        <f t="shared" si="151"/>
        <v>203122.80000000002</v>
      </c>
      <c r="BC1012">
        <f t="shared" si="150"/>
        <v>507807.00000000006</v>
      </c>
      <c r="BD1012">
        <f t="shared" si="150"/>
        <v>761710.5</v>
      </c>
      <c r="BE1012">
        <f t="shared" si="150"/>
        <v>1218736.8</v>
      </c>
      <c r="BF1012">
        <f t="shared" si="150"/>
        <v>1523421</v>
      </c>
      <c r="BG1012">
        <f t="shared" si="150"/>
        <v>5078070</v>
      </c>
      <c r="BH1012">
        <f t="shared" si="150"/>
        <v>15234210</v>
      </c>
      <c r="BI1012">
        <f t="shared" si="150"/>
        <v>43163595</v>
      </c>
      <c r="BJ1012">
        <f t="shared" si="150"/>
        <v>152342100</v>
      </c>
      <c r="BK1012">
        <f t="shared" si="150"/>
        <v>507807000.00000006</v>
      </c>
      <c r="BL1012">
        <v>1007</v>
      </c>
    </row>
    <row r="1013" spans="1:64" ht="17.25" thickBot="1" x14ac:dyDescent="0.25">
      <c r="A1013" s="131">
        <v>1009</v>
      </c>
      <c r="B1013" s="135">
        <v>2294904800</v>
      </c>
      <c r="D1013" s="131">
        <v>1009</v>
      </c>
      <c r="E1013" s="132">
        <v>50.9285</v>
      </c>
      <c r="AK1013">
        <v>1007</v>
      </c>
      <c r="AL1013" s="24">
        <f t="shared" si="145"/>
        <v>50.830010000000001</v>
      </c>
      <c r="AM1013">
        <f t="shared" si="151"/>
        <v>355.81007</v>
      </c>
      <c r="AN1013">
        <f t="shared" si="151"/>
        <v>508.30010000000004</v>
      </c>
      <c r="AO1013">
        <f t="shared" si="151"/>
        <v>762.45015000000001</v>
      </c>
      <c r="AP1013">
        <f t="shared" si="151"/>
        <v>1016.6002000000001</v>
      </c>
      <c r="AQ1013">
        <f t="shared" si="151"/>
        <v>1779.05035</v>
      </c>
      <c r="AR1013">
        <f t="shared" si="151"/>
        <v>2541.5005000000001</v>
      </c>
      <c r="AS1013">
        <f t="shared" si="151"/>
        <v>4066.4008000000003</v>
      </c>
      <c r="AT1013">
        <f t="shared" si="151"/>
        <v>6099.6012000000001</v>
      </c>
      <c r="AU1013">
        <f t="shared" si="151"/>
        <v>8641.1017000000011</v>
      </c>
      <c r="AV1013">
        <f t="shared" si="151"/>
        <v>12199.2024</v>
      </c>
      <c r="AW1013">
        <f t="shared" si="151"/>
        <v>16773.903300000002</v>
      </c>
      <c r="AX1013">
        <f t="shared" si="151"/>
        <v>23381.804599999999</v>
      </c>
      <c r="AY1013">
        <f t="shared" si="151"/>
        <v>40664.008000000002</v>
      </c>
      <c r="AZ1013">
        <f t="shared" si="151"/>
        <v>76245.014999999999</v>
      </c>
      <c r="BA1013">
        <f t="shared" si="151"/>
        <v>127075.02500000001</v>
      </c>
      <c r="BB1013">
        <f t="shared" si="151"/>
        <v>203320.04</v>
      </c>
      <c r="BC1013">
        <f t="shared" si="150"/>
        <v>508300.10000000003</v>
      </c>
      <c r="BD1013">
        <f t="shared" si="150"/>
        <v>762450.15</v>
      </c>
      <c r="BE1013">
        <f t="shared" si="150"/>
        <v>1219920.24</v>
      </c>
      <c r="BF1013">
        <f t="shared" si="150"/>
        <v>1524900.3</v>
      </c>
      <c r="BG1013">
        <f t="shared" si="150"/>
        <v>5083001</v>
      </c>
      <c r="BH1013">
        <f t="shared" si="150"/>
        <v>15249003</v>
      </c>
      <c r="BI1013">
        <f t="shared" si="150"/>
        <v>43205508.5</v>
      </c>
      <c r="BJ1013">
        <f t="shared" si="150"/>
        <v>152490030</v>
      </c>
      <c r="BK1013">
        <f t="shared" si="150"/>
        <v>508300100</v>
      </c>
      <c r="BL1013">
        <v>1008</v>
      </c>
    </row>
    <row r="1014" spans="1:64" ht="17.25" thickBot="1" x14ac:dyDescent="0.25">
      <c r="A1014" s="131">
        <v>1010</v>
      </c>
      <c r="B1014" s="135">
        <v>2307901088</v>
      </c>
      <c r="D1014" s="131">
        <v>1010</v>
      </c>
      <c r="E1014" s="132">
        <v>50.977670000000003</v>
      </c>
      <c r="AK1014">
        <v>1008</v>
      </c>
      <c r="AL1014" s="24">
        <f t="shared" si="145"/>
        <v>50.879280000000001</v>
      </c>
      <c r="AM1014">
        <f t="shared" si="151"/>
        <v>356.15496000000002</v>
      </c>
      <c r="AN1014">
        <f t="shared" si="151"/>
        <v>508.7928</v>
      </c>
      <c r="AO1014">
        <f t="shared" si="151"/>
        <v>763.18920000000003</v>
      </c>
      <c r="AP1014">
        <f t="shared" si="151"/>
        <v>1017.5856</v>
      </c>
      <c r="AQ1014">
        <f t="shared" si="151"/>
        <v>1780.7748000000001</v>
      </c>
      <c r="AR1014">
        <f t="shared" si="151"/>
        <v>2543.9639999999999</v>
      </c>
      <c r="AS1014">
        <f t="shared" si="151"/>
        <v>4070.3424</v>
      </c>
      <c r="AT1014">
        <f t="shared" si="151"/>
        <v>6105.5136000000002</v>
      </c>
      <c r="AU1014">
        <f t="shared" si="151"/>
        <v>8649.4776000000002</v>
      </c>
      <c r="AV1014">
        <f t="shared" si="151"/>
        <v>12211.0272</v>
      </c>
      <c r="AW1014">
        <f t="shared" si="151"/>
        <v>16790.162400000001</v>
      </c>
      <c r="AX1014">
        <f t="shared" si="151"/>
        <v>23404.468800000002</v>
      </c>
      <c r="AY1014">
        <f t="shared" si="151"/>
        <v>40703.423999999999</v>
      </c>
      <c r="AZ1014">
        <f t="shared" si="151"/>
        <v>76318.92</v>
      </c>
      <c r="BA1014">
        <f t="shared" si="151"/>
        <v>127198.2</v>
      </c>
      <c r="BB1014">
        <f t="shared" si="151"/>
        <v>203517.12</v>
      </c>
      <c r="BC1014">
        <f t="shared" si="150"/>
        <v>508792.8</v>
      </c>
      <c r="BD1014">
        <f t="shared" si="150"/>
        <v>763189.20000000007</v>
      </c>
      <c r="BE1014">
        <f t="shared" si="150"/>
        <v>1221102.72</v>
      </c>
      <c r="BF1014">
        <f t="shared" si="150"/>
        <v>1526378.4000000001</v>
      </c>
      <c r="BG1014">
        <f t="shared" si="150"/>
        <v>5087928</v>
      </c>
      <c r="BH1014">
        <f t="shared" si="150"/>
        <v>15263784</v>
      </c>
      <c r="BI1014">
        <f t="shared" si="150"/>
        <v>43247388</v>
      </c>
      <c r="BJ1014">
        <f t="shared" si="150"/>
        <v>152637840</v>
      </c>
      <c r="BK1014">
        <f t="shared" si="150"/>
        <v>508792800</v>
      </c>
      <c r="BL1014">
        <v>1009</v>
      </c>
    </row>
    <row r="1015" spans="1:64" ht="17.25" thickBot="1" x14ac:dyDescent="0.25">
      <c r="A1015" s="131">
        <v>1011</v>
      </c>
      <c r="B1015" s="135">
        <v>2320957111</v>
      </c>
      <c r="D1015" s="131">
        <v>1011</v>
      </c>
      <c r="E1015" s="132">
        <v>51.026789999999998</v>
      </c>
      <c r="AK1015">
        <v>1009</v>
      </c>
      <c r="AL1015" s="24">
        <f t="shared" ref="AL1015:AL1078" si="152">VLOOKUP(AK1015,D$2:E$1404,2,FALSE)</f>
        <v>50.9285</v>
      </c>
      <c r="AM1015">
        <f t="shared" si="151"/>
        <v>356.49950000000001</v>
      </c>
      <c r="AN1015">
        <f t="shared" si="151"/>
        <v>509.28499999999997</v>
      </c>
      <c r="AO1015">
        <f t="shared" si="151"/>
        <v>763.92750000000001</v>
      </c>
      <c r="AP1015">
        <f t="shared" si="151"/>
        <v>1018.5699999999999</v>
      </c>
      <c r="AQ1015">
        <f t="shared" si="151"/>
        <v>1782.4974999999999</v>
      </c>
      <c r="AR1015">
        <f t="shared" si="151"/>
        <v>2546.4250000000002</v>
      </c>
      <c r="AS1015">
        <f t="shared" si="151"/>
        <v>4074.2799999999997</v>
      </c>
      <c r="AT1015">
        <f t="shared" si="151"/>
        <v>6111.42</v>
      </c>
      <c r="AU1015">
        <f t="shared" si="151"/>
        <v>8657.8449999999993</v>
      </c>
      <c r="AV1015">
        <f t="shared" si="151"/>
        <v>12222.84</v>
      </c>
      <c r="AW1015">
        <f t="shared" si="151"/>
        <v>16806.404999999999</v>
      </c>
      <c r="AX1015">
        <f t="shared" si="151"/>
        <v>23427.11</v>
      </c>
      <c r="AY1015">
        <f t="shared" si="151"/>
        <v>40742.800000000003</v>
      </c>
      <c r="AZ1015">
        <f t="shared" si="151"/>
        <v>76392.75</v>
      </c>
      <c r="BA1015">
        <f t="shared" si="151"/>
        <v>127321.25</v>
      </c>
      <c r="BB1015">
        <f t="shared" si="151"/>
        <v>203714</v>
      </c>
      <c r="BC1015">
        <f t="shared" si="150"/>
        <v>509285</v>
      </c>
      <c r="BD1015">
        <f t="shared" si="150"/>
        <v>763927.5</v>
      </c>
      <c r="BE1015">
        <f t="shared" si="150"/>
        <v>1222284</v>
      </c>
      <c r="BF1015">
        <f t="shared" si="150"/>
        <v>1527855</v>
      </c>
      <c r="BG1015">
        <f t="shared" si="150"/>
        <v>5092850</v>
      </c>
      <c r="BH1015">
        <f t="shared" si="150"/>
        <v>15278550</v>
      </c>
      <c r="BI1015">
        <f t="shared" si="150"/>
        <v>43289225</v>
      </c>
      <c r="BJ1015">
        <f t="shared" si="150"/>
        <v>152785500</v>
      </c>
      <c r="BK1015">
        <f t="shared" si="150"/>
        <v>509285000</v>
      </c>
      <c r="BL1015">
        <v>1010</v>
      </c>
    </row>
    <row r="1016" spans="1:64" ht="17.25" thickBot="1" x14ac:dyDescent="0.25">
      <c r="A1016" s="131">
        <v>1012</v>
      </c>
      <c r="B1016" s="135">
        <v>2334073066</v>
      </c>
      <c r="D1016" s="131">
        <v>1012</v>
      </c>
      <c r="E1016" s="132">
        <v>51.075859999999999</v>
      </c>
      <c r="AK1016">
        <v>1010</v>
      </c>
      <c r="AL1016" s="24">
        <f t="shared" si="152"/>
        <v>50.977670000000003</v>
      </c>
      <c r="AM1016">
        <f t="shared" si="151"/>
        <v>356.84369000000004</v>
      </c>
      <c r="AN1016">
        <f t="shared" si="151"/>
        <v>509.77670000000001</v>
      </c>
      <c r="AO1016">
        <f t="shared" si="151"/>
        <v>764.66505000000006</v>
      </c>
      <c r="AP1016">
        <f t="shared" si="151"/>
        <v>1019.5534</v>
      </c>
      <c r="AQ1016">
        <f t="shared" si="151"/>
        <v>1784.2184500000001</v>
      </c>
      <c r="AR1016">
        <f t="shared" si="151"/>
        <v>2548.8835000000004</v>
      </c>
      <c r="AS1016">
        <f t="shared" si="151"/>
        <v>4078.2136</v>
      </c>
      <c r="AT1016">
        <f t="shared" si="151"/>
        <v>6117.3204000000005</v>
      </c>
      <c r="AU1016">
        <f t="shared" si="151"/>
        <v>8666.2039000000004</v>
      </c>
      <c r="AV1016">
        <f t="shared" si="151"/>
        <v>12234.640800000001</v>
      </c>
      <c r="AW1016">
        <f t="shared" si="151"/>
        <v>16822.631100000002</v>
      </c>
      <c r="AX1016">
        <f t="shared" si="151"/>
        <v>23449.728200000001</v>
      </c>
      <c r="AY1016">
        <f t="shared" si="151"/>
        <v>40782.136000000006</v>
      </c>
      <c r="AZ1016">
        <f t="shared" si="151"/>
        <v>76466.505000000005</v>
      </c>
      <c r="BA1016">
        <f t="shared" si="151"/>
        <v>127444.175</v>
      </c>
      <c r="BB1016">
        <f t="shared" si="151"/>
        <v>203910.68000000002</v>
      </c>
      <c r="BC1016">
        <f t="shared" si="150"/>
        <v>509776.7</v>
      </c>
      <c r="BD1016">
        <f t="shared" si="150"/>
        <v>764665.05</v>
      </c>
      <c r="BE1016">
        <f t="shared" si="150"/>
        <v>1223464.08</v>
      </c>
      <c r="BF1016">
        <f t="shared" si="150"/>
        <v>1529330.1</v>
      </c>
      <c r="BG1016">
        <f t="shared" si="150"/>
        <v>5097767</v>
      </c>
      <c r="BH1016">
        <f t="shared" si="150"/>
        <v>15293301.000000002</v>
      </c>
      <c r="BI1016">
        <f t="shared" si="150"/>
        <v>43331019.5</v>
      </c>
      <c r="BJ1016">
        <f t="shared" si="150"/>
        <v>152933010</v>
      </c>
      <c r="BK1016">
        <f t="shared" si="150"/>
        <v>509776700.00000006</v>
      </c>
      <c r="BL1016">
        <v>1011</v>
      </c>
    </row>
    <row r="1017" spans="1:64" ht="17.25" thickBot="1" x14ac:dyDescent="0.25">
      <c r="A1017" s="131">
        <v>1013</v>
      </c>
      <c r="B1017" s="135">
        <v>2347249161</v>
      </c>
      <c r="D1017" s="131">
        <v>1013</v>
      </c>
      <c r="E1017" s="132">
        <v>51.124879999999997</v>
      </c>
      <c r="AK1017">
        <v>1011</v>
      </c>
      <c r="AL1017" s="24">
        <f t="shared" si="152"/>
        <v>51.026789999999998</v>
      </c>
      <c r="AM1017">
        <f t="shared" si="151"/>
        <v>357.18752999999998</v>
      </c>
      <c r="AN1017">
        <f t="shared" si="151"/>
        <v>510.2679</v>
      </c>
      <c r="AO1017">
        <f t="shared" si="151"/>
        <v>765.40184999999997</v>
      </c>
      <c r="AP1017">
        <f t="shared" si="151"/>
        <v>1020.5358</v>
      </c>
      <c r="AQ1017">
        <f t="shared" si="151"/>
        <v>1785.9376499999998</v>
      </c>
      <c r="AR1017">
        <f t="shared" si="151"/>
        <v>2551.3395</v>
      </c>
      <c r="AS1017">
        <f t="shared" si="151"/>
        <v>4082.1432</v>
      </c>
      <c r="AT1017">
        <f t="shared" si="151"/>
        <v>6123.2147999999997</v>
      </c>
      <c r="AU1017">
        <f t="shared" si="151"/>
        <v>8674.5542999999998</v>
      </c>
      <c r="AV1017">
        <f t="shared" si="151"/>
        <v>12246.429599999999</v>
      </c>
      <c r="AW1017">
        <f t="shared" si="151"/>
        <v>16838.840700000001</v>
      </c>
      <c r="AX1017">
        <f t="shared" si="151"/>
        <v>23472.323399999997</v>
      </c>
      <c r="AY1017">
        <f t="shared" si="151"/>
        <v>40821.432000000001</v>
      </c>
      <c r="AZ1017">
        <f t="shared" si="151"/>
        <v>76540.184999999998</v>
      </c>
      <c r="BA1017">
        <f t="shared" si="151"/>
        <v>127566.97499999999</v>
      </c>
      <c r="BB1017">
        <f t="shared" si="151"/>
        <v>204107.16</v>
      </c>
      <c r="BC1017">
        <f t="shared" si="150"/>
        <v>510267.89999999997</v>
      </c>
      <c r="BD1017">
        <f t="shared" si="150"/>
        <v>765401.85</v>
      </c>
      <c r="BE1017">
        <f t="shared" si="150"/>
        <v>1224642.96</v>
      </c>
      <c r="BF1017">
        <f t="shared" si="150"/>
        <v>1530803.7</v>
      </c>
      <c r="BG1017">
        <f t="shared" si="150"/>
        <v>5102679</v>
      </c>
      <c r="BH1017">
        <f t="shared" si="150"/>
        <v>15308037</v>
      </c>
      <c r="BI1017">
        <f t="shared" si="150"/>
        <v>43372771.5</v>
      </c>
      <c r="BJ1017">
        <f t="shared" si="150"/>
        <v>153080370</v>
      </c>
      <c r="BK1017">
        <f t="shared" si="150"/>
        <v>510267900</v>
      </c>
      <c r="BL1017">
        <v>1012</v>
      </c>
    </row>
    <row r="1018" spans="1:64" ht="17.25" thickBot="1" x14ac:dyDescent="0.25">
      <c r="A1018" s="131">
        <v>1014</v>
      </c>
      <c r="B1018" s="135">
        <v>2360485594</v>
      </c>
      <c r="D1018" s="131">
        <v>1014</v>
      </c>
      <c r="E1018" s="132">
        <v>51.173859999999998</v>
      </c>
      <c r="AK1018">
        <v>1012</v>
      </c>
      <c r="AL1018" s="24">
        <f t="shared" si="152"/>
        <v>51.075859999999999</v>
      </c>
      <c r="AM1018">
        <f t="shared" si="151"/>
        <v>357.53102000000001</v>
      </c>
      <c r="AN1018">
        <f t="shared" si="151"/>
        <v>510.7586</v>
      </c>
      <c r="AO1018">
        <f t="shared" si="151"/>
        <v>766.13789999999995</v>
      </c>
      <c r="AP1018">
        <f t="shared" si="151"/>
        <v>1021.5172</v>
      </c>
      <c r="AQ1018">
        <f t="shared" si="151"/>
        <v>1787.6550999999999</v>
      </c>
      <c r="AR1018">
        <f t="shared" si="151"/>
        <v>2553.7930000000001</v>
      </c>
      <c r="AS1018">
        <f t="shared" si="151"/>
        <v>4086.0688</v>
      </c>
      <c r="AT1018">
        <f t="shared" si="151"/>
        <v>6129.1031999999996</v>
      </c>
      <c r="AU1018">
        <f t="shared" si="151"/>
        <v>8682.8961999999992</v>
      </c>
      <c r="AV1018">
        <f t="shared" si="151"/>
        <v>12258.206399999999</v>
      </c>
      <c r="AW1018">
        <f t="shared" si="151"/>
        <v>16855.033800000001</v>
      </c>
      <c r="AX1018">
        <f t="shared" si="151"/>
        <v>23494.8956</v>
      </c>
      <c r="AY1018">
        <f t="shared" si="151"/>
        <v>40860.688000000002</v>
      </c>
      <c r="AZ1018">
        <f t="shared" si="151"/>
        <v>76613.789999999994</v>
      </c>
      <c r="BA1018">
        <f t="shared" si="151"/>
        <v>127689.65</v>
      </c>
      <c r="BB1018">
        <f t="shared" si="151"/>
        <v>204303.44</v>
      </c>
      <c r="BC1018">
        <f t="shared" si="150"/>
        <v>510758.6</v>
      </c>
      <c r="BD1018">
        <f t="shared" si="150"/>
        <v>766137.9</v>
      </c>
      <c r="BE1018">
        <f t="shared" si="150"/>
        <v>1225820.6399999999</v>
      </c>
      <c r="BF1018">
        <f t="shared" si="150"/>
        <v>1532275.8</v>
      </c>
      <c r="BG1018">
        <f t="shared" si="150"/>
        <v>5107586</v>
      </c>
      <c r="BH1018">
        <f t="shared" si="150"/>
        <v>15322758</v>
      </c>
      <c r="BI1018">
        <f t="shared" si="150"/>
        <v>43414481</v>
      </c>
      <c r="BJ1018">
        <f t="shared" si="150"/>
        <v>153227580</v>
      </c>
      <c r="BK1018">
        <f t="shared" si="150"/>
        <v>510758600</v>
      </c>
      <c r="BL1018">
        <v>1013</v>
      </c>
    </row>
    <row r="1019" spans="1:64" ht="17.25" thickBot="1" x14ac:dyDescent="0.25">
      <c r="A1019" s="131">
        <v>1015</v>
      </c>
      <c r="B1019" s="135">
        <v>2373782572</v>
      </c>
      <c r="D1019" s="131">
        <v>1015</v>
      </c>
      <c r="E1019" s="132">
        <v>51.222790000000003</v>
      </c>
      <c r="AK1019">
        <v>1013</v>
      </c>
      <c r="AL1019" s="24">
        <f t="shared" si="152"/>
        <v>51.124879999999997</v>
      </c>
      <c r="AM1019">
        <f t="shared" si="151"/>
        <v>357.87415999999996</v>
      </c>
      <c r="AN1019">
        <f t="shared" si="151"/>
        <v>511.24879999999996</v>
      </c>
      <c r="AO1019">
        <f t="shared" si="151"/>
        <v>766.8732</v>
      </c>
      <c r="AP1019">
        <f t="shared" si="151"/>
        <v>1022.4975999999999</v>
      </c>
      <c r="AQ1019">
        <f t="shared" si="151"/>
        <v>1789.3707999999999</v>
      </c>
      <c r="AR1019">
        <f t="shared" si="151"/>
        <v>2556.2439999999997</v>
      </c>
      <c r="AS1019">
        <f t="shared" si="151"/>
        <v>4089.9903999999997</v>
      </c>
      <c r="AT1019">
        <f t="shared" si="151"/>
        <v>6134.9856</v>
      </c>
      <c r="AU1019">
        <f t="shared" si="151"/>
        <v>8691.2295999999988</v>
      </c>
      <c r="AV1019">
        <f t="shared" si="151"/>
        <v>12269.9712</v>
      </c>
      <c r="AW1019">
        <f t="shared" si="151"/>
        <v>16871.2104</v>
      </c>
      <c r="AX1019">
        <f t="shared" si="151"/>
        <v>23517.444799999997</v>
      </c>
      <c r="AY1019">
        <f t="shared" si="151"/>
        <v>40899.903999999995</v>
      </c>
      <c r="AZ1019">
        <f t="shared" si="151"/>
        <v>76687.319999999992</v>
      </c>
      <c r="BA1019">
        <f t="shared" si="151"/>
        <v>127812.2</v>
      </c>
      <c r="BB1019">
        <f t="shared" si="151"/>
        <v>204499.52</v>
      </c>
      <c r="BC1019">
        <f t="shared" si="150"/>
        <v>511248.8</v>
      </c>
      <c r="BD1019">
        <f t="shared" si="150"/>
        <v>766873.2</v>
      </c>
      <c r="BE1019">
        <f t="shared" si="150"/>
        <v>1226997.1199999999</v>
      </c>
      <c r="BF1019">
        <f t="shared" si="150"/>
        <v>1533746.4</v>
      </c>
      <c r="BG1019">
        <f t="shared" si="150"/>
        <v>5112488</v>
      </c>
      <c r="BH1019">
        <f t="shared" si="150"/>
        <v>15337464</v>
      </c>
      <c r="BI1019">
        <f t="shared" si="150"/>
        <v>43456148</v>
      </c>
      <c r="BJ1019">
        <f t="shared" si="150"/>
        <v>153374640</v>
      </c>
      <c r="BK1019">
        <f t="shared" si="150"/>
        <v>511248800</v>
      </c>
      <c r="BL1019">
        <v>1014</v>
      </c>
    </row>
    <row r="1020" spans="1:64" ht="17.25" thickBot="1" x14ac:dyDescent="0.25">
      <c r="A1020" s="131">
        <v>1016</v>
      </c>
      <c r="B1020" s="135">
        <v>2387140294</v>
      </c>
      <c r="D1020" s="131">
        <v>1016</v>
      </c>
      <c r="E1020" s="132">
        <v>51.27167</v>
      </c>
      <c r="AK1020">
        <v>1014</v>
      </c>
      <c r="AL1020" s="24">
        <f t="shared" si="152"/>
        <v>51.173859999999998</v>
      </c>
      <c r="AM1020">
        <f t="shared" si="151"/>
        <v>358.21701999999999</v>
      </c>
      <c r="AN1020">
        <f t="shared" si="151"/>
        <v>511.73859999999996</v>
      </c>
      <c r="AO1020">
        <f t="shared" si="151"/>
        <v>767.60789999999997</v>
      </c>
      <c r="AP1020">
        <f t="shared" si="151"/>
        <v>1023.4771999999999</v>
      </c>
      <c r="AQ1020">
        <f t="shared" si="151"/>
        <v>1791.0851</v>
      </c>
      <c r="AR1020">
        <f t="shared" si="151"/>
        <v>2558.6929999999998</v>
      </c>
      <c r="AS1020">
        <f t="shared" si="151"/>
        <v>4093.9087999999997</v>
      </c>
      <c r="AT1020">
        <f t="shared" si="151"/>
        <v>6140.8631999999998</v>
      </c>
      <c r="AU1020">
        <f t="shared" si="151"/>
        <v>8699.5561999999991</v>
      </c>
      <c r="AV1020">
        <f t="shared" si="151"/>
        <v>12281.7264</v>
      </c>
      <c r="AW1020">
        <f t="shared" si="151"/>
        <v>16887.373799999998</v>
      </c>
      <c r="AX1020">
        <f t="shared" si="151"/>
        <v>23539.975599999998</v>
      </c>
      <c r="AY1020">
        <f t="shared" si="151"/>
        <v>40939.087999999996</v>
      </c>
      <c r="AZ1020">
        <f t="shared" si="151"/>
        <v>76760.789999999994</v>
      </c>
      <c r="BA1020">
        <f t="shared" si="151"/>
        <v>127934.65</v>
      </c>
      <c r="BB1020">
        <f t="shared" si="151"/>
        <v>204695.44</v>
      </c>
      <c r="BC1020">
        <f t="shared" si="150"/>
        <v>511738.6</v>
      </c>
      <c r="BD1020">
        <f t="shared" si="150"/>
        <v>767607.9</v>
      </c>
      <c r="BE1020">
        <f t="shared" si="150"/>
        <v>1228172.6399999999</v>
      </c>
      <c r="BF1020">
        <f t="shared" si="150"/>
        <v>1535215.8</v>
      </c>
      <c r="BG1020">
        <f t="shared" si="150"/>
        <v>5117386</v>
      </c>
      <c r="BH1020">
        <f t="shared" si="150"/>
        <v>15352158</v>
      </c>
      <c r="BI1020">
        <f t="shared" si="150"/>
        <v>43497781</v>
      </c>
      <c r="BJ1020">
        <f t="shared" si="150"/>
        <v>153521580</v>
      </c>
      <c r="BK1020">
        <f t="shared" si="150"/>
        <v>511738600</v>
      </c>
      <c r="BL1020">
        <v>1015</v>
      </c>
    </row>
    <row r="1021" spans="1:64" ht="17.25" thickBot="1" x14ac:dyDescent="0.25">
      <c r="A1021" s="131">
        <v>1017</v>
      </c>
      <c r="B1021" s="135">
        <v>2400558966</v>
      </c>
      <c r="D1021" s="131">
        <v>1017</v>
      </c>
      <c r="E1021" s="132">
        <v>51.320500000000003</v>
      </c>
      <c r="AK1021">
        <v>1015</v>
      </c>
      <c r="AL1021" s="24">
        <f t="shared" si="152"/>
        <v>51.222790000000003</v>
      </c>
      <c r="AM1021">
        <f t="shared" si="151"/>
        <v>358.55953</v>
      </c>
      <c r="AN1021">
        <f t="shared" si="151"/>
        <v>512.22790000000009</v>
      </c>
      <c r="AO1021">
        <f t="shared" si="151"/>
        <v>768.34185000000002</v>
      </c>
      <c r="AP1021">
        <f t="shared" si="151"/>
        <v>1024.4558000000002</v>
      </c>
      <c r="AQ1021">
        <f t="shared" si="151"/>
        <v>1792.7976500000002</v>
      </c>
      <c r="AR1021">
        <f t="shared" si="151"/>
        <v>2561.1395000000002</v>
      </c>
      <c r="AS1021">
        <f t="shared" si="151"/>
        <v>4097.8232000000007</v>
      </c>
      <c r="AT1021">
        <f t="shared" si="151"/>
        <v>6146.7348000000002</v>
      </c>
      <c r="AU1021">
        <f t="shared" si="151"/>
        <v>8707.8743000000013</v>
      </c>
      <c r="AV1021">
        <f t="shared" si="151"/>
        <v>12293.4696</v>
      </c>
      <c r="AW1021">
        <f t="shared" si="151"/>
        <v>16903.520700000001</v>
      </c>
      <c r="AX1021">
        <f t="shared" si="151"/>
        <v>23562.483400000001</v>
      </c>
      <c r="AY1021">
        <f t="shared" si="151"/>
        <v>40978.232000000004</v>
      </c>
      <c r="AZ1021">
        <f t="shared" si="151"/>
        <v>76834.185000000012</v>
      </c>
      <c r="BA1021">
        <f t="shared" si="151"/>
        <v>128056.97500000001</v>
      </c>
      <c r="BB1021">
        <f t="shared" ref="AM1021:BB1037" si="153">BB$5*VLOOKUP($AK1021,$D$2:$E$1404,2,FALSE)</f>
        <v>204891.16</v>
      </c>
      <c r="BC1021">
        <f t="shared" si="150"/>
        <v>512227.9</v>
      </c>
      <c r="BD1021">
        <f t="shared" si="150"/>
        <v>768341.85000000009</v>
      </c>
      <c r="BE1021">
        <f t="shared" si="150"/>
        <v>1229346.9600000002</v>
      </c>
      <c r="BF1021">
        <f t="shared" si="150"/>
        <v>1536683.7000000002</v>
      </c>
      <c r="BG1021">
        <f t="shared" si="150"/>
        <v>5122279</v>
      </c>
      <c r="BH1021">
        <f t="shared" si="150"/>
        <v>15366837.000000002</v>
      </c>
      <c r="BI1021">
        <f t="shared" si="150"/>
        <v>43539371.5</v>
      </c>
      <c r="BJ1021">
        <f t="shared" si="150"/>
        <v>153668370</v>
      </c>
      <c r="BK1021">
        <f t="shared" si="150"/>
        <v>512227900.00000006</v>
      </c>
      <c r="BL1021">
        <v>1016</v>
      </c>
    </row>
    <row r="1022" spans="1:64" ht="17.25" thickBot="1" x14ac:dyDescent="0.25">
      <c r="A1022" s="131">
        <v>1018</v>
      </c>
      <c r="B1022" s="135">
        <v>2414038794</v>
      </c>
      <c r="D1022" s="131">
        <v>1018</v>
      </c>
      <c r="E1022" s="132">
        <v>51.369289999999999</v>
      </c>
      <c r="AK1022">
        <v>1016</v>
      </c>
      <c r="AL1022" s="24">
        <f t="shared" si="152"/>
        <v>51.27167</v>
      </c>
      <c r="AM1022">
        <f t="shared" si="153"/>
        <v>358.90169000000003</v>
      </c>
      <c r="AN1022">
        <f t="shared" si="153"/>
        <v>512.71669999999995</v>
      </c>
      <c r="AO1022">
        <f t="shared" si="153"/>
        <v>769.07505000000003</v>
      </c>
      <c r="AP1022">
        <f t="shared" si="153"/>
        <v>1025.4333999999999</v>
      </c>
      <c r="AQ1022">
        <f t="shared" si="153"/>
        <v>1794.50845</v>
      </c>
      <c r="AR1022">
        <f t="shared" si="153"/>
        <v>2563.5835000000002</v>
      </c>
      <c r="AS1022">
        <f t="shared" si="153"/>
        <v>4101.7335999999996</v>
      </c>
      <c r="AT1022">
        <f t="shared" si="153"/>
        <v>6152.6004000000003</v>
      </c>
      <c r="AU1022">
        <f t="shared" si="153"/>
        <v>8716.1839</v>
      </c>
      <c r="AV1022">
        <f t="shared" si="153"/>
        <v>12305.200800000001</v>
      </c>
      <c r="AW1022">
        <f t="shared" si="153"/>
        <v>16919.651099999999</v>
      </c>
      <c r="AX1022">
        <f t="shared" si="153"/>
        <v>23584.968199999999</v>
      </c>
      <c r="AY1022">
        <f t="shared" si="153"/>
        <v>41017.336000000003</v>
      </c>
      <c r="AZ1022">
        <f t="shared" si="153"/>
        <v>76907.505000000005</v>
      </c>
      <c r="BA1022">
        <f t="shared" si="153"/>
        <v>128179.175</v>
      </c>
      <c r="BB1022">
        <f t="shared" si="153"/>
        <v>205086.68</v>
      </c>
      <c r="BC1022">
        <f t="shared" si="150"/>
        <v>512716.7</v>
      </c>
      <c r="BD1022">
        <f t="shared" si="150"/>
        <v>769075.05</v>
      </c>
      <c r="BE1022">
        <f t="shared" si="150"/>
        <v>1230520.08</v>
      </c>
      <c r="BF1022">
        <f t="shared" si="150"/>
        <v>1538150.1</v>
      </c>
      <c r="BG1022">
        <f t="shared" si="150"/>
        <v>5127167</v>
      </c>
      <c r="BH1022">
        <f t="shared" si="150"/>
        <v>15381501</v>
      </c>
      <c r="BI1022">
        <f t="shared" si="150"/>
        <v>43580919.5</v>
      </c>
      <c r="BJ1022">
        <f t="shared" si="150"/>
        <v>153815010</v>
      </c>
      <c r="BK1022">
        <f t="shared" si="150"/>
        <v>512716700</v>
      </c>
      <c r="BL1022">
        <v>1017</v>
      </c>
    </row>
    <row r="1023" spans="1:64" ht="17.25" thickBot="1" x14ac:dyDescent="0.25">
      <c r="A1023" s="131">
        <v>1019</v>
      </c>
      <c r="B1023" s="135">
        <v>2427579983</v>
      </c>
      <c r="D1023" s="131">
        <v>1019</v>
      </c>
      <c r="E1023" s="132">
        <v>51.418030000000002</v>
      </c>
      <c r="AK1023">
        <v>1017</v>
      </c>
      <c r="AL1023" s="24">
        <f t="shared" si="152"/>
        <v>51.320500000000003</v>
      </c>
      <c r="AM1023">
        <f t="shared" si="153"/>
        <v>359.24350000000004</v>
      </c>
      <c r="AN1023">
        <f t="shared" si="153"/>
        <v>513.20500000000004</v>
      </c>
      <c r="AO1023">
        <f t="shared" si="153"/>
        <v>769.8075</v>
      </c>
      <c r="AP1023">
        <f t="shared" si="153"/>
        <v>1026.4100000000001</v>
      </c>
      <c r="AQ1023">
        <f t="shared" si="153"/>
        <v>1796.2175000000002</v>
      </c>
      <c r="AR1023">
        <f t="shared" si="153"/>
        <v>2566.0250000000001</v>
      </c>
      <c r="AS1023">
        <f t="shared" si="153"/>
        <v>4105.6400000000003</v>
      </c>
      <c r="AT1023">
        <f t="shared" si="153"/>
        <v>6158.46</v>
      </c>
      <c r="AU1023">
        <f t="shared" si="153"/>
        <v>8724.4850000000006</v>
      </c>
      <c r="AV1023">
        <f t="shared" si="153"/>
        <v>12316.92</v>
      </c>
      <c r="AW1023">
        <f t="shared" si="153"/>
        <v>16935.764999999999</v>
      </c>
      <c r="AX1023">
        <f t="shared" si="153"/>
        <v>23607.43</v>
      </c>
      <c r="AY1023">
        <f t="shared" si="153"/>
        <v>41056.400000000001</v>
      </c>
      <c r="AZ1023">
        <f t="shared" si="153"/>
        <v>76980.75</v>
      </c>
      <c r="BA1023">
        <f t="shared" si="153"/>
        <v>128301.25</v>
      </c>
      <c r="BB1023">
        <f t="shared" si="153"/>
        <v>205282</v>
      </c>
      <c r="BC1023">
        <f t="shared" si="150"/>
        <v>513205</v>
      </c>
      <c r="BD1023">
        <f t="shared" si="150"/>
        <v>769807.5</v>
      </c>
      <c r="BE1023">
        <f t="shared" si="150"/>
        <v>1231692</v>
      </c>
      <c r="BF1023">
        <f t="shared" si="150"/>
        <v>1539615</v>
      </c>
      <c r="BG1023">
        <f t="shared" si="150"/>
        <v>5132050</v>
      </c>
      <c r="BH1023">
        <f t="shared" si="150"/>
        <v>15396150</v>
      </c>
      <c r="BI1023">
        <f t="shared" si="150"/>
        <v>43622425</v>
      </c>
      <c r="BJ1023">
        <f t="shared" si="150"/>
        <v>153961500</v>
      </c>
      <c r="BK1023">
        <f t="shared" si="150"/>
        <v>513205000</v>
      </c>
      <c r="BL1023">
        <v>1018</v>
      </c>
    </row>
    <row r="1024" spans="1:64" ht="17.25" thickBot="1" x14ac:dyDescent="0.25">
      <c r="A1024" s="131">
        <v>1020</v>
      </c>
      <c r="B1024" s="135">
        <v>2441182738</v>
      </c>
      <c r="D1024" s="131">
        <v>1020</v>
      </c>
      <c r="E1024" s="132">
        <v>51.466720000000002</v>
      </c>
      <c r="AK1024">
        <v>1018</v>
      </c>
      <c r="AL1024" s="24">
        <f t="shared" si="152"/>
        <v>51.369289999999999</v>
      </c>
      <c r="AM1024">
        <f t="shared" si="153"/>
        <v>359.58503000000002</v>
      </c>
      <c r="AN1024">
        <f t="shared" si="153"/>
        <v>513.69290000000001</v>
      </c>
      <c r="AO1024">
        <f t="shared" si="153"/>
        <v>770.53935000000001</v>
      </c>
      <c r="AP1024">
        <f t="shared" si="153"/>
        <v>1027.3858</v>
      </c>
      <c r="AQ1024">
        <f t="shared" si="153"/>
        <v>1797.92515</v>
      </c>
      <c r="AR1024">
        <f t="shared" si="153"/>
        <v>2568.4645</v>
      </c>
      <c r="AS1024">
        <f t="shared" si="153"/>
        <v>4109.5432000000001</v>
      </c>
      <c r="AT1024">
        <f t="shared" si="153"/>
        <v>6164.3148000000001</v>
      </c>
      <c r="AU1024">
        <f t="shared" si="153"/>
        <v>8732.7793000000001</v>
      </c>
      <c r="AV1024">
        <f t="shared" si="153"/>
        <v>12328.6296</v>
      </c>
      <c r="AW1024">
        <f t="shared" si="153"/>
        <v>16951.865699999998</v>
      </c>
      <c r="AX1024">
        <f t="shared" si="153"/>
        <v>23629.8734</v>
      </c>
      <c r="AY1024">
        <f t="shared" si="153"/>
        <v>41095.432000000001</v>
      </c>
      <c r="AZ1024">
        <f t="shared" si="153"/>
        <v>77053.934999999998</v>
      </c>
      <c r="BA1024">
        <f t="shared" si="153"/>
        <v>128423.22500000001</v>
      </c>
      <c r="BB1024">
        <f t="shared" si="153"/>
        <v>205477.16</v>
      </c>
      <c r="BC1024">
        <f t="shared" si="150"/>
        <v>513692.9</v>
      </c>
      <c r="BD1024">
        <f t="shared" si="150"/>
        <v>770539.35</v>
      </c>
      <c r="BE1024">
        <f t="shared" si="150"/>
        <v>1232862.96</v>
      </c>
      <c r="BF1024">
        <f t="shared" si="150"/>
        <v>1541078.7</v>
      </c>
      <c r="BG1024">
        <f t="shared" si="150"/>
        <v>5136929</v>
      </c>
      <c r="BH1024">
        <f t="shared" si="150"/>
        <v>15410787</v>
      </c>
      <c r="BI1024">
        <f t="shared" si="150"/>
        <v>43663896.5</v>
      </c>
      <c r="BJ1024">
        <f t="shared" si="150"/>
        <v>154107870</v>
      </c>
      <c r="BK1024">
        <f t="shared" si="150"/>
        <v>513692900</v>
      </c>
      <c r="BL1024">
        <v>1019</v>
      </c>
    </row>
    <row r="1025" spans="1:64" ht="17.25" thickBot="1" x14ac:dyDescent="0.25">
      <c r="A1025" s="131">
        <v>1021</v>
      </c>
      <c r="B1025" s="135">
        <v>2454847266</v>
      </c>
      <c r="D1025" s="131">
        <v>1021</v>
      </c>
      <c r="E1025" s="132">
        <v>51.515360000000001</v>
      </c>
      <c r="AK1025">
        <v>1019</v>
      </c>
      <c r="AL1025" s="24">
        <f t="shared" si="152"/>
        <v>51.418030000000002</v>
      </c>
      <c r="AM1025">
        <f t="shared" si="153"/>
        <v>359.92621000000003</v>
      </c>
      <c r="AN1025">
        <f t="shared" si="153"/>
        <v>514.18029999999999</v>
      </c>
      <c r="AO1025">
        <f t="shared" si="153"/>
        <v>771.27044999999998</v>
      </c>
      <c r="AP1025">
        <f t="shared" si="153"/>
        <v>1028.3606</v>
      </c>
      <c r="AQ1025">
        <f t="shared" si="153"/>
        <v>1799.63105</v>
      </c>
      <c r="AR1025">
        <f t="shared" si="153"/>
        <v>2570.9014999999999</v>
      </c>
      <c r="AS1025">
        <f t="shared" si="153"/>
        <v>4113.4423999999999</v>
      </c>
      <c r="AT1025">
        <f t="shared" si="153"/>
        <v>6170.1635999999999</v>
      </c>
      <c r="AU1025">
        <f t="shared" si="153"/>
        <v>8741.0650999999998</v>
      </c>
      <c r="AV1025">
        <f t="shared" si="153"/>
        <v>12340.3272</v>
      </c>
      <c r="AW1025">
        <f t="shared" si="153"/>
        <v>16967.9499</v>
      </c>
      <c r="AX1025">
        <f t="shared" si="153"/>
        <v>23652.293799999999</v>
      </c>
      <c r="AY1025">
        <f t="shared" si="153"/>
        <v>41134.423999999999</v>
      </c>
      <c r="AZ1025">
        <f t="shared" si="153"/>
        <v>77127.044999999998</v>
      </c>
      <c r="BA1025">
        <f t="shared" si="153"/>
        <v>128545.075</v>
      </c>
      <c r="BB1025">
        <f t="shared" si="153"/>
        <v>205672.12</v>
      </c>
      <c r="BC1025">
        <f t="shared" si="150"/>
        <v>514180.3</v>
      </c>
      <c r="BD1025">
        <f t="shared" si="150"/>
        <v>771270.45000000007</v>
      </c>
      <c r="BE1025">
        <f t="shared" si="150"/>
        <v>1234032.72</v>
      </c>
      <c r="BF1025">
        <f t="shared" si="150"/>
        <v>1542540.9000000001</v>
      </c>
      <c r="BG1025">
        <f t="shared" si="150"/>
        <v>5141803</v>
      </c>
      <c r="BH1025">
        <f t="shared" si="150"/>
        <v>15425409</v>
      </c>
      <c r="BI1025">
        <f t="shared" si="150"/>
        <v>43705325.5</v>
      </c>
      <c r="BJ1025">
        <f t="shared" si="150"/>
        <v>154254090</v>
      </c>
      <c r="BK1025">
        <f t="shared" si="150"/>
        <v>514180300</v>
      </c>
      <c r="BL1025">
        <v>1020</v>
      </c>
    </row>
    <row r="1026" spans="1:64" ht="17.25" thickBot="1" x14ac:dyDescent="0.25">
      <c r="A1026" s="131">
        <v>1022</v>
      </c>
      <c r="B1026" s="135">
        <v>2468573772</v>
      </c>
      <c r="D1026" s="131">
        <v>1022</v>
      </c>
      <c r="E1026" s="132">
        <v>51.563960000000002</v>
      </c>
      <c r="AK1026">
        <v>1020</v>
      </c>
      <c r="AL1026" s="24">
        <f t="shared" si="152"/>
        <v>51.466720000000002</v>
      </c>
      <c r="AM1026">
        <f t="shared" si="153"/>
        <v>360.26704000000001</v>
      </c>
      <c r="AN1026">
        <f t="shared" si="153"/>
        <v>514.66719999999998</v>
      </c>
      <c r="AO1026">
        <f t="shared" si="153"/>
        <v>772.00080000000003</v>
      </c>
      <c r="AP1026">
        <f t="shared" si="153"/>
        <v>1029.3344</v>
      </c>
      <c r="AQ1026">
        <f t="shared" si="153"/>
        <v>1801.3352</v>
      </c>
      <c r="AR1026">
        <f t="shared" si="153"/>
        <v>2573.3360000000002</v>
      </c>
      <c r="AS1026">
        <f t="shared" si="153"/>
        <v>4117.3375999999998</v>
      </c>
      <c r="AT1026">
        <f t="shared" si="153"/>
        <v>6176.0064000000002</v>
      </c>
      <c r="AU1026">
        <f t="shared" si="153"/>
        <v>8749.3423999999995</v>
      </c>
      <c r="AV1026">
        <f t="shared" si="153"/>
        <v>12352.0128</v>
      </c>
      <c r="AW1026">
        <f t="shared" si="153"/>
        <v>16984.017599999999</v>
      </c>
      <c r="AX1026">
        <f t="shared" si="153"/>
        <v>23674.691200000001</v>
      </c>
      <c r="AY1026">
        <f t="shared" si="153"/>
        <v>41173.376000000004</v>
      </c>
      <c r="AZ1026">
        <f t="shared" si="153"/>
        <v>77200.08</v>
      </c>
      <c r="BA1026">
        <f t="shared" si="153"/>
        <v>128666.8</v>
      </c>
      <c r="BB1026">
        <f t="shared" si="153"/>
        <v>205866.88</v>
      </c>
      <c r="BC1026">
        <f t="shared" si="150"/>
        <v>514667.2</v>
      </c>
      <c r="BD1026">
        <f t="shared" si="150"/>
        <v>772000.8</v>
      </c>
      <c r="BE1026">
        <f t="shared" si="150"/>
        <v>1235201.28</v>
      </c>
      <c r="BF1026">
        <f t="shared" si="150"/>
        <v>1544001.6</v>
      </c>
      <c r="BG1026">
        <f t="shared" si="150"/>
        <v>5146672</v>
      </c>
      <c r="BH1026">
        <f t="shared" si="150"/>
        <v>15440016</v>
      </c>
      <c r="BI1026">
        <f t="shared" si="150"/>
        <v>43746712</v>
      </c>
      <c r="BJ1026">
        <f t="shared" si="150"/>
        <v>154400160</v>
      </c>
      <c r="BK1026">
        <f t="shared" si="150"/>
        <v>514667200</v>
      </c>
      <c r="BL1026">
        <v>1021</v>
      </c>
    </row>
    <row r="1027" spans="1:64" ht="17.25" thickBot="1" x14ac:dyDescent="0.25">
      <c r="A1027" s="131">
        <v>1023</v>
      </c>
      <c r="B1027" s="135">
        <v>2482362461</v>
      </c>
      <c r="D1027" s="131">
        <v>1023</v>
      </c>
      <c r="E1027" s="132">
        <v>51.61251</v>
      </c>
      <c r="AK1027">
        <v>1021</v>
      </c>
      <c r="AL1027" s="24">
        <f t="shared" si="152"/>
        <v>51.515360000000001</v>
      </c>
      <c r="AM1027">
        <f t="shared" si="153"/>
        <v>360.60752000000002</v>
      </c>
      <c r="AN1027">
        <f t="shared" si="153"/>
        <v>515.15359999999998</v>
      </c>
      <c r="AO1027">
        <f t="shared" si="153"/>
        <v>772.73040000000003</v>
      </c>
      <c r="AP1027">
        <f t="shared" si="153"/>
        <v>1030.3072</v>
      </c>
      <c r="AQ1027">
        <f t="shared" si="153"/>
        <v>1803.0376000000001</v>
      </c>
      <c r="AR1027">
        <f t="shared" si="153"/>
        <v>2575.768</v>
      </c>
      <c r="AS1027">
        <f t="shared" si="153"/>
        <v>4121.2287999999999</v>
      </c>
      <c r="AT1027">
        <f t="shared" si="153"/>
        <v>6181.8432000000003</v>
      </c>
      <c r="AU1027">
        <f t="shared" si="153"/>
        <v>8757.6111999999994</v>
      </c>
      <c r="AV1027">
        <f t="shared" si="153"/>
        <v>12363.686400000001</v>
      </c>
      <c r="AW1027">
        <f t="shared" si="153"/>
        <v>17000.068800000001</v>
      </c>
      <c r="AX1027">
        <f t="shared" si="153"/>
        <v>23697.065600000002</v>
      </c>
      <c r="AY1027">
        <f t="shared" si="153"/>
        <v>41212.288</v>
      </c>
      <c r="AZ1027">
        <f t="shared" si="153"/>
        <v>77273.040000000008</v>
      </c>
      <c r="BA1027">
        <f t="shared" si="153"/>
        <v>128788.40000000001</v>
      </c>
      <c r="BB1027">
        <f t="shared" si="153"/>
        <v>206061.44</v>
      </c>
      <c r="BC1027">
        <f t="shared" si="150"/>
        <v>515153.60000000003</v>
      </c>
      <c r="BD1027">
        <f t="shared" si="150"/>
        <v>772730.4</v>
      </c>
      <c r="BE1027">
        <f t="shared" si="150"/>
        <v>1236368.6400000001</v>
      </c>
      <c r="BF1027">
        <f t="shared" si="150"/>
        <v>1545460.8</v>
      </c>
      <c r="BG1027">
        <f t="shared" si="150"/>
        <v>5151536</v>
      </c>
      <c r="BH1027">
        <f t="shared" si="150"/>
        <v>15454608</v>
      </c>
      <c r="BI1027">
        <f t="shared" si="150"/>
        <v>43788056</v>
      </c>
      <c r="BJ1027">
        <f t="shared" si="150"/>
        <v>154546080</v>
      </c>
      <c r="BK1027">
        <f t="shared" si="150"/>
        <v>515153600</v>
      </c>
      <c r="BL1027">
        <v>1022</v>
      </c>
    </row>
    <row r="1028" spans="1:64" ht="17.25" thickBot="1" x14ac:dyDescent="0.25">
      <c r="A1028" s="131">
        <v>1024</v>
      </c>
      <c r="B1028" s="135">
        <v>2496213544</v>
      </c>
      <c r="D1028" s="131">
        <v>1024</v>
      </c>
      <c r="E1028" s="132">
        <v>51.661009999999997</v>
      </c>
      <c r="AK1028">
        <v>1022</v>
      </c>
      <c r="AL1028" s="24">
        <f t="shared" si="152"/>
        <v>51.563960000000002</v>
      </c>
      <c r="AM1028">
        <f t="shared" si="153"/>
        <v>360.94772</v>
      </c>
      <c r="AN1028">
        <f t="shared" si="153"/>
        <v>515.63959999999997</v>
      </c>
      <c r="AO1028">
        <f t="shared" si="153"/>
        <v>773.45940000000007</v>
      </c>
      <c r="AP1028">
        <f t="shared" si="153"/>
        <v>1031.2791999999999</v>
      </c>
      <c r="AQ1028">
        <f t="shared" si="153"/>
        <v>1804.7386000000001</v>
      </c>
      <c r="AR1028">
        <f t="shared" si="153"/>
        <v>2578.1979999999999</v>
      </c>
      <c r="AS1028">
        <f t="shared" si="153"/>
        <v>4125.1167999999998</v>
      </c>
      <c r="AT1028">
        <f t="shared" si="153"/>
        <v>6187.6752000000006</v>
      </c>
      <c r="AU1028">
        <f t="shared" si="153"/>
        <v>8765.8732</v>
      </c>
      <c r="AV1028">
        <f t="shared" si="153"/>
        <v>12375.350400000001</v>
      </c>
      <c r="AW1028">
        <f t="shared" si="153"/>
        <v>17016.106800000001</v>
      </c>
      <c r="AX1028">
        <f t="shared" si="153"/>
        <v>23719.421600000001</v>
      </c>
      <c r="AY1028">
        <f t="shared" si="153"/>
        <v>41251.167999999998</v>
      </c>
      <c r="AZ1028">
        <f t="shared" si="153"/>
        <v>77345.94</v>
      </c>
      <c r="BA1028">
        <f t="shared" si="153"/>
        <v>128909.90000000001</v>
      </c>
      <c r="BB1028">
        <f t="shared" si="153"/>
        <v>206255.84</v>
      </c>
      <c r="BC1028">
        <f t="shared" si="150"/>
        <v>515639.60000000003</v>
      </c>
      <c r="BD1028">
        <f t="shared" si="150"/>
        <v>773459.4</v>
      </c>
      <c r="BE1028">
        <f t="shared" si="150"/>
        <v>1237535.04</v>
      </c>
      <c r="BF1028">
        <f t="shared" si="150"/>
        <v>1546918.8</v>
      </c>
      <c r="BG1028">
        <f t="shared" si="150"/>
        <v>5156396</v>
      </c>
      <c r="BH1028">
        <f t="shared" si="150"/>
        <v>15469188</v>
      </c>
      <c r="BI1028">
        <f t="shared" si="150"/>
        <v>43829366</v>
      </c>
      <c r="BJ1028">
        <f t="shared" si="150"/>
        <v>154691880</v>
      </c>
      <c r="BK1028">
        <f t="shared" si="150"/>
        <v>515639600</v>
      </c>
      <c r="BL1028">
        <v>1023</v>
      </c>
    </row>
    <row r="1029" spans="1:64" ht="17.25" thickBot="1" x14ac:dyDescent="0.25">
      <c r="A1029" s="131">
        <v>1025</v>
      </c>
      <c r="B1029" s="135">
        <v>2510127227</v>
      </c>
      <c r="D1029" s="131">
        <v>1025</v>
      </c>
      <c r="E1029" s="132">
        <v>51.70946</v>
      </c>
      <c r="AK1029">
        <v>1023</v>
      </c>
      <c r="AL1029" s="24">
        <f t="shared" si="152"/>
        <v>51.61251</v>
      </c>
      <c r="AM1029">
        <f t="shared" si="153"/>
        <v>361.28757000000002</v>
      </c>
      <c r="AN1029">
        <f t="shared" si="153"/>
        <v>516.12509999999997</v>
      </c>
      <c r="AO1029">
        <f t="shared" si="153"/>
        <v>774.18764999999996</v>
      </c>
      <c r="AP1029">
        <f t="shared" si="153"/>
        <v>1032.2501999999999</v>
      </c>
      <c r="AQ1029">
        <f t="shared" si="153"/>
        <v>1806.43785</v>
      </c>
      <c r="AR1029">
        <f t="shared" si="153"/>
        <v>2580.6255000000001</v>
      </c>
      <c r="AS1029">
        <f t="shared" si="153"/>
        <v>4129.0007999999998</v>
      </c>
      <c r="AT1029">
        <f t="shared" si="153"/>
        <v>6193.5011999999997</v>
      </c>
      <c r="AU1029">
        <f t="shared" si="153"/>
        <v>8774.1267000000007</v>
      </c>
      <c r="AV1029">
        <f t="shared" si="153"/>
        <v>12387.002399999999</v>
      </c>
      <c r="AW1029">
        <f t="shared" si="153"/>
        <v>17032.1283</v>
      </c>
      <c r="AX1029">
        <f t="shared" si="153"/>
        <v>23741.7546</v>
      </c>
      <c r="AY1029">
        <f t="shared" si="153"/>
        <v>41290.008000000002</v>
      </c>
      <c r="AZ1029">
        <f t="shared" si="153"/>
        <v>77418.764999999999</v>
      </c>
      <c r="BA1029">
        <f t="shared" si="153"/>
        <v>129031.27499999999</v>
      </c>
      <c r="BB1029">
        <f t="shared" si="153"/>
        <v>206450.04</v>
      </c>
      <c r="BC1029">
        <f t="shared" si="150"/>
        <v>516125.1</v>
      </c>
      <c r="BD1029">
        <f t="shared" si="150"/>
        <v>774187.65</v>
      </c>
      <c r="BE1029">
        <f t="shared" si="150"/>
        <v>1238700.24</v>
      </c>
      <c r="BF1029">
        <f t="shared" si="150"/>
        <v>1548375.3</v>
      </c>
      <c r="BG1029">
        <f t="shared" si="150"/>
        <v>5161251</v>
      </c>
      <c r="BH1029">
        <f t="shared" si="150"/>
        <v>15483753</v>
      </c>
      <c r="BI1029">
        <f t="shared" si="150"/>
        <v>43870633.5</v>
      </c>
      <c r="BJ1029">
        <f t="shared" si="150"/>
        <v>154837530</v>
      </c>
      <c r="BK1029">
        <f t="shared" si="150"/>
        <v>516125100</v>
      </c>
      <c r="BL1029">
        <v>1024</v>
      </c>
    </row>
    <row r="1030" spans="1:64" ht="17.25" thickBot="1" x14ac:dyDescent="0.25">
      <c r="A1030" s="131">
        <v>1026</v>
      </c>
      <c r="B1030" s="135">
        <v>2524103716</v>
      </c>
      <c r="D1030" s="131">
        <v>1026</v>
      </c>
      <c r="E1030" s="132">
        <v>51.757869999999997</v>
      </c>
      <c r="AK1030">
        <v>1024</v>
      </c>
      <c r="AL1030" s="24">
        <f t="shared" si="152"/>
        <v>51.661009999999997</v>
      </c>
      <c r="AM1030">
        <f t="shared" si="153"/>
        <v>361.62707</v>
      </c>
      <c r="AN1030">
        <f t="shared" si="153"/>
        <v>516.61009999999999</v>
      </c>
      <c r="AO1030">
        <f t="shared" si="153"/>
        <v>774.91514999999993</v>
      </c>
      <c r="AP1030">
        <f t="shared" si="153"/>
        <v>1033.2202</v>
      </c>
      <c r="AQ1030">
        <f t="shared" si="153"/>
        <v>1808.13535</v>
      </c>
      <c r="AR1030">
        <f t="shared" si="153"/>
        <v>2583.0504999999998</v>
      </c>
      <c r="AS1030">
        <f t="shared" si="153"/>
        <v>4132.8807999999999</v>
      </c>
      <c r="AT1030">
        <f t="shared" si="153"/>
        <v>6199.3211999999994</v>
      </c>
      <c r="AU1030">
        <f t="shared" si="153"/>
        <v>8782.3716999999997</v>
      </c>
      <c r="AV1030">
        <f t="shared" si="153"/>
        <v>12398.642399999999</v>
      </c>
      <c r="AW1030">
        <f t="shared" si="153"/>
        <v>17048.133299999998</v>
      </c>
      <c r="AX1030">
        <f t="shared" si="153"/>
        <v>23764.064599999998</v>
      </c>
      <c r="AY1030">
        <f t="shared" si="153"/>
        <v>41328.807999999997</v>
      </c>
      <c r="AZ1030">
        <f t="shared" si="153"/>
        <v>77491.514999999999</v>
      </c>
      <c r="BA1030">
        <f t="shared" si="153"/>
        <v>129152.52499999999</v>
      </c>
      <c r="BB1030">
        <f t="shared" si="153"/>
        <v>206644.03999999998</v>
      </c>
      <c r="BC1030">
        <f t="shared" si="150"/>
        <v>516610.1</v>
      </c>
      <c r="BD1030">
        <f t="shared" si="150"/>
        <v>774915.14999999991</v>
      </c>
      <c r="BE1030">
        <f t="shared" si="150"/>
        <v>1239864.24</v>
      </c>
      <c r="BF1030">
        <f t="shared" si="150"/>
        <v>1549830.2999999998</v>
      </c>
      <c r="BG1030">
        <f t="shared" si="150"/>
        <v>5166101</v>
      </c>
      <c r="BH1030">
        <f t="shared" si="150"/>
        <v>15498303</v>
      </c>
      <c r="BI1030">
        <f t="shared" si="150"/>
        <v>43911858.5</v>
      </c>
      <c r="BJ1030">
        <f t="shared" si="150"/>
        <v>154983030</v>
      </c>
      <c r="BK1030">
        <f t="shared" si="150"/>
        <v>516610100</v>
      </c>
      <c r="BL1030">
        <v>1025</v>
      </c>
    </row>
    <row r="1031" spans="1:64" ht="17.25" thickBot="1" x14ac:dyDescent="0.25">
      <c r="A1031" s="131">
        <v>1027</v>
      </c>
      <c r="B1031" s="135">
        <v>2538143222</v>
      </c>
      <c r="D1031" s="131">
        <v>1027</v>
      </c>
      <c r="E1031" s="132">
        <v>51.806229999999999</v>
      </c>
      <c r="AK1031">
        <v>1025</v>
      </c>
      <c r="AL1031" s="24">
        <f t="shared" si="152"/>
        <v>51.70946</v>
      </c>
      <c r="AM1031">
        <f t="shared" si="153"/>
        <v>361.96622000000002</v>
      </c>
      <c r="AN1031">
        <f t="shared" si="153"/>
        <v>517.09460000000001</v>
      </c>
      <c r="AO1031">
        <f t="shared" si="153"/>
        <v>775.64189999999996</v>
      </c>
      <c r="AP1031">
        <f t="shared" si="153"/>
        <v>1034.1892</v>
      </c>
      <c r="AQ1031">
        <f t="shared" si="153"/>
        <v>1809.8311000000001</v>
      </c>
      <c r="AR1031">
        <f t="shared" si="153"/>
        <v>2585.473</v>
      </c>
      <c r="AS1031">
        <f t="shared" si="153"/>
        <v>4136.7568000000001</v>
      </c>
      <c r="AT1031">
        <f t="shared" si="153"/>
        <v>6205.1351999999997</v>
      </c>
      <c r="AU1031">
        <f t="shared" si="153"/>
        <v>8790.6082000000006</v>
      </c>
      <c r="AV1031">
        <f t="shared" si="153"/>
        <v>12410.270399999999</v>
      </c>
      <c r="AW1031">
        <f t="shared" si="153"/>
        <v>17064.121800000001</v>
      </c>
      <c r="AX1031">
        <f t="shared" si="153"/>
        <v>23786.351600000002</v>
      </c>
      <c r="AY1031">
        <f t="shared" si="153"/>
        <v>41367.567999999999</v>
      </c>
      <c r="AZ1031">
        <f t="shared" si="153"/>
        <v>77564.19</v>
      </c>
      <c r="BA1031">
        <f t="shared" si="153"/>
        <v>129273.65</v>
      </c>
      <c r="BB1031">
        <f t="shared" si="153"/>
        <v>206837.84</v>
      </c>
      <c r="BC1031">
        <f t="shared" si="150"/>
        <v>517094.6</v>
      </c>
      <c r="BD1031">
        <f t="shared" si="150"/>
        <v>775641.9</v>
      </c>
      <c r="BE1031">
        <f t="shared" si="150"/>
        <v>1241027.04</v>
      </c>
      <c r="BF1031">
        <f t="shared" si="150"/>
        <v>1551283.8</v>
      </c>
      <c r="BG1031">
        <f t="shared" si="150"/>
        <v>5170946</v>
      </c>
      <c r="BH1031">
        <f t="shared" si="150"/>
        <v>15512838</v>
      </c>
      <c r="BI1031">
        <f t="shared" si="150"/>
        <v>43953041</v>
      </c>
      <c r="BJ1031">
        <f t="shared" si="150"/>
        <v>155128380</v>
      </c>
      <c r="BK1031">
        <f t="shared" si="150"/>
        <v>517094600</v>
      </c>
      <c r="BL1031">
        <v>1026</v>
      </c>
    </row>
    <row r="1032" spans="1:64" ht="17.25" thickBot="1" x14ac:dyDescent="0.25">
      <c r="A1032" s="131">
        <v>1028</v>
      </c>
      <c r="B1032" s="135">
        <v>2552245950</v>
      </c>
      <c r="D1032" s="131">
        <v>1028</v>
      </c>
      <c r="E1032" s="132">
        <v>51.85454</v>
      </c>
      <c r="AK1032">
        <v>1026</v>
      </c>
      <c r="AL1032" s="24">
        <f t="shared" si="152"/>
        <v>51.757869999999997</v>
      </c>
      <c r="AM1032">
        <f t="shared" si="153"/>
        <v>362.30508999999995</v>
      </c>
      <c r="AN1032">
        <f t="shared" si="153"/>
        <v>517.57870000000003</v>
      </c>
      <c r="AO1032">
        <f t="shared" si="153"/>
        <v>776.36804999999993</v>
      </c>
      <c r="AP1032">
        <f t="shared" si="153"/>
        <v>1035.1574000000001</v>
      </c>
      <c r="AQ1032">
        <f t="shared" si="153"/>
        <v>1811.5254499999999</v>
      </c>
      <c r="AR1032">
        <f t="shared" si="153"/>
        <v>2587.8934999999997</v>
      </c>
      <c r="AS1032">
        <f t="shared" si="153"/>
        <v>4140.6296000000002</v>
      </c>
      <c r="AT1032">
        <f t="shared" si="153"/>
        <v>6210.9443999999994</v>
      </c>
      <c r="AU1032">
        <f t="shared" si="153"/>
        <v>8798.8378999999986</v>
      </c>
      <c r="AV1032">
        <f t="shared" si="153"/>
        <v>12421.888799999999</v>
      </c>
      <c r="AW1032">
        <f t="shared" si="153"/>
        <v>17080.097099999999</v>
      </c>
      <c r="AX1032">
        <f t="shared" si="153"/>
        <v>23808.620199999998</v>
      </c>
      <c r="AY1032">
        <f t="shared" si="153"/>
        <v>41406.295999999995</v>
      </c>
      <c r="AZ1032">
        <f t="shared" si="153"/>
        <v>77636.804999999993</v>
      </c>
      <c r="BA1032">
        <f t="shared" si="153"/>
        <v>129394.67499999999</v>
      </c>
      <c r="BB1032">
        <f t="shared" si="153"/>
        <v>207031.47999999998</v>
      </c>
      <c r="BC1032">
        <f t="shared" si="150"/>
        <v>517578.69999999995</v>
      </c>
      <c r="BD1032">
        <f t="shared" si="150"/>
        <v>776368.04999999993</v>
      </c>
      <c r="BE1032">
        <f t="shared" si="150"/>
        <v>1242188.8799999999</v>
      </c>
      <c r="BF1032">
        <f t="shared" si="150"/>
        <v>1552736.0999999999</v>
      </c>
      <c r="BG1032">
        <f t="shared" si="150"/>
        <v>5175787</v>
      </c>
      <c r="BH1032">
        <f t="shared" si="150"/>
        <v>15527361</v>
      </c>
      <c r="BI1032">
        <f t="shared" si="150"/>
        <v>43994189.5</v>
      </c>
      <c r="BJ1032">
        <f t="shared" si="150"/>
        <v>155273610</v>
      </c>
      <c r="BK1032">
        <f t="shared" si="150"/>
        <v>517578699.99999994</v>
      </c>
      <c r="BL1032">
        <v>1027</v>
      </c>
    </row>
    <row r="1033" spans="1:64" ht="17.25" thickBot="1" x14ac:dyDescent="0.25">
      <c r="A1033" s="131">
        <v>1029</v>
      </c>
      <c r="B1033" s="135">
        <v>2566412116</v>
      </c>
      <c r="D1033" s="131">
        <v>1029</v>
      </c>
      <c r="E1033" s="132">
        <v>51.902810000000002</v>
      </c>
      <c r="AK1033">
        <v>1027</v>
      </c>
      <c r="AL1033" s="24">
        <f t="shared" si="152"/>
        <v>51.806229999999999</v>
      </c>
      <c r="AM1033">
        <f t="shared" si="153"/>
        <v>362.64360999999997</v>
      </c>
      <c r="AN1033">
        <f t="shared" si="153"/>
        <v>518.06230000000005</v>
      </c>
      <c r="AO1033">
        <f t="shared" si="153"/>
        <v>777.09344999999996</v>
      </c>
      <c r="AP1033">
        <f t="shared" si="153"/>
        <v>1036.1246000000001</v>
      </c>
      <c r="AQ1033">
        <f t="shared" si="153"/>
        <v>1813.2180499999999</v>
      </c>
      <c r="AR1033">
        <f t="shared" si="153"/>
        <v>2590.3114999999998</v>
      </c>
      <c r="AS1033">
        <f t="shared" si="153"/>
        <v>4144.4984000000004</v>
      </c>
      <c r="AT1033">
        <f t="shared" si="153"/>
        <v>6216.7475999999997</v>
      </c>
      <c r="AU1033">
        <f t="shared" si="153"/>
        <v>8807.0591000000004</v>
      </c>
      <c r="AV1033">
        <f t="shared" si="153"/>
        <v>12433.495199999999</v>
      </c>
      <c r="AW1033">
        <f t="shared" si="153"/>
        <v>17096.055899999999</v>
      </c>
      <c r="AX1033">
        <f t="shared" si="153"/>
        <v>23830.8658</v>
      </c>
      <c r="AY1033">
        <f t="shared" si="153"/>
        <v>41444.983999999997</v>
      </c>
      <c r="AZ1033">
        <f t="shared" si="153"/>
        <v>77709.345000000001</v>
      </c>
      <c r="BA1033">
        <f t="shared" si="153"/>
        <v>129515.575</v>
      </c>
      <c r="BB1033">
        <f t="shared" si="153"/>
        <v>207224.91999999998</v>
      </c>
      <c r="BC1033">
        <f t="shared" si="150"/>
        <v>518062.3</v>
      </c>
      <c r="BD1033">
        <f t="shared" si="150"/>
        <v>777093.45</v>
      </c>
      <c r="BE1033">
        <f t="shared" si="150"/>
        <v>1243349.52</v>
      </c>
      <c r="BF1033">
        <f t="shared" si="150"/>
        <v>1554186.9</v>
      </c>
      <c r="BG1033">
        <f t="shared" si="150"/>
        <v>5180623</v>
      </c>
      <c r="BH1033">
        <f t="shared" si="150"/>
        <v>15541869</v>
      </c>
      <c r="BI1033">
        <f t="shared" si="150"/>
        <v>44035295.5</v>
      </c>
      <c r="BJ1033">
        <f t="shared" si="150"/>
        <v>155418690</v>
      </c>
      <c r="BK1033">
        <f t="shared" ref="BC1033:BK1062" si="154">BK$5*VLOOKUP($AK1033,$D$2:$E$1404,2,FALSE)</f>
        <v>518062300</v>
      </c>
      <c r="BL1033">
        <v>1028</v>
      </c>
    </row>
    <row r="1034" spans="1:64" ht="17.25" thickBot="1" x14ac:dyDescent="0.25">
      <c r="A1034" s="131">
        <v>1030</v>
      </c>
      <c r="B1034" s="135">
        <v>2580641927</v>
      </c>
      <c r="D1034" s="131">
        <v>1030</v>
      </c>
      <c r="E1034" s="132">
        <v>51.951030000000003</v>
      </c>
      <c r="AK1034">
        <v>1028</v>
      </c>
      <c r="AL1034" s="24">
        <f t="shared" si="152"/>
        <v>51.85454</v>
      </c>
      <c r="AM1034">
        <f t="shared" si="153"/>
        <v>362.98178000000001</v>
      </c>
      <c r="AN1034">
        <f t="shared" si="153"/>
        <v>518.54539999999997</v>
      </c>
      <c r="AO1034">
        <f t="shared" si="153"/>
        <v>777.81809999999996</v>
      </c>
      <c r="AP1034">
        <f t="shared" si="153"/>
        <v>1037.0907999999999</v>
      </c>
      <c r="AQ1034">
        <f t="shared" si="153"/>
        <v>1814.9088999999999</v>
      </c>
      <c r="AR1034">
        <f t="shared" si="153"/>
        <v>2592.7269999999999</v>
      </c>
      <c r="AS1034">
        <f t="shared" si="153"/>
        <v>4148.3631999999998</v>
      </c>
      <c r="AT1034">
        <f t="shared" si="153"/>
        <v>6222.5447999999997</v>
      </c>
      <c r="AU1034">
        <f t="shared" si="153"/>
        <v>8815.2718000000004</v>
      </c>
      <c r="AV1034">
        <f t="shared" si="153"/>
        <v>12445.089599999999</v>
      </c>
      <c r="AW1034">
        <f t="shared" si="153"/>
        <v>17111.998200000002</v>
      </c>
      <c r="AX1034">
        <f t="shared" si="153"/>
        <v>23853.088400000001</v>
      </c>
      <c r="AY1034">
        <f t="shared" si="153"/>
        <v>41483.631999999998</v>
      </c>
      <c r="AZ1034">
        <f t="shared" si="153"/>
        <v>77781.81</v>
      </c>
      <c r="BA1034">
        <f t="shared" si="153"/>
        <v>129636.35</v>
      </c>
      <c r="BB1034">
        <f t="shared" si="153"/>
        <v>207418.16</v>
      </c>
      <c r="BC1034">
        <f t="shared" si="154"/>
        <v>518545.4</v>
      </c>
      <c r="BD1034">
        <f t="shared" si="154"/>
        <v>777818.1</v>
      </c>
      <c r="BE1034">
        <f t="shared" si="154"/>
        <v>1244508.96</v>
      </c>
      <c r="BF1034">
        <f t="shared" si="154"/>
        <v>1555636.2</v>
      </c>
      <c r="BG1034">
        <f t="shared" si="154"/>
        <v>5185454</v>
      </c>
      <c r="BH1034">
        <f t="shared" si="154"/>
        <v>15556362</v>
      </c>
      <c r="BI1034">
        <f t="shared" si="154"/>
        <v>44076359</v>
      </c>
      <c r="BJ1034">
        <f t="shared" si="154"/>
        <v>155563620</v>
      </c>
      <c r="BK1034">
        <f t="shared" si="154"/>
        <v>518545400</v>
      </c>
      <c r="BL1034">
        <v>1029</v>
      </c>
    </row>
    <row r="1035" spans="1:64" ht="17.25" thickBot="1" x14ac:dyDescent="0.25">
      <c r="A1035" s="131">
        <v>1031</v>
      </c>
      <c r="B1035" s="135">
        <v>2594935594</v>
      </c>
      <c r="D1035" s="131">
        <v>1031</v>
      </c>
      <c r="E1035" s="132">
        <v>51.999200000000002</v>
      </c>
      <c r="AK1035">
        <v>1029</v>
      </c>
      <c r="AL1035" s="24">
        <f t="shared" si="152"/>
        <v>51.902810000000002</v>
      </c>
      <c r="AM1035">
        <f t="shared" si="153"/>
        <v>363.31967000000003</v>
      </c>
      <c r="AN1035">
        <f t="shared" si="153"/>
        <v>519.02809999999999</v>
      </c>
      <c r="AO1035">
        <f t="shared" si="153"/>
        <v>778.54214999999999</v>
      </c>
      <c r="AP1035">
        <f t="shared" si="153"/>
        <v>1038.0562</v>
      </c>
      <c r="AQ1035">
        <f t="shared" si="153"/>
        <v>1816.59835</v>
      </c>
      <c r="AR1035">
        <f t="shared" si="153"/>
        <v>2595.1405</v>
      </c>
      <c r="AS1035">
        <f t="shared" si="153"/>
        <v>4152.2248</v>
      </c>
      <c r="AT1035">
        <f t="shared" si="153"/>
        <v>6228.3371999999999</v>
      </c>
      <c r="AU1035">
        <f t="shared" si="153"/>
        <v>8823.4777000000013</v>
      </c>
      <c r="AV1035">
        <f t="shared" si="153"/>
        <v>12456.6744</v>
      </c>
      <c r="AW1035">
        <f t="shared" si="153"/>
        <v>17127.927299999999</v>
      </c>
      <c r="AX1035">
        <f t="shared" si="153"/>
        <v>23875.292600000001</v>
      </c>
      <c r="AY1035">
        <f t="shared" si="153"/>
        <v>41522.248</v>
      </c>
      <c r="AZ1035">
        <f t="shared" si="153"/>
        <v>77854.214999999997</v>
      </c>
      <c r="BA1035">
        <f t="shared" si="153"/>
        <v>129757.02500000001</v>
      </c>
      <c r="BB1035">
        <f t="shared" si="153"/>
        <v>207611.24000000002</v>
      </c>
      <c r="BC1035">
        <f t="shared" si="154"/>
        <v>519028.10000000003</v>
      </c>
      <c r="BD1035">
        <f t="shared" si="154"/>
        <v>778542.15</v>
      </c>
      <c r="BE1035">
        <f t="shared" si="154"/>
        <v>1245667.44</v>
      </c>
      <c r="BF1035">
        <f t="shared" si="154"/>
        <v>1557084.3</v>
      </c>
      <c r="BG1035">
        <f t="shared" si="154"/>
        <v>5190281</v>
      </c>
      <c r="BH1035">
        <f t="shared" si="154"/>
        <v>15570843</v>
      </c>
      <c r="BI1035">
        <f t="shared" si="154"/>
        <v>44117388.5</v>
      </c>
      <c r="BJ1035">
        <f t="shared" si="154"/>
        <v>155708430</v>
      </c>
      <c r="BK1035">
        <f t="shared" si="154"/>
        <v>519028100</v>
      </c>
      <c r="BL1035">
        <v>1030</v>
      </c>
    </row>
    <row r="1036" spans="1:64" ht="17.25" thickBot="1" x14ac:dyDescent="0.25">
      <c r="A1036" s="131">
        <v>1032</v>
      </c>
      <c r="B1036" s="135">
        <v>2609293322</v>
      </c>
      <c r="D1036" s="131">
        <v>1032</v>
      </c>
      <c r="E1036" s="132">
        <v>52.047330000000002</v>
      </c>
      <c r="AK1036">
        <v>1030</v>
      </c>
      <c r="AL1036" s="24">
        <f t="shared" si="152"/>
        <v>51.951030000000003</v>
      </c>
      <c r="AM1036">
        <f t="shared" si="153"/>
        <v>363.65721000000002</v>
      </c>
      <c r="AN1036">
        <f t="shared" si="153"/>
        <v>519.51030000000003</v>
      </c>
      <c r="AO1036">
        <f t="shared" si="153"/>
        <v>779.2654500000001</v>
      </c>
      <c r="AP1036">
        <f t="shared" si="153"/>
        <v>1039.0206000000001</v>
      </c>
      <c r="AQ1036">
        <f t="shared" si="153"/>
        <v>1818.2860500000002</v>
      </c>
      <c r="AR1036">
        <f t="shared" si="153"/>
        <v>2597.5515</v>
      </c>
      <c r="AS1036">
        <f t="shared" si="153"/>
        <v>4156.0824000000002</v>
      </c>
      <c r="AT1036">
        <f t="shared" si="153"/>
        <v>6234.1236000000008</v>
      </c>
      <c r="AU1036">
        <f t="shared" si="153"/>
        <v>8831.6751000000004</v>
      </c>
      <c r="AV1036">
        <f t="shared" si="153"/>
        <v>12468.247200000002</v>
      </c>
      <c r="AW1036">
        <f t="shared" si="153"/>
        <v>17143.839900000003</v>
      </c>
      <c r="AX1036">
        <f t="shared" si="153"/>
        <v>23897.4738</v>
      </c>
      <c r="AY1036">
        <f t="shared" si="153"/>
        <v>41560.824000000001</v>
      </c>
      <c r="AZ1036">
        <f t="shared" si="153"/>
        <v>77926.544999999998</v>
      </c>
      <c r="BA1036">
        <f t="shared" si="153"/>
        <v>129877.57500000001</v>
      </c>
      <c r="BB1036">
        <f t="shared" si="153"/>
        <v>207804.12000000002</v>
      </c>
      <c r="BC1036">
        <f t="shared" si="154"/>
        <v>519510.30000000005</v>
      </c>
      <c r="BD1036">
        <f t="shared" si="154"/>
        <v>779265.45000000007</v>
      </c>
      <c r="BE1036">
        <f t="shared" si="154"/>
        <v>1246824.72</v>
      </c>
      <c r="BF1036">
        <f t="shared" si="154"/>
        <v>1558530.9000000001</v>
      </c>
      <c r="BG1036">
        <f t="shared" si="154"/>
        <v>5195103</v>
      </c>
      <c r="BH1036">
        <f t="shared" si="154"/>
        <v>15585309</v>
      </c>
      <c r="BI1036">
        <f t="shared" si="154"/>
        <v>44158375.5</v>
      </c>
      <c r="BJ1036">
        <f t="shared" si="154"/>
        <v>155853090</v>
      </c>
      <c r="BK1036">
        <f t="shared" si="154"/>
        <v>519510300</v>
      </c>
      <c r="BL1036">
        <v>1031</v>
      </c>
    </row>
    <row r="1037" spans="1:64" ht="17.25" thickBot="1" x14ac:dyDescent="0.25">
      <c r="A1037" s="131">
        <v>1033</v>
      </c>
      <c r="B1037" s="135">
        <v>2623715327</v>
      </c>
      <c r="D1037" s="131">
        <v>1033</v>
      </c>
      <c r="E1037" s="132">
        <v>52.095410000000001</v>
      </c>
      <c r="AK1037">
        <v>1031</v>
      </c>
      <c r="AL1037" s="24">
        <f t="shared" si="152"/>
        <v>51.999200000000002</v>
      </c>
      <c r="AM1037">
        <f t="shared" si="153"/>
        <v>363.99440000000004</v>
      </c>
      <c r="AN1037">
        <f t="shared" si="153"/>
        <v>519.99199999999996</v>
      </c>
      <c r="AO1037">
        <f t="shared" si="153"/>
        <v>779.98800000000006</v>
      </c>
      <c r="AP1037">
        <f t="shared" si="153"/>
        <v>1039.9839999999999</v>
      </c>
      <c r="AQ1037">
        <f t="shared" si="153"/>
        <v>1819.972</v>
      </c>
      <c r="AR1037">
        <f t="shared" si="153"/>
        <v>2599.96</v>
      </c>
      <c r="AS1037">
        <f t="shared" si="153"/>
        <v>4159.9359999999997</v>
      </c>
      <c r="AT1037">
        <f t="shared" si="153"/>
        <v>6239.9040000000005</v>
      </c>
      <c r="AU1037">
        <f t="shared" si="153"/>
        <v>8839.8639999999996</v>
      </c>
      <c r="AV1037">
        <f t="shared" si="153"/>
        <v>12479.808000000001</v>
      </c>
      <c r="AW1037">
        <f t="shared" si="153"/>
        <v>17159.736000000001</v>
      </c>
      <c r="AX1037">
        <f t="shared" si="153"/>
        <v>23919.632000000001</v>
      </c>
      <c r="AY1037">
        <f t="shared" si="153"/>
        <v>41599.360000000001</v>
      </c>
      <c r="AZ1037">
        <f t="shared" si="153"/>
        <v>77998.8</v>
      </c>
      <c r="BA1037">
        <f t="shared" ref="AM1037:BB1053" si="155">BA$5*VLOOKUP($AK1037,$D$2:$E$1404,2,FALSE)</f>
        <v>129998</v>
      </c>
      <c r="BB1037">
        <f t="shared" si="155"/>
        <v>207996.80000000002</v>
      </c>
      <c r="BC1037">
        <f t="shared" si="154"/>
        <v>519992</v>
      </c>
      <c r="BD1037">
        <f t="shared" si="154"/>
        <v>779988</v>
      </c>
      <c r="BE1037">
        <f t="shared" si="154"/>
        <v>1247980.8</v>
      </c>
      <c r="BF1037">
        <f t="shared" si="154"/>
        <v>1559976</v>
      </c>
      <c r="BG1037">
        <f t="shared" si="154"/>
        <v>5199920</v>
      </c>
      <c r="BH1037">
        <f t="shared" si="154"/>
        <v>15599760</v>
      </c>
      <c r="BI1037">
        <f t="shared" si="154"/>
        <v>44199320</v>
      </c>
      <c r="BJ1037">
        <f t="shared" si="154"/>
        <v>155997600</v>
      </c>
      <c r="BK1037">
        <f t="shared" si="154"/>
        <v>519992000</v>
      </c>
      <c r="BL1037">
        <v>1032</v>
      </c>
    </row>
    <row r="1038" spans="1:64" ht="17.25" thickBot="1" x14ac:dyDescent="0.25">
      <c r="A1038" s="131">
        <v>1034</v>
      </c>
      <c r="B1038" s="135">
        <v>2638201822</v>
      </c>
      <c r="D1038" s="131">
        <v>1034</v>
      </c>
      <c r="E1038" s="132">
        <v>52.143450000000001</v>
      </c>
      <c r="AK1038">
        <v>1032</v>
      </c>
      <c r="AL1038" s="24">
        <f t="shared" si="152"/>
        <v>52.047330000000002</v>
      </c>
      <c r="AM1038">
        <f t="shared" si="155"/>
        <v>364.33131000000003</v>
      </c>
      <c r="AN1038">
        <f t="shared" si="155"/>
        <v>520.47329999999999</v>
      </c>
      <c r="AO1038">
        <f t="shared" si="155"/>
        <v>780.70995000000005</v>
      </c>
      <c r="AP1038">
        <f t="shared" si="155"/>
        <v>1040.9466</v>
      </c>
      <c r="AQ1038">
        <f t="shared" si="155"/>
        <v>1821.6565500000002</v>
      </c>
      <c r="AR1038">
        <f t="shared" si="155"/>
        <v>2602.3665000000001</v>
      </c>
      <c r="AS1038">
        <f t="shared" si="155"/>
        <v>4163.7864</v>
      </c>
      <c r="AT1038">
        <f t="shared" si="155"/>
        <v>6245.6796000000004</v>
      </c>
      <c r="AU1038">
        <f t="shared" si="155"/>
        <v>8848.0460999999996</v>
      </c>
      <c r="AV1038">
        <f t="shared" si="155"/>
        <v>12491.359200000001</v>
      </c>
      <c r="AW1038">
        <f t="shared" si="155"/>
        <v>17175.618900000001</v>
      </c>
      <c r="AX1038">
        <f t="shared" si="155"/>
        <v>23941.771800000002</v>
      </c>
      <c r="AY1038">
        <f t="shared" si="155"/>
        <v>41637.864000000001</v>
      </c>
      <c r="AZ1038">
        <f t="shared" si="155"/>
        <v>78070.99500000001</v>
      </c>
      <c r="BA1038">
        <f t="shared" si="155"/>
        <v>130118.32500000001</v>
      </c>
      <c r="BB1038">
        <f t="shared" si="155"/>
        <v>208189.32</v>
      </c>
      <c r="BC1038">
        <f t="shared" si="154"/>
        <v>520473.30000000005</v>
      </c>
      <c r="BD1038">
        <f t="shared" si="154"/>
        <v>780709.95000000007</v>
      </c>
      <c r="BE1038">
        <f t="shared" si="154"/>
        <v>1249135.9200000002</v>
      </c>
      <c r="BF1038">
        <f t="shared" si="154"/>
        <v>1561419.9000000001</v>
      </c>
      <c r="BG1038">
        <f t="shared" si="154"/>
        <v>5204733</v>
      </c>
      <c r="BH1038">
        <f t="shared" si="154"/>
        <v>15614199</v>
      </c>
      <c r="BI1038">
        <f t="shared" si="154"/>
        <v>44240230.5</v>
      </c>
      <c r="BJ1038">
        <f t="shared" si="154"/>
        <v>156141990</v>
      </c>
      <c r="BK1038">
        <f t="shared" si="154"/>
        <v>520473300</v>
      </c>
      <c r="BL1038">
        <v>1033</v>
      </c>
    </row>
    <row r="1039" spans="1:64" ht="17.25" thickBot="1" x14ac:dyDescent="0.25">
      <c r="A1039" s="131">
        <v>1035</v>
      </c>
      <c r="B1039" s="135">
        <v>2652753022</v>
      </c>
      <c r="D1039" s="131">
        <v>1035</v>
      </c>
      <c r="E1039" s="132">
        <v>52.19144</v>
      </c>
      <c r="AK1039">
        <v>1033</v>
      </c>
      <c r="AL1039" s="24">
        <f t="shared" si="152"/>
        <v>52.095410000000001</v>
      </c>
      <c r="AM1039">
        <f t="shared" si="155"/>
        <v>364.66786999999999</v>
      </c>
      <c r="AN1039">
        <f t="shared" si="155"/>
        <v>520.95410000000004</v>
      </c>
      <c r="AO1039">
        <f t="shared" si="155"/>
        <v>781.43115</v>
      </c>
      <c r="AP1039">
        <f t="shared" si="155"/>
        <v>1041.9082000000001</v>
      </c>
      <c r="AQ1039">
        <f t="shared" si="155"/>
        <v>1823.33935</v>
      </c>
      <c r="AR1039">
        <f t="shared" si="155"/>
        <v>2604.7705000000001</v>
      </c>
      <c r="AS1039">
        <f t="shared" si="155"/>
        <v>4167.6328000000003</v>
      </c>
      <c r="AT1039">
        <f t="shared" si="155"/>
        <v>6251.4492</v>
      </c>
      <c r="AU1039">
        <f t="shared" si="155"/>
        <v>8856.2196999999996</v>
      </c>
      <c r="AV1039">
        <f t="shared" si="155"/>
        <v>12502.8984</v>
      </c>
      <c r="AW1039">
        <f t="shared" si="155"/>
        <v>17191.4853</v>
      </c>
      <c r="AX1039">
        <f t="shared" si="155"/>
        <v>23963.888600000002</v>
      </c>
      <c r="AY1039">
        <f t="shared" si="155"/>
        <v>41676.328000000001</v>
      </c>
      <c r="AZ1039">
        <f t="shared" si="155"/>
        <v>78143.115000000005</v>
      </c>
      <c r="BA1039">
        <f t="shared" si="155"/>
        <v>130238.52500000001</v>
      </c>
      <c r="BB1039">
        <f t="shared" si="155"/>
        <v>208381.64</v>
      </c>
      <c r="BC1039">
        <f t="shared" si="154"/>
        <v>520954.10000000003</v>
      </c>
      <c r="BD1039">
        <f t="shared" si="154"/>
        <v>781431.15</v>
      </c>
      <c r="BE1039">
        <f t="shared" si="154"/>
        <v>1250289.8400000001</v>
      </c>
      <c r="BF1039">
        <f t="shared" si="154"/>
        <v>1562862.3</v>
      </c>
      <c r="BG1039">
        <f t="shared" si="154"/>
        <v>5209541</v>
      </c>
      <c r="BH1039">
        <f t="shared" si="154"/>
        <v>15628623</v>
      </c>
      <c r="BI1039">
        <f t="shared" si="154"/>
        <v>44281098.5</v>
      </c>
      <c r="BJ1039">
        <f t="shared" si="154"/>
        <v>156286230</v>
      </c>
      <c r="BK1039">
        <f t="shared" si="154"/>
        <v>520954100</v>
      </c>
      <c r="BL1039">
        <v>1034</v>
      </c>
    </row>
    <row r="1040" spans="1:64" ht="17.25" thickBot="1" x14ac:dyDescent="0.25">
      <c r="A1040" s="131">
        <v>1036</v>
      </c>
      <c r="B1040" s="135">
        <v>2667369133</v>
      </c>
      <c r="D1040" s="131">
        <v>1036</v>
      </c>
      <c r="E1040" s="132">
        <v>52.239379999999997</v>
      </c>
      <c r="AK1040">
        <v>1034</v>
      </c>
      <c r="AL1040" s="24">
        <f t="shared" si="152"/>
        <v>52.143450000000001</v>
      </c>
      <c r="AM1040">
        <f t="shared" si="155"/>
        <v>365.00414999999998</v>
      </c>
      <c r="AN1040">
        <f t="shared" si="155"/>
        <v>521.43450000000007</v>
      </c>
      <c r="AO1040">
        <f t="shared" si="155"/>
        <v>782.15174999999999</v>
      </c>
      <c r="AP1040">
        <f t="shared" si="155"/>
        <v>1042.8690000000001</v>
      </c>
      <c r="AQ1040">
        <f t="shared" si="155"/>
        <v>1825.0207500000001</v>
      </c>
      <c r="AR1040">
        <f t="shared" si="155"/>
        <v>2607.1725000000001</v>
      </c>
      <c r="AS1040">
        <f t="shared" si="155"/>
        <v>4171.4760000000006</v>
      </c>
      <c r="AT1040">
        <f t="shared" si="155"/>
        <v>6257.2139999999999</v>
      </c>
      <c r="AU1040">
        <f t="shared" si="155"/>
        <v>8864.3865000000005</v>
      </c>
      <c r="AV1040">
        <f t="shared" si="155"/>
        <v>12514.428</v>
      </c>
      <c r="AW1040">
        <f t="shared" si="155"/>
        <v>17207.338500000002</v>
      </c>
      <c r="AX1040">
        <f t="shared" si="155"/>
        <v>23985.987000000001</v>
      </c>
      <c r="AY1040">
        <f t="shared" si="155"/>
        <v>41714.76</v>
      </c>
      <c r="AZ1040">
        <f t="shared" si="155"/>
        <v>78215.175000000003</v>
      </c>
      <c r="BA1040">
        <f t="shared" si="155"/>
        <v>130358.625</v>
      </c>
      <c r="BB1040">
        <f t="shared" si="155"/>
        <v>208573.80000000002</v>
      </c>
      <c r="BC1040">
        <f t="shared" si="154"/>
        <v>521434.5</v>
      </c>
      <c r="BD1040">
        <f t="shared" si="154"/>
        <v>782151.75</v>
      </c>
      <c r="BE1040">
        <f t="shared" si="154"/>
        <v>1251442.8</v>
      </c>
      <c r="BF1040">
        <f t="shared" si="154"/>
        <v>1564303.5</v>
      </c>
      <c r="BG1040">
        <f t="shared" si="154"/>
        <v>5214345</v>
      </c>
      <c r="BH1040">
        <f t="shared" si="154"/>
        <v>15643035</v>
      </c>
      <c r="BI1040">
        <f t="shared" si="154"/>
        <v>44321932.5</v>
      </c>
      <c r="BJ1040">
        <f t="shared" si="154"/>
        <v>156430350</v>
      </c>
      <c r="BK1040">
        <f t="shared" si="154"/>
        <v>521434500</v>
      </c>
      <c r="BL1040">
        <v>1035</v>
      </c>
    </row>
    <row r="1041" spans="1:64" ht="17.25" thickBot="1" x14ac:dyDescent="0.25">
      <c r="A1041" s="131">
        <v>1037</v>
      </c>
      <c r="B1041" s="135">
        <v>2682050372</v>
      </c>
      <c r="D1041" s="131">
        <v>1037</v>
      </c>
      <c r="E1041" s="132">
        <v>52.287280000000003</v>
      </c>
      <c r="AK1041">
        <v>1035</v>
      </c>
      <c r="AL1041" s="24">
        <f t="shared" si="152"/>
        <v>52.19144</v>
      </c>
      <c r="AM1041">
        <f t="shared" si="155"/>
        <v>365.34008</v>
      </c>
      <c r="AN1041">
        <f t="shared" si="155"/>
        <v>521.9144</v>
      </c>
      <c r="AO1041">
        <f t="shared" si="155"/>
        <v>782.87159999999994</v>
      </c>
      <c r="AP1041">
        <f t="shared" si="155"/>
        <v>1043.8288</v>
      </c>
      <c r="AQ1041">
        <f t="shared" si="155"/>
        <v>1826.7003999999999</v>
      </c>
      <c r="AR1041">
        <f t="shared" si="155"/>
        <v>2609.5720000000001</v>
      </c>
      <c r="AS1041">
        <f t="shared" si="155"/>
        <v>4175.3152</v>
      </c>
      <c r="AT1041">
        <f t="shared" si="155"/>
        <v>6262.9727999999996</v>
      </c>
      <c r="AU1041">
        <f t="shared" si="155"/>
        <v>8872.5447999999997</v>
      </c>
      <c r="AV1041">
        <f t="shared" si="155"/>
        <v>12525.945599999999</v>
      </c>
      <c r="AW1041">
        <f t="shared" si="155"/>
        <v>17223.175200000001</v>
      </c>
      <c r="AX1041">
        <f t="shared" si="155"/>
        <v>24008.062399999999</v>
      </c>
      <c r="AY1041">
        <f t="shared" si="155"/>
        <v>41753.152000000002</v>
      </c>
      <c r="AZ1041">
        <f t="shared" si="155"/>
        <v>78287.16</v>
      </c>
      <c r="BA1041">
        <f t="shared" si="155"/>
        <v>130478.6</v>
      </c>
      <c r="BB1041">
        <f t="shared" si="155"/>
        <v>208765.76</v>
      </c>
      <c r="BC1041">
        <f t="shared" si="154"/>
        <v>521914.4</v>
      </c>
      <c r="BD1041">
        <f t="shared" si="154"/>
        <v>782871.6</v>
      </c>
      <c r="BE1041">
        <f t="shared" si="154"/>
        <v>1252594.56</v>
      </c>
      <c r="BF1041">
        <f t="shared" si="154"/>
        <v>1565743.2</v>
      </c>
      <c r="BG1041">
        <f t="shared" si="154"/>
        <v>5219144</v>
      </c>
      <c r="BH1041">
        <f t="shared" si="154"/>
        <v>15657432</v>
      </c>
      <c r="BI1041">
        <f t="shared" si="154"/>
        <v>44362724</v>
      </c>
      <c r="BJ1041">
        <f t="shared" si="154"/>
        <v>156574320</v>
      </c>
      <c r="BK1041">
        <f t="shared" si="154"/>
        <v>521914400</v>
      </c>
      <c r="BL1041">
        <v>1036</v>
      </c>
    </row>
    <row r="1042" spans="1:64" ht="17.25" thickBot="1" x14ac:dyDescent="0.25">
      <c r="A1042" s="131">
        <v>1038</v>
      </c>
      <c r="B1042" s="135">
        <v>2696796950</v>
      </c>
      <c r="D1042" s="131">
        <v>1038</v>
      </c>
      <c r="E1042" s="132">
        <v>52.335129999999999</v>
      </c>
      <c r="AK1042">
        <v>1036</v>
      </c>
      <c r="AL1042" s="24">
        <f t="shared" si="152"/>
        <v>52.239379999999997</v>
      </c>
      <c r="AM1042">
        <f t="shared" si="155"/>
        <v>365.67565999999999</v>
      </c>
      <c r="AN1042">
        <f t="shared" si="155"/>
        <v>522.39379999999994</v>
      </c>
      <c r="AO1042">
        <f t="shared" si="155"/>
        <v>783.59069999999997</v>
      </c>
      <c r="AP1042">
        <f t="shared" si="155"/>
        <v>1044.7875999999999</v>
      </c>
      <c r="AQ1042">
        <f t="shared" si="155"/>
        <v>1828.3782999999999</v>
      </c>
      <c r="AR1042">
        <f t="shared" si="155"/>
        <v>2611.9690000000001</v>
      </c>
      <c r="AS1042">
        <f t="shared" si="155"/>
        <v>4179.1503999999995</v>
      </c>
      <c r="AT1042">
        <f t="shared" si="155"/>
        <v>6268.7255999999998</v>
      </c>
      <c r="AU1042">
        <f t="shared" si="155"/>
        <v>8880.6945999999989</v>
      </c>
      <c r="AV1042">
        <f t="shared" si="155"/>
        <v>12537.4512</v>
      </c>
      <c r="AW1042">
        <f t="shared" si="155"/>
        <v>17238.9954</v>
      </c>
      <c r="AX1042">
        <f t="shared" si="155"/>
        <v>24030.114799999999</v>
      </c>
      <c r="AY1042">
        <f t="shared" si="155"/>
        <v>41791.504000000001</v>
      </c>
      <c r="AZ1042">
        <f t="shared" si="155"/>
        <v>78359.069999999992</v>
      </c>
      <c r="BA1042">
        <f t="shared" si="155"/>
        <v>130598.45</v>
      </c>
      <c r="BB1042">
        <f t="shared" si="155"/>
        <v>208957.52</v>
      </c>
      <c r="BC1042">
        <f t="shared" si="154"/>
        <v>522393.8</v>
      </c>
      <c r="BD1042">
        <f t="shared" si="154"/>
        <v>783590.7</v>
      </c>
      <c r="BE1042">
        <f t="shared" si="154"/>
        <v>1253745.1199999999</v>
      </c>
      <c r="BF1042">
        <f t="shared" si="154"/>
        <v>1567181.4</v>
      </c>
      <c r="BG1042">
        <f t="shared" si="154"/>
        <v>5223938</v>
      </c>
      <c r="BH1042">
        <f t="shared" si="154"/>
        <v>15671814</v>
      </c>
      <c r="BI1042">
        <f t="shared" si="154"/>
        <v>44403473</v>
      </c>
      <c r="BJ1042">
        <f t="shared" si="154"/>
        <v>156718140</v>
      </c>
      <c r="BK1042">
        <f t="shared" si="154"/>
        <v>522393800</v>
      </c>
      <c r="BL1042">
        <v>1037</v>
      </c>
    </row>
    <row r="1043" spans="1:64" ht="17.25" thickBot="1" x14ac:dyDescent="0.25">
      <c r="A1043" s="131">
        <v>1039</v>
      </c>
      <c r="B1043" s="135">
        <v>2711609083</v>
      </c>
      <c r="D1043" s="131">
        <v>1039</v>
      </c>
      <c r="E1043" s="132">
        <v>52.382939999999998</v>
      </c>
      <c r="AK1043">
        <v>1037</v>
      </c>
      <c r="AL1043" s="24">
        <f t="shared" si="152"/>
        <v>52.287280000000003</v>
      </c>
      <c r="AM1043">
        <f t="shared" si="155"/>
        <v>366.01096000000001</v>
      </c>
      <c r="AN1043">
        <f t="shared" si="155"/>
        <v>522.87279999999998</v>
      </c>
      <c r="AO1043">
        <f t="shared" si="155"/>
        <v>784.30920000000003</v>
      </c>
      <c r="AP1043">
        <f t="shared" si="155"/>
        <v>1045.7456</v>
      </c>
      <c r="AQ1043">
        <f t="shared" si="155"/>
        <v>1830.0548000000001</v>
      </c>
      <c r="AR1043">
        <f t="shared" si="155"/>
        <v>2614.364</v>
      </c>
      <c r="AS1043">
        <f t="shared" si="155"/>
        <v>4182.9823999999999</v>
      </c>
      <c r="AT1043">
        <f t="shared" si="155"/>
        <v>6274.4736000000003</v>
      </c>
      <c r="AU1043">
        <f t="shared" si="155"/>
        <v>8888.8376000000007</v>
      </c>
      <c r="AV1043">
        <f t="shared" si="155"/>
        <v>12548.947200000001</v>
      </c>
      <c r="AW1043">
        <f t="shared" si="155"/>
        <v>17254.8024</v>
      </c>
      <c r="AX1043">
        <f t="shared" si="155"/>
        <v>24052.148800000003</v>
      </c>
      <c r="AY1043">
        <f t="shared" si="155"/>
        <v>41829.824000000001</v>
      </c>
      <c r="AZ1043">
        <f t="shared" si="155"/>
        <v>78430.92</v>
      </c>
      <c r="BA1043">
        <f t="shared" si="155"/>
        <v>130718.20000000001</v>
      </c>
      <c r="BB1043">
        <f t="shared" si="155"/>
        <v>209149.12000000002</v>
      </c>
      <c r="BC1043">
        <f t="shared" si="154"/>
        <v>522872.80000000005</v>
      </c>
      <c r="BD1043">
        <f t="shared" si="154"/>
        <v>784309.20000000007</v>
      </c>
      <c r="BE1043">
        <f t="shared" si="154"/>
        <v>1254894.72</v>
      </c>
      <c r="BF1043">
        <f t="shared" si="154"/>
        <v>1568618.4000000001</v>
      </c>
      <c r="BG1043">
        <f t="shared" si="154"/>
        <v>5228728</v>
      </c>
      <c r="BH1043">
        <f t="shared" si="154"/>
        <v>15686184</v>
      </c>
      <c r="BI1043">
        <f t="shared" si="154"/>
        <v>44444188</v>
      </c>
      <c r="BJ1043">
        <f t="shared" si="154"/>
        <v>156861840</v>
      </c>
      <c r="BK1043">
        <f t="shared" si="154"/>
        <v>522872800</v>
      </c>
      <c r="BL1043">
        <v>1038</v>
      </c>
    </row>
    <row r="1044" spans="1:64" ht="17.25" thickBot="1" x14ac:dyDescent="0.25">
      <c r="A1044" s="131">
        <v>1040</v>
      </c>
      <c r="B1044" s="135">
        <v>2726486988</v>
      </c>
      <c r="D1044" s="131">
        <v>1040</v>
      </c>
      <c r="E1044" s="132">
        <v>52.430700000000002</v>
      </c>
      <c r="AK1044">
        <v>1038</v>
      </c>
      <c r="AL1044" s="24">
        <f t="shared" si="152"/>
        <v>52.335129999999999</v>
      </c>
      <c r="AM1044">
        <f t="shared" si="155"/>
        <v>366.34591</v>
      </c>
      <c r="AN1044">
        <f t="shared" si="155"/>
        <v>523.35130000000004</v>
      </c>
      <c r="AO1044">
        <f t="shared" si="155"/>
        <v>785.02694999999994</v>
      </c>
      <c r="AP1044">
        <f t="shared" si="155"/>
        <v>1046.7026000000001</v>
      </c>
      <c r="AQ1044">
        <f t="shared" si="155"/>
        <v>1831.72955</v>
      </c>
      <c r="AR1044">
        <f t="shared" si="155"/>
        <v>2616.7565</v>
      </c>
      <c r="AS1044">
        <f t="shared" si="155"/>
        <v>4186.8104000000003</v>
      </c>
      <c r="AT1044">
        <f t="shared" si="155"/>
        <v>6280.2155999999995</v>
      </c>
      <c r="AU1044">
        <f t="shared" si="155"/>
        <v>8896.972099999999</v>
      </c>
      <c r="AV1044">
        <f t="shared" si="155"/>
        <v>12560.431199999999</v>
      </c>
      <c r="AW1044">
        <f t="shared" si="155"/>
        <v>17270.5929</v>
      </c>
      <c r="AX1044">
        <f t="shared" si="155"/>
        <v>24074.159800000001</v>
      </c>
      <c r="AY1044">
        <f t="shared" si="155"/>
        <v>41868.103999999999</v>
      </c>
      <c r="AZ1044">
        <f t="shared" si="155"/>
        <v>78502.694999999992</v>
      </c>
      <c r="BA1044">
        <f t="shared" si="155"/>
        <v>130837.825</v>
      </c>
      <c r="BB1044">
        <f t="shared" si="155"/>
        <v>209340.52</v>
      </c>
      <c r="BC1044">
        <f t="shared" si="154"/>
        <v>523351.3</v>
      </c>
      <c r="BD1044">
        <f t="shared" si="154"/>
        <v>785026.95</v>
      </c>
      <c r="BE1044">
        <f t="shared" si="154"/>
        <v>1256043.1199999999</v>
      </c>
      <c r="BF1044">
        <f t="shared" si="154"/>
        <v>1570053.9</v>
      </c>
      <c r="BG1044">
        <f t="shared" si="154"/>
        <v>5233513</v>
      </c>
      <c r="BH1044">
        <f t="shared" si="154"/>
        <v>15700539</v>
      </c>
      <c r="BI1044">
        <f t="shared" si="154"/>
        <v>44484860.5</v>
      </c>
      <c r="BJ1044">
        <f t="shared" si="154"/>
        <v>157005390</v>
      </c>
      <c r="BK1044">
        <f t="shared" si="154"/>
        <v>523351300</v>
      </c>
      <c r="BL1044">
        <v>1039</v>
      </c>
    </row>
    <row r="1045" spans="1:64" ht="17.25" thickBot="1" x14ac:dyDescent="0.25">
      <c r="A1045" s="131">
        <v>1041</v>
      </c>
      <c r="B1045" s="135">
        <v>2741430877</v>
      </c>
      <c r="D1045" s="131">
        <v>1041</v>
      </c>
      <c r="E1045" s="132">
        <v>52.478409999999997</v>
      </c>
      <c r="AK1045">
        <v>1039</v>
      </c>
      <c r="AL1045" s="24">
        <f t="shared" si="152"/>
        <v>52.382939999999998</v>
      </c>
      <c r="AM1045">
        <f t="shared" si="155"/>
        <v>366.68057999999996</v>
      </c>
      <c r="AN1045">
        <f t="shared" si="155"/>
        <v>523.82939999999996</v>
      </c>
      <c r="AO1045">
        <f t="shared" si="155"/>
        <v>785.7441</v>
      </c>
      <c r="AP1045">
        <f t="shared" si="155"/>
        <v>1047.6587999999999</v>
      </c>
      <c r="AQ1045">
        <f t="shared" si="155"/>
        <v>1833.4028999999998</v>
      </c>
      <c r="AR1045">
        <f t="shared" si="155"/>
        <v>2619.1469999999999</v>
      </c>
      <c r="AS1045">
        <f t="shared" si="155"/>
        <v>4190.6351999999997</v>
      </c>
      <c r="AT1045">
        <f t="shared" si="155"/>
        <v>6285.9528</v>
      </c>
      <c r="AU1045">
        <f t="shared" si="155"/>
        <v>8905.0998</v>
      </c>
      <c r="AV1045">
        <f t="shared" si="155"/>
        <v>12571.9056</v>
      </c>
      <c r="AW1045">
        <f t="shared" si="155"/>
        <v>17286.370199999998</v>
      </c>
      <c r="AX1045">
        <f t="shared" si="155"/>
        <v>24096.152399999999</v>
      </c>
      <c r="AY1045">
        <f t="shared" si="155"/>
        <v>41906.351999999999</v>
      </c>
      <c r="AZ1045">
        <f t="shared" si="155"/>
        <v>78574.41</v>
      </c>
      <c r="BA1045">
        <f t="shared" si="155"/>
        <v>130957.34999999999</v>
      </c>
      <c r="BB1045">
        <f t="shared" si="155"/>
        <v>209531.75999999998</v>
      </c>
      <c r="BC1045">
        <f t="shared" si="154"/>
        <v>523829.39999999997</v>
      </c>
      <c r="BD1045">
        <f t="shared" si="154"/>
        <v>785744.1</v>
      </c>
      <c r="BE1045">
        <f t="shared" si="154"/>
        <v>1257190.56</v>
      </c>
      <c r="BF1045">
        <f t="shared" si="154"/>
        <v>1571488.2</v>
      </c>
      <c r="BG1045">
        <f t="shared" si="154"/>
        <v>5238294</v>
      </c>
      <c r="BH1045">
        <f t="shared" si="154"/>
        <v>15714882</v>
      </c>
      <c r="BI1045">
        <f t="shared" si="154"/>
        <v>44525499</v>
      </c>
      <c r="BJ1045">
        <f t="shared" si="154"/>
        <v>157148820</v>
      </c>
      <c r="BK1045">
        <f t="shared" si="154"/>
        <v>523829400</v>
      </c>
      <c r="BL1045">
        <v>1040</v>
      </c>
    </row>
    <row r="1046" spans="1:64" ht="17.25" thickBot="1" x14ac:dyDescent="0.25">
      <c r="A1046" s="131">
        <v>1042</v>
      </c>
      <c r="B1046" s="135">
        <v>2756440966</v>
      </c>
      <c r="D1046" s="131">
        <v>1042</v>
      </c>
      <c r="E1046" s="132">
        <v>52.52608</v>
      </c>
      <c r="AK1046">
        <v>1040</v>
      </c>
      <c r="AL1046" s="24">
        <f t="shared" si="152"/>
        <v>52.430700000000002</v>
      </c>
      <c r="AM1046">
        <f t="shared" si="155"/>
        <v>367.01490000000001</v>
      </c>
      <c r="AN1046">
        <f t="shared" si="155"/>
        <v>524.30700000000002</v>
      </c>
      <c r="AO1046">
        <f t="shared" si="155"/>
        <v>786.46050000000002</v>
      </c>
      <c r="AP1046">
        <f t="shared" si="155"/>
        <v>1048.614</v>
      </c>
      <c r="AQ1046">
        <f t="shared" si="155"/>
        <v>1835.0745000000002</v>
      </c>
      <c r="AR1046">
        <f t="shared" si="155"/>
        <v>2621.5349999999999</v>
      </c>
      <c r="AS1046">
        <f t="shared" si="155"/>
        <v>4194.4560000000001</v>
      </c>
      <c r="AT1046">
        <f t="shared" si="155"/>
        <v>6291.6840000000002</v>
      </c>
      <c r="AU1046">
        <f t="shared" si="155"/>
        <v>8913.219000000001</v>
      </c>
      <c r="AV1046">
        <f t="shared" si="155"/>
        <v>12583.368</v>
      </c>
      <c r="AW1046">
        <f t="shared" si="155"/>
        <v>17302.131000000001</v>
      </c>
      <c r="AX1046">
        <f t="shared" si="155"/>
        <v>24118.121999999999</v>
      </c>
      <c r="AY1046">
        <f t="shared" si="155"/>
        <v>41944.56</v>
      </c>
      <c r="AZ1046">
        <f t="shared" si="155"/>
        <v>78646.05</v>
      </c>
      <c r="BA1046">
        <f t="shared" si="155"/>
        <v>131076.75</v>
      </c>
      <c r="BB1046">
        <f t="shared" si="155"/>
        <v>209722.80000000002</v>
      </c>
      <c r="BC1046">
        <f t="shared" si="154"/>
        <v>524307</v>
      </c>
      <c r="BD1046">
        <f t="shared" si="154"/>
        <v>786460.5</v>
      </c>
      <c r="BE1046">
        <f t="shared" si="154"/>
        <v>1258336.8</v>
      </c>
      <c r="BF1046">
        <f t="shared" si="154"/>
        <v>1572921</v>
      </c>
      <c r="BG1046">
        <f t="shared" si="154"/>
        <v>5243070</v>
      </c>
      <c r="BH1046">
        <f t="shared" si="154"/>
        <v>15729210</v>
      </c>
      <c r="BI1046">
        <f t="shared" si="154"/>
        <v>44566095</v>
      </c>
      <c r="BJ1046">
        <f t="shared" si="154"/>
        <v>157292100</v>
      </c>
      <c r="BK1046">
        <f t="shared" si="154"/>
        <v>524307000</v>
      </c>
      <c r="BL1046">
        <v>1041</v>
      </c>
    </row>
    <row r="1047" spans="1:64" ht="17.25" thickBot="1" x14ac:dyDescent="0.25">
      <c r="A1047" s="131">
        <v>1043</v>
      </c>
      <c r="B1047" s="135">
        <v>2771517472</v>
      </c>
      <c r="D1047" s="131">
        <v>1043</v>
      </c>
      <c r="E1047" s="132">
        <v>52.573700000000002</v>
      </c>
      <c r="AK1047">
        <v>1041</v>
      </c>
      <c r="AL1047" s="24">
        <f t="shared" si="152"/>
        <v>52.478409999999997</v>
      </c>
      <c r="AM1047">
        <f t="shared" si="155"/>
        <v>367.34886999999998</v>
      </c>
      <c r="AN1047">
        <f t="shared" si="155"/>
        <v>524.78409999999997</v>
      </c>
      <c r="AO1047">
        <f t="shared" si="155"/>
        <v>787.17615000000001</v>
      </c>
      <c r="AP1047">
        <f t="shared" si="155"/>
        <v>1049.5681999999999</v>
      </c>
      <c r="AQ1047">
        <f t="shared" si="155"/>
        <v>1836.7443499999999</v>
      </c>
      <c r="AR1047">
        <f t="shared" si="155"/>
        <v>2623.9204999999997</v>
      </c>
      <c r="AS1047">
        <f t="shared" si="155"/>
        <v>4198.2727999999997</v>
      </c>
      <c r="AT1047">
        <f t="shared" si="155"/>
        <v>6297.4092000000001</v>
      </c>
      <c r="AU1047">
        <f t="shared" si="155"/>
        <v>8921.3297000000002</v>
      </c>
      <c r="AV1047">
        <f t="shared" si="155"/>
        <v>12594.8184</v>
      </c>
      <c r="AW1047">
        <f t="shared" si="155"/>
        <v>17317.8753</v>
      </c>
      <c r="AX1047">
        <f t="shared" si="155"/>
        <v>24140.068599999999</v>
      </c>
      <c r="AY1047">
        <f t="shared" si="155"/>
        <v>41982.727999999996</v>
      </c>
      <c r="AZ1047">
        <f t="shared" si="155"/>
        <v>78717.614999999991</v>
      </c>
      <c r="BA1047">
        <f t="shared" si="155"/>
        <v>131196.02499999999</v>
      </c>
      <c r="BB1047">
        <f t="shared" si="155"/>
        <v>209913.63999999998</v>
      </c>
      <c r="BC1047">
        <f t="shared" si="154"/>
        <v>524784.1</v>
      </c>
      <c r="BD1047">
        <f t="shared" si="154"/>
        <v>787176.14999999991</v>
      </c>
      <c r="BE1047">
        <f t="shared" si="154"/>
        <v>1259481.8399999999</v>
      </c>
      <c r="BF1047">
        <f t="shared" si="154"/>
        <v>1574352.2999999998</v>
      </c>
      <c r="BG1047">
        <f t="shared" si="154"/>
        <v>5247841</v>
      </c>
      <c r="BH1047">
        <f t="shared" si="154"/>
        <v>15743522.999999998</v>
      </c>
      <c r="BI1047">
        <f t="shared" si="154"/>
        <v>44606648.5</v>
      </c>
      <c r="BJ1047">
        <f t="shared" si="154"/>
        <v>157435230</v>
      </c>
      <c r="BK1047">
        <f t="shared" si="154"/>
        <v>524784099.99999994</v>
      </c>
      <c r="BL1047">
        <v>1042</v>
      </c>
    </row>
    <row r="1048" spans="1:64" ht="17.25" thickBot="1" x14ac:dyDescent="0.25">
      <c r="A1048" s="131">
        <v>1044</v>
      </c>
      <c r="B1048" s="135">
        <v>2786660605</v>
      </c>
      <c r="D1048" s="131">
        <v>1044</v>
      </c>
      <c r="E1048" s="132">
        <v>52.621279999999999</v>
      </c>
      <c r="AK1048">
        <v>1042</v>
      </c>
      <c r="AL1048" s="24">
        <f t="shared" si="152"/>
        <v>52.52608</v>
      </c>
      <c r="AM1048">
        <f t="shared" si="155"/>
        <v>367.68256000000002</v>
      </c>
      <c r="AN1048">
        <f t="shared" si="155"/>
        <v>525.26080000000002</v>
      </c>
      <c r="AO1048">
        <f t="shared" si="155"/>
        <v>787.89120000000003</v>
      </c>
      <c r="AP1048">
        <f t="shared" si="155"/>
        <v>1050.5216</v>
      </c>
      <c r="AQ1048">
        <f t="shared" si="155"/>
        <v>1838.4128000000001</v>
      </c>
      <c r="AR1048">
        <f t="shared" si="155"/>
        <v>2626.3040000000001</v>
      </c>
      <c r="AS1048">
        <f t="shared" si="155"/>
        <v>4202.0864000000001</v>
      </c>
      <c r="AT1048">
        <f t="shared" si="155"/>
        <v>6303.1296000000002</v>
      </c>
      <c r="AU1048">
        <f t="shared" si="155"/>
        <v>8929.4336000000003</v>
      </c>
      <c r="AV1048">
        <f t="shared" si="155"/>
        <v>12606.2592</v>
      </c>
      <c r="AW1048">
        <f t="shared" si="155"/>
        <v>17333.606400000001</v>
      </c>
      <c r="AX1048">
        <f t="shared" si="155"/>
        <v>24161.996800000001</v>
      </c>
      <c r="AY1048">
        <f t="shared" si="155"/>
        <v>42020.864000000001</v>
      </c>
      <c r="AZ1048">
        <f t="shared" si="155"/>
        <v>78789.119999999995</v>
      </c>
      <c r="BA1048">
        <f t="shared" si="155"/>
        <v>131315.20000000001</v>
      </c>
      <c r="BB1048">
        <f t="shared" si="155"/>
        <v>210104.32000000001</v>
      </c>
      <c r="BC1048">
        <f t="shared" si="154"/>
        <v>525260.80000000005</v>
      </c>
      <c r="BD1048">
        <f t="shared" si="154"/>
        <v>787891.19999999995</v>
      </c>
      <c r="BE1048">
        <f t="shared" si="154"/>
        <v>1260625.9199999999</v>
      </c>
      <c r="BF1048">
        <f t="shared" si="154"/>
        <v>1575782.3999999999</v>
      </c>
      <c r="BG1048">
        <f t="shared" si="154"/>
        <v>5252608</v>
      </c>
      <c r="BH1048">
        <f t="shared" si="154"/>
        <v>15757824</v>
      </c>
      <c r="BI1048">
        <f t="shared" si="154"/>
        <v>44647168</v>
      </c>
      <c r="BJ1048">
        <f t="shared" si="154"/>
        <v>157578240</v>
      </c>
      <c r="BK1048">
        <f t="shared" si="154"/>
        <v>525260800</v>
      </c>
      <c r="BL1048">
        <v>1043</v>
      </c>
    </row>
    <row r="1049" spans="1:64" ht="17.25" thickBot="1" x14ac:dyDescent="0.25">
      <c r="A1049" s="131">
        <v>1045</v>
      </c>
      <c r="B1049" s="135">
        <v>2801870588</v>
      </c>
      <c r="D1049" s="131">
        <v>1045</v>
      </c>
      <c r="E1049" s="132">
        <v>52.668810000000001</v>
      </c>
      <c r="AK1049">
        <v>1043</v>
      </c>
      <c r="AL1049" s="24">
        <f t="shared" si="152"/>
        <v>52.573700000000002</v>
      </c>
      <c r="AM1049">
        <f t="shared" si="155"/>
        <v>368.01589999999999</v>
      </c>
      <c r="AN1049">
        <f t="shared" si="155"/>
        <v>525.73700000000008</v>
      </c>
      <c r="AO1049">
        <f t="shared" si="155"/>
        <v>788.60550000000001</v>
      </c>
      <c r="AP1049">
        <f t="shared" si="155"/>
        <v>1051.4740000000002</v>
      </c>
      <c r="AQ1049">
        <f t="shared" si="155"/>
        <v>1840.0795000000001</v>
      </c>
      <c r="AR1049">
        <f t="shared" si="155"/>
        <v>2628.6849999999999</v>
      </c>
      <c r="AS1049">
        <f t="shared" si="155"/>
        <v>4205.8960000000006</v>
      </c>
      <c r="AT1049">
        <f t="shared" si="155"/>
        <v>6308.8440000000001</v>
      </c>
      <c r="AU1049">
        <f t="shared" si="155"/>
        <v>8937.5290000000005</v>
      </c>
      <c r="AV1049">
        <f t="shared" si="155"/>
        <v>12617.688</v>
      </c>
      <c r="AW1049">
        <f t="shared" si="155"/>
        <v>17349.321</v>
      </c>
      <c r="AX1049">
        <f t="shared" si="155"/>
        <v>24183.902000000002</v>
      </c>
      <c r="AY1049">
        <f t="shared" si="155"/>
        <v>42058.96</v>
      </c>
      <c r="AZ1049">
        <f t="shared" si="155"/>
        <v>78860.55</v>
      </c>
      <c r="BA1049">
        <f t="shared" si="155"/>
        <v>131434.25</v>
      </c>
      <c r="BB1049">
        <f t="shared" si="155"/>
        <v>210294.80000000002</v>
      </c>
      <c r="BC1049">
        <f t="shared" si="154"/>
        <v>525737</v>
      </c>
      <c r="BD1049">
        <f t="shared" si="154"/>
        <v>788605.5</v>
      </c>
      <c r="BE1049">
        <f t="shared" si="154"/>
        <v>1261768.8</v>
      </c>
      <c r="BF1049">
        <f t="shared" si="154"/>
        <v>1577211</v>
      </c>
      <c r="BG1049">
        <f t="shared" si="154"/>
        <v>5257370</v>
      </c>
      <c r="BH1049">
        <f t="shared" si="154"/>
        <v>15772110</v>
      </c>
      <c r="BI1049">
        <f t="shared" si="154"/>
        <v>44687645</v>
      </c>
      <c r="BJ1049">
        <f t="shared" si="154"/>
        <v>157721100</v>
      </c>
      <c r="BK1049">
        <f t="shared" si="154"/>
        <v>525737000</v>
      </c>
      <c r="BL1049">
        <v>1044</v>
      </c>
    </row>
    <row r="1050" spans="1:64" ht="17.25" thickBot="1" x14ac:dyDescent="0.25">
      <c r="A1050" s="131">
        <v>1046</v>
      </c>
      <c r="B1050" s="135">
        <v>2817147638</v>
      </c>
      <c r="D1050" s="131">
        <v>1046</v>
      </c>
      <c r="E1050" s="132">
        <v>52.716299999999997</v>
      </c>
      <c r="AK1050">
        <v>1044</v>
      </c>
      <c r="AL1050" s="24">
        <f t="shared" si="152"/>
        <v>52.621279999999999</v>
      </c>
      <c r="AM1050">
        <f t="shared" si="155"/>
        <v>368.34895999999998</v>
      </c>
      <c r="AN1050">
        <f t="shared" si="155"/>
        <v>526.21280000000002</v>
      </c>
      <c r="AO1050">
        <f t="shared" si="155"/>
        <v>789.31920000000002</v>
      </c>
      <c r="AP1050">
        <f t="shared" si="155"/>
        <v>1052.4256</v>
      </c>
      <c r="AQ1050">
        <f t="shared" si="155"/>
        <v>1841.7447999999999</v>
      </c>
      <c r="AR1050">
        <f t="shared" si="155"/>
        <v>2631.0639999999999</v>
      </c>
      <c r="AS1050">
        <f t="shared" si="155"/>
        <v>4209.7024000000001</v>
      </c>
      <c r="AT1050">
        <f t="shared" si="155"/>
        <v>6314.5536000000002</v>
      </c>
      <c r="AU1050">
        <f t="shared" si="155"/>
        <v>8945.6175999999996</v>
      </c>
      <c r="AV1050">
        <f t="shared" si="155"/>
        <v>12629.1072</v>
      </c>
      <c r="AW1050">
        <f t="shared" si="155"/>
        <v>17365.022399999998</v>
      </c>
      <c r="AX1050">
        <f t="shared" si="155"/>
        <v>24205.788799999998</v>
      </c>
      <c r="AY1050">
        <f t="shared" si="155"/>
        <v>42097.023999999998</v>
      </c>
      <c r="AZ1050">
        <f t="shared" si="155"/>
        <v>78931.92</v>
      </c>
      <c r="BA1050">
        <f t="shared" si="155"/>
        <v>131553.19999999998</v>
      </c>
      <c r="BB1050">
        <f t="shared" si="155"/>
        <v>210485.12</v>
      </c>
      <c r="BC1050">
        <f t="shared" si="154"/>
        <v>526212.79999999993</v>
      </c>
      <c r="BD1050">
        <f t="shared" si="154"/>
        <v>789319.2</v>
      </c>
      <c r="BE1050">
        <f t="shared" si="154"/>
        <v>1262910.72</v>
      </c>
      <c r="BF1050">
        <f t="shared" si="154"/>
        <v>1578638.4</v>
      </c>
      <c r="BG1050">
        <f t="shared" si="154"/>
        <v>5262128</v>
      </c>
      <c r="BH1050">
        <f t="shared" si="154"/>
        <v>15786384</v>
      </c>
      <c r="BI1050">
        <f t="shared" si="154"/>
        <v>44728088</v>
      </c>
      <c r="BJ1050">
        <f t="shared" si="154"/>
        <v>157863840</v>
      </c>
      <c r="BK1050">
        <f t="shared" si="154"/>
        <v>526212800</v>
      </c>
      <c r="BL1050">
        <v>1045</v>
      </c>
    </row>
    <row r="1051" spans="1:64" ht="17.25" thickBot="1" x14ac:dyDescent="0.25">
      <c r="A1051" s="131">
        <v>1047</v>
      </c>
      <c r="B1051" s="135">
        <v>2832491972</v>
      </c>
      <c r="D1051" s="131">
        <v>1047</v>
      </c>
      <c r="E1051" s="132">
        <v>52.763739999999999</v>
      </c>
      <c r="AK1051">
        <v>1045</v>
      </c>
      <c r="AL1051" s="24">
        <f t="shared" si="152"/>
        <v>52.668810000000001</v>
      </c>
      <c r="AM1051">
        <f t="shared" si="155"/>
        <v>368.68167</v>
      </c>
      <c r="AN1051">
        <f t="shared" si="155"/>
        <v>526.68809999999996</v>
      </c>
      <c r="AO1051">
        <f t="shared" si="155"/>
        <v>790.03215</v>
      </c>
      <c r="AP1051">
        <f t="shared" si="155"/>
        <v>1053.3761999999999</v>
      </c>
      <c r="AQ1051">
        <f t="shared" si="155"/>
        <v>1843.4083499999999</v>
      </c>
      <c r="AR1051">
        <f t="shared" si="155"/>
        <v>2633.4405000000002</v>
      </c>
      <c r="AS1051">
        <f t="shared" si="155"/>
        <v>4213.5047999999997</v>
      </c>
      <c r="AT1051">
        <f t="shared" si="155"/>
        <v>6320.2572</v>
      </c>
      <c r="AU1051">
        <f t="shared" si="155"/>
        <v>8953.6977000000006</v>
      </c>
      <c r="AV1051">
        <f t="shared" si="155"/>
        <v>12640.5144</v>
      </c>
      <c r="AW1051">
        <f t="shared" si="155"/>
        <v>17380.707300000002</v>
      </c>
      <c r="AX1051">
        <f t="shared" si="155"/>
        <v>24227.652600000001</v>
      </c>
      <c r="AY1051">
        <f t="shared" si="155"/>
        <v>42135.048000000003</v>
      </c>
      <c r="AZ1051">
        <f t="shared" si="155"/>
        <v>79003.214999999997</v>
      </c>
      <c r="BA1051">
        <f t="shared" si="155"/>
        <v>131672.02499999999</v>
      </c>
      <c r="BB1051">
        <f t="shared" si="155"/>
        <v>210675.24</v>
      </c>
      <c r="BC1051">
        <f t="shared" si="154"/>
        <v>526688.1</v>
      </c>
      <c r="BD1051">
        <f t="shared" si="154"/>
        <v>790032.15</v>
      </c>
      <c r="BE1051">
        <f t="shared" si="154"/>
        <v>1264051.44</v>
      </c>
      <c r="BF1051">
        <f t="shared" si="154"/>
        <v>1580064.3</v>
      </c>
      <c r="BG1051">
        <f t="shared" si="154"/>
        <v>5266881</v>
      </c>
      <c r="BH1051">
        <f t="shared" si="154"/>
        <v>15800643</v>
      </c>
      <c r="BI1051">
        <f t="shared" si="154"/>
        <v>44768488.5</v>
      </c>
      <c r="BJ1051">
        <f t="shared" si="154"/>
        <v>158006430</v>
      </c>
      <c r="BK1051">
        <f t="shared" si="154"/>
        <v>526688100</v>
      </c>
      <c r="BL1051">
        <v>1046</v>
      </c>
    </row>
    <row r="1052" spans="1:64" ht="17.25" thickBot="1" x14ac:dyDescent="0.25">
      <c r="A1052" s="131">
        <v>1048</v>
      </c>
      <c r="B1052" s="135">
        <v>2847903811</v>
      </c>
      <c r="D1052" s="131">
        <v>1048</v>
      </c>
      <c r="E1052" s="132">
        <v>52.811140000000002</v>
      </c>
      <c r="AK1052">
        <v>1046</v>
      </c>
      <c r="AL1052" s="24">
        <f t="shared" si="152"/>
        <v>52.716299999999997</v>
      </c>
      <c r="AM1052">
        <f t="shared" si="155"/>
        <v>369.01409999999998</v>
      </c>
      <c r="AN1052">
        <f t="shared" si="155"/>
        <v>527.16300000000001</v>
      </c>
      <c r="AO1052">
        <f t="shared" si="155"/>
        <v>790.7444999999999</v>
      </c>
      <c r="AP1052">
        <f t="shared" si="155"/>
        <v>1054.326</v>
      </c>
      <c r="AQ1052">
        <f t="shared" si="155"/>
        <v>1845.0704999999998</v>
      </c>
      <c r="AR1052">
        <f t="shared" si="155"/>
        <v>2635.8150000000001</v>
      </c>
      <c r="AS1052">
        <f t="shared" si="155"/>
        <v>4217.3040000000001</v>
      </c>
      <c r="AT1052">
        <f t="shared" si="155"/>
        <v>6325.9559999999992</v>
      </c>
      <c r="AU1052">
        <f t="shared" si="155"/>
        <v>8961.7709999999988</v>
      </c>
      <c r="AV1052">
        <f t="shared" si="155"/>
        <v>12651.911999999998</v>
      </c>
      <c r="AW1052">
        <f t="shared" si="155"/>
        <v>17396.378999999997</v>
      </c>
      <c r="AX1052">
        <f t="shared" si="155"/>
        <v>24249.498</v>
      </c>
      <c r="AY1052">
        <f t="shared" si="155"/>
        <v>42173.04</v>
      </c>
      <c r="AZ1052">
        <f t="shared" si="155"/>
        <v>79074.45</v>
      </c>
      <c r="BA1052">
        <f t="shared" si="155"/>
        <v>131790.75</v>
      </c>
      <c r="BB1052">
        <f t="shared" si="155"/>
        <v>210865.19999999998</v>
      </c>
      <c r="BC1052">
        <f t="shared" si="154"/>
        <v>527163</v>
      </c>
      <c r="BD1052">
        <f t="shared" si="154"/>
        <v>790744.5</v>
      </c>
      <c r="BE1052">
        <f t="shared" si="154"/>
        <v>1265191.2</v>
      </c>
      <c r="BF1052">
        <f t="shared" si="154"/>
        <v>1581489</v>
      </c>
      <c r="BG1052">
        <f t="shared" si="154"/>
        <v>5271630</v>
      </c>
      <c r="BH1052">
        <f t="shared" si="154"/>
        <v>15814889.999999998</v>
      </c>
      <c r="BI1052">
        <f t="shared" si="154"/>
        <v>44808855</v>
      </c>
      <c r="BJ1052">
        <f t="shared" si="154"/>
        <v>158148900</v>
      </c>
      <c r="BK1052">
        <f t="shared" si="154"/>
        <v>527162999.99999994</v>
      </c>
      <c r="BL1052">
        <v>1047</v>
      </c>
    </row>
    <row r="1053" spans="1:64" ht="17.25" thickBot="1" x14ac:dyDescent="0.25">
      <c r="A1053" s="131">
        <v>1049</v>
      </c>
      <c r="B1053" s="135">
        <v>2863383366</v>
      </c>
      <c r="D1053" s="131">
        <v>1049</v>
      </c>
      <c r="E1053" s="132">
        <v>52.863230000000001</v>
      </c>
      <c r="AK1053">
        <v>1047</v>
      </c>
      <c r="AL1053" s="24">
        <f t="shared" si="152"/>
        <v>52.763739999999999</v>
      </c>
      <c r="AM1053">
        <f t="shared" si="155"/>
        <v>369.34618</v>
      </c>
      <c r="AN1053">
        <f t="shared" si="155"/>
        <v>527.63739999999996</v>
      </c>
      <c r="AO1053">
        <f t="shared" si="155"/>
        <v>791.45609999999999</v>
      </c>
      <c r="AP1053">
        <f t="shared" si="155"/>
        <v>1055.2747999999999</v>
      </c>
      <c r="AQ1053">
        <f t="shared" si="155"/>
        <v>1846.7309</v>
      </c>
      <c r="AR1053">
        <f t="shared" si="155"/>
        <v>2638.1869999999999</v>
      </c>
      <c r="AS1053">
        <f t="shared" si="155"/>
        <v>4221.0991999999997</v>
      </c>
      <c r="AT1053">
        <f t="shared" si="155"/>
        <v>6331.6487999999999</v>
      </c>
      <c r="AU1053">
        <f t="shared" si="155"/>
        <v>8969.8357999999989</v>
      </c>
      <c r="AV1053">
        <f t="shared" si="155"/>
        <v>12663.2976</v>
      </c>
      <c r="AW1053">
        <f t="shared" si="155"/>
        <v>17412.034199999998</v>
      </c>
      <c r="AX1053">
        <f t="shared" si="155"/>
        <v>24271.320400000001</v>
      </c>
      <c r="AY1053">
        <f t="shared" si="155"/>
        <v>42210.991999999998</v>
      </c>
      <c r="AZ1053">
        <f t="shared" ref="AM1053:BB1069" si="156">AZ$5*VLOOKUP($AK1053,$D$2:$E$1404,2,FALSE)</f>
        <v>79145.61</v>
      </c>
      <c r="BA1053">
        <f t="shared" si="156"/>
        <v>131909.35</v>
      </c>
      <c r="BB1053">
        <f t="shared" si="156"/>
        <v>211054.96</v>
      </c>
      <c r="BC1053">
        <f t="shared" si="154"/>
        <v>527637.4</v>
      </c>
      <c r="BD1053">
        <f t="shared" si="154"/>
        <v>791456.1</v>
      </c>
      <c r="BE1053">
        <f t="shared" si="154"/>
        <v>1266329.76</v>
      </c>
      <c r="BF1053">
        <f t="shared" si="154"/>
        <v>1582912.2</v>
      </c>
      <c r="BG1053">
        <f t="shared" si="154"/>
        <v>5276374</v>
      </c>
      <c r="BH1053">
        <f t="shared" si="154"/>
        <v>15829122</v>
      </c>
      <c r="BI1053">
        <f t="shared" si="154"/>
        <v>44849179</v>
      </c>
      <c r="BJ1053">
        <f t="shared" si="154"/>
        <v>158291220</v>
      </c>
      <c r="BK1053">
        <f t="shared" si="154"/>
        <v>527637400</v>
      </c>
      <c r="BL1053">
        <v>1048</v>
      </c>
    </row>
    <row r="1054" spans="1:64" ht="17.25" thickBot="1" x14ac:dyDescent="0.25">
      <c r="A1054" s="131">
        <v>1050</v>
      </c>
      <c r="B1054" s="135">
        <v>2878930866</v>
      </c>
      <c r="D1054" s="131">
        <v>1050</v>
      </c>
      <c r="E1054" s="132">
        <v>52.91527</v>
      </c>
      <c r="AK1054">
        <v>1048</v>
      </c>
      <c r="AL1054" s="24">
        <f t="shared" si="152"/>
        <v>52.811140000000002</v>
      </c>
      <c r="AM1054">
        <f t="shared" si="156"/>
        <v>369.67797999999999</v>
      </c>
      <c r="AN1054">
        <f t="shared" si="156"/>
        <v>528.1114</v>
      </c>
      <c r="AO1054">
        <f t="shared" si="156"/>
        <v>792.1671</v>
      </c>
      <c r="AP1054">
        <f t="shared" si="156"/>
        <v>1056.2228</v>
      </c>
      <c r="AQ1054">
        <f t="shared" si="156"/>
        <v>1848.3899000000001</v>
      </c>
      <c r="AR1054">
        <f t="shared" si="156"/>
        <v>2640.5570000000002</v>
      </c>
      <c r="AS1054">
        <f t="shared" si="156"/>
        <v>4224.8912</v>
      </c>
      <c r="AT1054">
        <f t="shared" si="156"/>
        <v>6337.3368</v>
      </c>
      <c r="AU1054">
        <f t="shared" si="156"/>
        <v>8977.8937999999998</v>
      </c>
      <c r="AV1054">
        <f t="shared" si="156"/>
        <v>12674.6736</v>
      </c>
      <c r="AW1054">
        <f t="shared" si="156"/>
        <v>17427.676200000002</v>
      </c>
      <c r="AX1054">
        <f t="shared" si="156"/>
        <v>24293.124400000001</v>
      </c>
      <c r="AY1054">
        <f t="shared" si="156"/>
        <v>42248.912000000004</v>
      </c>
      <c r="AZ1054">
        <f t="shared" si="156"/>
        <v>79216.710000000006</v>
      </c>
      <c r="BA1054">
        <f t="shared" si="156"/>
        <v>132027.85</v>
      </c>
      <c r="BB1054">
        <f t="shared" si="156"/>
        <v>211244.56</v>
      </c>
      <c r="BC1054">
        <f t="shared" si="154"/>
        <v>528111.4</v>
      </c>
      <c r="BD1054">
        <f t="shared" si="154"/>
        <v>792167.1</v>
      </c>
      <c r="BE1054">
        <f t="shared" si="154"/>
        <v>1267467.3600000001</v>
      </c>
      <c r="BF1054">
        <f t="shared" si="154"/>
        <v>1584334.2</v>
      </c>
      <c r="BG1054">
        <f t="shared" si="154"/>
        <v>5281114</v>
      </c>
      <c r="BH1054">
        <f t="shared" si="154"/>
        <v>15843342</v>
      </c>
      <c r="BI1054">
        <f t="shared" si="154"/>
        <v>44889469</v>
      </c>
      <c r="BJ1054">
        <f t="shared" si="154"/>
        <v>158433420</v>
      </c>
      <c r="BK1054">
        <f t="shared" si="154"/>
        <v>528111400</v>
      </c>
      <c r="BL1054">
        <v>1049</v>
      </c>
    </row>
    <row r="1055" spans="1:64" ht="17.25" thickBot="1" x14ac:dyDescent="0.25">
      <c r="A1055" s="131">
        <v>1051</v>
      </c>
      <c r="B1055" s="135">
        <v>2894546522</v>
      </c>
      <c r="D1055" s="131">
        <v>1051</v>
      </c>
      <c r="E1055" s="132">
        <v>52.967260000000003</v>
      </c>
      <c r="AK1055">
        <v>1049</v>
      </c>
      <c r="AL1055" s="24">
        <f t="shared" si="152"/>
        <v>52.863230000000001</v>
      </c>
      <c r="AM1055">
        <f t="shared" si="156"/>
        <v>370.04261000000002</v>
      </c>
      <c r="AN1055">
        <f t="shared" si="156"/>
        <v>528.63229999999999</v>
      </c>
      <c r="AO1055">
        <f t="shared" si="156"/>
        <v>792.94844999999998</v>
      </c>
      <c r="AP1055">
        <f t="shared" si="156"/>
        <v>1057.2646</v>
      </c>
      <c r="AQ1055">
        <f t="shared" si="156"/>
        <v>1850.2130500000001</v>
      </c>
      <c r="AR1055">
        <f t="shared" si="156"/>
        <v>2643.1615000000002</v>
      </c>
      <c r="AS1055">
        <f t="shared" si="156"/>
        <v>4229.0583999999999</v>
      </c>
      <c r="AT1055">
        <f t="shared" si="156"/>
        <v>6343.5875999999998</v>
      </c>
      <c r="AU1055">
        <f t="shared" si="156"/>
        <v>8986.7491000000009</v>
      </c>
      <c r="AV1055">
        <f t="shared" si="156"/>
        <v>12687.1752</v>
      </c>
      <c r="AW1055">
        <f t="shared" si="156"/>
        <v>17444.865900000001</v>
      </c>
      <c r="AX1055">
        <f t="shared" si="156"/>
        <v>24317.085800000001</v>
      </c>
      <c r="AY1055">
        <f t="shared" si="156"/>
        <v>42290.584000000003</v>
      </c>
      <c r="AZ1055">
        <f t="shared" si="156"/>
        <v>79294.845000000001</v>
      </c>
      <c r="BA1055">
        <f t="shared" si="156"/>
        <v>132158.07500000001</v>
      </c>
      <c r="BB1055">
        <f t="shared" si="156"/>
        <v>211452.92</v>
      </c>
      <c r="BC1055">
        <f t="shared" si="154"/>
        <v>528632.30000000005</v>
      </c>
      <c r="BD1055">
        <f t="shared" si="154"/>
        <v>792948.45000000007</v>
      </c>
      <c r="BE1055">
        <f t="shared" si="154"/>
        <v>1268717.52</v>
      </c>
      <c r="BF1055">
        <f t="shared" si="154"/>
        <v>1585896.9000000001</v>
      </c>
      <c r="BG1055">
        <f t="shared" si="154"/>
        <v>5286323</v>
      </c>
      <c r="BH1055">
        <f t="shared" si="154"/>
        <v>15858969</v>
      </c>
      <c r="BI1055">
        <f t="shared" si="154"/>
        <v>44933745.5</v>
      </c>
      <c r="BJ1055">
        <f t="shared" si="154"/>
        <v>158589690</v>
      </c>
      <c r="BK1055">
        <f t="shared" si="154"/>
        <v>528632300</v>
      </c>
      <c r="BL1055">
        <v>1050</v>
      </c>
    </row>
    <row r="1056" spans="1:64" ht="17.25" thickBot="1" x14ac:dyDescent="0.25">
      <c r="A1056" s="131">
        <v>1052</v>
      </c>
      <c r="B1056" s="135">
        <v>2910230561</v>
      </c>
      <c r="D1056" s="131">
        <v>1052</v>
      </c>
      <c r="E1056" s="132">
        <v>53.019199999999998</v>
      </c>
      <c r="AK1056">
        <v>1050</v>
      </c>
      <c r="AL1056" s="24">
        <f t="shared" si="152"/>
        <v>52.91527</v>
      </c>
      <c r="AM1056">
        <f t="shared" si="156"/>
        <v>370.40688999999998</v>
      </c>
      <c r="AN1056">
        <f t="shared" si="156"/>
        <v>529.15269999999998</v>
      </c>
      <c r="AO1056">
        <f t="shared" si="156"/>
        <v>793.72905000000003</v>
      </c>
      <c r="AP1056">
        <f t="shared" si="156"/>
        <v>1058.3054</v>
      </c>
      <c r="AQ1056">
        <f t="shared" si="156"/>
        <v>1852.0344499999999</v>
      </c>
      <c r="AR1056">
        <f t="shared" si="156"/>
        <v>2645.7635</v>
      </c>
      <c r="AS1056">
        <f t="shared" si="156"/>
        <v>4233.2215999999999</v>
      </c>
      <c r="AT1056">
        <f t="shared" si="156"/>
        <v>6349.8324000000002</v>
      </c>
      <c r="AU1056">
        <f t="shared" si="156"/>
        <v>8995.5959000000003</v>
      </c>
      <c r="AV1056">
        <f t="shared" si="156"/>
        <v>12699.6648</v>
      </c>
      <c r="AW1056">
        <f t="shared" si="156"/>
        <v>17462.039099999998</v>
      </c>
      <c r="AX1056">
        <f t="shared" si="156"/>
        <v>24341.0242</v>
      </c>
      <c r="AY1056">
        <f t="shared" si="156"/>
        <v>42332.216</v>
      </c>
      <c r="AZ1056">
        <f t="shared" si="156"/>
        <v>79372.904999999999</v>
      </c>
      <c r="BA1056">
        <f t="shared" si="156"/>
        <v>132288.17499999999</v>
      </c>
      <c r="BB1056">
        <f t="shared" si="156"/>
        <v>211661.08</v>
      </c>
      <c r="BC1056">
        <f t="shared" si="154"/>
        <v>529152.69999999995</v>
      </c>
      <c r="BD1056">
        <f t="shared" si="154"/>
        <v>793729.05</v>
      </c>
      <c r="BE1056">
        <f t="shared" si="154"/>
        <v>1269966.48</v>
      </c>
      <c r="BF1056">
        <f t="shared" si="154"/>
        <v>1587458.1</v>
      </c>
      <c r="BG1056">
        <f t="shared" si="154"/>
        <v>5291527</v>
      </c>
      <c r="BH1056">
        <f t="shared" si="154"/>
        <v>15874581</v>
      </c>
      <c r="BI1056">
        <f t="shared" si="154"/>
        <v>44977979.5</v>
      </c>
      <c r="BJ1056">
        <f t="shared" si="154"/>
        <v>158745810</v>
      </c>
      <c r="BK1056">
        <f t="shared" si="154"/>
        <v>529152700</v>
      </c>
      <c r="BL1056">
        <v>1051</v>
      </c>
    </row>
    <row r="1057" spans="1:64" ht="17.25" thickBot="1" x14ac:dyDescent="0.25">
      <c r="A1057" s="131">
        <v>1053</v>
      </c>
      <c r="B1057" s="135">
        <v>2925983200</v>
      </c>
      <c r="D1057" s="131">
        <v>1053</v>
      </c>
      <c r="E1057" s="132">
        <v>53.071089999999998</v>
      </c>
      <c r="AK1057">
        <v>1051</v>
      </c>
      <c r="AL1057" s="24">
        <f t="shared" si="152"/>
        <v>52.967260000000003</v>
      </c>
      <c r="AM1057">
        <f t="shared" si="156"/>
        <v>370.77082000000001</v>
      </c>
      <c r="AN1057">
        <f t="shared" si="156"/>
        <v>529.67259999999999</v>
      </c>
      <c r="AO1057">
        <f t="shared" si="156"/>
        <v>794.50890000000004</v>
      </c>
      <c r="AP1057">
        <f t="shared" si="156"/>
        <v>1059.3452</v>
      </c>
      <c r="AQ1057">
        <f t="shared" si="156"/>
        <v>1853.8541</v>
      </c>
      <c r="AR1057">
        <f t="shared" si="156"/>
        <v>2648.3630000000003</v>
      </c>
      <c r="AS1057">
        <f t="shared" si="156"/>
        <v>4237.3807999999999</v>
      </c>
      <c r="AT1057">
        <f t="shared" si="156"/>
        <v>6356.0712000000003</v>
      </c>
      <c r="AU1057">
        <f t="shared" si="156"/>
        <v>9004.4341999999997</v>
      </c>
      <c r="AV1057">
        <f t="shared" si="156"/>
        <v>12712.142400000001</v>
      </c>
      <c r="AW1057">
        <f t="shared" si="156"/>
        <v>17479.195800000001</v>
      </c>
      <c r="AX1057">
        <f t="shared" si="156"/>
        <v>24364.939600000002</v>
      </c>
      <c r="AY1057">
        <f t="shared" si="156"/>
        <v>42373.808000000005</v>
      </c>
      <c r="AZ1057">
        <f t="shared" si="156"/>
        <v>79450.89</v>
      </c>
      <c r="BA1057">
        <f t="shared" si="156"/>
        <v>132418.15</v>
      </c>
      <c r="BB1057">
        <f t="shared" si="156"/>
        <v>211869.04</v>
      </c>
      <c r="BC1057">
        <f t="shared" si="154"/>
        <v>529672.6</v>
      </c>
      <c r="BD1057">
        <f t="shared" si="154"/>
        <v>794508.9</v>
      </c>
      <c r="BE1057">
        <f t="shared" si="154"/>
        <v>1271214.24</v>
      </c>
      <c r="BF1057">
        <f t="shared" si="154"/>
        <v>1589017.8</v>
      </c>
      <c r="BG1057">
        <f t="shared" si="154"/>
        <v>5296726</v>
      </c>
      <c r="BH1057">
        <f t="shared" si="154"/>
        <v>15890178.000000002</v>
      </c>
      <c r="BI1057">
        <f t="shared" si="154"/>
        <v>45022171</v>
      </c>
      <c r="BJ1057">
        <f t="shared" si="154"/>
        <v>158901780</v>
      </c>
      <c r="BK1057">
        <f t="shared" si="154"/>
        <v>529672600.00000006</v>
      </c>
      <c r="BL1057">
        <v>1052</v>
      </c>
    </row>
    <row r="1058" spans="1:64" ht="17.25" thickBot="1" x14ac:dyDescent="0.25">
      <c r="A1058" s="131">
        <v>1054</v>
      </c>
      <c r="B1058" s="135">
        <v>2941804661</v>
      </c>
      <c r="D1058" s="131">
        <v>1054</v>
      </c>
      <c r="E1058" s="132">
        <v>53.122929999999997</v>
      </c>
      <c r="AK1058">
        <v>1052</v>
      </c>
      <c r="AL1058" s="24">
        <f t="shared" si="152"/>
        <v>53.019199999999998</v>
      </c>
      <c r="AM1058">
        <f t="shared" si="156"/>
        <v>371.13439999999997</v>
      </c>
      <c r="AN1058">
        <f t="shared" si="156"/>
        <v>530.19200000000001</v>
      </c>
      <c r="AO1058">
        <f t="shared" si="156"/>
        <v>795.28800000000001</v>
      </c>
      <c r="AP1058">
        <f t="shared" si="156"/>
        <v>1060.384</v>
      </c>
      <c r="AQ1058">
        <f t="shared" si="156"/>
        <v>1855.672</v>
      </c>
      <c r="AR1058">
        <f t="shared" si="156"/>
        <v>2650.96</v>
      </c>
      <c r="AS1058">
        <f t="shared" si="156"/>
        <v>4241.5360000000001</v>
      </c>
      <c r="AT1058">
        <f t="shared" si="156"/>
        <v>6362.3040000000001</v>
      </c>
      <c r="AU1058">
        <f t="shared" si="156"/>
        <v>9013.2639999999992</v>
      </c>
      <c r="AV1058">
        <f t="shared" si="156"/>
        <v>12724.608</v>
      </c>
      <c r="AW1058">
        <f t="shared" si="156"/>
        <v>17496.335999999999</v>
      </c>
      <c r="AX1058">
        <f t="shared" si="156"/>
        <v>24388.831999999999</v>
      </c>
      <c r="AY1058">
        <f t="shared" si="156"/>
        <v>42415.360000000001</v>
      </c>
      <c r="AZ1058">
        <f t="shared" si="156"/>
        <v>79528.800000000003</v>
      </c>
      <c r="BA1058">
        <f t="shared" si="156"/>
        <v>132548</v>
      </c>
      <c r="BB1058">
        <f t="shared" si="156"/>
        <v>212076.79999999999</v>
      </c>
      <c r="BC1058">
        <f t="shared" si="154"/>
        <v>530192</v>
      </c>
      <c r="BD1058">
        <f t="shared" si="154"/>
        <v>795288</v>
      </c>
      <c r="BE1058">
        <f t="shared" si="154"/>
        <v>1272460.8</v>
      </c>
      <c r="BF1058">
        <f t="shared" si="154"/>
        <v>1590576</v>
      </c>
      <c r="BG1058">
        <f t="shared" si="154"/>
        <v>5301920</v>
      </c>
      <c r="BH1058">
        <f t="shared" si="154"/>
        <v>15905760</v>
      </c>
      <c r="BI1058">
        <f t="shared" si="154"/>
        <v>45066320</v>
      </c>
      <c r="BJ1058">
        <f t="shared" si="154"/>
        <v>159057600</v>
      </c>
      <c r="BK1058">
        <f t="shared" si="154"/>
        <v>530192000</v>
      </c>
      <c r="BL1058">
        <v>1053</v>
      </c>
    </row>
    <row r="1059" spans="1:64" ht="17.25" thickBot="1" x14ac:dyDescent="0.25">
      <c r="A1059" s="131">
        <v>1055</v>
      </c>
      <c r="B1059" s="135">
        <v>2957695161</v>
      </c>
      <c r="D1059" s="131">
        <v>1055</v>
      </c>
      <c r="E1059" s="132">
        <v>53.174720000000001</v>
      </c>
      <c r="AK1059">
        <v>1053</v>
      </c>
      <c r="AL1059" s="24">
        <f t="shared" si="152"/>
        <v>53.071089999999998</v>
      </c>
      <c r="AM1059">
        <f t="shared" si="156"/>
        <v>371.49762999999996</v>
      </c>
      <c r="AN1059">
        <f t="shared" si="156"/>
        <v>530.71090000000004</v>
      </c>
      <c r="AO1059">
        <f t="shared" si="156"/>
        <v>796.06634999999994</v>
      </c>
      <c r="AP1059">
        <f t="shared" si="156"/>
        <v>1061.4218000000001</v>
      </c>
      <c r="AQ1059">
        <f t="shared" si="156"/>
        <v>1857.4881499999999</v>
      </c>
      <c r="AR1059">
        <f t="shared" si="156"/>
        <v>2653.5544999999997</v>
      </c>
      <c r="AS1059">
        <f t="shared" si="156"/>
        <v>4245.6872000000003</v>
      </c>
      <c r="AT1059">
        <f t="shared" si="156"/>
        <v>6368.5307999999995</v>
      </c>
      <c r="AU1059">
        <f t="shared" si="156"/>
        <v>9022.0852999999988</v>
      </c>
      <c r="AV1059">
        <f t="shared" si="156"/>
        <v>12737.061599999999</v>
      </c>
      <c r="AW1059">
        <f t="shared" si="156"/>
        <v>17513.459699999999</v>
      </c>
      <c r="AX1059">
        <f t="shared" si="156"/>
        <v>24412.701399999998</v>
      </c>
      <c r="AY1059">
        <f t="shared" si="156"/>
        <v>42456.871999999996</v>
      </c>
      <c r="AZ1059">
        <f t="shared" si="156"/>
        <v>79606.634999999995</v>
      </c>
      <c r="BA1059">
        <f t="shared" si="156"/>
        <v>132677.72500000001</v>
      </c>
      <c r="BB1059">
        <f t="shared" si="156"/>
        <v>212284.36</v>
      </c>
      <c r="BC1059">
        <f t="shared" si="154"/>
        <v>530710.9</v>
      </c>
      <c r="BD1059">
        <f t="shared" si="154"/>
        <v>796066.35</v>
      </c>
      <c r="BE1059">
        <f t="shared" si="154"/>
        <v>1273706.1599999999</v>
      </c>
      <c r="BF1059">
        <f t="shared" si="154"/>
        <v>1592132.7</v>
      </c>
      <c r="BG1059">
        <f t="shared" si="154"/>
        <v>5307109</v>
      </c>
      <c r="BH1059">
        <f t="shared" si="154"/>
        <v>15921327</v>
      </c>
      <c r="BI1059">
        <f t="shared" si="154"/>
        <v>45110426.5</v>
      </c>
      <c r="BJ1059">
        <f t="shared" si="154"/>
        <v>159213270</v>
      </c>
      <c r="BK1059">
        <f t="shared" si="154"/>
        <v>530710900</v>
      </c>
      <c r="BL1059">
        <v>1054</v>
      </c>
    </row>
    <row r="1060" spans="1:64" ht="17.25" thickBot="1" x14ac:dyDescent="0.25">
      <c r="A1060" s="131">
        <v>1056</v>
      </c>
      <c r="B1060" s="135">
        <v>2973654927</v>
      </c>
      <c r="D1060" s="131">
        <v>1056</v>
      </c>
      <c r="E1060" s="132">
        <v>53.226469999999999</v>
      </c>
      <c r="AK1060">
        <v>1054</v>
      </c>
      <c r="AL1060" s="24">
        <f t="shared" si="152"/>
        <v>53.122929999999997</v>
      </c>
      <c r="AM1060">
        <f t="shared" si="156"/>
        <v>371.86050999999998</v>
      </c>
      <c r="AN1060">
        <f t="shared" si="156"/>
        <v>531.22929999999997</v>
      </c>
      <c r="AO1060">
        <f t="shared" si="156"/>
        <v>796.84394999999995</v>
      </c>
      <c r="AP1060">
        <f t="shared" si="156"/>
        <v>1062.4585999999999</v>
      </c>
      <c r="AQ1060">
        <f t="shared" si="156"/>
        <v>1859.3025499999999</v>
      </c>
      <c r="AR1060">
        <f t="shared" si="156"/>
        <v>2656.1464999999998</v>
      </c>
      <c r="AS1060">
        <f t="shared" si="156"/>
        <v>4249.8343999999997</v>
      </c>
      <c r="AT1060">
        <f t="shared" si="156"/>
        <v>6374.7515999999996</v>
      </c>
      <c r="AU1060">
        <f t="shared" si="156"/>
        <v>9030.8980999999985</v>
      </c>
      <c r="AV1060">
        <f t="shared" si="156"/>
        <v>12749.503199999999</v>
      </c>
      <c r="AW1060">
        <f t="shared" si="156"/>
        <v>17530.566899999998</v>
      </c>
      <c r="AX1060">
        <f t="shared" si="156"/>
        <v>24436.5478</v>
      </c>
      <c r="AY1060">
        <f t="shared" si="156"/>
        <v>42498.343999999997</v>
      </c>
      <c r="AZ1060">
        <f t="shared" si="156"/>
        <v>79684.39499999999</v>
      </c>
      <c r="BA1060">
        <f t="shared" si="156"/>
        <v>132807.32499999998</v>
      </c>
      <c r="BB1060">
        <f t="shared" si="156"/>
        <v>212491.71999999997</v>
      </c>
      <c r="BC1060">
        <f t="shared" si="154"/>
        <v>531229.29999999993</v>
      </c>
      <c r="BD1060">
        <f t="shared" si="154"/>
        <v>796843.95</v>
      </c>
      <c r="BE1060">
        <f t="shared" si="154"/>
        <v>1274950.3199999998</v>
      </c>
      <c r="BF1060">
        <f t="shared" si="154"/>
        <v>1593687.9</v>
      </c>
      <c r="BG1060">
        <f t="shared" si="154"/>
        <v>5312293</v>
      </c>
      <c r="BH1060">
        <f t="shared" si="154"/>
        <v>15936878.999999998</v>
      </c>
      <c r="BI1060">
        <f t="shared" si="154"/>
        <v>45154490.5</v>
      </c>
      <c r="BJ1060">
        <f t="shared" si="154"/>
        <v>159368790</v>
      </c>
      <c r="BK1060">
        <f t="shared" si="154"/>
        <v>531229299.99999994</v>
      </c>
      <c r="BL1060">
        <v>1055</v>
      </c>
    </row>
    <row r="1061" spans="1:64" ht="17.25" thickBot="1" x14ac:dyDescent="0.25">
      <c r="A1061" s="131">
        <v>1057</v>
      </c>
      <c r="B1061" s="135">
        <v>2989684183</v>
      </c>
      <c r="D1061" s="131">
        <v>1057</v>
      </c>
      <c r="E1061" s="132">
        <v>53.278170000000003</v>
      </c>
      <c r="AK1061">
        <v>1055</v>
      </c>
      <c r="AL1061" s="24">
        <f t="shared" si="152"/>
        <v>53.174720000000001</v>
      </c>
      <c r="AM1061">
        <f t="shared" si="156"/>
        <v>372.22304000000003</v>
      </c>
      <c r="AN1061">
        <f t="shared" si="156"/>
        <v>531.74720000000002</v>
      </c>
      <c r="AO1061">
        <f t="shared" si="156"/>
        <v>797.62080000000003</v>
      </c>
      <c r="AP1061">
        <f t="shared" si="156"/>
        <v>1063.4944</v>
      </c>
      <c r="AQ1061">
        <f t="shared" si="156"/>
        <v>1861.1152</v>
      </c>
      <c r="AR1061">
        <f t="shared" si="156"/>
        <v>2658.7359999999999</v>
      </c>
      <c r="AS1061">
        <f t="shared" si="156"/>
        <v>4253.9776000000002</v>
      </c>
      <c r="AT1061">
        <f t="shared" si="156"/>
        <v>6380.9664000000002</v>
      </c>
      <c r="AU1061">
        <f t="shared" si="156"/>
        <v>9039.7024000000001</v>
      </c>
      <c r="AV1061">
        <f t="shared" si="156"/>
        <v>12761.9328</v>
      </c>
      <c r="AW1061">
        <f t="shared" si="156"/>
        <v>17547.657599999999</v>
      </c>
      <c r="AX1061">
        <f t="shared" si="156"/>
        <v>24460.371200000001</v>
      </c>
      <c r="AY1061">
        <f t="shared" si="156"/>
        <v>42539.775999999998</v>
      </c>
      <c r="AZ1061">
        <f t="shared" si="156"/>
        <v>79762.080000000002</v>
      </c>
      <c r="BA1061">
        <f t="shared" si="156"/>
        <v>132936.79999999999</v>
      </c>
      <c r="BB1061">
        <f t="shared" si="156"/>
        <v>212698.88</v>
      </c>
      <c r="BC1061">
        <f t="shared" si="154"/>
        <v>531747.19999999995</v>
      </c>
      <c r="BD1061">
        <f t="shared" si="154"/>
        <v>797620.8</v>
      </c>
      <c r="BE1061">
        <f t="shared" si="154"/>
        <v>1276193.28</v>
      </c>
      <c r="BF1061">
        <f t="shared" si="154"/>
        <v>1595241.6</v>
      </c>
      <c r="BG1061">
        <f t="shared" si="154"/>
        <v>5317472</v>
      </c>
      <c r="BH1061">
        <f t="shared" si="154"/>
        <v>15952416</v>
      </c>
      <c r="BI1061">
        <f t="shared" si="154"/>
        <v>45198512</v>
      </c>
      <c r="BJ1061">
        <f t="shared" si="154"/>
        <v>159524160</v>
      </c>
      <c r="BK1061">
        <f t="shared" si="154"/>
        <v>531747200</v>
      </c>
      <c r="BL1061">
        <v>1056</v>
      </c>
    </row>
    <row r="1062" spans="1:64" ht="17.25" thickBot="1" x14ac:dyDescent="0.25">
      <c r="A1062" s="131">
        <v>1058</v>
      </c>
      <c r="B1062" s="135">
        <v>3005783150</v>
      </c>
      <c r="D1062" s="131">
        <v>1058</v>
      </c>
      <c r="E1062" s="132">
        <v>53.329819999999998</v>
      </c>
      <c r="AK1062">
        <v>1056</v>
      </c>
      <c r="AL1062" s="24">
        <f t="shared" si="152"/>
        <v>53.226469999999999</v>
      </c>
      <c r="AM1062">
        <f t="shared" si="156"/>
        <v>372.58528999999999</v>
      </c>
      <c r="AN1062">
        <f t="shared" si="156"/>
        <v>532.26469999999995</v>
      </c>
      <c r="AO1062">
        <f t="shared" si="156"/>
        <v>798.39705000000004</v>
      </c>
      <c r="AP1062">
        <f t="shared" si="156"/>
        <v>1064.5293999999999</v>
      </c>
      <c r="AQ1062">
        <f t="shared" si="156"/>
        <v>1862.9264499999999</v>
      </c>
      <c r="AR1062">
        <f t="shared" si="156"/>
        <v>2661.3235</v>
      </c>
      <c r="AS1062">
        <f t="shared" si="156"/>
        <v>4258.1175999999996</v>
      </c>
      <c r="AT1062">
        <f t="shared" si="156"/>
        <v>6387.1764000000003</v>
      </c>
      <c r="AU1062">
        <f t="shared" si="156"/>
        <v>9048.4999000000007</v>
      </c>
      <c r="AV1062">
        <f t="shared" si="156"/>
        <v>12774.352800000001</v>
      </c>
      <c r="AW1062">
        <f t="shared" si="156"/>
        <v>17564.735099999998</v>
      </c>
      <c r="AX1062">
        <f t="shared" si="156"/>
        <v>24484.176199999998</v>
      </c>
      <c r="AY1062">
        <f t="shared" si="156"/>
        <v>42581.175999999999</v>
      </c>
      <c r="AZ1062">
        <f t="shared" si="156"/>
        <v>79839.705000000002</v>
      </c>
      <c r="BA1062">
        <f t="shared" si="156"/>
        <v>133066.17499999999</v>
      </c>
      <c r="BB1062">
        <f t="shared" si="156"/>
        <v>212905.88</v>
      </c>
      <c r="BC1062">
        <f t="shared" si="154"/>
        <v>532264.69999999995</v>
      </c>
      <c r="BD1062">
        <f t="shared" si="154"/>
        <v>798397.04999999993</v>
      </c>
      <c r="BE1062">
        <f t="shared" ref="BC1062:BK1090" si="157">BE$5*VLOOKUP($AK1062,$D$2:$E$1404,2,FALSE)</f>
        <v>1277435.28</v>
      </c>
      <c r="BF1062">
        <f t="shared" si="157"/>
        <v>1596794.0999999999</v>
      </c>
      <c r="BG1062">
        <f t="shared" si="157"/>
        <v>5322647</v>
      </c>
      <c r="BH1062">
        <f t="shared" si="157"/>
        <v>15967941</v>
      </c>
      <c r="BI1062">
        <f t="shared" si="157"/>
        <v>45242499.5</v>
      </c>
      <c r="BJ1062">
        <f t="shared" si="157"/>
        <v>159679410</v>
      </c>
      <c r="BK1062">
        <f t="shared" si="157"/>
        <v>532264700</v>
      </c>
      <c r="BL1062">
        <v>1057</v>
      </c>
    </row>
    <row r="1063" spans="1:64" ht="17.25" thickBot="1" x14ac:dyDescent="0.25">
      <c r="A1063" s="131">
        <v>1059</v>
      </c>
      <c r="B1063" s="135">
        <v>3021952050</v>
      </c>
      <c r="D1063" s="131">
        <v>1059</v>
      </c>
      <c r="E1063" s="132">
        <v>53.381419999999999</v>
      </c>
      <c r="AK1063">
        <v>1057</v>
      </c>
      <c r="AL1063" s="24">
        <f t="shared" si="152"/>
        <v>53.278170000000003</v>
      </c>
      <c r="AM1063">
        <f t="shared" si="156"/>
        <v>372.94719000000003</v>
      </c>
      <c r="AN1063">
        <f t="shared" si="156"/>
        <v>532.7817</v>
      </c>
      <c r="AO1063">
        <f t="shared" si="156"/>
        <v>799.17255</v>
      </c>
      <c r="AP1063">
        <f t="shared" si="156"/>
        <v>1065.5634</v>
      </c>
      <c r="AQ1063">
        <f t="shared" si="156"/>
        <v>1864.73595</v>
      </c>
      <c r="AR1063">
        <f t="shared" si="156"/>
        <v>2663.9085</v>
      </c>
      <c r="AS1063">
        <f t="shared" si="156"/>
        <v>4262.2536</v>
      </c>
      <c r="AT1063">
        <f t="shared" si="156"/>
        <v>6393.3804</v>
      </c>
      <c r="AU1063">
        <f t="shared" si="156"/>
        <v>9057.2889000000014</v>
      </c>
      <c r="AV1063">
        <f t="shared" si="156"/>
        <v>12786.7608</v>
      </c>
      <c r="AW1063">
        <f t="shared" si="156"/>
        <v>17581.7961</v>
      </c>
      <c r="AX1063">
        <f t="shared" si="156"/>
        <v>24507.958200000001</v>
      </c>
      <c r="AY1063">
        <f t="shared" si="156"/>
        <v>42622.536</v>
      </c>
      <c r="AZ1063">
        <f t="shared" si="156"/>
        <v>79917.255000000005</v>
      </c>
      <c r="BA1063">
        <f t="shared" si="156"/>
        <v>133195.42500000002</v>
      </c>
      <c r="BB1063">
        <f t="shared" si="156"/>
        <v>213112.68000000002</v>
      </c>
      <c r="BC1063">
        <f t="shared" si="157"/>
        <v>532781.70000000007</v>
      </c>
      <c r="BD1063">
        <f t="shared" si="157"/>
        <v>799172.55</v>
      </c>
      <c r="BE1063">
        <f t="shared" si="157"/>
        <v>1278676.08</v>
      </c>
      <c r="BF1063">
        <f t="shared" si="157"/>
        <v>1598345.1</v>
      </c>
      <c r="BG1063">
        <f t="shared" si="157"/>
        <v>5327817</v>
      </c>
      <c r="BH1063">
        <f t="shared" si="157"/>
        <v>15983451</v>
      </c>
      <c r="BI1063">
        <f t="shared" si="157"/>
        <v>45286444.5</v>
      </c>
      <c r="BJ1063">
        <f t="shared" si="157"/>
        <v>159834510</v>
      </c>
      <c r="BK1063">
        <f t="shared" si="157"/>
        <v>532781700</v>
      </c>
      <c r="BL1063">
        <v>1058</v>
      </c>
    </row>
    <row r="1064" spans="1:64" ht="17.25" thickBot="1" x14ac:dyDescent="0.25">
      <c r="A1064" s="131">
        <v>1060</v>
      </c>
      <c r="B1064" s="135">
        <v>3038191105</v>
      </c>
      <c r="D1064" s="131">
        <v>1060</v>
      </c>
      <c r="E1064" s="132">
        <v>53.432969999999997</v>
      </c>
      <c r="AK1064">
        <v>1058</v>
      </c>
      <c r="AL1064" s="24">
        <f t="shared" si="152"/>
        <v>53.329819999999998</v>
      </c>
      <c r="AM1064">
        <f t="shared" si="156"/>
        <v>373.30874</v>
      </c>
      <c r="AN1064">
        <f t="shared" si="156"/>
        <v>533.29819999999995</v>
      </c>
      <c r="AO1064">
        <f t="shared" si="156"/>
        <v>799.94729999999993</v>
      </c>
      <c r="AP1064">
        <f t="shared" si="156"/>
        <v>1066.5963999999999</v>
      </c>
      <c r="AQ1064">
        <f t="shared" si="156"/>
        <v>1866.5436999999999</v>
      </c>
      <c r="AR1064">
        <f t="shared" si="156"/>
        <v>2666.491</v>
      </c>
      <c r="AS1064">
        <f t="shared" si="156"/>
        <v>4266.3855999999996</v>
      </c>
      <c r="AT1064">
        <f t="shared" si="156"/>
        <v>6399.5783999999994</v>
      </c>
      <c r="AU1064">
        <f t="shared" si="156"/>
        <v>9066.0694000000003</v>
      </c>
      <c r="AV1064">
        <f t="shared" si="156"/>
        <v>12799.156799999999</v>
      </c>
      <c r="AW1064">
        <f t="shared" si="156"/>
        <v>17598.8406</v>
      </c>
      <c r="AX1064">
        <f t="shared" si="156"/>
        <v>24531.717199999999</v>
      </c>
      <c r="AY1064">
        <f t="shared" si="156"/>
        <v>42663.856</v>
      </c>
      <c r="AZ1064">
        <f t="shared" si="156"/>
        <v>79994.73</v>
      </c>
      <c r="BA1064">
        <f t="shared" si="156"/>
        <v>133324.54999999999</v>
      </c>
      <c r="BB1064">
        <f t="shared" si="156"/>
        <v>213319.28</v>
      </c>
      <c r="BC1064">
        <f t="shared" si="157"/>
        <v>533298.19999999995</v>
      </c>
      <c r="BD1064">
        <f t="shared" si="157"/>
        <v>799947.29999999993</v>
      </c>
      <c r="BE1064">
        <f t="shared" si="157"/>
        <v>1279915.68</v>
      </c>
      <c r="BF1064">
        <f t="shared" si="157"/>
        <v>1599894.5999999999</v>
      </c>
      <c r="BG1064">
        <f t="shared" si="157"/>
        <v>5332982</v>
      </c>
      <c r="BH1064">
        <f t="shared" si="157"/>
        <v>15998946</v>
      </c>
      <c r="BI1064">
        <f t="shared" si="157"/>
        <v>45330347</v>
      </c>
      <c r="BJ1064">
        <f t="shared" si="157"/>
        <v>159989460</v>
      </c>
      <c r="BK1064">
        <f t="shared" si="157"/>
        <v>533298200</v>
      </c>
      <c r="BL1064">
        <v>1059</v>
      </c>
    </row>
    <row r="1065" spans="1:64" ht="17.25" thickBot="1" x14ac:dyDescent="0.25">
      <c r="A1065" s="131">
        <v>1061</v>
      </c>
      <c r="B1065" s="135">
        <v>3054500544</v>
      </c>
      <c r="D1065" s="131">
        <v>1061</v>
      </c>
      <c r="E1065" s="132">
        <v>53.484470000000002</v>
      </c>
      <c r="AK1065">
        <v>1059</v>
      </c>
      <c r="AL1065" s="24">
        <f t="shared" si="152"/>
        <v>53.381419999999999</v>
      </c>
      <c r="AM1065">
        <f t="shared" si="156"/>
        <v>373.66994</v>
      </c>
      <c r="AN1065">
        <f t="shared" si="156"/>
        <v>533.81420000000003</v>
      </c>
      <c r="AO1065">
        <f t="shared" si="156"/>
        <v>800.72129999999993</v>
      </c>
      <c r="AP1065">
        <f t="shared" si="156"/>
        <v>1067.6284000000001</v>
      </c>
      <c r="AQ1065">
        <f t="shared" si="156"/>
        <v>1868.3497</v>
      </c>
      <c r="AR1065">
        <f t="shared" si="156"/>
        <v>2669.0709999999999</v>
      </c>
      <c r="AS1065">
        <f t="shared" si="156"/>
        <v>4270.5136000000002</v>
      </c>
      <c r="AT1065">
        <f t="shared" si="156"/>
        <v>6405.7703999999994</v>
      </c>
      <c r="AU1065">
        <f t="shared" si="156"/>
        <v>9074.8413999999993</v>
      </c>
      <c r="AV1065">
        <f t="shared" si="156"/>
        <v>12811.540799999999</v>
      </c>
      <c r="AW1065">
        <f t="shared" si="156"/>
        <v>17615.868599999998</v>
      </c>
      <c r="AX1065">
        <f t="shared" si="156"/>
        <v>24555.4532</v>
      </c>
      <c r="AY1065">
        <f t="shared" si="156"/>
        <v>42705.135999999999</v>
      </c>
      <c r="AZ1065">
        <f t="shared" si="156"/>
        <v>80072.13</v>
      </c>
      <c r="BA1065">
        <f t="shared" si="156"/>
        <v>133453.54999999999</v>
      </c>
      <c r="BB1065">
        <f t="shared" si="156"/>
        <v>213525.68</v>
      </c>
      <c r="BC1065">
        <f t="shared" si="157"/>
        <v>533814.19999999995</v>
      </c>
      <c r="BD1065">
        <f t="shared" si="157"/>
        <v>800721.29999999993</v>
      </c>
      <c r="BE1065">
        <f t="shared" si="157"/>
        <v>1281154.08</v>
      </c>
      <c r="BF1065">
        <f t="shared" si="157"/>
        <v>1601442.5999999999</v>
      </c>
      <c r="BG1065">
        <f t="shared" si="157"/>
        <v>5338142</v>
      </c>
      <c r="BH1065">
        <f t="shared" si="157"/>
        <v>16014426</v>
      </c>
      <c r="BI1065">
        <f t="shared" si="157"/>
        <v>45374207</v>
      </c>
      <c r="BJ1065">
        <f t="shared" si="157"/>
        <v>160144260</v>
      </c>
      <c r="BK1065">
        <f t="shared" si="157"/>
        <v>533814200</v>
      </c>
      <c r="BL1065">
        <v>1060</v>
      </c>
    </row>
    <row r="1066" spans="1:64" ht="17.25" thickBot="1" x14ac:dyDescent="0.25">
      <c r="A1066" s="131">
        <v>1062</v>
      </c>
      <c r="B1066" s="135">
        <v>3070880588</v>
      </c>
      <c r="D1066" s="131">
        <v>1062</v>
      </c>
      <c r="E1066" s="132">
        <v>53.535919999999997</v>
      </c>
      <c r="AK1066">
        <v>1060</v>
      </c>
      <c r="AL1066" s="24">
        <f t="shared" si="152"/>
        <v>53.432969999999997</v>
      </c>
      <c r="AM1066">
        <f t="shared" si="156"/>
        <v>374.03078999999997</v>
      </c>
      <c r="AN1066">
        <f t="shared" si="156"/>
        <v>534.3297</v>
      </c>
      <c r="AO1066">
        <f t="shared" si="156"/>
        <v>801.49455</v>
      </c>
      <c r="AP1066">
        <f t="shared" si="156"/>
        <v>1068.6594</v>
      </c>
      <c r="AQ1066">
        <f t="shared" si="156"/>
        <v>1870.1539499999999</v>
      </c>
      <c r="AR1066">
        <f t="shared" si="156"/>
        <v>2671.6484999999998</v>
      </c>
      <c r="AS1066">
        <f t="shared" si="156"/>
        <v>4274.6376</v>
      </c>
      <c r="AT1066">
        <f t="shared" si="156"/>
        <v>6411.9564</v>
      </c>
      <c r="AU1066">
        <f t="shared" si="156"/>
        <v>9083.6049000000003</v>
      </c>
      <c r="AV1066">
        <f t="shared" si="156"/>
        <v>12823.9128</v>
      </c>
      <c r="AW1066">
        <f t="shared" si="156"/>
        <v>17632.880099999998</v>
      </c>
      <c r="AX1066">
        <f t="shared" si="156"/>
        <v>24579.1662</v>
      </c>
      <c r="AY1066">
        <f t="shared" si="156"/>
        <v>42746.375999999997</v>
      </c>
      <c r="AZ1066">
        <f t="shared" si="156"/>
        <v>80149.455000000002</v>
      </c>
      <c r="BA1066">
        <f t="shared" si="156"/>
        <v>133582.42499999999</v>
      </c>
      <c r="BB1066">
        <f t="shared" si="156"/>
        <v>213731.87999999998</v>
      </c>
      <c r="BC1066">
        <f t="shared" si="157"/>
        <v>534329.69999999995</v>
      </c>
      <c r="BD1066">
        <f t="shared" si="157"/>
        <v>801494.54999999993</v>
      </c>
      <c r="BE1066">
        <f t="shared" si="157"/>
        <v>1282391.28</v>
      </c>
      <c r="BF1066">
        <f t="shared" si="157"/>
        <v>1602989.0999999999</v>
      </c>
      <c r="BG1066">
        <f t="shared" si="157"/>
        <v>5343297</v>
      </c>
      <c r="BH1066">
        <f t="shared" si="157"/>
        <v>16029891</v>
      </c>
      <c r="BI1066">
        <f t="shared" si="157"/>
        <v>45418024.5</v>
      </c>
      <c r="BJ1066">
        <f t="shared" si="157"/>
        <v>160298910</v>
      </c>
      <c r="BK1066">
        <f t="shared" si="157"/>
        <v>534329700</v>
      </c>
      <c r="BL1066">
        <v>1061</v>
      </c>
    </row>
    <row r="1067" spans="1:64" ht="17.25" thickBot="1" x14ac:dyDescent="0.25">
      <c r="A1067" s="131">
        <v>1063</v>
      </c>
      <c r="B1067" s="135">
        <v>3087331466</v>
      </c>
      <c r="D1067" s="131">
        <v>1063</v>
      </c>
      <c r="E1067" s="132">
        <v>53.587330000000001</v>
      </c>
      <c r="AK1067">
        <v>1061</v>
      </c>
      <c r="AL1067" s="24">
        <f t="shared" si="152"/>
        <v>53.484470000000002</v>
      </c>
      <c r="AM1067">
        <f t="shared" si="156"/>
        <v>374.39129000000003</v>
      </c>
      <c r="AN1067">
        <f t="shared" si="156"/>
        <v>534.84469999999999</v>
      </c>
      <c r="AO1067">
        <f t="shared" si="156"/>
        <v>802.26705000000004</v>
      </c>
      <c r="AP1067">
        <f t="shared" si="156"/>
        <v>1069.6894</v>
      </c>
      <c r="AQ1067">
        <f t="shared" si="156"/>
        <v>1871.9564500000001</v>
      </c>
      <c r="AR1067">
        <f t="shared" si="156"/>
        <v>2674.2235000000001</v>
      </c>
      <c r="AS1067">
        <f t="shared" si="156"/>
        <v>4278.7575999999999</v>
      </c>
      <c r="AT1067">
        <f t="shared" si="156"/>
        <v>6418.1364000000003</v>
      </c>
      <c r="AU1067">
        <f t="shared" si="156"/>
        <v>9092.3598999999995</v>
      </c>
      <c r="AV1067">
        <f t="shared" si="156"/>
        <v>12836.272800000001</v>
      </c>
      <c r="AW1067">
        <f t="shared" si="156"/>
        <v>17649.875100000001</v>
      </c>
      <c r="AX1067">
        <f t="shared" si="156"/>
        <v>24602.856200000002</v>
      </c>
      <c r="AY1067">
        <f t="shared" si="156"/>
        <v>42787.576000000001</v>
      </c>
      <c r="AZ1067">
        <f t="shared" si="156"/>
        <v>80226.705000000002</v>
      </c>
      <c r="BA1067">
        <f t="shared" si="156"/>
        <v>133711.17500000002</v>
      </c>
      <c r="BB1067">
        <f t="shared" si="156"/>
        <v>213937.88</v>
      </c>
      <c r="BC1067">
        <f t="shared" si="157"/>
        <v>534844.70000000007</v>
      </c>
      <c r="BD1067">
        <f t="shared" si="157"/>
        <v>802267.05</v>
      </c>
      <c r="BE1067">
        <f t="shared" si="157"/>
        <v>1283627.28</v>
      </c>
      <c r="BF1067">
        <f t="shared" si="157"/>
        <v>1604534.1</v>
      </c>
      <c r="BG1067">
        <f t="shared" si="157"/>
        <v>5348447</v>
      </c>
      <c r="BH1067">
        <f t="shared" si="157"/>
        <v>16045341</v>
      </c>
      <c r="BI1067">
        <f t="shared" si="157"/>
        <v>45461799.5</v>
      </c>
      <c r="BJ1067">
        <f t="shared" si="157"/>
        <v>160453410</v>
      </c>
      <c r="BK1067">
        <f t="shared" si="157"/>
        <v>534844700</v>
      </c>
      <c r="BL1067">
        <v>1062</v>
      </c>
    </row>
    <row r="1068" spans="1:64" ht="17.25" thickBot="1" x14ac:dyDescent="0.25">
      <c r="A1068" s="131">
        <v>1064</v>
      </c>
      <c r="B1068" s="135">
        <v>3103853400</v>
      </c>
      <c r="D1068" s="131">
        <v>1064</v>
      </c>
      <c r="E1068" s="132">
        <v>53.638689999999997</v>
      </c>
      <c r="AK1068">
        <v>1062</v>
      </c>
      <c r="AL1068" s="24">
        <f t="shared" si="152"/>
        <v>53.535919999999997</v>
      </c>
      <c r="AM1068">
        <f t="shared" si="156"/>
        <v>374.75144</v>
      </c>
      <c r="AN1068">
        <f t="shared" si="156"/>
        <v>535.35919999999999</v>
      </c>
      <c r="AO1068">
        <f t="shared" si="156"/>
        <v>803.03879999999992</v>
      </c>
      <c r="AP1068">
        <f t="shared" si="156"/>
        <v>1070.7184</v>
      </c>
      <c r="AQ1068">
        <f t="shared" si="156"/>
        <v>1873.7572</v>
      </c>
      <c r="AR1068">
        <f t="shared" si="156"/>
        <v>2676.7959999999998</v>
      </c>
      <c r="AS1068">
        <f t="shared" si="156"/>
        <v>4282.8735999999999</v>
      </c>
      <c r="AT1068">
        <f t="shared" si="156"/>
        <v>6424.3103999999994</v>
      </c>
      <c r="AU1068">
        <f t="shared" si="156"/>
        <v>9101.1063999999988</v>
      </c>
      <c r="AV1068">
        <f t="shared" si="156"/>
        <v>12848.620799999999</v>
      </c>
      <c r="AW1068">
        <f t="shared" si="156"/>
        <v>17666.853599999999</v>
      </c>
      <c r="AX1068">
        <f t="shared" si="156"/>
        <v>24626.5232</v>
      </c>
      <c r="AY1068">
        <f t="shared" si="156"/>
        <v>42828.735999999997</v>
      </c>
      <c r="AZ1068">
        <f t="shared" si="156"/>
        <v>80303.87999999999</v>
      </c>
      <c r="BA1068">
        <f t="shared" si="156"/>
        <v>133839.79999999999</v>
      </c>
      <c r="BB1068">
        <f t="shared" si="156"/>
        <v>214143.68</v>
      </c>
      <c r="BC1068">
        <f t="shared" si="157"/>
        <v>535359.19999999995</v>
      </c>
      <c r="BD1068">
        <f t="shared" si="157"/>
        <v>803038.79999999993</v>
      </c>
      <c r="BE1068">
        <f t="shared" si="157"/>
        <v>1284862.0799999998</v>
      </c>
      <c r="BF1068">
        <f t="shared" si="157"/>
        <v>1606077.5999999999</v>
      </c>
      <c r="BG1068">
        <f t="shared" si="157"/>
        <v>5353592</v>
      </c>
      <c r="BH1068">
        <f t="shared" si="157"/>
        <v>16060776</v>
      </c>
      <c r="BI1068">
        <f t="shared" si="157"/>
        <v>45505532</v>
      </c>
      <c r="BJ1068">
        <f t="shared" si="157"/>
        <v>160607760</v>
      </c>
      <c r="BK1068">
        <f t="shared" si="157"/>
        <v>535359200</v>
      </c>
      <c r="BL1068">
        <v>1063</v>
      </c>
    </row>
    <row r="1069" spans="1:64" ht="17.25" thickBot="1" x14ac:dyDescent="0.25">
      <c r="A1069" s="131">
        <v>1065</v>
      </c>
      <c r="B1069" s="135">
        <v>3120446616</v>
      </c>
      <c r="D1069" s="131">
        <v>1065</v>
      </c>
      <c r="E1069" s="132">
        <v>53.69</v>
      </c>
      <c r="AK1069">
        <v>1063</v>
      </c>
      <c r="AL1069" s="24">
        <f t="shared" si="152"/>
        <v>53.587330000000001</v>
      </c>
      <c r="AM1069">
        <f t="shared" si="156"/>
        <v>375.11131</v>
      </c>
      <c r="AN1069">
        <f t="shared" si="156"/>
        <v>535.87329999999997</v>
      </c>
      <c r="AO1069">
        <f t="shared" si="156"/>
        <v>803.80995000000007</v>
      </c>
      <c r="AP1069">
        <f t="shared" si="156"/>
        <v>1071.7465999999999</v>
      </c>
      <c r="AQ1069">
        <f t="shared" si="156"/>
        <v>1875.55655</v>
      </c>
      <c r="AR1069">
        <f t="shared" si="156"/>
        <v>2679.3665000000001</v>
      </c>
      <c r="AS1069">
        <f t="shared" si="156"/>
        <v>4286.9863999999998</v>
      </c>
      <c r="AT1069">
        <f t="shared" si="156"/>
        <v>6430.4796000000006</v>
      </c>
      <c r="AU1069">
        <f t="shared" si="156"/>
        <v>9109.8461000000007</v>
      </c>
      <c r="AV1069">
        <f t="shared" si="156"/>
        <v>12860.959200000001</v>
      </c>
      <c r="AW1069">
        <f t="shared" si="156"/>
        <v>17683.818900000002</v>
      </c>
      <c r="AX1069">
        <f t="shared" si="156"/>
        <v>24650.1718</v>
      </c>
      <c r="AY1069">
        <f t="shared" ref="AM1069:BB1085" si="158">AY$5*VLOOKUP($AK1069,$D$2:$E$1404,2,FALSE)</f>
        <v>42869.864000000001</v>
      </c>
      <c r="AZ1069">
        <f t="shared" si="158"/>
        <v>80380.994999999995</v>
      </c>
      <c r="BA1069">
        <f t="shared" si="158"/>
        <v>133968.32500000001</v>
      </c>
      <c r="BB1069">
        <f t="shared" si="158"/>
        <v>214349.32</v>
      </c>
      <c r="BC1069">
        <f t="shared" si="157"/>
        <v>535873.30000000005</v>
      </c>
      <c r="BD1069">
        <f t="shared" si="157"/>
        <v>803809.95000000007</v>
      </c>
      <c r="BE1069">
        <f t="shared" si="157"/>
        <v>1286095.92</v>
      </c>
      <c r="BF1069">
        <f t="shared" si="157"/>
        <v>1607619.9000000001</v>
      </c>
      <c r="BG1069">
        <f t="shared" si="157"/>
        <v>5358733</v>
      </c>
      <c r="BH1069">
        <f t="shared" si="157"/>
        <v>16076199</v>
      </c>
      <c r="BI1069">
        <f t="shared" si="157"/>
        <v>45549230.5</v>
      </c>
      <c r="BJ1069">
        <f t="shared" si="157"/>
        <v>160761990</v>
      </c>
      <c r="BK1069">
        <f t="shared" si="157"/>
        <v>535873300</v>
      </c>
      <c r="BL1069">
        <v>1064</v>
      </c>
    </row>
    <row r="1070" spans="1:64" ht="17.25" thickBot="1" x14ac:dyDescent="0.25">
      <c r="A1070" s="131">
        <v>1066</v>
      </c>
      <c r="B1070" s="135">
        <v>3137111344</v>
      </c>
      <c r="D1070" s="131">
        <v>1066</v>
      </c>
      <c r="E1070" s="132">
        <v>53.741259999999997</v>
      </c>
      <c r="AK1070">
        <v>1064</v>
      </c>
      <c r="AL1070" s="24">
        <f t="shared" si="152"/>
        <v>53.638689999999997</v>
      </c>
      <c r="AM1070">
        <f t="shared" si="158"/>
        <v>375.47082999999998</v>
      </c>
      <c r="AN1070">
        <f t="shared" si="158"/>
        <v>536.38689999999997</v>
      </c>
      <c r="AO1070">
        <f t="shared" si="158"/>
        <v>804.58034999999995</v>
      </c>
      <c r="AP1070">
        <f t="shared" si="158"/>
        <v>1072.7737999999999</v>
      </c>
      <c r="AQ1070">
        <f t="shared" si="158"/>
        <v>1877.3541499999999</v>
      </c>
      <c r="AR1070">
        <f t="shared" si="158"/>
        <v>2681.9344999999998</v>
      </c>
      <c r="AS1070">
        <f t="shared" si="158"/>
        <v>4291.0951999999997</v>
      </c>
      <c r="AT1070">
        <f t="shared" si="158"/>
        <v>6436.6427999999996</v>
      </c>
      <c r="AU1070">
        <f t="shared" si="158"/>
        <v>9118.577299999999</v>
      </c>
      <c r="AV1070">
        <f t="shared" si="158"/>
        <v>12873.285599999999</v>
      </c>
      <c r="AW1070">
        <f t="shared" si="158"/>
        <v>17700.7677</v>
      </c>
      <c r="AX1070">
        <f t="shared" si="158"/>
        <v>24673.797399999999</v>
      </c>
      <c r="AY1070">
        <f t="shared" si="158"/>
        <v>42910.951999999997</v>
      </c>
      <c r="AZ1070">
        <f t="shared" si="158"/>
        <v>80458.034999999989</v>
      </c>
      <c r="BA1070">
        <f t="shared" si="158"/>
        <v>134096.72500000001</v>
      </c>
      <c r="BB1070">
        <f t="shared" si="158"/>
        <v>214554.75999999998</v>
      </c>
      <c r="BC1070">
        <f t="shared" si="157"/>
        <v>536386.9</v>
      </c>
      <c r="BD1070">
        <f t="shared" si="157"/>
        <v>804580.35</v>
      </c>
      <c r="BE1070">
        <f t="shared" si="157"/>
        <v>1287328.5599999998</v>
      </c>
      <c r="BF1070">
        <f t="shared" si="157"/>
        <v>1609160.7</v>
      </c>
      <c r="BG1070">
        <f t="shared" si="157"/>
        <v>5363869</v>
      </c>
      <c r="BH1070">
        <f t="shared" si="157"/>
        <v>16091606.999999998</v>
      </c>
      <c r="BI1070">
        <f t="shared" si="157"/>
        <v>45592886.5</v>
      </c>
      <c r="BJ1070">
        <f t="shared" si="157"/>
        <v>160916070</v>
      </c>
      <c r="BK1070">
        <f t="shared" si="157"/>
        <v>536386899.99999994</v>
      </c>
      <c r="BL1070">
        <v>1065</v>
      </c>
    </row>
    <row r="1071" spans="1:64" ht="17.25" thickBot="1" x14ac:dyDescent="0.25">
      <c r="A1071" s="131">
        <v>1067</v>
      </c>
      <c r="B1071" s="135">
        <v>3153847811</v>
      </c>
      <c r="D1071" s="131">
        <v>1067</v>
      </c>
      <c r="E1071" s="132">
        <v>53.792479999999998</v>
      </c>
      <c r="AK1071">
        <v>1065</v>
      </c>
      <c r="AL1071" s="24">
        <f t="shared" si="152"/>
        <v>53.69</v>
      </c>
      <c r="AM1071">
        <f t="shared" si="158"/>
        <v>375.83</v>
      </c>
      <c r="AN1071">
        <f t="shared" si="158"/>
        <v>536.9</v>
      </c>
      <c r="AO1071">
        <f t="shared" si="158"/>
        <v>805.34999999999991</v>
      </c>
      <c r="AP1071">
        <f t="shared" si="158"/>
        <v>1073.8</v>
      </c>
      <c r="AQ1071">
        <f t="shared" si="158"/>
        <v>1879.1499999999999</v>
      </c>
      <c r="AR1071">
        <f t="shared" si="158"/>
        <v>2684.5</v>
      </c>
      <c r="AS1071">
        <f t="shared" si="158"/>
        <v>4295.2</v>
      </c>
      <c r="AT1071">
        <f t="shared" si="158"/>
        <v>6442.7999999999993</v>
      </c>
      <c r="AU1071">
        <f t="shared" si="158"/>
        <v>9127.2999999999993</v>
      </c>
      <c r="AV1071">
        <f t="shared" si="158"/>
        <v>12885.599999999999</v>
      </c>
      <c r="AW1071">
        <f t="shared" si="158"/>
        <v>17717.7</v>
      </c>
      <c r="AX1071">
        <f t="shared" si="158"/>
        <v>24697.399999999998</v>
      </c>
      <c r="AY1071">
        <f t="shared" si="158"/>
        <v>42952</v>
      </c>
      <c r="AZ1071">
        <f t="shared" si="158"/>
        <v>80535</v>
      </c>
      <c r="BA1071">
        <f t="shared" si="158"/>
        <v>134225</v>
      </c>
      <c r="BB1071">
        <f t="shared" si="158"/>
        <v>214760</v>
      </c>
      <c r="BC1071">
        <f t="shared" si="157"/>
        <v>536900</v>
      </c>
      <c r="BD1071">
        <f t="shared" si="157"/>
        <v>805350</v>
      </c>
      <c r="BE1071">
        <f t="shared" si="157"/>
        <v>1288560</v>
      </c>
      <c r="BF1071">
        <f t="shared" si="157"/>
        <v>1610700</v>
      </c>
      <c r="BG1071">
        <f t="shared" si="157"/>
        <v>5369000</v>
      </c>
      <c r="BH1071">
        <f t="shared" si="157"/>
        <v>16107000</v>
      </c>
      <c r="BI1071">
        <f t="shared" si="157"/>
        <v>45636500</v>
      </c>
      <c r="BJ1071">
        <f t="shared" si="157"/>
        <v>161070000</v>
      </c>
      <c r="BK1071">
        <f t="shared" si="157"/>
        <v>536900000</v>
      </c>
      <c r="BL1071">
        <v>1066</v>
      </c>
    </row>
    <row r="1072" spans="1:64" ht="17.25" thickBot="1" x14ac:dyDescent="0.25">
      <c r="A1072" s="131">
        <v>1068</v>
      </c>
      <c r="B1072" s="135">
        <v>3170656244</v>
      </c>
      <c r="D1072" s="131">
        <v>1068</v>
      </c>
      <c r="E1072" s="132">
        <v>53.843649999999997</v>
      </c>
      <c r="AK1072">
        <v>1066</v>
      </c>
      <c r="AL1072" s="24">
        <f t="shared" si="152"/>
        <v>53.741259999999997</v>
      </c>
      <c r="AM1072">
        <f t="shared" si="158"/>
        <v>376.18881999999996</v>
      </c>
      <c r="AN1072">
        <f t="shared" si="158"/>
        <v>537.4126</v>
      </c>
      <c r="AO1072">
        <f t="shared" si="158"/>
        <v>806.11889999999994</v>
      </c>
      <c r="AP1072">
        <f t="shared" si="158"/>
        <v>1074.8252</v>
      </c>
      <c r="AQ1072">
        <f t="shared" si="158"/>
        <v>1880.9440999999999</v>
      </c>
      <c r="AR1072">
        <f t="shared" si="158"/>
        <v>2687.0629999999996</v>
      </c>
      <c r="AS1072">
        <f t="shared" si="158"/>
        <v>4299.3008</v>
      </c>
      <c r="AT1072">
        <f t="shared" si="158"/>
        <v>6448.9511999999995</v>
      </c>
      <c r="AU1072">
        <f t="shared" si="158"/>
        <v>9136.0141999999996</v>
      </c>
      <c r="AV1072">
        <f t="shared" si="158"/>
        <v>12897.902399999999</v>
      </c>
      <c r="AW1072">
        <f t="shared" si="158"/>
        <v>17734.6158</v>
      </c>
      <c r="AX1072">
        <f t="shared" si="158"/>
        <v>24720.979599999999</v>
      </c>
      <c r="AY1072">
        <f t="shared" si="158"/>
        <v>42993.007999999994</v>
      </c>
      <c r="AZ1072">
        <f t="shared" si="158"/>
        <v>80611.89</v>
      </c>
      <c r="BA1072">
        <f t="shared" si="158"/>
        <v>134353.15</v>
      </c>
      <c r="BB1072">
        <f t="shared" si="158"/>
        <v>214965.03999999998</v>
      </c>
      <c r="BC1072">
        <f t="shared" si="157"/>
        <v>537412.6</v>
      </c>
      <c r="BD1072">
        <f t="shared" si="157"/>
        <v>806118.89999999991</v>
      </c>
      <c r="BE1072">
        <f t="shared" si="157"/>
        <v>1289790.24</v>
      </c>
      <c r="BF1072">
        <f t="shared" si="157"/>
        <v>1612237.7999999998</v>
      </c>
      <c r="BG1072">
        <f t="shared" si="157"/>
        <v>5374126</v>
      </c>
      <c r="BH1072">
        <f t="shared" si="157"/>
        <v>16122378</v>
      </c>
      <c r="BI1072">
        <f t="shared" si="157"/>
        <v>45680071</v>
      </c>
      <c r="BJ1072">
        <f t="shared" si="157"/>
        <v>161223780</v>
      </c>
      <c r="BK1072">
        <f t="shared" si="157"/>
        <v>537412600</v>
      </c>
      <c r="BL1072">
        <v>1067</v>
      </c>
    </row>
    <row r="1073" spans="1:64" ht="17.25" thickBot="1" x14ac:dyDescent="0.25">
      <c r="A1073" s="131">
        <v>1069</v>
      </c>
      <c r="B1073" s="135">
        <v>3187536866</v>
      </c>
      <c r="D1073" s="131">
        <v>1069</v>
      </c>
      <c r="E1073" s="132">
        <v>53.894770000000001</v>
      </c>
      <c r="AK1073">
        <v>1067</v>
      </c>
      <c r="AL1073" s="24">
        <f t="shared" si="152"/>
        <v>53.792479999999998</v>
      </c>
      <c r="AM1073">
        <f t="shared" si="158"/>
        <v>376.54735999999997</v>
      </c>
      <c r="AN1073">
        <f t="shared" si="158"/>
        <v>537.9248</v>
      </c>
      <c r="AO1073">
        <f t="shared" si="158"/>
        <v>806.88720000000001</v>
      </c>
      <c r="AP1073">
        <f t="shared" si="158"/>
        <v>1075.8496</v>
      </c>
      <c r="AQ1073">
        <f t="shared" si="158"/>
        <v>1882.7367999999999</v>
      </c>
      <c r="AR1073">
        <f t="shared" si="158"/>
        <v>2689.6239999999998</v>
      </c>
      <c r="AS1073">
        <f t="shared" si="158"/>
        <v>4303.3984</v>
      </c>
      <c r="AT1073">
        <f t="shared" si="158"/>
        <v>6455.0976000000001</v>
      </c>
      <c r="AU1073">
        <f t="shared" si="158"/>
        <v>9144.7215999999989</v>
      </c>
      <c r="AV1073">
        <f t="shared" si="158"/>
        <v>12910.1952</v>
      </c>
      <c r="AW1073">
        <f t="shared" si="158"/>
        <v>17751.518400000001</v>
      </c>
      <c r="AX1073">
        <f t="shared" si="158"/>
        <v>24744.540799999999</v>
      </c>
      <c r="AY1073">
        <f t="shared" si="158"/>
        <v>43033.983999999997</v>
      </c>
      <c r="AZ1073">
        <f t="shared" si="158"/>
        <v>80688.72</v>
      </c>
      <c r="BA1073">
        <f t="shared" si="158"/>
        <v>134481.19999999998</v>
      </c>
      <c r="BB1073">
        <f t="shared" si="158"/>
        <v>215169.91999999998</v>
      </c>
      <c r="BC1073">
        <f t="shared" si="157"/>
        <v>537924.79999999993</v>
      </c>
      <c r="BD1073">
        <f t="shared" si="157"/>
        <v>806887.2</v>
      </c>
      <c r="BE1073">
        <f t="shared" si="157"/>
        <v>1291019.52</v>
      </c>
      <c r="BF1073">
        <f t="shared" si="157"/>
        <v>1613774.4</v>
      </c>
      <c r="BG1073">
        <f t="shared" si="157"/>
        <v>5379248</v>
      </c>
      <c r="BH1073">
        <f t="shared" si="157"/>
        <v>16137744</v>
      </c>
      <c r="BI1073">
        <f t="shared" si="157"/>
        <v>45723608</v>
      </c>
      <c r="BJ1073">
        <f t="shared" si="157"/>
        <v>161377440</v>
      </c>
      <c r="BK1073">
        <f t="shared" si="157"/>
        <v>537924800</v>
      </c>
      <c r="BL1073">
        <v>1068</v>
      </c>
    </row>
    <row r="1074" spans="1:64" ht="17.25" thickBot="1" x14ac:dyDescent="0.25">
      <c r="A1074" s="131">
        <v>1070</v>
      </c>
      <c r="B1074" s="135">
        <v>3204489911</v>
      </c>
      <c r="D1074" s="131">
        <v>1070</v>
      </c>
      <c r="E1074" s="132">
        <v>53.945839999999997</v>
      </c>
      <c r="AK1074">
        <v>1068</v>
      </c>
      <c r="AL1074" s="24">
        <f t="shared" si="152"/>
        <v>53.843649999999997</v>
      </c>
      <c r="AM1074">
        <f t="shared" si="158"/>
        <v>376.90554999999995</v>
      </c>
      <c r="AN1074">
        <f t="shared" si="158"/>
        <v>538.43650000000002</v>
      </c>
      <c r="AO1074">
        <f t="shared" si="158"/>
        <v>807.65474999999992</v>
      </c>
      <c r="AP1074">
        <f t="shared" si="158"/>
        <v>1076.873</v>
      </c>
      <c r="AQ1074">
        <f t="shared" si="158"/>
        <v>1884.52775</v>
      </c>
      <c r="AR1074">
        <f t="shared" si="158"/>
        <v>2692.1824999999999</v>
      </c>
      <c r="AS1074">
        <f t="shared" si="158"/>
        <v>4307.4920000000002</v>
      </c>
      <c r="AT1074">
        <f t="shared" si="158"/>
        <v>6461.2379999999994</v>
      </c>
      <c r="AU1074">
        <f t="shared" si="158"/>
        <v>9153.4205000000002</v>
      </c>
      <c r="AV1074">
        <f t="shared" si="158"/>
        <v>12922.475999999999</v>
      </c>
      <c r="AW1074">
        <f t="shared" si="158"/>
        <v>17768.404500000001</v>
      </c>
      <c r="AX1074">
        <f t="shared" si="158"/>
        <v>24768.078999999998</v>
      </c>
      <c r="AY1074">
        <f t="shared" si="158"/>
        <v>43074.92</v>
      </c>
      <c r="AZ1074">
        <f t="shared" si="158"/>
        <v>80765.474999999991</v>
      </c>
      <c r="BA1074">
        <f t="shared" si="158"/>
        <v>134609.125</v>
      </c>
      <c r="BB1074">
        <f t="shared" si="158"/>
        <v>215374.59999999998</v>
      </c>
      <c r="BC1074">
        <f t="shared" si="157"/>
        <v>538436.5</v>
      </c>
      <c r="BD1074">
        <f t="shared" si="157"/>
        <v>807654.75</v>
      </c>
      <c r="BE1074">
        <f t="shared" si="157"/>
        <v>1292247.5999999999</v>
      </c>
      <c r="BF1074">
        <f t="shared" si="157"/>
        <v>1615309.5</v>
      </c>
      <c r="BG1074">
        <f t="shared" si="157"/>
        <v>5384365</v>
      </c>
      <c r="BH1074">
        <f t="shared" si="157"/>
        <v>16153094.999999998</v>
      </c>
      <c r="BI1074">
        <f t="shared" si="157"/>
        <v>45767102.5</v>
      </c>
      <c r="BJ1074">
        <f t="shared" si="157"/>
        <v>161530950</v>
      </c>
      <c r="BK1074">
        <f t="shared" si="157"/>
        <v>538436500</v>
      </c>
      <c r="BL1074">
        <v>1069</v>
      </c>
    </row>
    <row r="1075" spans="1:64" ht="17.25" thickBot="1" x14ac:dyDescent="0.25">
      <c r="A1075" s="131">
        <v>1071</v>
      </c>
      <c r="B1075" s="135">
        <v>3221515605</v>
      </c>
      <c r="D1075" s="131">
        <v>1071</v>
      </c>
      <c r="E1075" s="132">
        <v>53.996870000000001</v>
      </c>
      <c r="AK1075">
        <v>1069</v>
      </c>
      <c r="AL1075" s="24">
        <f t="shared" si="152"/>
        <v>53.894770000000001</v>
      </c>
      <c r="AM1075">
        <f t="shared" si="158"/>
        <v>377.26339000000002</v>
      </c>
      <c r="AN1075">
        <f t="shared" si="158"/>
        <v>538.94770000000005</v>
      </c>
      <c r="AO1075">
        <f t="shared" si="158"/>
        <v>808.42155000000002</v>
      </c>
      <c r="AP1075">
        <f t="shared" si="158"/>
        <v>1077.8954000000001</v>
      </c>
      <c r="AQ1075">
        <f t="shared" si="158"/>
        <v>1886.3169500000001</v>
      </c>
      <c r="AR1075">
        <f t="shared" si="158"/>
        <v>2694.7384999999999</v>
      </c>
      <c r="AS1075">
        <f t="shared" si="158"/>
        <v>4311.5816000000004</v>
      </c>
      <c r="AT1075">
        <f t="shared" si="158"/>
        <v>6467.3724000000002</v>
      </c>
      <c r="AU1075">
        <f t="shared" si="158"/>
        <v>9162.1108999999997</v>
      </c>
      <c r="AV1075">
        <f t="shared" si="158"/>
        <v>12934.7448</v>
      </c>
      <c r="AW1075">
        <f t="shared" si="158"/>
        <v>17785.274099999999</v>
      </c>
      <c r="AX1075">
        <f t="shared" si="158"/>
        <v>24791.5942</v>
      </c>
      <c r="AY1075">
        <f t="shared" si="158"/>
        <v>43115.815999999999</v>
      </c>
      <c r="AZ1075">
        <f t="shared" si="158"/>
        <v>80842.154999999999</v>
      </c>
      <c r="BA1075">
        <f t="shared" si="158"/>
        <v>134736.92500000002</v>
      </c>
      <c r="BB1075">
        <f t="shared" si="158"/>
        <v>215579.08000000002</v>
      </c>
      <c r="BC1075">
        <f t="shared" si="157"/>
        <v>538947.70000000007</v>
      </c>
      <c r="BD1075">
        <f t="shared" si="157"/>
        <v>808421.55</v>
      </c>
      <c r="BE1075">
        <f t="shared" si="157"/>
        <v>1293474.48</v>
      </c>
      <c r="BF1075">
        <f t="shared" si="157"/>
        <v>1616843.1</v>
      </c>
      <c r="BG1075">
        <f t="shared" si="157"/>
        <v>5389477</v>
      </c>
      <c r="BH1075">
        <f t="shared" si="157"/>
        <v>16168431</v>
      </c>
      <c r="BI1075">
        <f t="shared" si="157"/>
        <v>45810554.5</v>
      </c>
      <c r="BJ1075">
        <f t="shared" si="157"/>
        <v>161684310</v>
      </c>
      <c r="BK1075">
        <f t="shared" si="157"/>
        <v>538947700</v>
      </c>
      <c r="BL1075">
        <v>1070</v>
      </c>
    </row>
    <row r="1076" spans="1:64" ht="17.25" thickBot="1" x14ac:dyDescent="0.25">
      <c r="A1076" s="131">
        <v>1072</v>
      </c>
      <c r="B1076" s="135">
        <v>3238614183</v>
      </c>
      <c r="D1076" s="131">
        <v>1072</v>
      </c>
      <c r="E1076" s="132">
        <v>54.047849999999997</v>
      </c>
      <c r="AK1076">
        <v>1070</v>
      </c>
      <c r="AL1076" s="24">
        <f t="shared" si="152"/>
        <v>53.945839999999997</v>
      </c>
      <c r="AM1076">
        <f t="shared" si="158"/>
        <v>377.62088</v>
      </c>
      <c r="AN1076">
        <f t="shared" si="158"/>
        <v>539.45839999999998</v>
      </c>
      <c r="AO1076">
        <f t="shared" si="158"/>
        <v>809.18759999999997</v>
      </c>
      <c r="AP1076">
        <f t="shared" si="158"/>
        <v>1078.9168</v>
      </c>
      <c r="AQ1076">
        <f t="shared" si="158"/>
        <v>1888.1043999999999</v>
      </c>
      <c r="AR1076">
        <f t="shared" si="158"/>
        <v>2697.2919999999999</v>
      </c>
      <c r="AS1076">
        <f t="shared" si="158"/>
        <v>4315.6671999999999</v>
      </c>
      <c r="AT1076">
        <f t="shared" si="158"/>
        <v>6473.5007999999998</v>
      </c>
      <c r="AU1076">
        <f t="shared" si="158"/>
        <v>9170.7927999999993</v>
      </c>
      <c r="AV1076">
        <f t="shared" si="158"/>
        <v>12947.0016</v>
      </c>
      <c r="AW1076">
        <f t="shared" si="158"/>
        <v>17802.127199999999</v>
      </c>
      <c r="AX1076">
        <f t="shared" si="158"/>
        <v>24815.0864</v>
      </c>
      <c r="AY1076">
        <f t="shared" si="158"/>
        <v>43156.671999999999</v>
      </c>
      <c r="AZ1076">
        <f t="shared" si="158"/>
        <v>80918.759999999995</v>
      </c>
      <c r="BA1076">
        <f t="shared" si="158"/>
        <v>134864.6</v>
      </c>
      <c r="BB1076">
        <f t="shared" si="158"/>
        <v>215783.36</v>
      </c>
      <c r="BC1076">
        <f t="shared" si="157"/>
        <v>539458.4</v>
      </c>
      <c r="BD1076">
        <f t="shared" si="157"/>
        <v>809187.6</v>
      </c>
      <c r="BE1076">
        <f t="shared" si="157"/>
        <v>1294700.1599999999</v>
      </c>
      <c r="BF1076">
        <f t="shared" si="157"/>
        <v>1618375.2</v>
      </c>
      <c r="BG1076">
        <f t="shared" si="157"/>
        <v>5394584</v>
      </c>
      <c r="BH1076">
        <f t="shared" si="157"/>
        <v>16183752</v>
      </c>
      <c r="BI1076">
        <f t="shared" si="157"/>
        <v>45853964</v>
      </c>
      <c r="BJ1076">
        <f t="shared" si="157"/>
        <v>161837520</v>
      </c>
      <c r="BK1076">
        <f t="shared" si="157"/>
        <v>539458400</v>
      </c>
      <c r="BL1076">
        <v>1071</v>
      </c>
    </row>
    <row r="1077" spans="1:64" ht="17.25" thickBot="1" x14ac:dyDescent="0.25">
      <c r="A1077" s="131">
        <v>1073</v>
      </c>
      <c r="B1077" s="135">
        <v>3255785872</v>
      </c>
      <c r="D1077" s="131">
        <v>1073</v>
      </c>
      <c r="E1077" s="132">
        <v>54.098779999999998</v>
      </c>
      <c r="AK1077">
        <v>1071</v>
      </c>
      <c r="AL1077" s="24">
        <f t="shared" si="152"/>
        <v>53.996870000000001</v>
      </c>
      <c r="AM1077">
        <f t="shared" si="158"/>
        <v>377.97809000000001</v>
      </c>
      <c r="AN1077">
        <f t="shared" si="158"/>
        <v>539.96870000000001</v>
      </c>
      <c r="AO1077">
        <f t="shared" si="158"/>
        <v>809.95305000000008</v>
      </c>
      <c r="AP1077">
        <f t="shared" si="158"/>
        <v>1079.9374</v>
      </c>
      <c r="AQ1077">
        <f t="shared" si="158"/>
        <v>1889.8904500000001</v>
      </c>
      <c r="AR1077">
        <f t="shared" si="158"/>
        <v>2699.8434999999999</v>
      </c>
      <c r="AS1077">
        <f t="shared" si="158"/>
        <v>4319.7496000000001</v>
      </c>
      <c r="AT1077">
        <f t="shared" si="158"/>
        <v>6479.6244000000006</v>
      </c>
      <c r="AU1077">
        <f t="shared" si="158"/>
        <v>9179.4678999999996</v>
      </c>
      <c r="AV1077">
        <f t="shared" si="158"/>
        <v>12959.248800000001</v>
      </c>
      <c r="AW1077">
        <f t="shared" si="158"/>
        <v>17818.967100000002</v>
      </c>
      <c r="AX1077">
        <f t="shared" si="158"/>
        <v>24838.5602</v>
      </c>
      <c r="AY1077">
        <f t="shared" si="158"/>
        <v>43197.495999999999</v>
      </c>
      <c r="AZ1077">
        <f t="shared" si="158"/>
        <v>80995.305000000008</v>
      </c>
      <c r="BA1077">
        <f t="shared" si="158"/>
        <v>134992.17500000002</v>
      </c>
      <c r="BB1077">
        <f t="shared" si="158"/>
        <v>215987.48</v>
      </c>
      <c r="BC1077">
        <f t="shared" si="157"/>
        <v>539968.70000000007</v>
      </c>
      <c r="BD1077">
        <f t="shared" si="157"/>
        <v>809953.05</v>
      </c>
      <c r="BE1077">
        <f t="shared" si="157"/>
        <v>1295924.8800000001</v>
      </c>
      <c r="BF1077">
        <f t="shared" si="157"/>
        <v>1619906.1</v>
      </c>
      <c r="BG1077">
        <f t="shared" si="157"/>
        <v>5399687</v>
      </c>
      <c r="BH1077">
        <f t="shared" si="157"/>
        <v>16199061</v>
      </c>
      <c r="BI1077">
        <f t="shared" si="157"/>
        <v>45897339.5</v>
      </c>
      <c r="BJ1077">
        <f t="shared" si="157"/>
        <v>161990610</v>
      </c>
      <c r="BK1077">
        <f t="shared" si="157"/>
        <v>539968700</v>
      </c>
      <c r="BL1077">
        <v>1072</v>
      </c>
    </row>
    <row r="1078" spans="1:64" ht="17.25" thickBot="1" x14ac:dyDescent="0.25">
      <c r="A1078" s="131">
        <v>1074</v>
      </c>
      <c r="B1078" s="135">
        <v>3273030900</v>
      </c>
      <c r="D1078" s="131">
        <v>1074</v>
      </c>
      <c r="E1078" s="132">
        <v>54.149659999999997</v>
      </c>
      <c r="AK1078">
        <v>1072</v>
      </c>
      <c r="AL1078" s="24">
        <f t="shared" si="152"/>
        <v>54.047849999999997</v>
      </c>
      <c r="AM1078">
        <f t="shared" si="158"/>
        <v>378.33494999999999</v>
      </c>
      <c r="AN1078">
        <f t="shared" si="158"/>
        <v>540.47849999999994</v>
      </c>
      <c r="AO1078">
        <f t="shared" si="158"/>
        <v>810.71774999999991</v>
      </c>
      <c r="AP1078">
        <f t="shared" si="158"/>
        <v>1080.9569999999999</v>
      </c>
      <c r="AQ1078">
        <f t="shared" si="158"/>
        <v>1891.6747499999999</v>
      </c>
      <c r="AR1078">
        <f t="shared" si="158"/>
        <v>2702.3924999999999</v>
      </c>
      <c r="AS1078">
        <f t="shared" si="158"/>
        <v>4323.8279999999995</v>
      </c>
      <c r="AT1078">
        <f t="shared" si="158"/>
        <v>6485.7419999999993</v>
      </c>
      <c r="AU1078">
        <f t="shared" si="158"/>
        <v>9188.1345000000001</v>
      </c>
      <c r="AV1078">
        <f t="shared" si="158"/>
        <v>12971.483999999999</v>
      </c>
      <c r="AW1078">
        <f t="shared" si="158"/>
        <v>17835.790499999999</v>
      </c>
      <c r="AX1078">
        <f t="shared" si="158"/>
        <v>24862.010999999999</v>
      </c>
      <c r="AY1078">
        <f t="shared" si="158"/>
        <v>43238.28</v>
      </c>
      <c r="AZ1078">
        <f t="shared" si="158"/>
        <v>81071.774999999994</v>
      </c>
      <c r="BA1078">
        <f t="shared" si="158"/>
        <v>135119.625</v>
      </c>
      <c r="BB1078">
        <f t="shared" si="158"/>
        <v>216191.4</v>
      </c>
      <c r="BC1078">
        <f t="shared" si="157"/>
        <v>540478.5</v>
      </c>
      <c r="BD1078">
        <f t="shared" si="157"/>
        <v>810717.75</v>
      </c>
      <c r="BE1078">
        <f t="shared" si="157"/>
        <v>1297148.3999999999</v>
      </c>
      <c r="BF1078">
        <f t="shared" si="157"/>
        <v>1621435.5</v>
      </c>
      <c r="BG1078">
        <f t="shared" si="157"/>
        <v>5404785</v>
      </c>
      <c r="BH1078">
        <f t="shared" si="157"/>
        <v>16214354.999999998</v>
      </c>
      <c r="BI1078">
        <f t="shared" si="157"/>
        <v>45940672.5</v>
      </c>
      <c r="BJ1078">
        <f t="shared" si="157"/>
        <v>162143550</v>
      </c>
      <c r="BK1078">
        <f t="shared" si="157"/>
        <v>540478500</v>
      </c>
      <c r="BL1078">
        <v>1073</v>
      </c>
    </row>
    <row r="1079" spans="1:64" ht="17.25" thickBot="1" x14ac:dyDescent="0.25">
      <c r="A1079" s="131">
        <v>1075</v>
      </c>
      <c r="B1079" s="135">
        <v>3290349500</v>
      </c>
      <c r="D1079" s="131">
        <v>1075</v>
      </c>
      <c r="E1079" s="132">
        <v>54.200499999999998</v>
      </c>
      <c r="AK1079">
        <v>1073</v>
      </c>
      <c r="AL1079" s="24">
        <f t="shared" ref="AL1079:AL1116" si="159">VLOOKUP(AK1079,D$2:E$1404,2,FALSE)</f>
        <v>54.098779999999998</v>
      </c>
      <c r="AM1079">
        <f t="shared" si="158"/>
        <v>378.69146000000001</v>
      </c>
      <c r="AN1079">
        <f t="shared" si="158"/>
        <v>540.98779999999999</v>
      </c>
      <c r="AO1079">
        <f t="shared" si="158"/>
        <v>811.48169999999993</v>
      </c>
      <c r="AP1079">
        <f t="shared" si="158"/>
        <v>1081.9756</v>
      </c>
      <c r="AQ1079">
        <f t="shared" si="158"/>
        <v>1893.4573</v>
      </c>
      <c r="AR1079">
        <f t="shared" si="158"/>
        <v>2704.9389999999999</v>
      </c>
      <c r="AS1079">
        <f t="shared" si="158"/>
        <v>4327.9023999999999</v>
      </c>
      <c r="AT1079">
        <f t="shared" si="158"/>
        <v>6491.8535999999995</v>
      </c>
      <c r="AU1079">
        <f t="shared" si="158"/>
        <v>9196.7925999999989</v>
      </c>
      <c r="AV1079">
        <f t="shared" si="158"/>
        <v>12983.707199999999</v>
      </c>
      <c r="AW1079">
        <f t="shared" si="158"/>
        <v>17852.597399999999</v>
      </c>
      <c r="AX1079">
        <f t="shared" si="158"/>
        <v>24885.4388</v>
      </c>
      <c r="AY1079">
        <f t="shared" si="158"/>
        <v>43279.023999999998</v>
      </c>
      <c r="AZ1079">
        <f t="shared" si="158"/>
        <v>81148.17</v>
      </c>
      <c r="BA1079">
        <f t="shared" si="158"/>
        <v>135246.94999999998</v>
      </c>
      <c r="BB1079">
        <f t="shared" si="158"/>
        <v>216395.12</v>
      </c>
      <c r="BC1079">
        <f t="shared" si="157"/>
        <v>540987.79999999993</v>
      </c>
      <c r="BD1079">
        <f t="shared" si="157"/>
        <v>811481.7</v>
      </c>
      <c r="BE1079">
        <f t="shared" si="157"/>
        <v>1298370.72</v>
      </c>
      <c r="BF1079">
        <f t="shared" si="157"/>
        <v>1622963.4</v>
      </c>
      <c r="BG1079">
        <f t="shared" si="157"/>
        <v>5409878</v>
      </c>
      <c r="BH1079">
        <f t="shared" si="157"/>
        <v>16229634</v>
      </c>
      <c r="BI1079">
        <f t="shared" si="157"/>
        <v>45983963</v>
      </c>
      <c r="BJ1079">
        <f t="shared" si="157"/>
        <v>162296340</v>
      </c>
      <c r="BK1079">
        <f t="shared" si="157"/>
        <v>540987800</v>
      </c>
      <c r="BL1079">
        <v>1074</v>
      </c>
    </row>
    <row r="1080" spans="1:64" ht="17.25" thickBot="1" x14ac:dyDescent="0.25">
      <c r="A1080" s="131">
        <v>1076</v>
      </c>
      <c r="B1080" s="135">
        <v>3307741905</v>
      </c>
      <c r="D1080" s="131">
        <v>1076</v>
      </c>
      <c r="E1080" s="132">
        <v>54.251289999999997</v>
      </c>
      <c r="AK1080">
        <v>1074</v>
      </c>
      <c r="AL1080" s="24">
        <f t="shared" si="159"/>
        <v>54.149659999999997</v>
      </c>
      <c r="AM1080">
        <f t="shared" si="158"/>
        <v>379.04761999999999</v>
      </c>
      <c r="AN1080">
        <f t="shared" si="158"/>
        <v>541.49659999999994</v>
      </c>
      <c r="AO1080">
        <f t="shared" si="158"/>
        <v>812.24489999999992</v>
      </c>
      <c r="AP1080">
        <f t="shared" si="158"/>
        <v>1082.9931999999999</v>
      </c>
      <c r="AQ1080">
        <f t="shared" si="158"/>
        <v>1895.2380999999998</v>
      </c>
      <c r="AR1080">
        <f t="shared" si="158"/>
        <v>2707.4829999999997</v>
      </c>
      <c r="AS1080">
        <f t="shared" si="158"/>
        <v>4331.9727999999996</v>
      </c>
      <c r="AT1080">
        <f t="shared" si="158"/>
        <v>6497.9591999999993</v>
      </c>
      <c r="AU1080">
        <f t="shared" si="158"/>
        <v>9205.4421999999995</v>
      </c>
      <c r="AV1080">
        <f t="shared" si="158"/>
        <v>12995.918399999999</v>
      </c>
      <c r="AW1080">
        <f t="shared" si="158"/>
        <v>17869.3878</v>
      </c>
      <c r="AX1080">
        <f t="shared" si="158"/>
        <v>24908.8436</v>
      </c>
      <c r="AY1080">
        <f t="shared" si="158"/>
        <v>43319.727999999996</v>
      </c>
      <c r="AZ1080">
        <f t="shared" si="158"/>
        <v>81224.489999999991</v>
      </c>
      <c r="BA1080">
        <f t="shared" si="158"/>
        <v>135374.15</v>
      </c>
      <c r="BB1080">
        <f t="shared" si="158"/>
        <v>216598.63999999998</v>
      </c>
      <c r="BC1080">
        <f t="shared" si="157"/>
        <v>541496.6</v>
      </c>
      <c r="BD1080">
        <f t="shared" si="157"/>
        <v>812244.89999999991</v>
      </c>
      <c r="BE1080">
        <f t="shared" si="157"/>
        <v>1299591.8399999999</v>
      </c>
      <c r="BF1080">
        <f t="shared" si="157"/>
        <v>1624489.7999999998</v>
      </c>
      <c r="BG1080">
        <f t="shared" si="157"/>
        <v>5414966</v>
      </c>
      <c r="BH1080">
        <f t="shared" si="157"/>
        <v>16244898</v>
      </c>
      <c r="BI1080">
        <f t="shared" si="157"/>
        <v>46027211</v>
      </c>
      <c r="BJ1080">
        <f t="shared" si="157"/>
        <v>162448980</v>
      </c>
      <c r="BK1080">
        <f t="shared" si="157"/>
        <v>541496600</v>
      </c>
      <c r="BL1080">
        <v>1075</v>
      </c>
    </row>
    <row r="1081" spans="1:64" ht="17.25" thickBot="1" x14ac:dyDescent="0.25">
      <c r="A1081" s="131">
        <v>1077</v>
      </c>
      <c r="B1081" s="135">
        <v>3325208344</v>
      </c>
      <c r="D1081" s="131">
        <v>1077</v>
      </c>
      <c r="E1081" s="132">
        <v>54.302030000000002</v>
      </c>
      <c r="AK1081">
        <v>1075</v>
      </c>
      <c r="AL1081" s="24">
        <f t="shared" si="159"/>
        <v>54.200499999999998</v>
      </c>
      <c r="AM1081">
        <f t="shared" si="158"/>
        <v>379.40350000000001</v>
      </c>
      <c r="AN1081">
        <f t="shared" si="158"/>
        <v>542.005</v>
      </c>
      <c r="AO1081">
        <f t="shared" si="158"/>
        <v>813.00749999999994</v>
      </c>
      <c r="AP1081">
        <f t="shared" si="158"/>
        <v>1084.01</v>
      </c>
      <c r="AQ1081">
        <f t="shared" si="158"/>
        <v>1897.0174999999999</v>
      </c>
      <c r="AR1081">
        <f t="shared" si="158"/>
        <v>2710.0250000000001</v>
      </c>
      <c r="AS1081">
        <f t="shared" si="158"/>
        <v>4336.04</v>
      </c>
      <c r="AT1081">
        <f t="shared" si="158"/>
        <v>6504.0599999999995</v>
      </c>
      <c r="AU1081">
        <f t="shared" si="158"/>
        <v>9214.0849999999991</v>
      </c>
      <c r="AV1081">
        <f t="shared" si="158"/>
        <v>13008.119999999999</v>
      </c>
      <c r="AW1081">
        <f t="shared" si="158"/>
        <v>17886.165000000001</v>
      </c>
      <c r="AX1081">
        <f t="shared" si="158"/>
        <v>24932.23</v>
      </c>
      <c r="AY1081">
        <f t="shared" si="158"/>
        <v>43360.4</v>
      </c>
      <c r="AZ1081">
        <f t="shared" si="158"/>
        <v>81300.75</v>
      </c>
      <c r="BA1081">
        <f t="shared" si="158"/>
        <v>135501.25</v>
      </c>
      <c r="BB1081">
        <f t="shared" si="158"/>
        <v>216802</v>
      </c>
      <c r="BC1081">
        <f t="shared" si="157"/>
        <v>542005</v>
      </c>
      <c r="BD1081">
        <f t="shared" si="157"/>
        <v>813007.5</v>
      </c>
      <c r="BE1081">
        <f t="shared" si="157"/>
        <v>1300812</v>
      </c>
      <c r="BF1081">
        <f t="shared" si="157"/>
        <v>1626015</v>
      </c>
      <c r="BG1081">
        <f t="shared" si="157"/>
        <v>5420050</v>
      </c>
      <c r="BH1081">
        <f t="shared" si="157"/>
        <v>16260150</v>
      </c>
      <c r="BI1081">
        <f t="shared" si="157"/>
        <v>46070425</v>
      </c>
      <c r="BJ1081">
        <f t="shared" si="157"/>
        <v>162601500</v>
      </c>
      <c r="BK1081">
        <f t="shared" si="157"/>
        <v>542005000</v>
      </c>
      <c r="BL1081">
        <v>1076</v>
      </c>
    </row>
    <row r="1082" spans="1:64" ht="17.25" thickBot="1" x14ac:dyDescent="0.25">
      <c r="A1082" s="131">
        <v>1078</v>
      </c>
      <c r="B1082" s="135">
        <v>3342749050</v>
      </c>
      <c r="D1082" s="131">
        <v>1078</v>
      </c>
      <c r="E1082" s="132">
        <v>54.352730000000001</v>
      </c>
      <c r="AK1082">
        <v>1076</v>
      </c>
      <c r="AL1082" s="24">
        <f t="shared" si="159"/>
        <v>54.251289999999997</v>
      </c>
      <c r="AM1082">
        <f t="shared" si="158"/>
        <v>379.75903</v>
      </c>
      <c r="AN1082">
        <f t="shared" si="158"/>
        <v>542.51289999999995</v>
      </c>
      <c r="AO1082">
        <f t="shared" si="158"/>
        <v>813.76934999999992</v>
      </c>
      <c r="AP1082">
        <f t="shared" si="158"/>
        <v>1085.0257999999999</v>
      </c>
      <c r="AQ1082">
        <f t="shared" si="158"/>
        <v>1898.7951499999999</v>
      </c>
      <c r="AR1082">
        <f t="shared" si="158"/>
        <v>2712.5645</v>
      </c>
      <c r="AS1082">
        <f t="shared" si="158"/>
        <v>4340.1031999999996</v>
      </c>
      <c r="AT1082">
        <f t="shared" si="158"/>
        <v>6510.1547999999993</v>
      </c>
      <c r="AU1082">
        <f t="shared" si="158"/>
        <v>9222.7192999999988</v>
      </c>
      <c r="AV1082">
        <f t="shared" si="158"/>
        <v>13020.309599999999</v>
      </c>
      <c r="AW1082">
        <f t="shared" si="158"/>
        <v>17902.9257</v>
      </c>
      <c r="AX1082">
        <f t="shared" si="158"/>
        <v>24955.593399999998</v>
      </c>
      <c r="AY1082">
        <f t="shared" si="158"/>
        <v>43401.031999999999</v>
      </c>
      <c r="AZ1082">
        <f t="shared" si="158"/>
        <v>81376.934999999998</v>
      </c>
      <c r="BA1082">
        <f t="shared" si="158"/>
        <v>135628.22500000001</v>
      </c>
      <c r="BB1082">
        <f t="shared" si="158"/>
        <v>217005.16</v>
      </c>
      <c r="BC1082">
        <f t="shared" si="157"/>
        <v>542512.9</v>
      </c>
      <c r="BD1082">
        <f t="shared" si="157"/>
        <v>813769.35</v>
      </c>
      <c r="BE1082">
        <f t="shared" si="157"/>
        <v>1302030.96</v>
      </c>
      <c r="BF1082">
        <f t="shared" si="157"/>
        <v>1627538.7</v>
      </c>
      <c r="BG1082">
        <f t="shared" si="157"/>
        <v>5425129</v>
      </c>
      <c r="BH1082">
        <f t="shared" si="157"/>
        <v>16275387</v>
      </c>
      <c r="BI1082">
        <f t="shared" si="157"/>
        <v>46113596.5</v>
      </c>
      <c r="BJ1082">
        <f t="shared" si="157"/>
        <v>162753870</v>
      </c>
      <c r="BK1082">
        <f t="shared" si="157"/>
        <v>542512900</v>
      </c>
      <c r="BL1082">
        <v>1077</v>
      </c>
    </row>
    <row r="1083" spans="1:64" ht="17.25" thickBot="1" x14ac:dyDescent="0.25">
      <c r="A1083" s="131">
        <v>1079</v>
      </c>
      <c r="B1083" s="135">
        <v>3360364261</v>
      </c>
      <c r="D1083" s="131">
        <v>1079</v>
      </c>
      <c r="E1083" s="132">
        <v>54.403379999999999</v>
      </c>
      <c r="AK1083">
        <v>1077</v>
      </c>
      <c r="AL1083" s="24">
        <f t="shared" si="159"/>
        <v>54.302030000000002</v>
      </c>
      <c r="AM1083">
        <f t="shared" si="158"/>
        <v>380.11421000000001</v>
      </c>
      <c r="AN1083">
        <f t="shared" si="158"/>
        <v>543.02030000000002</v>
      </c>
      <c r="AO1083">
        <f t="shared" si="158"/>
        <v>814.53044999999997</v>
      </c>
      <c r="AP1083">
        <f t="shared" si="158"/>
        <v>1086.0406</v>
      </c>
      <c r="AQ1083">
        <f t="shared" si="158"/>
        <v>1900.57105</v>
      </c>
      <c r="AR1083">
        <f t="shared" si="158"/>
        <v>2715.1015000000002</v>
      </c>
      <c r="AS1083">
        <f t="shared" si="158"/>
        <v>4344.1624000000002</v>
      </c>
      <c r="AT1083">
        <f t="shared" si="158"/>
        <v>6516.2435999999998</v>
      </c>
      <c r="AU1083">
        <f t="shared" si="158"/>
        <v>9231.3451000000005</v>
      </c>
      <c r="AV1083">
        <f t="shared" si="158"/>
        <v>13032.4872</v>
      </c>
      <c r="AW1083">
        <f t="shared" si="158"/>
        <v>17919.669900000001</v>
      </c>
      <c r="AX1083">
        <f t="shared" si="158"/>
        <v>24978.933800000003</v>
      </c>
      <c r="AY1083">
        <f t="shared" si="158"/>
        <v>43441.624000000003</v>
      </c>
      <c r="AZ1083">
        <f t="shared" si="158"/>
        <v>81453.044999999998</v>
      </c>
      <c r="BA1083">
        <f t="shared" si="158"/>
        <v>135755.07500000001</v>
      </c>
      <c r="BB1083">
        <f t="shared" si="158"/>
        <v>217208.12</v>
      </c>
      <c r="BC1083">
        <f t="shared" si="157"/>
        <v>543020.30000000005</v>
      </c>
      <c r="BD1083">
        <f t="shared" si="157"/>
        <v>814530.45000000007</v>
      </c>
      <c r="BE1083">
        <f t="shared" si="157"/>
        <v>1303248.72</v>
      </c>
      <c r="BF1083">
        <f t="shared" si="157"/>
        <v>1629060.9000000001</v>
      </c>
      <c r="BG1083">
        <f t="shared" si="157"/>
        <v>5430203</v>
      </c>
      <c r="BH1083">
        <f t="shared" si="157"/>
        <v>16290609</v>
      </c>
      <c r="BI1083">
        <f t="shared" si="157"/>
        <v>46156725.5</v>
      </c>
      <c r="BJ1083">
        <f t="shared" si="157"/>
        <v>162906090</v>
      </c>
      <c r="BK1083">
        <f t="shared" si="157"/>
        <v>543020300</v>
      </c>
      <c r="BL1083">
        <v>1078</v>
      </c>
    </row>
    <row r="1084" spans="1:64" ht="17.25" thickBot="1" x14ac:dyDescent="0.25">
      <c r="A1084" s="131">
        <v>1080</v>
      </c>
      <c r="B1084" s="135">
        <v>3378054205</v>
      </c>
      <c r="D1084" s="131">
        <v>1080</v>
      </c>
      <c r="E1084" s="132">
        <v>54.453980000000001</v>
      </c>
      <c r="AK1084">
        <v>1078</v>
      </c>
      <c r="AL1084" s="24">
        <f t="shared" si="159"/>
        <v>54.352730000000001</v>
      </c>
      <c r="AM1084">
        <f t="shared" si="158"/>
        <v>380.46911</v>
      </c>
      <c r="AN1084">
        <f t="shared" si="158"/>
        <v>543.52729999999997</v>
      </c>
      <c r="AO1084">
        <f t="shared" si="158"/>
        <v>815.29095000000007</v>
      </c>
      <c r="AP1084">
        <f t="shared" si="158"/>
        <v>1087.0545999999999</v>
      </c>
      <c r="AQ1084">
        <f t="shared" si="158"/>
        <v>1902.34555</v>
      </c>
      <c r="AR1084">
        <f t="shared" si="158"/>
        <v>2717.6365000000001</v>
      </c>
      <c r="AS1084">
        <f t="shared" si="158"/>
        <v>4348.2183999999997</v>
      </c>
      <c r="AT1084">
        <f t="shared" si="158"/>
        <v>6522.3276000000005</v>
      </c>
      <c r="AU1084">
        <f t="shared" si="158"/>
        <v>9239.9641000000011</v>
      </c>
      <c r="AV1084">
        <f t="shared" si="158"/>
        <v>13044.655200000001</v>
      </c>
      <c r="AW1084">
        <f t="shared" si="158"/>
        <v>17936.400900000001</v>
      </c>
      <c r="AX1084">
        <f t="shared" si="158"/>
        <v>25002.255799999999</v>
      </c>
      <c r="AY1084">
        <f t="shared" si="158"/>
        <v>43482.184000000001</v>
      </c>
      <c r="AZ1084">
        <f t="shared" si="158"/>
        <v>81529.095000000001</v>
      </c>
      <c r="BA1084">
        <f t="shared" si="158"/>
        <v>135881.82500000001</v>
      </c>
      <c r="BB1084">
        <f t="shared" si="158"/>
        <v>217410.92</v>
      </c>
      <c r="BC1084">
        <f t="shared" si="157"/>
        <v>543527.30000000005</v>
      </c>
      <c r="BD1084">
        <f t="shared" si="157"/>
        <v>815290.95000000007</v>
      </c>
      <c r="BE1084">
        <f t="shared" si="157"/>
        <v>1304465.52</v>
      </c>
      <c r="BF1084">
        <f t="shared" si="157"/>
        <v>1630581.9000000001</v>
      </c>
      <c r="BG1084">
        <f t="shared" si="157"/>
        <v>5435273</v>
      </c>
      <c r="BH1084">
        <f t="shared" si="157"/>
        <v>16305819</v>
      </c>
      <c r="BI1084">
        <f t="shared" si="157"/>
        <v>46199820.5</v>
      </c>
      <c r="BJ1084">
        <f t="shared" si="157"/>
        <v>163058190</v>
      </c>
      <c r="BK1084">
        <f t="shared" si="157"/>
        <v>543527300</v>
      </c>
      <c r="BL1084">
        <v>1079</v>
      </c>
    </row>
    <row r="1085" spans="1:64" ht="17.25" thickBot="1" x14ac:dyDescent="0.25">
      <c r="A1085" s="131">
        <v>1081</v>
      </c>
      <c r="B1085" s="135">
        <v>3395819116</v>
      </c>
      <c r="D1085" s="131">
        <v>1081</v>
      </c>
      <c r="E1085" s="132">
        <v>54.504539999999999</v>
      </c>
      <c r="AK1085">
        <v>1079</v>
      </c>
      <c r="AL1085" s="24">
        <f t="shared" si="159"/>
        <v>54.403379999999999</v>
      </c>
      <c r="AM1085">
        <f t="shared" si="158"/>
        <v>380.82366000000002</v>
      </c>
      <c r="AN1085">
        <f t="shared" si="158"/>
        <v>544.03379999999993</v>
      </c>
      <c r="AO1085">
        <f t="shared" si="158"/>
        <v>816.05070000000001</v>
      </c>
      <c r="AP1085">
        <f t="shared" si="158"/>
        <v>1088.0675999999999</v>
      </c>
      <c r="AQ1085">
        <f t="shared" si="158"/>
        <v>1904.1182999999999</v>
      </c>
      <c r="AR1085">
        <f t="shared" si="158"/>
        <v>2720.1689999999999</v>
      </c>
      <c r="AS1085">
        <f t="shared" si="158"/>
        <v>4352.2703999999994</v>
      </c>
      <c r="AT1085">
        <f t="shared" si="158"/>
        <v>6528.4056</v>
      </c>
      <c r="AU1085">
        <f t="shared" si="158"/>
        <v>9248.5745999999999</v>
      </c>
      <c r="AV1085">
        <f t="shared" si="158"/>
        <v>13056.8112</v>
      </c>
      <c r="AW1085">
        <f t="shared" si="158"/>
        <v>17953.115399999999</v>
      </c>
      <c r="AX1085">
        <f t="shared" ref="AM1085:BB1101" si="160">AX$5*VLOOKUP($AK1085,$D$2:$E$1404,2,FALSE)</f>
        <v>25025.554799999998</v>
      </c>
      <c r="AY1085">
        <f t="shared" si="160"/>
        <v>43522.703999999998</v>
      </c>
      <c r="AZ1085">
        <f t="shared" si="160"/>
        <v>81605.069999999992</v>
      </c>
      <c r="BA1085">
        <f t="shared" si="160"/>
        <v>136008.44999999998</v>
      </c>
      <c r="BB1085">
        <f t="shared" si="160"/>
        <v>217613.52</v>
      </c>
      <c r="BC1085">
        <f t="shared" si="157"/>
        <v>544033.79999999993</v>
      </c>
      <c r="BD1085">
        <f t="shared" si="157"/>
        <v>816050.7</v>
      </c>
      <c r="BE1085">
        <f t="shared" si="157"/>
        <v>1305681.1199999999</v>
      </c>
      <c r="BF1085">
        <f t="shared" si="157"/>
        <v>1632101.4</v>
      </c>
      <c r="BG1085">
        <f t="shared" si="157"/>
        <v>5440338</v>
      </c>
      <c r="BH1085">
        <f t="shared" si="157"/>
        <v>16321014</v>
      </c>
      <c r="BI1085">
        <f t="shared" si="157"/>
        <v>46242873</v>
      </c>
      <c r="BJ1085">
        <f t="shared" si="157"/>
        <v>163210140</v>
      </c>
      <c r="BK1085">
        <f t="shared" si="157"/>
        <v>544033800</v>
      </c>
      <c r="BL1085">
        <v>1080</v>
      </c>
    </row>
    <row r="1086" spans="1:64" ht="17.25" thickBot="1" x14ac:dyDescent="0.25">
      <c r="A1086" s="131">
        <v>1082</v>
      </c>
      <c r="B1086" s="135">
        <v>3413659227</v>
      </c>
      <c r="D1086" s="131">
        <v>1082</v>
      </c>
      <c r="E1086" s="132">
        <v>54.555050000000001</v>
      </c>
      <c r="AK1086">
        <v>1080</v>
      </c>
      <c r="AL1086" s="24">
        <f t="shared" si="159"/>
        <v>54.453980000000001</v>
      </c>
      <c r="AM1086">
        <f t="shared" si="160"/>
        <v>381.17786000000001</v>
      </c>
      <c r="AN1086">
        <f t="shared" si="160"/>
        <v>544.53980000000001</v>
      </c>
      <c r="AO1086">
        <f t="shared" si="160"/>
        <v>816.80970000000002</v>
      </c>
      <c r="AP1086">
        <f t="shared" si="160"/>
        <v>1089.0796</v>
      </c>
      <c r="AQ1086">
        <f t="shared" si="160"/>
        <v>1905.8893</v>
      </c>
      <c r="AR1086">
        <f t="shared" si="160"/>
        <v>2722.6990000000001</v>
      </c>
      <c r="AS1086">
        <f t="shared" si="160"/>
        <v>4356.3184000000001</v>
      </c>
      <c r="AT1086">
        <f t="shared" si="160"/>
        <v>6534.4776000000002</v>
      </c>
      <c r="AU1086">
        <f t="shared" si="160"/>
        <v>9257.1766000000007</v>
      </c>
      <c r="AV1086">
        <f t="shared" si="160"/>
        <v>13068.9552</v>
      </c>
      <c r="AW1086">
        <f t="shared" si="160"/>
        <v>17969.813399999999</v>
      </c>
      <c r="AX1086">
        <f t="shared" si="160"/>
        <v>25048.8308</v>
      </c>
      <c r="AY1086">
        <f t="shared" si="160"/>
        <v>43563.184000000001</v>
      </c>
      <c r="AZ1086">
        <f t="shared" si="160"/>
        <v>81680.97</v>
      </c>
      <c r="BA1086">
        <f t="shared" si="160"/>
        <v>136134.95000000001</v>
      </c>
      <c r="BB1086">
        <f t="shared" si="160"/>
        <v>217815.92</v>
      </c>
      <c r="BC1086">
        <f t="shared" si="157"/>
        <v>544539.80000000005</v>
      </c>
      <c r="BD1086">
        <f t="shared" si="157"/>
        <v>816809.70000000007</v>
      </c>
      <c r="BE1086">
        <f t="shared" si="157"/>
        <v>1306895.52</v>
      </c>
      <c r="BF1086">
        <f t="shared" si="157"/>
        <v>1633619.4000000001</v>
      </c>
      <c r="BG1086">
        <f t="shared" si="157"/>
        <v>5445398</v>
      </c>
      <c r="BH1086">
        <f t="shared" si="157"/>
        <v>16336194</v>
      </c>
      <c r="BI1086">
        <f t="shared" si="157"/>
        <v>46285883</v>
      </c>
      <c r="BJ1086">
        <f t="shared" si="157"/>
        <v>163361940</v>
      </c>
      <c r="BK1086">
        <f t="shared" si="157"/>
        <v>544539800</v>
      </c>
      <c r="BL1086">
        <v>1081</v>
      </c>
    </row>
    <row r="1087" spans="1:64" ht="17.25" thickBot="1" x14ac:dyDescent="0.25">
      <c r="A1087" s="131">
        <v>1083</v>
      </c>
      <c r="B1087" s="135">
        <v>3431574777</v>
      </c>
      <c r="D1087" s="131">
        <v>1083</v>
      </c>
      <c r="E1087" s="132">
        <v>54.605510000000002</v>
      </c>
      <c r="AK1087">
        <v>1081</v>
      </c>
      <c r="AL1087" s="24">
        <f t="shared" si="159"/>
        <v>54.504539999999999</v>
      </c>
      <c r="AM1087">
        <f t="shared" si="160"/>
        <v>381.53177999999997</v>
      </c>
      <c r="AN1087">
        <f t="shared" si="160"/>
        <v>545.04539999999997</v>
      </c>
      <c r="AO1087">
        <f t="shared" si="160"/>
        <v>817.56809999999996</v>
      </c>
      <c r="AP1087">
        <f t="shared" si="160"/>
        <v>1090.0907999999999</v>
      </c>
      <c r="AQ1087">
        <f t="shared" si="160"/>
        <v>1907.6588999999999</v>
      </c>
      <c r="AR1087">
        <f t="shared" si="160"/>
        <v>2725.2269999999999</v>
      </c>
      <c r="AS1087">
        <f t="shared" si="160"/>
        <v>4360.3631999999998</v>
      </c>
      <c r="AT1087">
        <f t="shared" si="160"/>
        <v>6540.5447999999997</v>
      </c>
      <c r="AU1087">
        <f t="shared" si="160"/>
        <v>9265.7718000000004</v>
      </c>
      <c r="AV1087">
        <f t="shared" si="160"/>
        <v>13081.089599999999</v>
      </c>
      <c r="AW1087">
        <f t="shared" si="160"/>
        <v>17986.498199999998</v>
      </c>
      <c r="AX1087">
        <f t="shared" si="160"/>
        <v>25072.088400000001</v>
      </c>
      <c r="AY1087">
        <f t="shared" si="160"/>
        <v>43603.631999999998</v>
      </c>
      <c r="AZ1087">
        <f t="shared" si="160"/>
        <v>81756.81</v>
      </c>
      <c r="BA1087">
        <f t="shared" si="160"/>
        <v>136261.35</v>
      </c>
      <c r="BB1087">
        <f t="shared" si="160"/>
        <v>218018.16</v>
      </c>
      <c r="BC1087">
        <f t="shared" si="157"/>
        <v>545045.4</v>
      </c>
      <c r="BD1087">
        <f t="shared" si="157"/>
        <v>817568.1</v>
      </c>
      <c r="BE1087">
        <f t="shared" si="157"/>
        <v>1308108.96</v>
      </c>
      <c r="BF1087">
        <f t="shared" si="157"/>
        <v>1635136.2</v>
      </c>
      <c r="BG1087">
        <f t="shared" si="157"/>
        <v>5450454</v>
      </c>
      <c r="BH1087">
        <f t="shared" si="157"/>
        <v>16351362</v>
      </c>
      <c r="BI1087">
        <f t="shared" si="157"/>
        <v>46328859</v>
      </c>
      <c r="BJ1087">
        <f t="shared" si="157"/>
        <v>163513620</v>
      </c>
      <c r="BK1087">
        <f t="shared" si="157"/>
        <v>545045400</v>
      </c>
      <c r="BL1087">
        <v>1082</v>
      </c>
    </row>
    <row r="1088" spans="1:64" ht="17.25" thickBot="1" x14ac:dyDescent="0.25">
      <c r="A1088" s="131">
        <v>1084</v>
      </c>
      <c r="B1088" s="135">
        <v>3449566000</v>
      </c>
      <c r="D1088" s="131">
        <v>1084</v>
      </c>
      <c r="E1088" s="132">
        <v>54.655929999999998</v>
      </c>
      <c r="AK1088">
        <v>1082</v>
      </c>
      <c r="AL1088" s="24">
        <f t="shared" si="159"/>
        <v>54.555050000000001</v>
      </c>
      <c r="AM1088">
        <f t="shared" si="160"/>
        <v>381.88535000000002</v>
      </c>
      <c r="AN1088">
        <f t="shared" si="160"/>
        <v>545.55050000000006</v>
      </c>
      <c r="AO1088">
        <f t="shared" si="160"/>
        <v>818.32574999999997</v>
      </c>
      <c r="AP1088">
        <f t="shared" si="160"/>
        <v>1091.1010000000001</v>
      </c>
      <c r="AQ1088">
        <f t="shared" si="160"/>
        <v>1909.4267500000001</v>
      </c>
      <c r="AR1088">
        <f t="shared" si="160"/>
        <v>2727.7525000000001</v>
      </c>
      <c r="AS1088">
        <f t="shared" si="160"/>
        <v>4364.4040000000005</v>
      </c>
      <c r="AT1088">
        <f t="shared" si="160"/>
        <v>6546.6059999999998</v>
      </c>
      <c r="AU1088">
        <f t="shared" si="160"/>
        <v>9274.3585000000003</v>
      </c>
      <c r="AV1088">
        <f t="shared" si="160"/>
        <v>13093.212</v>
      </c>
      <c r="AW1088">
        <f t="shared" si="160"/>
        <v>18003.166499999999</v>
      </c>
      <c r="AX1088">
        <f t="shared" si="160"/>
        <v>25095.323</v>
      </c>
      <c r="AY1088">
        <f t="shared" si="160"/>
        <v>43644.04</v>
      </c>
      <c r="AZ1088">
        <f t="shared" si="160"/>
        <v>81832.574999999997</v>
      </c>
      <c r="BA1088">
        <f t="shared" si="160"/>
        <v>136387.625</v>
      </c>
      <c r="BB1088">
        <f t="shared" si="160"/>
        <v>218220.2</v>
      </c>
      <c r="BC1088">
        <f t="shared" si="157"/>
        <v>545550.5</v>
      </c>
      <c r="BD1088">
        <f t="shared" si="157"/>
        <v>818325.75</v>
      </c>
      <c r="BE1088">
        <f t="shared" si="157"/>
        <v>1309321.2</v>
      </c>
      <c r="BF1088">
        <f t="shared" si="157"/>
        <v>1636651.5</v>
      </c>
      <c r="BG1088">
        <f t="shared" si="157"/>
        <v>5455505</v>
      </c>
      <c r="BH1088">
        <f t="shared" si="157"/>
        <v>16366515</v>
      </c>
      <c r="BI1088">
        <f t="shared" si="157"/>
        <v>46371792.5</v>
      </c>
      <c r="BJ1088">
        <f t="shared" si="157"/>
        <v>163665150</v>
      </c>
      <c r="BK1088">
        <f t="shared" si="157"/>
        <v>545550500</v>
      </c>
      <c r="BL1088">
        <v>1083</v>
      </c>
    </row>
    <row r="1089" spans="1:64" ht="17.25" thickBot="1" x14ac:dyDescent="0.25">
      <c r="A1089" s="131">
        <v>1085</v>
      </c>
      <c r="B1089" s="135">
        <v>3467633127</v>
      </c>
      <c r="D1089" s="131">
        <v>1085</v>
      </c>
      <c r="E1089" s="132">
        <v>54.706299999999999</v>
      </c>
      <c r="AK1089">
        <v>1083</v>
      </c>
      <c r="AL1089" s="24">
        <f t="shared" si="159"/>
        <v>54.605510000000002</v>
      </c>
      <c r="AM1089">
        <f t="shared" si="160"/>
        <v>382.23857000000004</v>
      </c>
      <c r="AN1089">
        <f t="shared" si="160"/>
        <v>546.05510000000004</v>
      </c>
      <c r="AO1089">
        <f t="shared" si="160"/>
        <v>819.08265000000006</v>
      </c>
      <c r="AP1089">
        <f t="shared" si="160"/>
        <v>1092.1102000000001</v>
      </c>
      <c r="AQ1089">
        <f t="shared" si="160"/>
        <v>1911.1928500000001</v>
      </c>
      <c r="AR1089">
        <f t="shared" si="160"/>
        <v>2730.2755000000002</v>
      </c>
      <c r="AS1089">
        <f t="shared" si="160"/>
        <v>4368.4408000000003</v>
      </c>
      <c r="AT1089">
        <f t="shared" si="160"/>
        <v>6552.6612000000005</v>
      </c>
      <c r="AU1089">
        <f t="shared" si="160"/>
        <v>9282.9367000000002</v>
      </c>
      <c r="AV1089">
        <f t="shared" si="160"/>
        <v>13105.322400000001</v>
      </c>
      <c r="AW1089">
        <f t="shared" si="160"/>
        <v>18019.818299999999</v>
      </c>
      <c r="AX1089">
        <f t="shared" si="160"/>
        <v>25118.534600000003</v>
      </c>
      <c r="AY1089">
        <f t="shared" si="160"/>
        <v>43684.408000000003</v>
      </c>
      <c r="AZ1089">
        <f t="shared" si="160"/>
        <v>81908.264999999999</v>
      </c>
      <c r="BA1089">
        <f t="shared" si="160"/>
        <v>136513.77499999999</v>
      </c>
      <c r="BB1089">
        <f t="shared" si="160"/>
        <v>218422.04</v>
      </c>
      <c r="BC1089">
        <f t="shared" si="157"/>
        <v>546055.1</v>
      </c>
      <c r="BD1089">
        <f t="shared" si="157"/>
        <v>819082.65</v>
      </c>
      <c r="BE1089">
        <f t="shared" si="157"/>
        <v>1310532.24</v>
      </c>
      <c r="BF1089">
        <f t="shared" si="157"/>
        <v>1638165.3</v>
      </c>
      <c r="BG1089">
        <f t="shared" si="157"/>
        <v>5460551</v>
      </c>
      <c r="BH1089">
        <f t="shared" si="157"/>
        <v>16381653</v>
      </c>
      <c r="BI1089">
        <f t="shared" si="157"/>
        <v>46414683.5</v>
      </c>
      <c r="BJ1089">
        <f t="shared" si="157"/>
        <v>163816530</v>
      </c>
      <c r="BK1089">
        <f t="shared" si="157"/>
        <v>546055100</v>
      </c>
      <c r="BL1089">
        <v>1084</v>
      </c>
    </row>
    <row r="1090" spans="1:64" ht="17.25" thickBot="1" x14ac:dyDescent="0.25">
      <c r="A1090" s="131">
        <v>1086</v>
      </c>
      <c r="B1090" s="135">
        <v>3485776400</v>
      </c>
      <c r="D1090" s="131">
        <v>1086</v>
      </c>
      <c r="E1090" s="132">
        <v>54.756630000000001</v>
      </c>
      <c r="AK1090">
        <v>1084</v>
      </c>
      <c r="AL1090" s="24">
        <f t="shared" si="159"/>
        <v>54.655929999999998</v>
      </c>
      <c r="AM1090">
        <f t="shared" si="160"/>
        <v>382.59150999999997</v>
      </c>
      <c r="AN1090">
        <f t="shared" si="160"/>
        <v>546.55930000000001</v>
      </c>
      <c r="AO1090">
        <f t="shared" si="160"/>
        <v>819.83894999999995</v>
      </c>
      <c r="AP1090">
        <f t="shared" si="160"/>
        <v>1093.1186</v>
      </c>
      <c r="AQ1090">
        <f t="shared" si="160"/>
        <v>1912.9575499999999</v>
      </c>
      <c r="AR1090">
        <f t="shared" si="160"/>
        <v>2732.7964999999999</v>
      </c>
      <c r="AS1090">
        <f t="shared" si="160"/>
        <v>4372.4744000000001</v>
      </c>
      <c r="AT1090">
        <f t="shared" si="160"/>
        <v>6558.7115999999996</v>
      </c>
      <c r="AU1090">
        <f t="shared" si="160"/>
        <v>9291.5080999999991</v>
      </c>
      <c r="AV1090">
        <f t="shared" si="160"/>
        <v>13117.423199999999</v>
      </c>
      <c r="AW1090">
        <f t="shared" si="160"/>
        <v>18036.456900000001</v>
      </c>
      <c r="AX1090">
        <f t="shared" si="160"/>
        <v>25141.727800000001</v>
      </c>
      <c r="AY1090">
        <f t="shared" si="160"/>
        <v>43724.743999999999</v>
      </c>
      <c r="AZ1090">
        <f t="shared" si="160"/>
        <v>81983.895000000004</v>
      </c>
      <c r="BA1090">
        <f t="shared" si="160"/>
        <v>136639.82499999998</v>
      </c>
      <c r="BB1090">
        <f t="shared" si="160"/>
        <v>218623.72</v>
      </c>
      <c r="BC1090">
        <f t="shared" si="157"/>
        <v>546559.29999999993</v>
      </c>
      <c r="BD1090">
        <f t="shared" si="157"/>
        <v>819838.95</v>
      </c>
      <c r="BE1090">
        <f t="shared" si="157"/>
        <v>1311742.32</v>
      </c>
      <c r="BF1090">
        <f t="shared" si="157"/>
        <v>1639677.9</v>
      </c>
      <c r="BG1090">
        <f t="shared" si="157"/>
        <v>5465593</v>
      </c>
      <c r="BH1090">
        <f t="shared" ref="BC1090:BK1116" si="161">BH$5*VLOOKUP($AK1090,$D$2:$E$1404,2,FALSE)</f>
        <v>16396779</v>
      </c>
      <c r="BI1090">
        <f t="shared" si="161"/>
        <v>46457540.5</v>
      </c>
      <c r="BJ1090">
        <f t="shared" si="161"/>
        <v>163967790</v>
      </c>
      <c r="BK1090">
        <f t="shared" si="161"/>
        <v>546559300</v>
      </c>
      <c r="BL1090">
        <v>1085</v>
      </c>
    </row>
    <row r="1091" spans="1:64" ht="17.25" thickBot="1" x14ac:dyDescent="0.25">
      <c r="A1091" s="131">
        <v>1087</v>
      </c>
      <c r="B1091" s="135">
        <v>3503996055</v>
      </c>
      <c r="D1091" s="131">
        <v>1087</v>
      </c>
      <c r="E1091" s="132">
        <v>54.806910000000002</v>
      </c>
      <c r="AK1091">
        <v>1085</v>
      </c>
      <c r="AL1091" s="24">
        <f t="shared" si="159"/>
        <v>54.706299999999999</v>
      </c>
      <c r="AM1091">
        <f t="shared" si="160"/>
        <v>382.94409999999999</v>
      </c>
      <c r="AN1091">
        <f t="shared" si="160"/>
        <v>547.06299999999999</v>
      </c>
      <c r="AO1091">
        <f t="shared" si="160"/>
        <v>820.59449999999993</v>
      </c>
      <c r="AP1091">
        <f t="shared" si="160"/>
        <v>1094.126</v>
      </c>
      <c r="AQ1091">
        <f t="shared" si="160"/>
        <v>1914.7204999999999</v>
      </c>
      <c r="AR1091">
        <f t="shared" si="160"/>
        <v>2735.3150000000001</v>
      </c>
      <c r="AS1091">
        <f t="shared" si="160"/>
        <v>4376.5039999999999</v>
      </c>
      <c r="AT1091">
        <f t="shared" si="160"/>
        <v>6564.7559999999994</v>
      </c>
      <c r="AU1091">
        <f t="shared" si="160"/>
        <v>9300.0709999999999</v>
      </c>
      <c r="AV1091">
        <f t="shared" si="160"/>
        <v>13129.511999999999</v>
      </c>
      <c r="AW1091">
        <f t="shared" si="160"/>
        <v>18053.078999999998</v>
      </c>
      <c r="AX1091">
        <f t="shared" si="160"/>
        <v>25164.898000000001</v>
      </c>
      <c r="AY1091">
        <f t="shared" si="160"/>
        <v>43765.04</v>
      </c>
      <c r="AZ1091">
        <f t="shared" si="160"/>
        <v>82059.45</v>
      </c>
      <c r="BA1091">
        <f t="shared" si="160"/>
        <v>136765.75</v>
      </c>
      <c r="BB1091">
        <f t="shared" si="160"/>
        <v>218825.19999999998</v>
      </c>
      <c r="BC1091">
        <f t="shared" si="161"/>
        <v>547063</v>
      </c>
      <c r="BD1091">
        <f t="shared" si="161"/>
        <v>820594.5</v>
      </c>
      <c r="BE1091">
        <f t="shared" si="161"/>
        <v>1312951.2</v>
      </c>
      <c r="BF1091">
        <f t="shared" si="161"/>
        <v>1641189</v>
      </c>
      <c r="BG1091">
        <f t="shared" si="161"/>
        <v>5470630</v>
      </c>
      <c r="BH1091">
        <f t="shared" si="161"/>
        <v>16411890</v>
      </c>
      <c r="BI1091">
        <f t="shared" si="161"/>
        <v>46500355</v>
      </c>
      <c r="BJ1091">
        <f t="shared" si="161"/>
        <v>164118900</v>
      </c>
      <c r="BK1091">
        <f t="shared" si="161"/>
        <v>547063000</v>
      </c>
      <c r="BL1091">
        <v>1086</v>
      </c>
    </row>
    <row r="1092" spans="1:64" ht="17.25" thickBot="1" x14ac:dyDescent="0.25">
      <c r="A1092" s="131">
        <v>1088</v>
      </c>
      <c r="B1092" s="135">
        <v>3522292327</v>
      </c>
      <c r="D1092" s="131">
        <v>1088</v>
      </c>
      <c r="E1092" s="132">
        <v>54.857140000000001</v>
      </c>
      <c r="AK1092">
        <v>1086</v>
      </c>
      <c r="AL1092" s="24">
        <f t="shared" si="159"/>
        <v>54.756630000000001</v>
      </c>
      <c r="AM1092">
        <f t="shared" si="160"/>
        <v>383.29641000000004</v>
      </c>
      <c r="AN1092">
        <f t="shared" si="160"/>
        <v>547.56629999999996</v>
      </c>
      <c r="AO1092">
        <f t="shared" si="160"/>
        <v>821.34945000000005</v>
      </c>
      <c r="AP1092">
        <f t="shared" si="160"/>
        <v>1095.1325999999999</v>
      </c>
      <c r="AQ1092">
        <f t="shared" si="160"/>
        <v>1916.4820500000001</v>
      </c>
      <c r="AR1092">
        <f t="shared" si="160"/>
        <v>2737.8315000000002</v>
      </c>
      <c r="AS1092">
        <f t="shared" si="160"/>
        <v>4380.5303999999996</v>
      </c>
      <c r="AT1092">
        <f t="shared" si="160"/>
        <v>6570.7956000000004</v>
      </c>
      <c r="AU1092">
        <f t="shared" si="160"/>
        <v>9308.6270999999997</v>
      </c>
      <c r="AV1092">
        <f t="shared" si="160"/>
        <v>13141.591200000001</v>
      </c>
      <c r="AW1092">
        <f t="shared" si="160"/>
        <v>18069.687900000001</v>
      </c>
      <c r="AX1092">
        <f t="shared" si="160"/>
        <v>25188.049800000001</v>
      </c>
      <c r="AY1092">
        <f t="shared" si="160"/>
        <v>43805.304000000004</v>
      </c>
      <c r="AZ1092">
        <f t="shared" si="160"/>
        <v>82134.945000000007</v>
      </c>
      <c r="BA1092">
        <f t="shared" si="160"/>
        <v>136891.57500000001</v>
      </c>
      <c r="BB1092">
        <f t="shared" si="160"/>
        <v>219026.52000000002</v>
      </c>
      <c r="BC1092">
        <f t="shared" si="161"/>
        <v>547566.30000000005</v>
      </c>
      <c r="BD1092">
        <f t="shared" si="161"/>
        <v>821349.45000000007</v>
      </c>
      <c r="BE1092">
        <f t="shared" si="161"/>
        <v>1314159.1200000001</v>
      </c>
      <c r="BF1092">
        <f t="shared" si="161"/>
        <v>1642698.9000000001</v>
      </c>
      <c r="BG1092">
        <f t="shared" si="161"/>
        <v>5475663</v>
      </c>
      <c r="BH1092">
        <f t="shared" si="161"/>
        <v>16426989</v>
      </c>
      <c r="BI1092">
        <f t="shared" si="161"/>
        <v>46543135.5</v>
      </c>
      <c r="BJ1092">
        <f t="shared" si="161"/>
        <v>164269890</v>
      </c>
      <c r="BK1092">
        <f t="shared" si="161"/>
        <v>547566300</v>
      </c>
      <c r="BL1092">
        <v>1087</v>
      </c>
    </row>
    <row r="1093" spans="1:64" ht="17.25" thickBot="1" x14ac:dyDescent="0.25">
      <c r="A1093" s="131">
        <v>1089</v>
      </c>
      <c r="B1093" s="135">
        <v>3540665455</v>
      </c>
      <c r="D1093" s="131">
        <v>1089</v>
      </c>
      <c r="E1093" s="132">
        <v>54.907330000000002</v>
      </c>
      <c r="AK1093">
        <v>1087</v>
      </c>
      <c r="AL1093" s="24">
        <f t="shared" si="159"/>
        <v>54.806910000000002</v>
      </c>
      <c r="AM1093">
        <f t="shared" si="160"/>
        <v>383.64837</v>
      </c>
      <c r="AN1093">
        <f t="shared" si="160"/>
        <v>548.06910000000005</v>
      </c>
      <c r="AO1093">
        <f t="shared" si="160"/>
        <v>822.10365000000002</v>
      </c>
      <c r="AP1093">
        <f t="shared" si="160"/>
        <v>1096.1382000000001</v>
      </c>
      <c r="AQ1093">
        <f t="shared" si="160"/>
        <v>1918.2418500000001</v>
      </c>
      <c r="AR1093">
        <f t="shared" si="160"/>
        <v>2740.3454999999999</v>
      </c>
      <c r="AS1093">
        <f t="shared" si="160"/>
        <v>4384.5528000000004</v>
      </c>
      <c r="AT1093">
        <f t="shared" si="160"/>
        <v>6576.8292000000001</v>
      </c>
      <c r="AU1093">
        <f t="shared" si="160"/>
        <v>9317.1746999999996</v>
      </c>
      <c r="AV1093">
        <f t="shared" si="160"/>
        <v>13153.6584</v>
      </c>
      <c r="AW1093">
        <f t="shared" si="160"/>
        <v>18086.280300000002</v>
      </c>
      <c r="AX1093">
        <f t="shared" si="160"/>
        <v>25211.178599999999</v>
      </c>
      <c r="AY1093">
        <f t="shared" si="160"/>
        <v>43845.527999999998</v>
      </c>
      <c r="AZ1093">
        <f t="shared" si="160"/>
        <v>82210.365000000005</v>
      </c>
      <c r="BA1093">
        <f t="shared" si="160"/>
        <v>137017.27499999999</v>
      </c>
      <c r="BB1093">
        <f t="shared" si="160"/>
        <v>219227.64</v>
      </c>
      <c r="BC1093">
        <f t="shared" si="161"/>
        <v>548069.1</v>
      </c>
      <c r="BD1093">
        <f t="shared" si="161"/>
        <v>822103.65</v>
      </c>
      <c r="BE1093">
        <f t="shared" si="161"/>
        <v>1315365.8400000001</v>
      </c>
      <c r="BF1093">
        <f t="shared" si="161"/>
        <v>1644207.3</v>
      </c>
      <c r="BG1093">
        <f t="shared" si="161"/>
        <v>5480691</v>
      </c>
      <c r="BH1093">
        <f t="shared" si="161"/>
        <v>16442073</v>
      </c>
      <c r="BI1093">
        <f t="shared" si="161"/>
        <v>46585873.5</v>
      </c>
      <c r="BJ1093">
        <f t="shared" si="161"/>
        <v>164420730</v>
      </c>
      <c r="BK1093">
        <f t="shared" si="161"/>
        <v>548069100</v>
      </c>
      <c r="BL1093">
        <v>1088</v>
      </c>
    </row>
    <row r="1094" spans="1:64" ht="17.25" thickBot="1" x14ac:dyDescent="0.25">
      <c r="A1094" s="131">
        <v>1090</v>
      </c>
      <c r="B1094" s="135">
        <v>3559115677</v>
      </c>
      <c r="D1094" s="131">
        <v>1090</v>
      </c>
      <c r="E1094" s="132">
        <v>54.957470000000001</v>
      </c>
      <c r="AK1094">
        <v>1088</v>
      </c>
      <c r="AL1094" s="24">
        <f t="shared" si="159"/>
        <v>54.857140000000001</v>
      </c>
      <c r="AM1094">
        <f t="shared" si="160"/>
        <v>383.99997999999999</v>
      </c>
      <c r="AN1094">
        <f t="shared" si="160"/>
        <v>548.57140000000004</v>
      </c>
      <c r="AO1094">
        <f t="shared" si="160"/>
        <v>822.85710000000006</v>
      </c>
      <c r="AP1094">
        <f t="shared" si="160"/>
        <v>1097.1428000000001</v>
      </c>
      <c r="AQ1094">
        <f t="shared" si="160"/>
        <v>1919.9999</v>
      </c>
      <c r="AR1094">
        <f t="shared" si="160"/>
        <v>2742.857</v>
      </c>
      <c r="AS1094">
        <f t="shared" si="160"/>
        <v>4388.5712000000003</v>
      </c>
      <c r="AT1094">
        <f t="shared" si="160"/>
        <v>6582.8568000000005</v>
      </c>
      <c r="AU1094">
        <f t="shared" si="160"/>
        <v>9325.7137999999995</v>
      </c>
      <c r="AV1094">
        <f t="shared" si="160"/>
        <v>13165.713600000001</v>
      </c>
      <c r="AW1094">
        <f t="shared" si="160"/>
        <v>18102.856200000002</v>
      </c>
      <c r="AX1094">
        <f t="shared" si="160"/>
        <v>25234.2844</v>
      </c>
      <c r="AY1094">
        <f t="shared" si="160"/>
        <v>43885.712</v>
      </c>
      <c r="AZ1094">
        <f t="shared" si="160"/>
        <v>82285.710000000006</v>
      </c>
      <c r="BA1094">
        <f t="shared" si="160"/>
        <v>137142.85</v>
      </c>
      <c r="BB1094">
        <f t="shared" si="160"/>
        <v>219428.56</v>
      </c>
      <c r="BC1094">
        <f t="shared" si="161"/>
        <v>548571.4</v>
      </c>
      <c r="BD1094">
        <f t="shared" si="161"/>
        <v>822857.1</v>
      </c>
      <c r="BE1094">
        <f t="shared" si="161"/>
        <v>1316571.3600000001</v>
      </c>
      <c r="BF1094">
        <f t="shared" si="161"/>
        <v>1645714.2</v>
      </c>
      <c r="BG1094">
        <f t="shared" si="161"/>
        <v>5485714</v>
      </c>
      <c r="BH1094">
        <f t="shared" si="161"/>
        <v>16457142</v>
      </c>
      <c r="BI1094">
        <f t="shared" si="161"/>
        <v>46628569</v>
      </c>
      <c r="BJ1094">
        <f t="shared" si="161"/>
        <v>164571420</v>
      </c>
      <c r="BK1094">
        <f t="shared" si="161"/>
        <v>548571400</v>
      </c>
      <c r="BL1094">
        <v>1089</v>
      </c>
    </row>
    <row r="1095" spans="1:64" ht="17.25" thickBot="1" x14ac:dyDescent="0.25">
      <c r="A1095" s="131">
        <v>1091</v>
      </c>
      <c r="B1095" s="135">
        <v>3577643233</v>
      </c>
      <c r="D1095" s="131">
        <v>1091</v>
      </c>
      <c r="E1095" s="132">
        <v>55.007570000000001</v>
      </c>
      <c r="AK1095">
        <v>1089</v>
      </c>
      <c r="AL1095" s="24">
        <f t="shared" si="159"/>
        <v>54.907330000000002</v>
      </c>
      <c r="AM1095">
        <f t="shared" si="160"/>
        <v>384.35131000000001</v>
      </c>
      <c r="AN1095">
        <f t="shared" si="160"/>
        <v>549.07330000000002</v>
      </c>
      <c r="AO1095">
        <f t="shared" si="160"/>
        <v>823.60995000000003</v>
      </c>
      <c r="AP1095">
        <f t="shared" si="160"/>
        <v>1098.1466</v>
      </c>
      <c r="AQ1095">
        <f t="shared" si="160"/>
        <v>1921.7565500000001</v>
      </c>
      <c r="AR1095">
        <f t="shared" si="160"/>
        <v>2745.3665000000001</v>
      </c>
      <c r="AS1095">
        <f t="shared" si="160"/>
        <v>4392.5864000000001</v>
      </c>
      <c r="AT1095">
        <f t="shared" si="160"/>
        <v>6588.8796000000002</v>
      </c>
      <c r="AU1095">
        <f t="shared" si="160"/>
        <v>9334.2461000000003</v>
      </c>
      <c r="AV1095">
        <f t="shared" si="160"/>
        <v>13177.7592</v>
      </c>
      <c r="AW1095">
        <f t="shared" si="160"/>
        <v>18119.418900000001</v>
      </c>
      <c r="AX1095">
        <f t="shared" si="160"/>
        <v>25257.371800000001</v>
      </c>
      <c r="AY1095">
        <f t="shared" si="160"/>
        <v>43925.864000000001</v>
      </c>
      <c r="AZ1095">
        <f t="shared" si="160"/>
        <v>82360.994999999995</v>
      </c>
      <c r="BA1095">
        <f t="shared" si="160"/>
        <v>137268.32500000001</v>
      </c>
      <c r="BB1095">
        <f t="shared" si="160"/>
        <v>219629.32</v>
      </c>
      <c r="BC1095">
        <f t="shared" si="161"/>
        <v>549073.30000000005</v>
      </c>
      <c r="BD1095">
        <f t="shared" si="161"/>
        <v>823609.95000000007</v>
      </c>
      <c r="BE1095">
        <f t="shared" si="161"/>
        <v>1317775.92</v>
      </c>
      <c r="BF1095">
        <f t="shared" si="161"/>
        <v>1647219.9000000001</v>
      </c>
      <c r="BG1095">
        <f t="shared" si="161"/>
        <v>5490733</v>
      </c>
      <c r="BH1095">
        <f t="shared" si="161"/>
        <v>16472199</v>
      </c>
      <c r="BI1095">
        <f t="shared" si="161"/>
        <v>46671230.5</v>
      </c>
      <c r="BJ1095">
        <f t="shared" si="161"/>
        <v>164721990</v>
      </c>
      <c r="BK1095">
        <f t="shared" si="161"/>
        <v>549073300</v>
      </c>
      <c r="BL1095">
        <v>1090</v>
      </c>
    </row>
    <row r="1096" spans="1:64" ht="17.25" thickBot="1" x14ac:dyDescent="0.25">
      <c r="A1096" s="131">
        <v>1092</v>
      </c>
      <c r="B1096" s="135">
        <v>3596248361</v>
      </c>
      <c r="D1096" s="131">
        <v>1092</v>
      </c>
      <c r="E1096" s="132">
        <v>55.05762</v>
      </c>
      <c r="AK1096">
        <v>1090</v>
      </c>
      <c r="AL1096" s="24">
        <f t="shared" si="159"/>
        <v>54.957470000000001</v>
      </c>
      <c r="AM1096">
        <f t="shared" si="160"/>
        <v>384.70229</v>
      </c>
      <c r="AN1096">
        <f t="shared" si="160"/>
        <v>549.57470000000001</v>
      </c>
      <c r="AO1096">
        <f t="shared" si="160"/>
        <v>824.36204999999995</v>
      </c>
      <c r="AP1096">
        <f t="shared" si="160"/>
        <v>1099.1494</v>
      </c>
      <c r="AQ1096">
        <f t="shared" si="160"/>
        <v>1923.51145</v>
      </c>
      <c r="AR1096">
        <f t="shared" si="160"/>
        <v>2747.8735000000001</v>
      </c>
      <c r="AS1096">
        <f t="shared" si="160"/>
        <v>4396.5976000000001</v>
      </c>
      <c r="AT1096">
        <f t="shared" si="160"/>
        <v>6594.8963999999996</v>
      </c>
      <c r="AU1096">
        <f t="shared" si="160"/>
        <v>9342.7698999999993</v>
      </c>
      <c r="AV1096">
        <f t="shared" si="160"/>
        <v>13189.792799999999</v>
      </c>
      <c r="AW1096">
        <f t="shared" si="160"/>
        <v>18135.965100000001</v>
      </c>
      <c r="AX1096">
        <f t="shared" si="160"/>
        <v>25280.4362</v>
      </c>
      <c r="AY1096">
        <f t="shared" si="160"/>
        <v>43965.976000000002</v>
      </c>
      <c r="AZ1096">
        <f t="shared" si="160"/>
        <v>82436.205000000002</v>
      </c>
      <c r="BA1096">
        <f t="shared" si="160"/>
        <v>137393.67499999999</v>
      </c>
      <c r="BB1096">
        <f t="shared" si="160"/>
        <v>219829.88</v>
      </c>
      <c r="BC1096">
        <f t="shared" si="161"/>
        <v>549574.69999999995</v>
      </c>
      <c r="BD1096">
        <f t="shared" si="161"/>
        <v>824362.05</v>
      </c>
      <c r="BE1096">
        <f t="shared" si="161"/>
        <v>1318979.28</v>
      </c>
      <c r="BF1096">
        <f t="shared" si="161"/>
        <v>1648724.1</v>
      </c>
      <c r="BG1096">
        <f t="shared" si="161"/>
        <v>5495747</v>
      </c>
      <c r="BH1096">
        <f t="shared" si="161"/>
        <v>16487241</v>
      </c>
      <c r="BI1096">
        <f t="shared" si="161"/>
        <v>46713849.5</v>
      </c>
      <c r="BJ1096">
        <f t="shared" si="161"/>
        <v>164872410</v>
      </c>
      <c r="BK1096">
        <f t="shared" si="161"/>
        <v>549574700</v>
      </c>
      <c r="BL1096">
        <v>1091</v>
      </c>
    </row>
    <row r="1097" spans="1:64" ht="17.25" thickBot="1" x14ac:dyDescent="0.25">
      <c r="A1097" s="131">
        <v>1093</v>
      </c>
      <c r="B1097" s="135">
        <v>3614931300</v>
      </c>
      <c r="D1097" s="131">
        <v>1093</v>
      </c>
      <c r="E1097" s="132">
        <v>55.10763</v>
      </c>
      <c r="AK1097">
        <v>1091</v>
      </c>
      <c r="AL1097" s="24">
        <f t="shared" si="159"/>
        <v>55.007570000000001</v>
      </c>
      <c r="AM1097">
        <f t="shared" si="160"/>
        <v>385.05299000000002</v>
      </c>
      <c r="AN1097">
        <f t="shared" si="160"/>
        <v>550.07569999999998</v>
      </c>
      <c r="AO1097">
        <f t="shared" si="160"/>
        <v>825.11355000000003</v>
      </c>
      <c r="AP1097">
        <f t="shared" si="160"/>
        <v>1100.1514</v>
      </c>
      <c r="AQ1097">
        <f t="shared" si="160"/>
        <v>1925.26495</v>
      </c>
      <c r="AR1097">
        <f t="shared" si="160"/>
        <v>2750.3785000000003</v>
      </c>
      <c r="AS1097">
        <f t="shared" si="160"/>
        <v>4400.6055999999999</v>
      </c>
      <c r="AT1097">
        <f t="shared" si="160"/>
        <v>6600.9084000000003</v>
      </c>
      <c r="AU1097">
        <f t="shared" si="160"/>
        <v>9351.286900000001</v>
      </c>
      <c r="AV1097">
        <f t="shared" si="160"/>
        <v>13201.816800000001</v>
      </c>
      <c r="AW1097">
        <f t="shared" si="160"/>
        <v>18152.498100000001</v>
      </c>
      <c r="AX1097">
        <f t="shared" si="160"/>
        <v>25303.482200000002</v>
      </c>
      <c r="AY1097">
        <f t="shared" si="160"/>
        <v>44006.056000000004</v>
      </c>
      <c r="AZ1097">
        <f t="shared" si="160"/>
        <v>82511.354999999996</v>
      </c>
      <c r="BA1097">
        <f t="shared" si="160"/>
        <v>137518.92500000002</v>
      </c>
      <c r="BB1097">
        <f t="shared" si="160"/>
        <v>220030.28</v>
      </c>
      <c r="BC1097">
        <f t="shared" si="161"/>
        <v>550075.70000000007</v>
      </c>
      <c r="BD1097">
        <f t="shared" si="161"/>
        <v>825113.55</v>
      </c>
      <c r="BE1097">
        <f t="shared" si="161"/>
        <v>1320181.68</v>
      </c>
      <c r="BF1097">
        <f t="shared" si="161"/>
        <v>1650227.1</v>
      </c>
      <c r="BG1097">
        <f t="shared" si="161"/>
        <v>5500757</v>
      </c>
      <c r="BH1097">
        <f t="shared" si="161"/>
        <v>16502271</v>
      </c>
      <c r="BI1097">
        <f t="shared" si="161"/>
        <v>46756434.5</v>
      </c>
      <c r="BJ1097">
        <f t="shared" si="161"/>
        <v>165022710</v>
      </c>
      <c r="BK1097">
        <f t="shared" si="161"/>
        <v>550075700</v>
      </c>
      <c r="BL1097">
        <v>1092</v>
      </c>
    </row>
    <row r="1098" spans="1:64" ht="17.25" thickBot="1" x14ac:dyDescent="0.25">
      <c r="A1098" s="131">
        <v>1094</v>
      </c>
      <c r="B1098" s="135">
        <v>3633692288</v>
      </c>
      <c r="D1098" s="131">
        <v>1094</v>
      </c>
      <c r="E1098" s="132">
        <v>55.157589999999999</v>
      </c>
      <c r="AK1098">
        <v>1092</v>
      </c>
      <c r="AL1098" s="24">
        <f t="shared" si="159"/>
        <v>55.05762</v>
      </c>
      <c r="AM1098">
        <f t="shared" si="160"/>
        <v>385.40334000000001</v>
      </c>
      <c r="AN1098">
        <f t="shared" si="160"/>
        <v>550.57619999999997</v>
      </c>
      <c r="AO1098">
        <f t="shared" si="160"/>
        <v>825.86429999999996</v>
      </c>
      <c r="AP1098">
        <f t="shared" si="160"/>
        <v>1101.1523999999999</v>
      </c>
      <c r="AQ1098">
        <f t="shared" si="160"/>
        <v>1927.0166999999999</v>
      </c>
      <c r="AR1098">
        <f t="shared" si="160"/>
        <v>2752.8809999999999</v>
      </c>
      <c r="AS1098">
        <f t="shared" si="160"/>
        <v>4404.6095999999998</v>
      </c>
      <c r="AT1098">
        <f t="shared" si="160"/>
        <v>6606.9143999999997</v>
      </c>
      <c r="AU1098">
        <f t="shared" si="160"/>
        <v>9359.7954000000009</v>
      </c>
      <c r="AV1098">
        <f t="shared" si="160"/>
        <v>13213.828799999999</v>
      </c>
      <c r="AW1098">
        <f t="shared" si="160"/>
        <v>18169.014599999999</v>
      </c>
      <c r="AX1098">
        <f t="shared" si="160"/>
        <v>25326.5052</v>
      </c>
      <c r="AY1098">
        <f t="shared" si="160"/>
        <v>44046.095999999998</v>
      </c>
      <c r="AZ1098">
        <f t="shared" si="160"/>
        <v>82586.429999999993</v>
      </c>
      <c r="BA1098">
        <f t="shared" si="160"/>
        <v>137644.04999999999</v>
      </c>
      <c r="BB1098">
        <f t="shared" si="160"/>
        <v>220230.48</v>
      </c>
      <c r="BC1098">
        <f t="shared" si="161"/>
        <v>550576.19999999995</v>
      </c>
      <c r="BD1098">
        <f t="shared" si="161"/>
        <v>825864.3</v>
      </c>
      <c r="BE1098">
        <f t="shared" si="161"/>
        <v>1321382.8799999999</v>
      </c>
      <c r="BF1098">
        <f t="shared" si="161"/>
        <v>1651728.6</v>
      </c>
      <c r="BG1098">
        <f t="shared" si="161"/>
        <v>5505762</v>
      </c>
      <c r="BH1098">
        <f t="shared" si="161"/>
        <v>16517286</v>
      </c>
      <c r="BI1098">
        <f t="shared" si="161"/>
        <v>46798977</v>
      </c>
      <c r="BJ1098">
        <f t="shared" si="161"/>
        <v>165172860</v>
      </c>
      <c r="BK1098">
        <f t="shared" si="161"/>
        <v>550576200</v>
      </c>
      <c r="BL1098">
        <v>1093</v>
      </c>
    </row>
    <row r="1099" spans="1:64" ht="17.25" thickBot="1" x14ac:dyDescent="0.25">
      <c r="A1099" s="131">
        <v>1095</v>
      </c>
      <c r="B1099" s="135">
        <v>3652531572</v>
      </c>
      <c r="D1099" s="131">
        <v>1095</v>
      </c>
      <c r="E1099" s="132">
        <v>55.207500000000003</v>
      </c>
      <c r="AK1099">
        <v>1093</v>
      </c>
      <c r="AL1099" s="24">
        <f t="shared" si="159"/>
        <v>55.10763</v>
      </c>
      <c r="AM1099">
        <f t="shared" si="160"/>
        <v>385.75341000000003</v>
      </c>
      <c r="AN1099">
        <f t="shared" si="160"/>
        <v>551.07629999999995</v>
      </c>
      <c r="AO1099">
        <f t="shared" si="160"/>
        <v>826.61445000000003</v>
      </c>
      <c r="AP1099">
        <f t="shared" si="160"/>
        <v>1102.1525999999999</v>
      </c>
      <c r="AQ1099">
        <f t="shared" si="160"/>
        <v>1928.7670499999999</v>
      </c>
      <c r="AR1099">
        <f t="shared" si="160"/>
        <v>2755.3815</v>
      </c>
      <c r="AS1099">
        <f t="shared" si="160"/>
        <v>4408.6103999999996</v>
      </c>
      <c r="AT1099">
        <f t="shared" si="160"/>
        <v>6612.9156000000003</v>
      </c>
      <c r="AU1099">
        <f t="shared" si="160"/>
        <v>9368.2970999999998</v>
      </c>
      <c r="AV1099">
        <f t="shared" si="160"/>
        <v>13225.831200000001</v>
      </c>
      <c r="AW1099">
        <f t="shared" si="160"/>
        <v>18185.517899999999</v>
      </c>
      <c r="AX1099">
        <f t="shared" si="160"/>
        <v>25349.5098</v>
      </c>
      <c r="AY1099">
        <f t="shared" si="160"/>
        <v>44086.103999999999</v>
      </c>
      <c r="AZ1099">
        <f t="shared" si="160"/>
        <v>82661.445000000007</v>
      </c>
      <c r="BA1099">
        <f t="shared" si="160"/>
        <v>137769.07500000001</v>
      </c>
      <c r="BB1099">
        <f t="shared" si="160"/>
        <v>220430.52</v>
      </c>
      <c r="BC1099">
        <f t="shared" si="161"/>
        <v>551076.30000000005</v>
      </c>
      <c r="BD1099">
        <f t="shared" si="161"/>
        <v>826614.45</v>
      </c>
      <c r="BE1099">
        <f t="shared" si="161"/>
        <v>1322583.1200000001</v>
      </c>
      <c r="BF1099">
        <f t="shared" si="161"/>
        <v>1653228.9</v>
      </c>
      <c r="BG1099">
        <f t="shared" si="161"/>
        <v>5510763</v>
      </c>
      <c r="BH1099">
        <f t="shared" si="161"/>
        <v>16532289</v>
      </c>
      <c r="BI1099">
        <f t="shared" si="161"/>
        <v>46841485.5</v>
      </c>
      <c r="BJ1099">
        <f t="shared" si="161"/>
        <v>165322890</v>
      </c>
      <c r="BK1099">
        <f t="shared" si="161"/>
        <v>551076300</v>
      </c>
      <c r="BL1099">
        <v>1094</v>
      </c>
    </row>
    <row r="1100" spans="1:64" ht="17.25" thickBot="1" x14ac:dyDescent="0.25">
      <c r="A1100" s="131">
        <v>1096</v>
      </c>
      <c r="B1100" s="135">
        <v>3671449388</v>
      </c>
      <c r="D1100" s="131">
        <v>1096</v>
      </c>
      <c r="E1100" s="132">
        <v>55.257370000000002</v>
      </c>
      <c r="AK1100">
        <v>1094</v>
      </c>
      <c r="AL1100" s="24">
        <f t="shared" si="159"/>
        <v>55.157589999999999</v>
      </c>
      <c r="AM1100">
        <f t="shared" si="160"/>
        <v>386.10312999999996</v>
      </c>
      <c r="AN1100">
        <f t="shared" si="160"/>
        <v>551.57590000000005</v>
      </c>
      <c r="AO1100">
        <f t="shared" si="160"/>
        <v>827.36384999999996</v>
      </c>
      <c r="AP1100">
        <f t="shared" si="160"/>
        <v>1103.1518000000001</v>
      </c>
      <c r="AQ1100">
        <f t="shared" si="160"/>
        <v>1930.5156500000001</v>
      </c>
      <c r="AR1100">
        <f t="shared" si="160"/>
        <v>2757.8795</v>
      </c>
      <c r="AS1100">
        <f t="shared" si="160"/>
        <v>4412.6072000000004</v>
      </c>
      <c r="AT1100">
        <f t="shared" si="160"/>
        <v>6618.9107999999997</v>
      </c>
      <c r="AU1100">
        <f t="shared" si="160"/>
        <v>9376.7903000000006</v>
      </c>
      <c r="AV1100">
        <f t="shared" si="160"/>
        <v>13237.821599999999</v>
      </c>
      <c r="AW1100">
        <f t="shared" si="160"/>
        <v>18202.004700000001</v>
      </c>
      <c r="AX1100">
        <f t="shared" si="160"/>
        <v>25372.491399999999</v>
      </c>
      <c r="AY1100">
        <f t="shared" si="160"/>
        <v>44126.072</v>
      </c>
      <c r="AZ1100">
        <f t="shared" si="160"/>
        <v>82736.384999999995</v>
      </c>
      <c r="BA1100">
        <f t="shared" si="160"/>
        <v>137893.97500000001</v>
      </c>
      <c r="BB1100">
        <f t="shared" si="160"/>
        <v>220630.36</v>
      </c>
      <c r="BC1100">
        <f t="shared" si="161"/>
        <v>551575.9</v>
      </c>
      <c r="BD1100">
        <f t="shared" si="161"/>
        <v>827363.85</v>
      </c>
      <c r="BE1100">
        <f t="shared" si="161"/>
        <v>1323782.1599999999</v>
      </c>
      <c r="BF1100">
        <f t="shared" si="161"/>
        <v>1654727.7</v>
      </c>
      <c r="BG1100">
        <f t="shared" si="161"/>
        <v>5515759</v>
      </c>
      <c r="BH1100">
        <f t="shared" si="161"/>
        <v>16547277</v>
      </c>
      <c r="BI1100">
        <f t="shared" si="161"/>
        <v>46883951.5</v>
      </c>
      <c r="BJ1100">
        <f t="shared" si="161"/>
        <v>165472770</v>
      </c>
      <c r="BK1100">
        <f t="shared" si="161"/>
        <v>551575900</v>
      </c>
      <c r="BL1100">
        <v>1095</v>
      </c>
    </row>
    <row r="1101" spans="1:64" ht="17.25" thickBot="1" x14ac:dyDescent="0.25">
      <c r="A1101" s="131">
        <v>1097</v>
      </c>
      <c r="B1101" s="135">
        <v>3690445983</v>
      </c>
      <c r="D1101" s="131">
        <v>1097</v>
      </c>
      <c r="E1101" s="132">
        <v>55.307189999999999</v>
      </c>
      <c r="AK1101">
        <v>1095</v>
      </c>
      <c r="AL1101" s="24">
        <f t="shared" si="159"/>
        <v>55.207500000000003</v>
      </c>
      <c r="AM1101">
        <f t="shared" si="160"/>
        <v>386.45250000000004</v>
      </c>
      <c r="AN1101">
        <f t="shared" si="160"/>
        <v>552.07500000000005</v>
      </c>
      <c r="AO1101">
        <f t="shared" si="160"/>
        <v>828.11250000000007</v>
      </c>
      <c r="AP1101">
        <f t="shared" si="160"/>
        <v>1104.1500000000001</v>
      </c>
      <c r="AQ1101">
        <f t="shared" si="160"/>
        <v>1932.2625</v>
      </c>
      <c r="AR1101">
        <f t="shared" si="160"/>
        <v>2760.375</v>
      </c>
      <c r="AS1101">
        <f t="shared" si="160"/>
        <v>4416.6000000000004</v>
      </c>
      <c r="AT1101">
        <f t="shared" si="160"/>
        <v>6624.9000000000005</v>
      </c>
      <c r="AU1101">
        <f t="shared" si="160"/>
        <v>9385.2749999999996</v>
      </c>
      <c r="AV1101">
        <f t="shared" si="160"/>
        <v>13249.800000000001</v>
      </c>
      <c r="AW1101">
        <f t="shared" ref="AM1101:BB1116" si="162">AW$5*VLOOKUP($AK1101,$D$2:$E$1404,2,FALSE)</f>
        <v>18218.475000000002</v>
      </c>
      <c r="AX1101">
        <f t="shared" si="162"/>
        <v>25395.45</v>
      </c>
      <c r="AY1101">
        <f t="shared" si="162"/>
        <v>44166</v>
      </c>
      <c r="AZ1101">
        <f t="shared" si="162"/>
        <v>82811.25</v>
      </c>
      <c r="BA1101">
        <f t="shared" si="162"/>
        <v>138018.75</v>
      </c>
      <c r="BB1101">
        <f t="shared" si="162"/>
        <v>220830</v>
      </c>
      <c r="BC1101">
        <f t="shared" si="161"/>
        <v>552075</v>
      </c>
      <c r="BD1101">
        <f t="shared" si="161"/>
        <v>828112.5</v>
      </c>
      <c r="BE1101">
        <f t="shared" si="161"/>
        <v>1324980</v>
      </c>
      <c r="BF1101">
        <f t="shared" si="161"/>
        <v>1656225</v>
      </c>
      <c r="BG1101">
        <f t="shared" si="161"/>
        <v>5520750</v>
      </c>
      <c r="BH1101">
        <f t="shared" si="161"/>
        <v>16562250.000000002</v>
      </c>
      <c r="BI1101">
        <f t="shared" si="161"/>
        <v>46926375</v>
      </c>
      <c r="BJ1101">
        <f t="shared" si="161"/>
        <v>165622500</v>
      </c>
      <c r="BK1101">
        <f t="shared" si="161"/>
        <v>552075000</v>
      </c>
      <c r="BL1101">
        <v>1096</v>
      </c>
    </row>
    <row r="1102" spans="1:64" ht="17.25" thickBot="1" x14ac:dyDescent="0.25">
      <c r="A1102" s="131">
        <v>1098</v>
      </c>
      <c r="B1102" s="135">
        <v>3709521594</v>
      </c>
      <c r="D1102" s="131">
        <v>1098</v>
      </c>
      <c r="E1102" s="132">
        <v>55.356969999999997</v>
      </c>
      <c r="AK1102">
        <v>1096</v>
      </c>
      <c r="AL1102" s="24">
        <f t="shared" si="159"/>
        <v>55.257370000000002</v>
      </c>
      <c r="AM1102">
        <f t="shared" si="162"/>
        <v>386.80159000000003</v>
      </c>
      <c r="AN1102">
        <f t="shared" si="162"/>
        <v>552.57370000000003</v>
      </c>
      <c r="AO1102">
        <f t="shared" si="162"/>
        <v>828.86054999999999</v>
      </c>
      <c r="AP1102">
        <f t="shared" si="162"/>
        <v>1105.1474000000001</v>
      </c>
      <c r="AQ1102">
        <f t="shared" si="162"/>
        <v>1934.0079500000002</v>
      </c>
      <c r="AR1102">
        <f t="shared" si="162"/>
        <v>2762.8685</v>
      </c>
      <c r="AS1102">
        <f t="shared" si="162"/>
        <v>4420.5896000000002</v>
      </c>
      <c r="AT1102">
        <f t="shared" si="162"/>
        <v>6630.8843999999999</v>
      </c>
      <c r="AU1102">
        <f t="shared" si="162"/>
        <v>9393.7528999999995</v>
      </c>
      <c r="AV1102">
        <f t="shared" si="162"/>
        <v>13261.7688</v>
      </c>
      <c r="AW1102">
        <f t="shared" si="162"/>
        <v>18234.932100000002</v>
      </c>
      <c r="AX1102">
        <f t="shared" si="162"/>
        <v>25418.390200000002</v>
      </c>
      <c r="AY1102">
        <f t="shared" si="162"/>
        <v>44205.896000000001</v>
      </c>
      <c r="AZ1102">
        <f t="shared" si="162"/>
        <v>82886.055000000008</v>
      </c>
      <c r="BA1102">
        <f t="shared" si="162"/>
        <v>138143.42500000002</v>
      </c>
      <c r="BB1102">
        <f t="shared" si="162"/>
        <v>221029.48</v>
      </c>
      <c r="BC1102">
        <f t="shared" si="161"/>
        <v>552573.70000000007</v>
      </c>
      <c r="BD1102">
        <f t="shared" si="161"/>
        <v>828860.55</v>
      </c>
      <c r="BE1102">
        <f t="shared" si="161"/>
        <v>1326176.8800000001</v>
      </c>
      <c r="BF1102">
        <f t="shared" si="161"/>
        <v>1657721.1</v>
      </c>
      <c r="BG1102">
        <f t="shared" si="161"/>
        <v>5525737</v>
      </c>
      <c r="BH1102">
        <f t="shared" si="161"/>
        <v>16577211</v>
      </c>
      <c r="BI1102">
        <f t="shared" si="161"/>
        <v>46968764.5</v>
      </c>
      <c r="BJ1102">
        <f t="shared" si="161"/>
        <v>165772110</v>
      </c>
      <c r="BK1102">
        <f t="shared" si="161"/>
        <v>552573700</v>
      </c>
      <c r="BL1102">
        <v>1097</v>
      </c>
    </row>
    <row r="1103" spans="1:64" ht="17.25" thickBot="1" x14ac:dyDescent="0.25">
      <c r="A1103" s="131">
        <v>1099</v>
      </c>
      <c r="B1103" s="135">
        <v>3728676466</v>
      </c>
      <c r="D1103" s="131">
        <v>1099</v>
      </c>
      <c r="E1103" s="132">
        <v>55.406700000000001</v>
      </c>
      <c r="AK1103">
        <v>1097</v>
      </c>
      <c r="AL1103" s="24">
        <f t="shared" si="159"/>
        <v>55.307189999999999</v>
      </c>
      <c r="AM1103">
        <f t="shared" si="162"/>
        <v>387.15033</v>
      </c>
      <c r="AN1103">
        <f t="shared" si="162"/>
        <v>553.07190000000003</v>
      </c>
      <c r="AO1103">
        <f t="shared" si="162"/>
        <v>829.60784999999998</v>
      </c>
      <c r="AP1103">
        <f t="shared" si="162"/>
        <v>1106.1438000000001</v>
      </c>
      <c r="AQ1103">
        <f t="shared" si="162"/>
        <v>1935.7516499999999</v>
      </c>
      <c r="AR1103">
        <f t="shared" si="162"/>
        <v>2765.3595</v>
      </c>
      <c r="AS1103">
        <f t="shared" si="162"/>
        <v>4424.5752000000002</v>
      </c>
      <c r="AT1103">
        <f t="shared" si="162"/>
        <v>6636.8627999999999</v>
      </c>
      <c r="AU1103">
        <f t="shared" si="162"/>
        <v>9402.2222999999994</v>
      </c>
      <c r="AV1103">
        <f t="shared" si="162"/>
        <v>13273.7256</v>
      </c>
      <c r="AW1103">
        <f t="shared" si="162"/>
        <v>18251.3727</v>
      </c>
      <c r="AX1103">
        <f t="shared" si="162"/>
        <v>25441.307399999998</v>
      </c>
      <c r="AY1103">
        <f t="shared" si="162"/>
        <v>44245.752</v>
      </c>
      <c r="AZ1103">
        <f t="shared" si="162"/>
        <v>82960.785000000003</v>
      </c>
      <c r="BA1103">
        <f t="shared" si="162"/>
        <v>138267.97500000001</v>
      </c>
      <c r="BB1103">
        <f t="shared" si="162"/>
        <v>221228.75999999998</v>
      </c>
      <c r="BC1103">
        <f t="shared" si="161"/>
        <v>553071.9</v>
      </c>
      <c r="BD1103">
        <f t="shared" si="161"/>
        <v>829607.85</v>
      </c>
      <c r="BE1103">
        <f t="shared" si="161"/>
        <v>1327372.56</v>
      </c>
      <c r="BF1103">
        <f t="shared" si="161"/>
        <v>1659215.7</v>
      </c>
      <c r="BG1103">
        <f t="shared" si="161"/>
        <v>5530719</v>
      </c>
      <c r="BH1103">
        <f t="shared" si="161"/>
        <v>16592157</v>
      </c>
      <c r="BI1103">
        <f t="shared" si="161"/>
        <v>47011111.5</v>
      </c>
      <c r="BJ1103">
        <f t="shared" si="161"/>
        <v>165921570</v>
      </c>
      <c r="BK1103">
        <f t="shared" si="161"/>
        <v>553071900</v>
      </c>
      <c r="BL1103">
        <v>1098</v>
      </c>
    </row>
    <row r="1104" spans="1:64" ht="17.25" thickBot="1" x14ac:dyDescent="0.25">
      <c r="A1104" s="131">
        <v>1100</v>
      </c>
      <c r="B1104" s="135">
        <v>3747910838</v>
      </c>
      <c r="D1104" s="131">
        <v>1100</v>
      </c>
      <c r="E1104" s="132">
        <v>55.456389999999999</v>
      </c>
      <c r="AK1104">
        <v>1098</v>
      </c>
      <c r="AL1104" s="24">
        <f t="shared" si="159"/>
        <v>55.356969999999997</v>
      </c>
      <c r="AM1104">
        <f t="shared" si="162"/>
        <v>387.49878999999999</v>
      </c>
      <c r="AN1104">
        <f t="shared" si="162"/>
        <v>553.56970000000001</v>
      </c>
      <c r="AO1104">
        <f t="shared" si="162"/>
        <v>830.3545499999999</v>
      </c>
      <c r="AP1104">
        <f t="shared" si="162"/>
        <v>1107.1394</v>
      </c>
      <c r="AQ1104">
        <f t="shared" si="162"/>
        <v>1937.4939499999998</v>
      </c>
      <c r="AR1104">
        <f t="shared" si="162"/>
        <v>2767.8485000000001</v>
      </c>
      <c r="AS1104">
        <f t="shared" si="162"/>
        <v>4428.5576000000001</v>
      </c>
      <c r="AT1104">
        <f t="shared" si="162"/>
        <v>6642.8363999999992</v>
      </c>
      <c r="AU1104">
        <f t="shared" si="162"/>
        <v>9410.6849000000002</v>
      </c>
      <c r="AV1104">
        <f t="shared" si="162"/>
        <v>13285.672799999998</v>
      </c>
      <c r="AW1104">
        <f t="shared" si="162"/>
        <v>18267.8001</v>
      </c>
      <c r="AX1104">
        <f t="shared" si="162"/>
        <v>25464.206199999997</v>
      </c>
      <c r="AY1104">
        <f t="shared" si="162"/>
        <v>44285.576000000001</v>
      </c>
      <c r="AZ1104">
        <f t="shared" si="162"/>
        <v>83035.455000000002</v>
      </c>
      <c r="BA1104">
        <f t="shared" si="162"/>
        <v>138392.42499999999</v>
      </c>
      <c r="BB1104">
        <f t="shared" si="162"/>
        <v>221427.87999999998</v>
      </c>
      <c r="BC1104">
        <f t="shared" si="161"/>
        <v>553569.69999999995</v>
      </c>
      <c r="BD1104">
        <f t="shared" si="161"/>
        <v>830354.54999999993</v>
      </c>
      <c r="BE1104">
        <f t="shared" si="161"/>
        <v>1328567.28</v>
      </c>
      <c r="BF1104">
        <f t="shared" si="161"/>
        <v>1660709.0999999999</v>
      </c>
      <c r="BG1104">
        <f t="shared" si="161"/>
        <v>5535697</v>
      </c>
      <c r="BH1104">
        <f t="shared" si="161"/>
        <v>16607091</v>
      </c>
      <c r="BI1104">
        <f t="shared" si="161"/>
        <v>47053424.5</v>
      </c>
      <c r="BJ1104">
        <f t="shared" si="161"/>
        <v>166070910</v>
      </c>
      <c r="BK1104">
        <f t="shared" si="161"/>
        <v>553569700</v>
      </c>
      <c r="BL1104">
        <v>1099</v>
      </c>
    </row>
    <row r="1105" spans="1:64" ht="17.25" thickBot="1" x14ac:dyDescent="0.25">
      <c r="A1105" s="131">
        <v>1101</v>
      </c>
      <c r="B1105" s="135">
        <v>3767224955</v>
      </c>
      <c r="D1105" s="131">
        <v>1101</v>
      </c>
      <c r="E1105" s="132">
        <v>55.508319999999998</v>
      </c>
      <c r="AK1105">
        <v>1099</v>
      </c>
      <c r="AL1105" s="24">
        <f t="shared" si="159"/>
        <v>55.406700000000001</v>
      </c>
      <c r="AM1105">
        <f t="shared" si="162"/>
        <v>387.84690000000001</v>
      </c>
      <c r="AN1105">
        <f t="shared" si="162"/>
        <v>554.06700000000001</v>
      </c>
      <c r="AO1105">
        <f t="shared" si="162"/>
        <v>831.10050000000001</v>
      </c>
      <c r="AP1105">
        <f t="shared" si="162"/>
        <v>1108.134</v>
      </c>
      <c r="AQ1105">
        <f t="shared" si="162"/>
        <v>1939.2345</v>
      </c>
      <c r="AR1105">
        <f t="shared" si="162"/>
        <v>2770.335</v>
      </c>
      <c r="AS1105">
        <f t="shared" si="162"/>
        <v>4432.5360000000001</v>
      </c>
      <c r="AT1105">
        <f t="shared" si="162"/>
        <v>6648.8040000000001</v>
      </c>
      <c r="AU1105">
        <f t="shared" si="162"/>
        <v>9419.1389999999992</v>
      </c>
      <c r="AV1105">
        <f t="shared" si="162"/>
        <v>13297.608</v>
      </c>
      <c r="AW1105">
        <f t="shared" si="162"/>
        <v>18284.210999999999</v>
      </c>
      <c r="AX1105">
        <f t="shared" si="162"/>
        <v>25487.082000000002</v>
      </c>
      <c r="AY1105">
        <f t="shared" si="162"/>
        <v>44325.36</v>
      </c>
      <c r="AZ1105">
        <f t="shared" si="162"/>
        <v>83110.05</v>
      </c>
      <c r="BA1105">
        <f t="shared" si="162"/>
        <v>138516.75</v>
      </c>
      <c r="BB1105">
        <f t="shared" si="162"/>
        <v>221626.8</v>
      </c>
      <c r="BC1105">
        <f t="shared" si="161"/>
        <v>554067</v>
      </c>
      <c r="BD1105">
        <f t="shared" si="161"/>
        <v>831100.5</v>
      </c>
      <c r="BE1105">
        <f t="shared" si="161"/>
        <v>1329760.8</v>
      </c>
      <c r="BF1105">
        <f t="shared" si="161"/>
        <v>1662201</v>
      </c>
      <c r="BG1105">
        <f t="shared" si="161"/>
        <v>5540670</v>
      </c>
      <c r="BH1105">
        <f t="shared" si="161"/>
        <v>16622010</v>
      </c>
      <c r="BI1105">
        <f t="shared" si="161"/>
        <v>47095695</v>
      </c>
      <c r="BJ1105">
        <f t="shared" si="161"/>
        <v>166220100</v>
      </c>
      <c r="BK1105">
        <f t="shared" si="161"/>
        <v>554067000</v>
      </c>
      <c r="BL1105">
        <v>1100</v>
      </c>
    </row>
    <row r="1106" spans="1:64" ht="17.25" thickBot="1" x14ac:dyDescent="0.25">
      <c r="A1106" s="131">
        <v>1102</v>
      </c>
      <c r="B1106" s="135">
        <v>3786619061</v>
      </c>
      <c r="D1106" s="131">
        <v>1102</v>
      </c>
      <c r="E1106" s="132">
        <v>55.560209999999998</v>
      </c>
      <c r="AK1106">
        <v>1100</v>
      </c>
      <c r="AL1106" s="24">
        <f t="shared" si="159"/>
        <v>55.456389999999999</v>
      </c>
      <c r="AM1106">
        <f t="shared" si="162"/>
        <v>388.19472999999999</v>
      </c>
      <c r="AN1106">
        <f t="shared" si="162"/>
        <v>554.56389999999999</v>
      </c>
      <c r="AO1106">
        <f t="shared" si="162"/>
        <v>831.84584999999993</v>
      </c>
      <c r="AP1106">
        <f t="shared" si="162"/>
        <v>1109.1278</v>
      </c>
      <c r="AQ1106">
        <f t="shared" si="162"/>
        <v>1940.9736499999999</v>
      </c>
      <c r="AR1106">
        <f t="shared" si="162"/>
        <v>2772.8195000000001</v>
      </c>
      <c r="AS1106">
        <f t="shared" si="162"/>
        <v>4436.5111999999999</v>
      </c>
      <c r="AT1106">
        <f t="shared" si="162"/>
        <v>6654.7667999999994</v>
      </c>
      <c r="AU1106">
        <f t="shared" si="162"/>
        <v>9427.586299999999</v>
      </c>
      <c r="AV1106">
        <f t="shared" si="162"/>
        <v>13309.533599999999</v>
      </c>
      <c r="AW1106">
        <f t="shared" si="162"/>
        <v>18300.608700000001</v>
      </c>
      <c r="AX1106">
        <f t="shared" si="162"/>
        <v>25509.939399999999</v>
      </c>
      <c r="AY1106">
        <f t="shared" si="162"/>
        <v>44365.112000000001</v>
      </c>
      <c r="AZ1106">
        <f t="shared" si="162"/>
        <v>83184.584999999992</v>
      </c>
      <c r="BA1106">
        <f t="shared" si="162"/>
        <v>138640.97500000001</v>
      </c>
      <c r="BB1106">
        <f t="shared" si="162"/>
        <v>221825.56</v>
      </c>
      <c r="BC1106">
        <f t="shared" si="161"/>
        <v>554563.9</v>
      </c>
      <c r="BD1106">
        <f t="shared" si="161"/>
        <v>831845.85</v>
      </c>
      <c r="BE1106">
        <f t="shared" si="161"/>
        <v>1330953.3599999999</v>
      </c>
      <c r="BF1106">
        <f t="shared" si="161"/>
        <v>1663691.7</v>
      </c>
      <c r="BG1106">
        <f t="shared" si="161"/>
        <v>5545639</v>
      </c>
      <c r="BH1106">
        <f t="shared" si="161"/>
        <v>16636917</v>
      </c>
      <c r="BI1106">
        <f t="shared" si="161"/>
        <v>47137931.5</v>
      </c>
      <c r="BJ1106">
        <f t="shared" si="161"/>
        <v>166369170</v>
      </c>
      <c r="BK1106">
        <f t="shared" si="161"/>
        <v>554563900</v>
      </c>
      <c r="BL1106">
        <v>1101</v>
      </c>
    </row>
    <row r="1107" spans="1:64" ht="17.25" thickBot="1" x14ac:dyDescent="0.25">
      <c r="A1107" s="131">
        <v>1103</v>
      </c>
      <c r="B1107" s="135">
        <v>3806093400</v>
      </c>
      <c r="D1107" s="131">
        <v>1103</v>
      </c>
      <c r="E1107" s="132">
        <v>55.612050000000004</v>
      </c>
      <c r="AK1107">
        <v>1101</v>
      </c>
      <c r="AL1107" s="24">
        <f t="shared" si="159"/>
        <v>55.508319999999998</v>
      </c>
      <c r="AM1107">
        <f t="shared" si="162"/>
        <v>388.55823999999996</v>
      </c>
      <c r="AN1107">
        <f t="shared" si="162"/>
        <v>555.08320000000003</v>
      </c>
      <c r="AO1107">
        <f t="shared" si="162"/>
        <v>832.62479999999994</v>
      </c>
      <c r="AP1107">
        <f t="shared" si="162"/>
        <v>1110.1664000000001</v>
      </c>
      <c r="AQ1107">
        <f t="shared" si="162"/>
        <v>1942.7911999999999</v>
      </c>
      <c r="AR1107">
        <f t="shared" si="162"/>
        <v>2775.4159999999997</v>
      </c>
      <c r="AS1107">
        <f t="shared" si="162"/>
        <v>4440.6656000000003</v>
      </c>
      <c r="AT1107">
        <f t="shared" si="162"/>
        <v>6660.9983999999995</v>
      </c>
      <c r="AU1107">
        <f t="shared" si="162"/>
        <v>9436.4143999999997</v>
      </c>
      <c r="AV1107">
        <f t="shared" si="162"/>
        <v>13321.996799999999</v>
      </c>
      <c r="AW1107">
        <f t="shared" si="162"/>
        <v>18317.745599999998</v>
      </c>
      <c r="AX1107">
        <f t="shared" si="162"/>
        <v>25533.8272</v>
      </c>
      <c r="AY1107">
        <f t="shared" si="162"/>
        <v>44406.655999999995</v>
      </c>
      <c r="AZ1107">
        <f t="shared" si="162"/>
        <v>83262.48</v>
      </c>
      <c r="BA1107">
        <f t="shared" si="162"/>
        <v>138770.79999999999</v>
      </c>
      <c r="BB1107">
        <f t="shared" si="162"/>
        <v>222033.28</v>
      </c>
      <c r="BC1107">
        <f t="shared" si="161"/>
        <v>555083.19999999995</v>
      </c>
      <c r="BD1107">
        <f t="shared" si="161"/>
        <v>832624.79999999993</v>
      </c>
      <c r="BE1107">
        <f t="shared" si="161"/>
        <v>1332199.68</v>
      </c>
      <c r="BF1107">
        <f t="shared" si="161"/>
        <v>1665249.5999999999</v>
      </c>
      <c r="BG1107">
        <f t="shared" si="161"/>
        <v>5550832</v>
      </c>
      <c r="BH1107">
        <f t="shared" si="161"/>
        <v>16652496</v>
      </c>
      <c r="BI1107">
        <f t="shared" si="161"/>
        <v>47182072</v>
      </c>
      <c r="BJ1107">
        <f t="shared" si="161"/>
        <v>166524960</v>
      </c>
      <c r="BK1107">
        <f t="shared" si="161"/>
        <v>555083200</v>
      </c>
      <c r="BL1107">
        <v>1102</v>
      </c>
    </row>
    <row r="1108" spans="1:64" ht="17.25" thickBot="1" x14ac:dyDescent="0.25">
      <c r="A1108" s="131">
        <v>1104</v>
      </c>
      <c r="B1108" s="135">
        <v>3825648222</v>
      </c>
      <c r="D1108" s="131">
        <v>1104</v>
      </c>
      <c r="E1108" s="132">
        <v>55.66384</v>
      </c>
      <c r="AK1108">
        <v>1102</v>
      </c>
      <c r="AL1108" s="24">
        <f t="shared" si="159"/>
        <v>55.560209999999998</v>
      </c>
      <c r="AM1108">
        <f t="shared" si="162"/>
        <v>388.92147</v>
      </c>
      <c r="AN1108">
        <f t="shared" si="162"/>
        <v>555.60209999999995</v>
      </c>
      <c r="AO1108">
        <f t="shared" si="162"/>
        <v>833.40314999999998</v>
      </c>
      <c r="AP1108">
        <f t="shared" si="162"/>
        <v>1111.2041999999999</v>
      </c>
      <c r="AQ1108">
        <f t="shared" si="162"/>
        <v>1944.60735</v>
      </c>
      <c r="AR1108">
        <f t="shared" si="162"/>
        <v>2778.0104999999999</v>
      </c>
      <c r="AS1108">
        <f t="shared" si="162"/>
        <v>4444.8167999999996</v>
      </c>
      <c r="AT1108">
        <f t="shared" si="162"/>
        <v>6667.2251999999999</v>
      </c>
      <c r="AU1108">
        <f t="shared" si="162"/>
        <v>9445.2356999999993</v>
      </c>
      <c r="AV1108">
        <f t="shared" si="162"/>
        <v>13334.4504</v>
      </c>
      <c r="AW1108">
        <f t="shared" si="162"/>
        <v>18334.869299999998</v>
      </c>
      <c r="AX1108">
        <f t="shared" si="162"/>
        <v>25557.696599999999</v>
      </c>
      <c r="AY1108">
        <f t="shared" si="162"/>
        <v>44448.167999999998</v>
      </c>
      <c r="AZ1108">
        <f t="shared" si="162"/>
        <v>83340.315000000002</v>
      </c>
      <c r="BA1108">
        <f t="shared" si="162"/>
        <v>138900.52499999999</v>
      </c>
      <c r="BB1108">
        <f t="shared" si="162"/>
        <v>222240.84</v>
      </c>
      <c r="BC1108">
        <f t="shared" si="161"/>
        <v>555602.1</v>
      </c>
      <c r="BD1108">
        <f t="shared" si="161"/>
        <v>833403.15</v>
      </c>
      <c r="BE1108">
        <f t="shared" si="161"/>
        <v>1333445.04</v>
      </c>
      <c r="BF1108">
        <f t="shared" si="161"/>
        <v>1666806.3</v>
      </c>
      <c r="BG1108">
        <f t="shared" si="161"/>
        <v>5556021</v>
      </c>
      <c r="BH1108">
        <f t="shared" si="161"/>
        <v>16668063</v>
      </c>
      <c r="BI1108">
        <f t="shared" si="161"/>
        <v>47226178.5</v>
      </c>
      <c r="BJ1108">
        <f t="shared" si="161"/>
        <v>166680630</v>
      </c>
      <c r="BK1108">
        <f t="shared" si="161"/>
        <v>555602100</v>
      </c>
      <c r="BL1108">
        <v>1103</v>
      </c>
    </row>
    <row r="1109" spans="1:64" ht="17.25" thickBot="1" x14ac:dyDescent="0.25">
      <c r="A1109" s="131">
        <v>1105</v>
      </c>
      <c r="B1109" s="135">
        <v>3845283772</v>
      </c>
      <c r="D1109" s="131">
        <v>1105</v>
      </c>
      <c r="E1109" s="132">
        <v>55.715589999999999</v>
      </c>
      <c r="AK1109">
        <v>1103</v>
      </c>
      <c r="AL1109" s="24">
        <f t="shared" si="159"/>
        <v>55.612050000000004</v>
      </c>
      <c r="AM1109">
        <f t="shared" si="162"/>
        <v>389.28435000000002</v>
      </c>
      <c r="AN1109">
        <f t="shared" si="162"/>
        <v>556.12049999999999</v>
      </c>
      <c r="AO1109">
        <f t="shared" si="162"/>
        <v>834.1807500000001</v>
      </c>
      <c r="AP1109">
        <f t="shared" si="162"/>
        <v>1112.241</v>
      </c>
      <c r="AQ1109">
        <f t="shared" si="162"/>
        <v>1946.4217500000002</v>
      </c>
      <c r="AR1109">
        <f t="shared" si="162"/>
        <v>2780.6025</v>
      </c>
      <c r="AS1109">
        <f t="shared" si="162"/>
        <v>4448.9639999999999</v>
      </c>
      <c r="AT1109">
        <f t="shared" si="162"/>
        <v>6673.4460000000008</v>
      </c>
      <c r="AU1109">
        <f t="shared" si="162"/>
        <v>9454.0485000000008</v>
      </c>
      <c r="AV1109">
        <f t="shared" si="162"/>
        <v>13346.892000000002</v>
      </c>
      <c r="AW1109">
        <f t="shared" si="162"/>
        <v>18351.976500000001</v>
      </c>
      <c r="AX1109">
        <f t="shared" si="162"/>
        <v>25581.543000000001</v>
      </c>
      <c r="AY1109">
        <f t="shared" si="162"/>
        <v>44489.64</v>
      </c>
      <c r="AZ1109">
        <f t="shared" si="162"/>
        <v>83418.075000000012</v>
      </c>
      <c r="BA1109">
        <f t="shared" si="162"/>
        <v>139030.125</v>
      </c>
      <c r="BB1109">
        <f t="shared" si="162"/>
        <v>222448.2</v>
      </c>
      <c r="BC1109">
        <f t="shared" si="161"/>
        <v>556120.5</v>
      </c>
      <c r="BD1109">
        <f t="shared" si="161"/>
        <v>834180.75</v>
      </c>
      <c r="BE1109">
        <f t="shared" si="161"/>
        <v>1334689.2000000002</v>
      </c>
      <c r="BF1109">
        <f t="shared" si="161"/>
        <v>1668361.5</v>
      </c>
      <c r="BG1109">
        <f t="shared" si="161"/>
        <v>5561205</v>
      </c>
      <c r="BH1109">
        <f t="shared" si="161"/>
        <v>16683615.000000002</v>
      </c>
      <c r="BI1109">
        <f t="shared" si="161"/>
        <v>47270242.5</v>
      </c>
      <c r="BJ1109">
        <f t="shared" si="161"/>
        <v>166836150</v>
      </c>
      <c r="BK1109">
        <f t="shared" si="161"/>
        <v>556120500</v>
      </c>
      <c r="BL1109">
        <v>1104</v>
      </c>
    </row>
    <row r="1110" spans="1:64" ht="17.25" thickBot="1" x14ac:dyDescent="0.25">
      <c r="A1110" s="131">
        <v>1106</v>
      </c>
      <c r="B1110" s="135">
        <v>3865000300</v>
      </c>
      <c r="D1110" s="131">
        <v>1106</v>
      </c>
      <c r="E1110" s="132">
        <v>55.767290000000003</v>
      </c>
      <c r="AK1110">
        <v>1104</v>
      </c>
      <c r="AL1110" s="24">
        <f t="shared" si="159"/>
        <v>55.66384</v>
      </c>
      <c r="AM1110">
        <f t="shared" si="162"/>
        <v>389.64688000000001</v>
      </c>
      <c r="AN1110">
        <f t="shared" si="162"/>
        <v>556.63840000000005</v>
      </c>
      <c r="AO1110">
        <f t="shared" si="162"/>
        <v>834.95759999999996</v>
      </c>
      <c r="AP1110">
        <f t="shared" si="162"/>
        <v>1113.2768000000001</v>
      </c>
      <c r="AQ1110">
        <f t="shared" si="162"/>
        <v>1948.2344000000001</v>
      </c>
      <c r="AR1110">
        <f t="shared" si="162"/>
        <v>2783.192</v>
      </c>
      <c r="AS1110">
        <f t="shared" si="162"/>
        <v>4453.1072000000004</v>
      </c>
      <c r="AT1110">
        <f t="shared" si="162"/>
        <v>6679.6607999999997</v>
      </c>
      <c r="AU1110">
        <f t="shared" si="162"/>
        <v>9462.8528000000006</v>
      </c>
      <c r="AV1110">
        <f t="shared" si="162"/>
        <v>13359.321599999999</v>
      </c>
      <c r="AW1110">
        <f t="shared" si="162"/>
        <v>18369.067200000001</v>
      </c>
      <c r="AX1110">
        <f t="shared" si="162"/>
        <v>25605.366399999999</v>
      </c>
      <c r="AY1110">
        <f t="shared" si="162"/>
        <v>44531.072</v>
      </c>
      <c r="AZ1110">
        <f t="shared" si="162"/>
        <v>83495.759999999995</v>
      </c>
      <c r="BA1110">
        <f t="shared" si="162"/>
        <v>139159.6</v>
      </c>
      <c r="BB1110">
        <f t="shared" si="162"/>
        <v>222655.36000000002</v>
      </c>
      <c r="BC1110">
        <f t="shared" si="161"/>
        <v>556638.4</v>
      </c>
      <c r="BD1110">
        <f t="shared" si="161"/>
        <v>834957.6</v>
      </c>
      <c r="BE1110">
        <f t="shared" si="161"/>
        <v>1335932.1599999999</v>
      </c>
      <c r="BF1110">
        <f t="shared" si="161"/>
        <v>1669915.2</v>
      </c>
      <c r="BG1110">
        <f t="shared" si="161"/>
        <v>5566384</v>
      </c>
      <c r="BH1110">
        <f t="shared" si="161"/>
        <v>16699152</v>
      </c>
      <c r="BI1110">
        <f t="shared" si="161"/>
        <v>47314264</v>
      </c>
      <c r="BJ1110">
        <f t="shared" si="161"/>
        <v>166991520</v>
      </c>
      <c r="BK1110">
        <f t="shared" si="161"/>
        <v>556638400</v>
      </c>
      <c r="BL1110">
        <v>1105</v>
      </c>
    </row>
    <row r="1111" spans="1:64" ht="17.25" thickBot="1" x14ac:dyDescent="0.25">
      <c r="A1111" s="131">
        <v>1107</v>
      </c>
      <c r="B1111" s="135">
        <v>3884798050</v>
      </c>
      <c r="D1111" s="131">
        <v>1107</v>
      </c>
      <c r="E1111" s="132">
        <v>55.818939999999998</v>
      </c>
      <c r="AK1111">
        <v>1105</v>
      </c>
      <c r="AL1111" s="24">
        <f t="shared" si="159"/>
        <v>55.715589999999999</v>
      </c>
      <c r="AM1111">
        <f t="shared" si="162"/>
        <v>390.00912999999997</v>
      </c>
      <c r="AN1111">
        <f t="shared" si="162"/>
        <v>557.15589999999997</v>
      </c>
      <c r="AO1111">
        <f t="shared" si="162"/>
        <v>835.73384999999996</v>
      </c>
      <c r="AP1111">
        <f t="shared" si="162"/>
        <v>1114.3117999999999</v>
      </c>
      <c r="AQ1111">
        <f t="shared" si="162"/>
        <v>1950.04565</v>
      </c>
      <c r="AR1111">
        <f t="shared" si="162"/>
        <v>2785.7795000000001</v>
      </c>
      <c r="AS1111">
        <f t="shared" si="162"/>
        <v>4457.2471999999998</v>
      </c>
      <c r="AT1111">
        <f t="shared" si="162"/>
        <v>6685.8707999999997</v>
      </c>
      <c r="AU1111">
        <f t="shared" si="162"/>
        <v>9471.6502999999993</v>
      </c>
      <c r="AV1111">
        <f t="shared" si="162"/>
        <v>13371.741599999999</v>
      </c>
      <c r="AW1111">
        <f t="shared" si="162"/>
        <v>18386.144700000001</v>
      </c>
      <c r="AX1111">
        <f t="shared" si="162"/>
        <v>25629.171399999999</v>
      </c>
      <c r="AY1111">
        <f t="shared" si="162"/>
        <v>44572.472000000002</v>
      </c>
      <c r="AZ1111">
        <f t="shared" si="162"/>
        <v>83573.384999999995</v>
      </c>
      <c r="BA1111">
        <f t="shared" si="162"/>
        <v>139288.97500000001</v>
      </c>
      <c r="BB1111">
        <f t="shared" si="162"/>
        <v>222862.36</v>
      </c>
      <c r="BC1111">
        <f t="shared" si="161"/>
        <v>557155.9</v>
      </c>
      <c r="BD1111">
        <f t="shared" si="161"/>
        <v>835733.85</v>
      </c>
      <c r="BE1111">
        <f t="shared" si="161"/>
        <v>1337174.1599999999</v>
      </c>
      <c r="BF1111">
        <f t="shared" si="161"/>
        <v>1671467.7</v>
      </c>
      <c r="BG1111">
        <f t="shared" si="161"/>
        <v>5571559</v>
      </c>
      <c r="BH1111">
        <f t="shared" si="161"/>
        <v>16714677</v>
      </c>
      <c r="BI1111">
        <f t="shared" si="161"/>
        <v>47358251.5</v>
      </c>
      <c r="BJ1111">
        <f t="shared" si="161"/>
        <v>167146770</v>
      </c>
      <c r="BK1111">
        <f t="shared" si="161"/>
        <v>557155900</v>
      </c>
      <c r="BL1111">
        <v>1106</v>
      </c>
    </row>
    <row r="1112" spans="1:64" ht="17.25" thickBot="1" x14ac:dyDescent="0.25">
      <c r="A1112" s="131">
        <v>1108</v>
      </c>
      <c r="B1112" s="135">
        <v>3904677272</v>
      </c>
      <c r="D1112" s="131">
        <v>1108</v>
      </c>
      <c r="E1112" s="132">
        <v>55.870550000000001</v>
      </c>
      <c r="AK1112">
        <v>1106</v>
      </c>
      <c r="AL1112" s="24">
        <f t="shared" si="159"/>
        <v>55.767290000000003</v>
      </c>
      <c r="AM1112">
        <f t="shared" si="162"/>
        <v>390.37103000000002</v>
      </c>
      <c r="AN1112">
        <f t="shared" si="162"/>
        <v>557.67290000000003</v>
      </c>
      <c r="AO1112">
        <f t="shared" si="162"/>
        <v>836.50935000000004</v>
      </c>
      <c r="AP1112">
        <f t="shared" si="162"/>
        <v>1115.3458000000001</v>
      </c>
      <c r="AQ1112">
        <f t="shared" si="162"/>
        <v>1951.8551500000001</v>
      </c>
      <c r="AR1112">
        <f t="shared" si="162"/>
        <v>2788.3645000000001</v>
      </c>
      <c r="AS1112">
        <f t="shared" si="162"/>
        <v>4461.3832000000002</v>
      </c>
      <c r="AT1112">
        <f t="shared" si="162"/>
        <v>6692.0748000000003</v>
      </c>
      <c r="AU1112">
        <f t="shared" si="162"/>
        <v>9480.4393</v>
      </c>
      <c r="AV1112">
        <f t="shared" si="162"/>
        <v>13384.149600000001</v>
      </c>
      <c r="AW1112">
        <f t="shared" si="162"/>
        <v>18403.205700000002</v>
      </c>
      <c r="AX1112">
        <f t="shared" si="162"/>
        <v>25652.953400000002</v>
      </c>
      <c r="AY1112">
        <f t="shared" si="162"/>
        <v>44613.832000000002</v>
      </c>
      <c r="AZ1112">
        <f t="shared" si="162"/>
        <v>83650.934999999998</v>
      </c>
      <c r="BA1112">
        <f t="shared" si="162"/>
        <v>139418.22500000001</v>
      </c>
      <c r="BB1112">
        <f t="shared" si="162"/>
        <v>223069.16</v>
      </c>
      <c r="BC1112">
        <f t="shared" si="161"/>
        <v>557672.9</v>
      </c>
      <c r="BD1112">
        <f t="shared" si="161"/>
        <v>836509.35000000009</v>
      </c>
      <c r="BE1112">
        <f t="shared" si="161"/>
        <v>1338414.96</v>
      </c>
      <c r="BF1112">
        <f t="shared" si="161"/>
        <v>1673018.7000000002</v>
      </c>
      <c r="BG1112">
        <f t="shared" si="161"/>
        <v>5576729</v>
      </c>
      <c r="BH1112">
        <f t="shared" si="161"/>
        <v>16730187</v>
      </c>
      <c r="BI1112">
        <f t="shared" si="161"/>
        <v>47402196.5</v>
      </c>
      <c r="BJ1112">
        <f t="shared" si="161"/>
        <v>167301870</v>
      </c>
      <c r="BK1112">
        <f t="shared" si="161"/>
        <v>557672900</v>
      </c>
      <c r="BL1112">
        <v>1107</v>
      </c>
    </row>
    <row r="1113" spans="1:64" ht="17.25" thickBot="1" x14ac:dyDescent="0.25">
      <c r="A1113" s="131">
        <v>1109</v>
      </c>
      <c r="B1113" s="135">
        <v>3924638216</v>
      </c>
      <c r="D1113" s="131">
        <v>1109</v>
      </c>
      <c r="E1113" s="132">
        <v>55.922110000000004</v>
      </c>
      <c r="AK1113">
        <v>1107</v>
      </c>
      <c r="AL1113" s="24">
        <f t="shared" si="159"/>
        <v>55.818939999999998</v>
      </c>
      <c r="AM1113">
        <f t="shared" si="162"/>
        <v>390.73257999999998</v>
      </c>
      <c r="AN1113">
        <f t="shared" si="162"/>
        <v>558.18939999999998</v>
      </c>
      <c r="AO1113">
        <f t="shared" si="162"/>
        <v>837.28409999999997</v>
      </c>
      <c r="AP1113">
        <f t="shared" si="162"/>
        <v>1116.3788</v>
      </c>
      <c r="AQ1113">
        <f t="shared" si="162"/>
        <v>1953.6628999999998</v>
      </c>
      <c r="AR1113">
        <f t="shared" si="162"/>
        <v>2790.9470000000001</v>
      </c>
      <c r="AS1113">
        <f t="shared" si="162"/>
        <v>4465.5151999999998</v>
      </c>
      <c r="AT1113">
        <f t="shared" si="162"/>
        <v>6698.2727999999997</v>
      </c>
      <c r="AU1113">
        <f t="shared" si="162"/>
        <v>9489.2197999999989</v>
      </c>
      <c r="AV1113">
        <f t="shared" si="162"/>
        <v>13396.545599999999</v>
      </c>
      <c r="AW1113">
        <f t="shared" si="162"/>
        <v>18420.250199999999</v>
      </c>
      <c r="AX1113">
        <f t="shared" si="162"/>
        <v>25676.7124</v>
      </c>
      <c r="AY1113">
        <f t="shared" si="162"/>
        <v>44655.152000000002</v>
      </c>
      <c r="AZ1113">
        <f t="shared" si="162"/>
        <v>83728.41</v>
      </c>
      <c r="BA1113">
        <f t="shared" si="162"/>
        <v>139547.35</v>
      </c>
      <c r="BB1113">
        <f t="shared" si="162"/>
        <v>223275.75999999998</v>
      </c>
      <c r="BC1113">
        <f t="shared" si="161"/>
        <v>558189.4</v>
      </c>
      <c r="BD1113">
        <f t="shared" si="161"/>
        <v>837284.1</v>
      </c>
      <c r="BE1113">
        <f t="shared" si="161"/>
        <v>1339654.56</v>
      </c>
      <c r="BF1113">
        <f t="shared" si="161"/>
        <v>1674568.2</v>
      </c>
      <c r="BG1113">
        <f t="shared" si="161"/>
        <v>5581894</v>
      </c>
      <c r="BH1113">
        <f t="shared" si="161"/>
        <v>16745682</v>
      </c>
      <c r="BI1113">
        <f t="shared" si="161"/>
        <v>47446099</v>
      </c>
      <c r="BJ1113">
        <f t="shared" si="161"/>
        <v>167456820</v>
      </c>
      <c r="BK1113">
        <f t="shared" si="161"/>
        <v>558189400</v>
      </c>
      <c r="BL1113">
        <v>1108</v>
      </c>
    </row>
    <row r="1114" spans="1:64" ht="17.25" thickBot="1" x14ac:dyDescent="0.25">
      <c r="A1114" s="131">
        <v>1110</v>
      </c>
      <c r="B1114" s="135">
        <v>3944681127</v>
      </c>
      <c r="D1114" s="131">
        <v>1110</v>
      </c>
      <c r="E1114" s="132">
        <v>55.973619999999997</v>
      </c>
      <c r="AK1114">
        <v>1108</v>
      </c>
      <c r="AL1114" s="24">
        <f t="shared" si="159"/>
        <v>55.870550000000001</v>
      </c>
      <c r="AM1114">
        <f t="shared" si="162"/>
        <v>391.09385000000003</v>
      </c>
      <c r="AN1114">
        <f t="shared" si="162"/>
        <v>558.70550000000003</v>
      </c>
      <c r="AO1114">
        <f t="shared" si="162"/>
        <v>838.05825000000004</v>
      </c>
      <c r="AP1114">
        <f t="shared" si="162"/>
        <v>1117.4110000000001</v>
      </c>
      <c r="AQ1114">
        <f t="shared" si="162"/>
        <v>1955.4692500000001</v>
      </c>
      <c r="AR1114">
        <f t="shared" si="162"/>
        <v>2793.5275000000001</v>
      </c>
      <c r="AS1114">
        <f t="shared" si="162"/>
        <v>4469.6440000000002</v>
      </c>
      <c r="AT1114">
        <f t="shared" si="162"/>
        <v>6704.4660000000003</v>
      </c>
      <c r="AU1114">
        <f t="shared" si="162"/>
        <v>9497.9935000000005</v>
      </c>
      <c r="AV1114">
        <f t="shared" si="162"/>
        <v>13408.932000000001</v>
      </c>
      <c r="AW1114">
        <f t="shared" si="162"/>
        <v>18437.281500000001</v>
      </c>
      <c r="AX1114">
        <f t="shared" si="162"/>
        <v>25700.453000000001</v>
      </c>
      <c r="AY1114">
        <f t="shared" si="162"/>
        <v>44696.44</v>
      </c>
      <c r="AZ1114">
        <f t="shared" si="162"/>
        <v>83805.824999999997</v>
      </c>
      <c r="BA1114">
        <f t="shared" si="162"/>
        <v>139676.375</v>
      </c>
      <c r="BB1114">
        <f t="shared" si="162"/>
        <v>223482.2</v>
      </c>
      <c r="BC1114">
        <f t="shared" si="161"/>
        <v>558705.5</v>
      </c>
      <c r="BD1114">
        <f t="shared" si="161"/>
        <v>838058.25</v>
      </c>
      <c r="BE1114">
        <f t="shared" si="161"/>
        <v>1340893.2</v>
      </c>
      <c r="BF1114">
        <f t="shared" si="161"/>
        <v>1676116.5</v>
      </c>
      <c r="BG1114">
        <f t="shared" si="161"/>
        <v>5587055</v>
      </c>
      <c r="BH1114">
        <f t="shared" si="161"/>
        <v>16761165</v>
      </c>
      <c r="BI1114">
        <f t="shared" si="161"/>
        <v>47489967.5</v>
      </c>
      <c r="BJ1114">
        <f t="shared" si="161"/>
        <v>167611650</v>
      </c>
      <c r="BK1114">
        <f t="shared" si="161"/>
        <v>558705500</v>
      </c>
      <c r="BL1114">
        <v>1109</v>
      </c>
    </row>
    <row r="1115" spans="1:64" ht="17.25" thickBot="1" x14ac:dyDescent="0.25">
      <c r="A1115" s="131">
        <v>1111</v>
      </c>
      <c r="B1115" s="135">
        <v>3964806261</v>
      </c>
      <c r="D1115" s="131">
        <v>1111</v>
      </c>
      <c r="E1115" s="132">
        <v>56.025089999999999</v>
      </c>
      <c r="AK1115">
        <v>1109</v>
      </c>
      <c r="AL1115" s="24">
        <f t="shared" si="159"/>
        <v>55.922110000000004</v>
      </c>
      <c r="AM1115">
        <f t="shared" si="162"/>
        <v>391.45477000000005</v>
      </c>
      <c r="AN1115">
        <f t="shared" si="162"/>
        <v>559.22109999999998</v>
      </c>
      <c r="AO1115">
        <f t="shared" si="162"/>
        <v>838.83165000000008</v>
      </c>
      <c r="AP1115">
        <f t="shared" si="162"/>
        <v>1118.4422</v>
      </c>
      <c r="AQ1115">
        <f t="shared" si="162"/>
        <v>1957.27385</v>
      </c>
      <c r="AR1115">
        <f t="shared" si="162"/>
        <v>2796.1055000000001</v>
      </c>
      <c r="AS1115">
        <f t="shared" si="162"/>
        <v>4473.7687999999998</v>
      </c>
      <c r="AT1115">
        <f t="shared" si="162"/>
        <v>6710.6532000000007</v>
      </c>
      <c r="AU1115">
        <f t="shared" si="162"/>
        <v>9506.7587000000003</v>
      </c>
      <c r="AV1115">
        <f t="shared" si="162"/>
        <v>13421.306400000001</v>
      </c>
      <c r="AW1115">
        <f t="shared" si="162"/>
        <v>18454.296300000002</v>
      </c>
      <c r="AX1115">
        <f t="shared" si="162"/>
        <v>25724.170600000001</v>
      </c>
      <c r="AY1115">
        <f t="shared" si="162"/>
        <v>44737.688000000002</v>
      </c>
      <c r="AZ1115">
        <f t="shared" si="162"/>
        <v>83883.165000000008</v>
      </c>
      <c r="BA1115">
        <f t="shared" si="162"/>
        <v>139805.27500000002</v>
      </c>
      <c r="BB1115">
        <f t="shared" si="162"/>
        <v>223688.44</v>
      </c>
      <c r="BC1115">
        <f t="shared" si="161"/>
        <v>559221.10000000009</v>
      </c>
      <c r="BD1115">
        <f t="shared" si="161"/>
        <v>838831.65</v>
      </c>
      <c r="BE1115">
        <f t="shared" si="161"/>
        <v>1342130.6400000001</v>
      </c>
      <c r="BF1115">
        <f t="shared" si="161"/>
        <v>1677663.3</v>
      </c>
      <c r="BG1115">
        <f t="shared" si="161"/>
        <v>5592211</v>
      </c>
      <c r="BH1115">
        <f t="shared" si="161"/>
        <v>16776633.000000002</v>
      </c>
      <c r="BI1115">
        <f t="shared" si="161"/>
        <v>47533793.5</v>
      </c>
      <c r="BJ1115">
        <f t="shared" si="161"/>
        <v>167766330</v>
      </c>
      <c r="BK1115">
        <f t="shared" si="161"/>
        <v>559221100</v>
      </c>
      <c r="BL1115">
        <v>1110</v>
      </c>
    </row>
    <row r="1116" spans="1:64" ht="17.25" thickBot="1" x14ac:dyDescent="0.25">
      <c r="A1116" s="131">
        <v>1112</v>
      </c>
      <c r="B1116" s="135">
        <v>3985013861</v>
      </c>
      <c r="D1116" s="131">
        <v>1112</v>
      </c>
      <c r="E1116" s="132">
        <v>56.076509999999999</v>
      </c>
      <c r="AK1116">
        <v>1110</v>
      </c>
      <c r="AL1116" s="24">
        <f t="shared" si="159"/>
        <v>55.973619999999997</v>
      </c>
      <c r="AM1116">
        <f t="shared" si="162"/>
        <v>391.81533999999999</v>
      </c>
      <c r="AN1116">
        <f t="shared" si="162"/>
        <v>559.73619999999994</v>
      </c>
      <c r="AO1116">
        <f t="shared" si="162"/>
        <v>839.60429999999997</v>
      </c>
      <c r="AP1116">
        <f t="shared" si="162"/>
        <v>1119.4723999999999</v>
      </c>
      <c r="AQ1116">
        <f t="shared" si="162"/>
        <v>1959.0766999999998</v>
      </c>
      <c r="AR1116">
        <f t="shared" si="162"/>
        <v>2798.681</v>
      </c>
      <c r="AS1116">
        <f t="shared" si="162"/>
        <v>4477.8895999999995</v>
      </c>
      <c r="AT1116">
        <f t="shared" si="162"/>
        <v>6716.8343999999997</v>
      </c>
      <c r="AU1116">
        <f t="shared" si="162"/>
        <v>9515.5154000000002</v>
      </c>
      <c r="AV1116">
        <f t="shared" si="162"/>
        <v>13433.668799999999</v>
      </c>
      <c r="AW1116">
        <f t="shared" si="162"/>
        <v>18471.294599999997</v>
      </c>
      <c r="AX1116">
        <f t="shared" si="162"/>
        <v>25747.8652</v>
      </c>
      <c r="AY1116">
        <f t="shared" si="162"/>
        <v>44778.896000000001</v>
      </c>
      <c r="AZ1116">
        <f t="shared" si="162"/>
        <v>83960.43</v>
      </c>
      <c r="BA1116">
        <f t="shared" si="162"/>
        <v>139934.04999999999</v>
      </c>
      <c r="BB1116">
        <f t="shared" si="162"/>
        <v>223894.47999999998</v>
      </c>
      <c r="BC1116">
        <f t="shared" si="161"/>
        <v>559736.19999999995</v>
      </c>
      <c r="BD1116">
        <f t="shared" si="161"/>
        <v>839604.29999999993</v>
      </c>
      <c r="BE1116">
        <f t="shared" si="161"/>
        <v>1343366.88</v>
      </c>
      <c r="BF1116">
        <f t="shared" si="161"/>
        <v>1679208.5999999999</v>
      </c>
      <c r="BG1116">
        <f t="shared" si="161"/>
        <v>5597362</v>
      </c>
      <c r="BH1116">
        <f t="shared" si="161"/>
        <v>16792086</v>
      </c>
      <c r="BI1116">
        <f t="shared" si="161"/>
        <v>47577577</v>
      </c>
      <c r="BJ1116">
        <f t="shared" si="161"/>
        <v>167920860</v>
      </c>
      <c r="BK1116">
        <f t="shared" si="161"/>
        <v>559736200</v>
      </c>
      <c r="BL1116">
        <v>1111</v>
      </c>
    </row>
    <row r="1117" spans="1:64" ht="17.25" thickBot="1" x14ac:dyDescent="0.25">
      <c r="A1117" s="131">
        <v>1113</v>
      </c>
      <c r="B1117" s="135">
        <v>4005304183</v>
      </c>
      <c r="D1117" s="131">
        <v>1113</v>
      </c>
      <c r="E1117" s="132">
        <v>56.127890000000001</v>
      </c>
    </row>
    <row r="1118" spans="1:64" ht="17.25" thickBot="1" x14ac:dyDescent="0.25">
      <c r="A1118" s="131">
        <v>1114</v>
      </c>
      <c r="B1118" s="135">
        <v>4025677477</v>
      </c>
      <c r="D1118" s="131">
        <v>1114</v>
      </c>
      <c r="E1118" s="132">
        <v>56.179220000000001</v>
      </c>
    </row>
    <row r="1119" spans="1:64" ht="17.25" thickBot="1" x14ac:dyDescent="0.25">
      <c r="A1119" s="131">
        <v>1115</v>
      </c>
      <c r="B1119" s="135">
        <v>4046133994</v>
      </c>
      <c r="D1119" s="131">
        <v>1115</v>
      </c>
      <c r="E1119" s="132">
        <v>56.230510000000002</v>
      </c>
    </row>
    <row r="1120" spans="1:64" ht="17.25" thickBot="1" x14ac:dyDescent="0.25">
      <c r="A1120" s="131">
        <v>1116</v>
      </c>
      <c r="B1120" s="135">
        <v>4066673983</v>
      </c>
      <c r="D1120" s="131">
        <v>1116</v>
      </c>
      <c r="E1120" s="132">
        <v>56.281750000000002</v>
      </c>
    </row>
    <row r="1121" spans="1:5" ht="17.25" thickBot="1" x14ac:dyDescent="0.25">
      <c r="A1121" s="131">
        <v>1117</v>
      </c>
      <c r="B1121" s="135">
        <v>4087297705</v>
      </c>
      <c r="D1121" s="131">
        <v>1117</v>
      </c>
      <c r="E1121" s="132">
        <v>56.332940000000001</v>
      </c>
    </row>
    <row r="1122" spans="1:5" ht="17.25" thickBot="1" x14ac:dyDescent="0.25">
      <c r="A1122" s="131">
        <v>1118</v>
      </c>
      <c r="B1122" s="135">
        <v>4108005405</v>
      </c>
      <c r="D1122" s="131">
        <v>1118</v>
      </c>
      <c r="E1122" s="132">
        <v>56.38409</v>
      </c>
    </row>
    <row r="1123" spans="1:5" ht="17.25" thickBot="1" x14ac:dyDescent="0.25">
      <c r="A1123" s="131">
        <v>1119</v>
      </c>
      <c r="B1123" s="135">
        <v>4128797344</v>
      </c>
      <c r="D1123" s="131">
        <v>1119</v>
      </c>
      <c r="E1123" s="132">
        <v>56.435189999999999</v>
      </c>
    </row>
    <row r="1124" spans="1:5" ht="17.25" thickBot="1" x14ac:dyDescent="0.25">
      <c r="A1124" s="131">
        <v>1120</v>
      </c>
      <c r="B1124" s="135">
        <v>4149673772</v>
      </c>
      <c r="D1124" s="131">
        <v>1120</v>
      </c>
      <c r="E1124" s="132">
        <v>56.486249999999998</v>
      </c>
    </row>
    <row r="1125" spans="1:5" ht="17.25" thickBot="1" x14ac:dyDescent="0.25">
      <c r="A1125" s="131">
        <v>1121</v>
      </c>
      <c r="B1125" s="135">
        <v>4170634944</v>
      </c>
      <c r="D1125" s="131">
        <v>1121</v>
      </c>
      <c r="E1125" s="132">
        <v>56.537260000000003</v>
      </c>
    </row>
    <row r="1126" spans="1:5" ht="17.25" thickBot="1" x14ac:dyDescent="0.25">
      <c r="A1126" s="131">
        <v>1122</v>
      </c>
      <c r="B1126" s="135">
        <v>4191681116</v>
      </c>
      <c r="D1126" s="131">
        <v>1122</v>
      </c>
      <c r="E1126" s="132">
        <v>56.588230000000003</v>
      </c>
    </row>
    <row r="1127" spans="1:5" ht="17.25" thickBot="1" x14ac:dyDescent="0.25">
      <c r="A1127" s="131">
        <v>1123</v>
      </c>
      <c r="B1127" s="135">
        <v>4212812544</v>
      </c>
      <c r="D1127" s="131">
        <v>1123</v>
      </c>
      <c r="E1127" s="132">
        <v>56.639150000000001</v>
      </c>
    </row>
    <row r="1128" spans="1:5" ht="17.25" thickBot="1" x14ac:dyDescent="0.25">
      <c r="A1128" s="131">
        <v>1124</v>
      </c>
      <c r="B1128" s="135">
        <v>4234029488</v>
      </c>
      <c r="D1128" s="131">
        <v>1124</v>
      </c>
      <c r="E1128" s="132">
        <v>56.69003</v>
      </c>
    </row>
    <row r="1129" spans="1:5" ht="17.25" thickBot="1" x14ac:dyDescent="0.25">
      <c r="A1129" s="131">
        <v>1125</v>
      </c>
      <c r="B1129" s="135">
        <v>4255332200</v>
      </c>
      <c r="D1129" s="131">
        <v>1125</v>
      </c>
      <c r="E1129" s="132">
        <v>56.740859999999998</v>
      </c>
    </row>
    <row r="1130" spans="1:5" ht="17.25" thickBot="1" x14ac:dyDescent="0.25">
      <c r="A1130" s="131">
        <v>1126</v>
      </c>
      <c r="B1130" s="135">
        <v>4276720938</v>
      </c>
      <c r="D1130" s="131">
        <v>1126</v>
      </c>
      <c r="E1130" s="132">
        <v>56.791649999999997</v>
      </c>
    </row>
    <row r="1131" spans="1:5" ht="17.25" thickBot="1" x14ac:dyDescent="0.25">
      <c r="A1131" s="131">
        <v>1127</v>
      </c>
      <c r="B1131" s="135">
        <v>4298195966</v>
      </c>
      <c r="D1131" s="131">
        <v>1127</v>
      </c>
      <c r="E1131" s="132">
        <v>56.842390000000002</v>
      </c>
    </row>
    <row r="1132" spans="1:5" ht="17.25" thickBot="1" x14ac:dyDescent="0.25">
      <c r="A1132" s="131">
        <v>1128</v>
      </c>
      <c r="B1132" s="135">
        <v>4319757538</v>
      </c>
      <c r="D1132" s="131">
        <v>1128</v>
      </c>
      <c r="E1132" s="132">
        <v>56.893090000000001</v>
      </c>
    </row>
    <row r="1133" spans="1:5" ht="17.25" thickBot="1" x14ac:dyDescent="0.25">
      <c r="A1133" s="131">
        <v>1129</v>
      </c>
      <c r="B1133" s="135">
        <v>4341405911</v>
      </c>
      <c r="D1133" s="131">
        <v>1129</v>
      </c>
      <c r="E1133" s="132">
        <v>56.943739999999998</v>
      </c>
    </row>
    <row r="1134" spans="1:5" ht="17.25" thickBot="1" x14ac:dyDescent="0.25">
      <c r="A1134" s="131">
        <v>1130</v>
      </c>
      <c r="B1134" s="135">
        <v>4363141344</v>
      </c>
      <c r="D1134" s="131">
        <v>1130</v>
      </c>
      <c r="E1134" s="132">
        <v>56.994349999999997</v>
      </c>
    </row>
    <row r="1135" spans="1:5" ht="17.25" thickBot="1" x14ac:dyDescent="0.25">
      <c r="A1135" s="131">
        <v>1131</v>
      </c>
      <c r="B1135" s="135">
        <v>4384964100</v>
      </c>
      <c r="D1135" s="131">
        <v>1131</v>
      </c>
      <c r="E1135" s="132">
        <v>57.044910000000002</v>
      </c>
    </row>
    <row r="1136" spans="1:5" ht="17.25" thickBot="1" x14ac:dyDescent="0.25">
      <c r="A1136" s="131">
        <v>1132</v>
      </c>
      <c r="B1136" s="135">
        <v>4406874438</v>
      </c>
      <c r="D1136" s="131">
        <v>1132</v>
      </c>
      <c r="E1136" s="132">
        <v>57.09543</v>
      </c>
    </row>
    <row r="1137" spans="1:5" ht="17.25" thickBot="1" x14ac:dyDescent="0.25">
      <c r="A1137" s="131">
        <v>1133</v>
      </c>
      <c r="B1137" s="135">
        <v>4428872622</v>
      </c>
      <c r="D1137" s="131">
        <v>1133</v>
      </c>
      <c r="E1137" s="132">
        <v>57.145910000000001</v>
      </c>
    </row>
    <row r="1138" spans="1:5" ht="17.25" thickBot="1" x14ac:dyDescent="0.25">
      <c r="A1138" s="131">
        <v>1134</v>
      </c>
      <c r="B1138" s="135">
        <v>4450958911</v>
      </c>
      <c r="D1138" s="131">
        <v>1134</v>
      </c>
      <c r="E1138" s="132">
        <v>57.196339999999999</v>
      </c>
    </row>
    <row r="1139" spans="1:5" ht="17.25" thickBot="1" x14ac:dyDescent="0.25">
      <c r="A1139" s="131">
        <v>1135</v>
      </c>
      <c r="B1139" s="135">
        <v>4473133566</v>
      </c>
      <c r="D1139" s="131">
        <v>1135</v>
      </c>
      <c r="E1139" s="132">
        <v>57.246729999999999</v>
      </c>
    </row>
    <row r="1140" spans="1:5" ht="17.25" thickBot="1" x14ac:dyDescent="0.25">
      <c r="A1140" s="131">
        <v>1136</v>
      </c>
      <c r="B1140" s="135">
        <v>4495396855</v>
      </c>
      <c r="D1140" s="131">
        <v>1136</v>
      </c>
      <c r="E1140" s="132">
        <v>57.297069999999998</v>
      </c>
    </row>
    <row r="1141" spans="1:5" ht="17.25" thickBot="1" x14ac:dyDescent="0.25">
      <c r="A1141" s="131">
        <v>1137</v>
      </c>
      <c r="B1141" s="135">
        <v>4517749033</v>
      </c>
      <c r="D1141" s="131">
        <v>1137</v>
      </c>
      <c r="E1141" s="132">
        <v>57.347369999999998</v>
      </c>
    </row>
    <row r="1142" spans="1:5" ht="17.25" thickBot="1" x14ac:dyDescent="0.25">
      <c r="A1142" s="131">
        <v>1138</v>
      </c>
      <c r="B1142" s="135">
        <v>4540190372</v>
      </c>
      <c r="D1142" s="131">
        <v>1138</v>
      </c>
      <c r="E1142" s="132">
        <v>57.397620000000003</v>
      </c>
    </row>
    <row r="1143" spans="1:5" ht="17.25" thickBot="1" x14ac:dyDescent="0.25">
      <c r="A1143" s="131">
        <v>1139</v>
      </c>
      <c r="B1143" s="135">
        <v>4562721127</v>
      </c>
      <c r="D1143" s="131">
        <v>1139</v>
      </c>
      <c r="E1143" s="132">
        <v>57.447830000000003</v>
      </c>
    </row>
    <row r="1144" spans="1:5" ht="17.25" thickBot="1" x14ac:dyDescent="0.25">
      <c r="A1144" s="131">
        <v>1140</v>
      </c>
      <c r="B1144" s="135">
        <v>4585341572</v>
      </c>
      <c r="D1144" s="131">
        <v>1140</v>
      </c>
      <c r="E1144" s="132">
        <v>57.497999999999998</v>
      </c>
    </row>
    <row r="1145" spans="1:5" ht="17.25" thickBot="1" x14ac:dyDescent="0.25">
      <c r="A1145" s="131">
        <v>1141</v>
      </c>
      <c r="B1145" s="135">
        <v>4608051966</v>
      </c>
      <c r="D1145" s="131">
        <v>1141</v>
      </c>
      <c r="E1145" s="132">
        <v>57.548119999999997</v>
      </c>
    </row>
    <row r="1146" spans="1:5" ht="17.25" thickBot="1" x14ac:dyDescent="0.25">
      <c r="A1146" s="131">
        <v>1142</v>
      </c>
      <c r="B1146" s="135">
        <v>4630852577</v>
      </c>
      <c r="D1146" s="131">
        <v>1142</v>
      </c>
      <c r="E1146" s="132">
        <v>57.598199999999999</v>
      </c>
    </row>
    <row r="1147" spans="1:5" ht="17.25" thickBot="1" x14ac:dyDescent="0.25">
      <c r="A1147" s="131">
        <v>1143</v>
      </c>
      <c r="B1147" s="135">
        <v>4653743672</v>
      </c>
      <c r="D1147" s="131">
        <v>1143</v>
      </c>
      <c r="E1147" s="132">
        <v>57.648240000000001</v>
      </c>
    </row>
    <row r="1148" spans="1:5" ht="17.25" thickBot="1" x14ac:dyDescent="0.25">
      <c r="A1148" s="131">
        <v>1144</v>
      </c>
      <c r="B1148" s="135">
        <v>4676725516</v>
      </c>
      <c r="D1148" s="131">
        <v>1144</v>
      </c>
      <c r="E1148" s="132">
        <v>57.698230000000002</v>
      </c>
    </row>
    <row r="1149" spans="1:5" ht="17.25" thickBot="1" x14ac:dyDescent="0.25">
      <c r="A1149" s="131">
        <v>1145</v>
      </c>
      <c r="B1149" s="135">
        <v>4699798377</v>
      </c>
      <c r="D1149" s="131">
        <v>1145</v>
      </c>
      <c r="E1149" s="132">
        <v>57.748179999999998</v>
      </c>
    </row>
    <row r="1150" spans="1:5" ht="17.25" thickBot="1" x14ac:dyDescent="0.25">
      <c r="A1150" s="131">
        <v>1146</v>
      </c>
      <c r="B1150" s="135">
        <v>4722962522</v>
      </c>
      <c r="D1150" s="131">
        <v>1146</v>
      </c>
      <c r="E1150" s="132">
        <v>57.798090000000002</v>
      </c>
    </row>
    <row r="1151" spans="1:5" ht="17.25" thickBot="1" x14ac:dyDescent="0.25">
      <c r="A1151" s="131">
        <v>1147</v>
      </c>
      <c r="B1151" s="135">
        <v>4746218222</v>
      </c>
      <c r="D1151" s="131">
        <v>1147</v>
      </c>
      <c r="E1151" s="132">
        <v>57.847949999999997</v>
      </c>
    </row>
    <row r="1152" spans="1:5" ht="17.25" thickBot="1" x14ac:dyDescent="0.25">
      <c r="A1152" s="131">
        <v>1148</v>
      </c>
      <c r="B1152" s="135">
        <v>4769565744</v>
      </c>
      <c r="D1152" s="131">
        <v>1148</v>
      </c>
      <c r="E1152" s="132">
        <v>57.897770000000001</v>
      </c>
    </row>
    <row r="1153" spans="1:5" ht="17.25" thickBot="1" x14ac:dyDescent="0.25">
      <c r="A1153" s="131">
        <v>1149</v>
      </c>
      <c r="B1153" s="135">
        <v>4793005355</v>
      </c>
      <c r="D1153" s="131">
        <v>1149</v>
      </c>
      <c r="E1153" s="132">
        <v>57.94755</v>
      </c>
    </row>
    <row r="1154" spans="1:5" ht="17.25" thickBot="1" x14ac:dyDescent="0.25">
      <c r="A1154" s="131">
        <v>1150</v>
      </c>
      <c r="B1154" s="135">
        <v>4816537327</v>
      </c>
      <c r="D1154" s="131">
        <v>1150</v>
      </c>
      <c r="E1154" s="132">
        <v>57.997280000000003</v>
      </c>
    </row>
    <row r="1155" spans="1:5" ht="17.25" thickBot="1" x14ac:dyDescent="0.25">
      <c r="A1155" s="131">
        <v>1151</v>
      </c>
      <c r="B1155" s="135">
        <v>4840161933</v>
      </c>
      <c r="D1155" s="131">
        <v>1151</v>
      </c>
      <c r="E1155" s="132">
        <v>58.046970000000002</v>
      </c>
    </row>
    <row r="1156" spans="1:5" ht="17.25" thickBot="1" x14ac:dyDescent="0.25">
      <c r="A1156" s="131">
        <v>1152</v>
      </c>
      <c r="B1156" s="135">
        <v>4863879438</v>
      </c>
      <c r="D1156" s="131">
        <v>1152</v>
      </c>
      <c r="E1156" s="132">
        <v>58.096620000000001</v>
      </c>
    </row>
    <row r="1157" spans="1:5" ht="17.25" thickBot="1" x14ac:dyDescent="0.25">
      <c r="A1157" s="131">
        <v>1153</v>
      </c>
      <c r="B1157" s="135">
        <v>4887690116</v>
      </c>
      <c r="D1157" s="131">
        <v>1153</v>
      </c>
      <c r="E1157" s="132">
        <v>58.146230000000003</v>
      </c>
    </row>
    <row r="1158" spans="1:5" ht="17.25" thickBot="1" x14ac:dyDescent="0.25">
      <c r="A1158" s="131">
        <v>1154</v>
      </c>
      <c r="B1158" s="135">
        <v>4911594244</v>
      </c>
      <c r="D1158" s="131">
        <v>1154</v>
      </c>
      <c r="E1158" s="132">
        <v>58.195790000000002</v>
      </c>
    </row>
    <row r="1159" spans="1:5" ht="17.25" thickBot="1" x14ac:dyDescent="0.25">
      <c r="A1159" s="131">
        <v>1155</v>
      </c>
      <c r="B1159" s="135">
        <v>4935592088</v>
      </c>
      <c r="D1159" s="131">
        <v>1155</v>
      </c>
      <c r="E1159" s="132">
        <v>58.245310000000003</v>
      </c>
    </row>
    <row r="1160" spans="1:5" ht="17.25" thickBot="1" x14ac:dyDescent="0.25">
      <c r="A1160" s="131">
        <v>1156</v>
      </c>
      <c r="B1160" s="135">
        <v>4959683922</v>
      </c>
      <c r="D1160" s="131">
        <v>1156</v>
      </c>
      <c r="E1160" s="132">
        <v>58.294789999999999</v>
      </c>
    </row>
    <row r="1161" spans="1:5" ht="17.25" thickBot="1" x14ac:dyDescent="0.25">
      <c r="A1161" s="131">
        <v>1157</v>
      </c>
      <c r="B1161" s="135">
        <v>4983870022</v>
      </c>
      <c r="D1161" s="131">
        <v>1157</v>
      </c>
      <c r="E1161" s="132">
        <v>58.34422</v>
      </c>
    </row>
    <row r="1162" spans="1:5" ht="17.25" thickBot="1" x14ac:dyDescent="0.25">
      <c r="A1162" s="131">
        <v>1158</v>
      </c>
      <c r="B1162" s="135">
        <v>5008150661</v>
      </c>
      <c r="D1162" s="131">
        <v>1158</v>
      </c>
      <c r="E1162" s="132">
        <v>58.393610000000002</v>
      </c>
    </row>
    <row r="1163" spans="1:5" ht="17.25" thickBot="1" x14ac:dyDescent="0.25">
      <c r="A1163" s="131">
        <v>1159</v>
      </c>
      <c r="B1163" s="135">
        <v>5032526111</v>
      </c>
      <c r="D1163" s="131">
        <v>1159</v>
      </c>
      <c r="E1163" s="132">
        <v>58.442959999999999</v>
      </c>
    </row>
    <row r="1164" spans="1:5" ht="17.25" thickBot="1" x14ac:dyDescent="0.25">
      <c r="A1164" s="131">
        <v>1160</v>
      </c>
      <c r="B1164" s="135">
        <v>5056996650</v>
      </c>
      <c r="D1164" s="131">
        <v>1160</v>
      </c>
      <c r="E1164" s="132">
        <v>58.492269999999998</v>
      </c>
    </row>
    <row r="1165" spans="1:5" ht="17.25" thickBot="1" x14ac:dyDescent="0.25">
      <c r="A1165" s="131">
        <v>1161</v>
      </c>
      <c r="B1165" s="135">
        <v>5081562555</v>
      </c>
      <c r="D1165" s="131">
        <v>1161</v>
      </c>
      <c r="E1165" s="132">
        <v>58.541539999999998</v>
      </c>
    </row>
    <row r="1166" spans="1:5" ht="17.25" thickBot="1" x14ac:dyDescent="0.25">
      <c r="A1166" s="131">
        <v>1162</v>
      </c>
      <c r="B1166" s="135">
        <v>5106224100</v>
      </c>
      <c r="D1166" s="131">
        <v>1162</v>
      </c>
      <c r="E1166" s="132">
        <v>58.590760000000003</v>
      </c>
    </row>
    <row r="1167" spans="1:5" ht="17.25" thickBot="1" x14ac:dyDescent="0.25">
      <c r="A1167" s="131">
        <v>1163</v>
      </c>
      <c r="B1167" s="135">
        <v>5130981561</v>
      </c>
      <c r="D1167" s="131">
        <v>1163</v>
      </c>
      <c r="E1167" s="132">
        <v>58.639940000000003</v>
      </c>
    </row>
    <row r="1168" spans="1:5" ht="17.25" thickBot="1" x14ac:dyDescent="0.25">
      <c r="A1168" s="131">
        <v>1164</v>
      </c>
      <c r="B1168" s="135">
        <v>5155835216</v>
      </c>
      <c r="D1168" s="131">
        <v>1164</v>
      </c>
      <c r="E1168" s="132">
        <v>58.689079999999997</v>
      </c>
    </row>
    <row r="1169" spans="1:5" ht="17.25" thickBot="1" x14ac:dyDescent="0.25">
      <c r="A1169" s="131">
        <v>1165</v>
      </c>
      <c r="B1169" s="135">
        <v>5180785344</v>
      </c>
      <c r="D1169" s="131">
        <v>1165</v>
      </c>
      <c r="E1169" s="132">
        <v>58.73818</v>
      </c>
    </row>
    <row r="1170" spans="1:5" ht="17.25" thickBot="1" x14ac:dyDescent="0.25">
      <c r="A1170" s="131">
        <v>1166</v>
      </c>
      <c r="B1170" s="135">
        <v>5205832222</v>
      </c>
      <c r="D1170" s="131">
        <v>1166</v>
      </c>
      <c r="E1170" s="132">
        <v>58.787239999999997</v>
      </c>
    </row>
    <row r="1171" spans="1:5" ht="17.25" thickBot="1" x14ac:dyDescent="0.25">
      <c r="A1171" s="131">
        <v>1167</v>
      </c>
      <c r="B1171" s="135">
        <v>5230976127</v>
      </c>
      <c r="D1171" s="131">
        <v>1167</v>
      </c>
      <c r="E1171" s="132">
        <v>58.83625</v>
      </c>
    </row>
    <row r="1172" spans="1:5" ht="17.25" thickBot="1" x14ac:dyDescent="0.25">
      <c r="A1172" s="131">
        <v>1168</v>
      </c>
      <c r="B1172" s="135">
        <v>5256217338</v>
      </c>
      <c r="D1172" s="131">
        <v>1168</v>
      </c>
      <c r="E1172" s="132">
        <v>58.885219999999997</v>
      </c>
    </row>
    <row r="1173" spans="1:5" ht="17.25" thickBot="1" x14ac:dyDescent="0.25">
      <c r="A1173" s="131">
        <v>1169</v>
      </c>
      <c r="B1173" s="135">
        <v>5281556138</v>
      </c>
      <c r="D1173" s="131">
        <v>1169</v>
      </c>
      <c r="E1173" s="132">
        <v>58.934150000000002</v>
      </c>
    </row>
    <row r="1174" spans="1:5" ht="17.25" thickBot="1" x14ac:dyDescent="0.25">
      <c r="A1174" s="131">
        <v>1170</v>
      </c>
      <c r="B1174" s="135">
        <v>5306992805</v>
      </c>
      <c r="D1174" s="131">
        <v>1170</v>
      </c>
      <c r="E1174" s="132">
        <v>58.983040000000003</v>
      </c>
    </row>
    <row r="1175" spans="1:5" ht="17.25" thickBot="1" x14ac:dyDescent="0.25">
      <c r="A1175" s="131">
        <v>1171</v>
      </c>
      <c r="B1175" s="135">
        <v>5332527622</v>
      </c>
      <c r="D1175" s="131">
        <v>1171</v>
      </c>
      <c r="E1175" s="132">
        <v>59.031889999999997</v>
      </c>
    </row>
    <row r="1176" spans="1:5" ht="17.25" thickBot="1" x14ac:dyDescent="0.25">
      <c r="A1176" s="131">
        <v>1172</v>
      </c>
      <c r="B1176" s="135">
        <v>5358160866</v>
      </c>
      <c r="D1176" s="131">
        <v>1172</v>
      </c>
      <c r="E1176" s="132">
        <v>59.0807</v>
      </c>
    </row>
    <row r="1177" spans="1:5" ht="17.25" thickBot="1" x14ac:dyDescent="0.25">
      <c r="A1177" s="131">
        <v>1173</v>
      </c>
      <c r="B1177" s="135">
        <v>5383892822</v>
      </c>
      <c r="D1177" s="131">
        <v>1173</v>
      </c>
      <c r="E1177" s="132">
        <v>59.129460000000002</v>
      </c>
    </row>
    <row r="1178" spans="1:5" ht="17.25" thickBot="1" x14ac:dyDescent="0.25">
      <c r="A1178" s="131">
        <v>1174</v>
      </c>
      <c r="B1178" s="135">
        <v>5409723772</v>
      </c>
      <c r="D1178" s="131">
        <v>1174</v>
      </c>
      <c r="E1178" s="132">
        <v>59.178179999999998</v>
      </c>
    </row>
    <row r="1179" spans="1:5" ht="17.25" thickBot="1" x14ac:dyDescent="0.25">
      <c r="A1179" s="131">
        <v>1175</v>
      </c>
      <c r="B1179" s="135">
        <v>5435653999</v>
      </c>
      <c r="D1179" s="131">
        <v>1175</v>
      </c>
      <c r="E1179" s="132">
        <v>59.226860000000002</v>
      </c>
    </row>
    <row r="1180" spans="1:5" ht="17.25" thickBot="1" x14ac:dyDescent="0.25">
      <c r="A1180" s="131">
        <v>1176</v>
      </c>
      <c r="B1180" s="135">
        <v>5461683788</v>
      </c>
      <c r="D1180" s="131">
        <v>1176</v>
      </c>
      <c r="E1180" s="132">
        <v>59.275500000000001</v>
      </c>
    </row>
    <row r="1181" spans="1:5" ht="17.25" thickBot="1" x14ac:dyDescent="0.25">
      <c r="A1181" s="131">
        <v>1177</v>
      </c>
      <c r="B1181" s="135">
        <v>5487813422</v>
      </c>
      <c r="D1181" s="131">
        <v>1177</v>
      </c>
      <c r="E1181" s="132">
        <v>59.324100000000001</v>
      </c>
    </row>
    <row r="1182" spans="1:5" ht="17.25" thickBot="1" x14ac:dyDescent="0.25">
      <c r="A1182" s="131">
        <v>1178</v>
      </c>
      <c r="B1182" s="135">
        <v>5514043183</v>
      </c>
      <c r="D1182" s="131">
        <v>1178</v>
      </c>
      <c r="E1182" s="132">
        <v>59.372660000000003</v>
      </c>
    </row>
    <row r="1183" spans="1:5" ht="17.25" thickBot="1" x14ac:dyDescent="0.25">
      <c r="A1183" s="131">
        <v>1179</v>
      </c>
      <c r="B1183" s="135">
        <v>5540373361</v>
      </c>
      <c r="D1183" s="131">
        <v>1179</v>
      </c>
      <c r="E1183" s="132">
        <v>59.42118</v>
      </c>
    </row>
    <row r="1184" spans="1:5" ht="17.25" thickBot="1" x14ac:dyDescent="0.25">
      <c r="A1184" s="131">
        <v>1180</v>
      </c>
      <c r="B1184" s="135">
        <v>5566804238</v>
      </c>
      <c r="D1184" s="131">
        <v>1180</v>
      </c>
      <c r="E1184" s="132">
        <v>59.469659999999998</v>
      </c>
    </row>
    <row r="1185" spans="1:5" ht="17.25" thickBot="1" x14ac:dyDescent="0.25">
      <c r="A1185" s="131">
        <v>1181</v>
      </c>
      <c r="B1185" s="135">
        <v>5593336099</v>
      </c>
      <c r="D1185" s="131">
        <v>1181</v>
      </c>
      <c r="E1185" s="132">
        <v>59.518099999999997</v>
      </c>
    </row>
    <row r="1186" spans="1:5" ht="17.25" thickBot="1" x14ac:dyDescent="0.25">
      <c r="A1186" s="131">
        <v>1182</v>
      </c>
      <c r="B1186" s="135">
        <v>5619969233</v>
      </c>
      <c r="D1186" s="131">
        <v>1182</v>
      </c>
      <c r="E1186" s="132">
        <v>59.566499999999998</v>
      </c>
    </row>
    <row r="1187" spans="1:5" ht="17.25" thickBot="1" x14ac:dyDescent="0.25">
      <c r="A1187" s="131">
        <v>1183</v>
      </c>
      <c r="B1187" s="135">
        <v>5646703927</v>
      </c>
      <c r="D1187" s="131">
        <v>1183</v>
      </c>
      <c r="E1187" s="132">
        <v>59.614849999999997</v>
      </c>
    </row>
    <row r="1188" spans="1:5" ht="17.25" thickBot="1" x14ac:dyDescent="0.25">
      <c r="A1188" s="131">
        <v>1184</v>
      </c>
      <c r="B1188" s="135">
        <v>5673540466</v>
      </c>
      <c r="D1188" s="131">
        <v>1184</v>
      </c>
      <c r="E1188" s="132">
        <v>59.663159999999998</v>
      </c>
    </row>
    <row r="1189" spans="1:5" ht="17.25" thickBot="1" x14ac:dyDescent="0.25">
      <c r="A1189" s="131">
        <v>1185</v>
      </c>
      <c r="B1189" s="135">
        <v>5700479138</v>
      </c>
      <c r="D1189" s="131">
        <v>1185</v>
      </c>
      <c r="E1189" s="132">
        <v>59.71143</v>
      </c>
    </row>
    <row r="1190" spans="1:5" ht="17.25" thickBot="1" x14ac:dyDescent="0.25">
      <c r="A1190" s="131">
        <v>1186</v>
      </c>
      <c r="B1190" s="135">
        <v>5727520238</v>
      </c>
      <c r="D1190" s="131">
        <v>1186</v>
      </c>
      <c r="E1190" s="132">
        <v>59.759659999999997</v>
      </c>
    </row>
    <row r="1191" spans="1:5" ht="17.25" thickBot="1" x14ac:dyDescent="0.25">
      <c r="A1191" s="131">
        <v>1187</v>
      </c>
      <c r="B1191" s="135">
        <v>5754664049</v>
      </c>
      <c r="D1191" s="131">
        <v>1187</v>
      </c>
      <c r="E1191" s="132">
        <v>59.807850000000002</v>
      </c>
    </row>
    <row r="1192" spans="1:5" ht="17.25" thickBot="1" x14ac:dyDescent="0.25">
      <c r="A1192" s="131">
        <v>1188</v>
      </c>
      <c r="B1192" s="135">
        <v>5781910866</v>
      </c>
      <c r="D1192" s="131">
        <v>1188</v>
      </c>
      <c r="E1192" s="132">
        <v>59.856000000000002</v>
      </c>
    </row>
    <row r="1193" spans="1:5" ht="17.25" thickBot="1" x14ac:dyDescent="0.25">
      <c r="A1193" s="131">
        <v>1189</v>
      </c>
      <c r="B1193" s="135">
        <v>5809260972</v>
      </c>
      <c r="D1193" s="131">
        <v>1189</v>
      </c>
      <c r="E1193" s="132">
        <v>59.904110000000003</v>
      </c>
    </row>
    <row r="1194" spans="1:5" ht="17.25" thickBot="1" x14ac:dyDescent="0.25">
      <c r="A1194" s="131">
        <v>1190</v>
      </c>
      <c r="B1194" s="135">
        <v>5836714661</v>
      </c>
      <c r="D1194" s="131">
        <v>1190</v>
      </c>
      <c r="E1194" s="132">
        <v>59.952179999999998</v>
      </c>
    </row>
    <row r="1195" spans="1:5" ht="17.25" thickBot="1" x14ac:dyDescent="0.25">
      <c r="A1195" s="131">
        <v>1191</v>
      </c>
      <c r="B1195" s="135">
        <v>5864272227</v>
      </c>
      <c r="D1195" s="131">
        <v>1191</v>
      </c>
      <c r="E1195" s="132">
        <v>60.000210000000003</v>
      </c>
    </row>
    <row r="1196" spans="1:5" ht="17.25" thickBot="1" x14ac:dyDescent="0.25">
      <c r="A1196" s="131">
        <v>1192</v>
      </c>
      <c r="B1196" s="135">
        <v>5891933961</v>
      </c>
      <c r="D1196" s="131">
        <v>1192</v>
      </c>
      <c r="E1196" s="132">
        <v>60.048200000000001</v>
      </c>
    </row>
    <row r="1197" spans="1:5" ht="17.25" thickBot="1" x14ac:dyDescent="0.25">
      <c r="A1197" s="131">
        <v>1193</v>
      </c>
      <c r="B1197" s="135">
        <v>5919700155</v>
      </c>
      <c r="D1197" s="131">
        <v>1193</v>
      </c>
      <c r="E1197" s="132">
        <v>60.096150000000002</v>
      </c>
    </row>
    <row r="1198" spans="1:5" ht="17.25" thickBot="1" x14ac:dyDescent="0.25">
      <c r="A1198" s="131">
        <v>1194</v>
      </c>
      <c r="B1198" s="135">
        <v>5947571099</v>
      </c>
      <c r="D1198" s="131">
        <v>1194</v>
      </c>
      <c r="E1198" s="132">
        <v>60.144060000000003</v>
      </c>
    </row>
    <row r="1199" spans="1:5" ht="17.25" thickBot="1" x14ac:dyDescent="0.25">
      <c r="A1199" s="131">
        <v>1195</v>
      </c>
      <c r="B1199" s="135">
        <v>5975547088</v>
      </c>
      <c r="D1199" s="131">
        <v>1195</v>
      </c>
      <c r="E1199" s="132">
        <v>60.191929999999999</v>
      </c>
    </row>
    <row r="1200" spans="1:5" ht="17.25" thickBot="1" x14ac:dyDescent="0.25">
      <c r="A1200" s="131">
        <v>1196</v>
      </c>
      <c r="B1200" s="135">
        <v>6003628416</v>
      </c>
      <c r="D1200" s="131">
        <v>1196</v>
      </c>
      <c r="E1200" s="132">
        <v>60.239759999999997</v>
      </c>
    </row>
    <row r="1201" spans="1:5" ht="17.25" thickBot="1" x14ac:dyDescent="0.25">
      <c r="A1201" s="131">
        <v>1197</v>
      </c>
      <c r="B1201" s="135">
        <v>6031815383</v>
      </c>
      <c r="D1201" s="131">
        <v>1197</v>
      </c>
      <c r="E1201" s="132">
        <v>60.287550000000003</v>
      </c>
    </row>
    <row r="1202" spans="1:5" ht="17.25" thickBot="1" x14ac:dyDescent="0.25">
      <c r="A1202" s="131">
        <v>1198</v>
      </c>
      <c r="B1202" s="135">
        <v>6060108277</v>
      </c>
      <c r="D1202" s="131">
        <v>1198</v>
      </c>
      <c r="E1202" s="132">
        <v>60.335299999999997</v>
      </c>
    </row>
    <row r="1203" spans="1:5" ht="17.25" thickBot="1" x14ac:dyDescent="0.25">
      <c r="A1203" s="131">
        <v>1199</v>
      </c>
      <c r="B1203" s="135">
        <v>6088507394</v>
      </c>
      <c r="D1203" s="131">
        <v>1199</v>
      </c>
      <c r="E1203" s="132">
        <v>60.383009999999999</v>
      </c>
    </row>
    <row r="1204" spans="1:5" ht="17.25" thickBot="1" x14ac:dyDescent="0.25">
      <c r="A1204" s="131">
        <v>1200</v>
      </c>
      <c r="B1204" s="135">
        <v>6117013033</v>
      </c>
      <c r="D1204" s="131">
        <v>1200</v>
      </c>
      <c r="E1204" s="132">
        <v>60.434739999999998</v>
      </c>
    </row>
    <row r="1205" spans="1:5" ht="17.25" thickBot="1" x14ac:dyDescent="0.25">
      <c r="A1205" s="131">
        <v>1201</v>
      </c>
      <c r="B1205" s="135">
        <v>6145625488</v>
      </c>
      <c r="D1205" s="131">
        <v>1201</v>
      </c>
      <c r="E1205" s="132">
        <v>60.486429999999999</v>
      </c>
    </row>
    <row r="1206" spans="1:5" ht="17.25" thickBot="1" x14ac:dyDescent="0.25">
      <c r="A1206" s="131">
        <v>1202</v>
      </c>
      <c r="B1206" s="135">
        <v>6174345061</v>
      </c>
      <c r="D1206" s="131">
        <v>1202</v>
      </c>
      <c r="E1206" s="132">
        <v>60.538069999999998</v>
      </c>
    </row>
    <row r="1207" spans="1:5" ht="17.25" thickBot="1" x14ac:dyDescent="0.25">
      <c r="A1207" s="131">
        <v>1203</v>
      </c>
      <c r="B1207" s="135">
        <v>6203172044</v>
      </c>
      <c r="D1207" s="131">
        <v>1203</v>
      </c>
      <c r="E1207" s="132">
        <v>60.589669999999998</v>
      </c>
    </row>
    <row r="1208" spans="1:5" ht="17.25" thickBot="1" x14ac:dyDescent="0.25">
      <c r="A1208" s="131">
        <v>1204</v>
      </c>
      <c r="B1208" s="135">
        <v>6232106738</v>
      </c>
      <c r="D1208" s="131">
        <v>1204</v>
      </c>
      <c r="E1208" s="132">
        <v>60.64123</v>
      </c>
    </row>
    <row r="1209" spans="1:5" ht="17.25" thickBot="1" x14ac:dyDescent="0.25">
      <c r="A1209" s="131">
        <v>1205</v>
      </c>
      <c r="B1209" s="135">
        <v>6261149438</v>
      </c>
      <c r="D1209" s="131">
        <v>1205</v>
      </c>
      <c r="E1209" s="132">
        <v>60.692749999999997</v>
      </c>
    </row>
    <row r="1210" spans="1:5" ht="17.25" thickBot="1" x14ac:dyDescent="0.25">
      <c r="A1210" s="131">
        <v>1206</v>
      </c>
      <c r="B1210" s="135">
        <v>6290300449</v>
      </c>
      <c r="D1210" s="131">
        <v>1206</v>
      </c>
      <c r="E1210" s="132">
        <v>60.744219999999999</v>
      </c>
    </row>
    <row r="1211" spans="1:5" ht="17.25" thickBot="1" x14ac:dyDescent="0.25">
      <c r="A1211" s="131">
        <v>1207</v>
      </c>
      <c r="B1211" s="135">
        <v>6319560066</v>
      </c>
      <c r="D1211" s="131">
        <v>1207</v>
      </c>
      <c r="E1211" s="132">
        <v>60.795650000000002</v>
      </c>
    </row>
    <row r="1212" spans="1:5" ht="17.25" thickBot="1" x14ac:dyDescent="0.25">
      <c r="A1212" s="131">
        <v>1208</v>
      </c>
      <c r="B1212" s="135">
        <v>6348928594</v>
      </c>
      <c r="D1212" s="131">
        <v>1208</v>
      </c>
      <c r="E1212" s="132">
        <v>60.84704</v>
      </c>
    </row>
    <row r="1213" spans="1:5" ht="17.25" thickBot="1" x14ac:dyDescent="0.25">
      <c r="A1213" s="131">
        <v>1209</v>
      </c>
      <c r="B1213" s="135">
        <v>6378406327</v>
      </c>
      <c r="D1213" s="131">
        <v>1209</v>
      </c>
      <c r="E1213" s="132">
        <v>60.898389999999999</v>
      </c>
    </row>
    <row r="1214" spans="1:5" ht="17.25" thickBot="1" x14ac:dyDescent="0.25">
      <c r="A1214" s="131">
        <v>1210</v>
      </c>
      <c r="B1214" s="135">
        <v>6407993572</v>
      </c>
      <c r="D1214" s="131">
        <v>1210</v>
      </c>
      <c r="E1214" s="132">
        <v>60.949689999999997</v>
      </c>
    </row>
    <row r="1215" spans="1:5" ht="17.25" thickBot="1" x14ac:dyDescent="0.25">
      <c r="A1215" s="131">
        <v>1211</v>
      </c>
      <c r="B1215" s="135">
        <v>6437690633</v>
      </c>
      <c r="D1215" s="131">
        <v>1211</v>
      </c>
      <c r="E1215" s="132">
        <v>61.000950000000003</v>
      </c>
    </row>
    <row r="1216" spans="1:5" ht="17.25" thickBot="1" x14ac:dyDescent="0.25">
      <c r="A1216" s="131">
        <v>1212</v>
      </c>
      <c r="B1216" s="135">
        <v>6467497805</v>
      </c>
      <c r="D1216" s="131">
        <v>1212</v>
      </c>
      <c r="E1216" s="132">
        <v>61.052169999999997</v>
      </c>
    </row>
    <row r="1217" spans="1:5" ht="17.25" thickBot="1" x14ac:dyDescent="0.25">
      <c r="A1217" s="131">
        <v>1213</v>
      </c>
      <c r="B1217" s="135">
        <v>6497415394</v>
      </c>
      <c r="D1217" s="131">
        <v>1213</v>
      </c>
      <c r="E1217" s="132">
        <v>61.103349999999999</v>
      </c>
    </row>
    <row r="1218" spans="1:5" ht="17.25" thickBot="1" x14ac:dyDescent="0.25">
      <c r="A1218" s="131">
        <v>1214</v>
      </c>
      <c r="B1218" s="135">
        <v>6527443705</v>
      </c>
      <c r="D1218" s="131">
        <v>1214</v>
      </c>
      <c r="E1218" s="132">
        <v>61.154490000000003</v>
      </c>
    </row>
    <row r="1219" spans="1:5" ht="17.25" thickBot="1" x14ac:dyDescent="0.25">
      <c r="A1219" s="131">
        <v>1215</v>
      </c>
      <c r="B1219" s="135">
        <v>6557583044</v>
      </c>
      <c r="D1219" s="131">
        <v>1215</v>
      </c>
      <c r="E1219" s="132">
        <v>61.205590000000001</v>
      </c>
    </row>
    <row r="1220" spans="1:5" ht="17.25" thickBot="1" x14ac:dyDescent="0.25">
      <c r="A1220" s="131">
        <v>1216</v>
      </c>
      <c r="B1220" s="135">
        <v>6587833711</v>
      </c>
      <c r="D1220" s="131">
        <v>1216</v>
      </c>
      <c r="E1220" s="132">
        <v>61.256639999999997</v>
      </c>
    </row>
    <row r="1221" spans="1:5" ht="17.25" thickBot="1" x14ac:dyDescent="0.25">
      <c r="A1221" s="131">
        <v>1217</v>
      </c>
      <c r="B1221" s="135">
        <v>6618196011</v>
      </c>
      <c r="D1221" s="131">
        <v>1217</v>
      </c>
      <c r="E1221" s="132">
        <v>61.307650000000002</v>
      </c>
    </row>
    <row r="1222" spans="1:5" ht="17.25" thickBot="1" x14ac:dyDescent="0.25">
      <c r="A1222" s="131">
        <v>1218</v>
      </c>
      <c r="B1222" s="135">
        <v>6648670255</v>
      </c>
      <c r="D1222" s="131">
        <v>1218</v>
      </c>
      <c r="E1222" s="132">
        <v>61.358620000000002</v>
      </c>
    </row>
    <row r="1223" spans="1:5" ht="17.25" thickBot="1" x14ac:dyDescent="0.25">
      <c r="A1223" s="131">
        <v>1219</v>
      </c>
      <c r="B1223" s="135">
        <v>6679256744</v>
      </c>
      <c r="D1223" s="131">
        <v>1219</v>
      </c>
      <c r="E1223" s="132">
        <v>61.409550000000003</v>
      </c>
    </row>
    <row r="1224" spans="1:5" ht="17.25" thickBot="1" x14ac:dyDescent="0.25">
      <c r="A1224" s="131">
        <v>1220</v>
      </c>
      <c r="B1224" s="135">
        <v>6709955788</v>
      </c>
      <c r="D1224" s="131">
        <v>1220</v>
      </c>
      <c r="E1224" s="132">
        <v>61.460439999999998</v>
      </c>
    </row>
    <row r="1225" spans="1:5" ht="17.25" thickBot="1" x14ac:dyDescent="0.25">
      <c r="A1225" s="131">
        <v>1221</v>
      </c>
      <c r="B1225" s="135">
        <v>6740767688</v>
      </c>
      <c r="D1225" s="131">
        <v>1221</v>
      </c>
      <c r="E1225" s="132">
        <v>61.511290000000002</v>
      </c>
    </row>
    <row r="1226" spans="1:5" ht="17.25" thickBot="1" x14ac:dyDescent="0.25">
      <c r="A1226" s="131">
        <v>1222</v>
      </c>
      <c r="B1226" s="135">
        <v>6771692761</v>
      </c>
      <c r="D1226" s="131">
        <v>1222</v>
      </c>
      <c r="E1226" s="132">
        <v>61.562089999999998</v>
      </c>
    </row>
    <row r="1227" spans="1:5" ht="17.25" thickBot="1" x14ac:dyDescent="0.25">
      <c r="A1227" s="131">
        <v>1223</v>
      </c>
      <c r="B1227" s="135">
        <v>6802731305</v>
      </c>
      <c r="D1227" s="131">
        <v>1223</v>
      </c>
      <c r="E1227" s="132">
        <v>61.612850000000002</v>
      </c>
    </row>
    <row r="1228" spans="1:5" ht="17.25" thickBot="1" x14ac:dyDescent="0.25">
      <c r="A1228" s="131">
        <v>1224</v>
      </c>
      <c r="B1228" s="135">
        <v>6833883638</v>
      </c>
      <c r="D1228" s="131">
        <v>1224</v>
      </c>
      <c r="E1228" s="132">
        <v>61.66357</v>
      </c>
    </row>
    <row r="1229" spans="1:5" ht="17.25" thickBot="1" x14ac:dyDescent="0.25">
      <c r="A1229" s="131">
        <v>1225</v>
      </c>
      <c r="B1229" s="135">
        <v>6865150066</v>
      </c>
      <c r="D1229" s="131">
        <v>1225</v>
      </c>
      <c r="E1229" s="132">
        <v>61.71425</v>
      </c>
    </row>
    <row r="1230" spans="1:5" ht="17.25" thickBot="1" x14ac:dyDescent="0.25">
      <c r="A1230" s="131">
        <v>1226</v>
      </c>
      <c r="B1230" s="135">
        <v>6896530894</v>
      </c>
      <c r="D1230" s="131">
        <v>1226</v>
      </c>
      <c r="E1230" s="132">
        <v>61.764890000000001</v>
      </c>
    </row>
    <row r="1231" spans="1:5" ht="17.25" thickBot="1" x14ac:dyDescent="0.25">
      <c r="A1231" s="131">
        <v>1227</v>
      </c>
      <c r="B1231" s="135">
        <v>6928026438</v>
      </c>
      <c r="D1231" s="131">
        <v>1227</v>
      </c>
      <c r="E1231" s="132">
        <v>61.815489999999997</v>
      </c>
    </row>
    <row r="1232" spans="1:5" ht="17.25" thickBot="1" x14ac:dyDescent="0.25">
      <c r="A1232" s="131">
        <v>1228</v>
      </c>
      <c r="B1232" s="135">
        <v>6959637011</v>
      </c>
      <c r="D1232" s="131">
        <v>1228</v>
      </c>
      <c r="E1232" s="132">
        <v>61.866050000000001</v>
      </c>
    </row>
    <row r="1233" spans="1:5" ht="17.25" thickBot="1" x14ac:dyDescent="0.25">
      <c r="A1233" s="131">
        <v>1229</v>
      </c>
      <c r="B1233" s="135">
        <v>6991362916</v>
      </c>
      <c r="D1233" s="131">
        <v>1229</v>
      </c>
      <c r="E1233" s="132">
        <v>61.91657</v>
      </c>
    </row>
    <row r="1234" spans="1:5" ht="17.25" thickBot="1" x14ac:dyDescent="0.25">
      <c r="A1234" s="131">
        <v>1230</v>
      </c>
      <c r="B1234" s="135">
        <v>7023204472</v>
      </c>
      <c r="D1234" s="131">
        <v>1230</v>
      </c>
      <c r="E1234" s="132">
        <v>61.96705</v>
      </c>
    </row>
    <row r="1235" spans="1:5" ht="17.25" thickBot="1" x14ac:dyDescent="0.25">
      <c r="A1235" s="131">
        <v>1231</v>
      </c>
      <c r="B1235" s="135">
        <v>7055161988</v>
      </c>
      <c r="D1235" s="131">
        <v>1231</v>
      </c>
      <c r="E1235" s="132">
        <v>62.017479999999999</v>
      </c>
    </row>
    <row r="1236" spans="1:5" ht="17.25" thickBot="1" x14ac:dyDescent="0.25">
      <c r="A1236" s="131">
        <v>1232</v>
      </c>
      <c r="B1236" s="135">
        <v>7087235777</v>
      </c>
      <c r="D1236" s="131">
        <v>1232</v>
      </c>
      <c r="E1236" s="132">
        <v>62.067869999999999</v>
      </c>
    </row>
    <row r="1237" spans="1:5" ht="17.25" thickBot="1" x14ac:dyDescent="0.25">
      <c r="A1237" s="131">
        <v>1233</v>
      </c>
      <c r="B1237" s="135">
        <v>7119426155</v>
      </c>
      <c r="D1237" s="131">
        <v>1233</v>
      </c>
      <c r="E1237" s="132">
        <v>62.118220000000001</v>
      </c>
    </row>
    <row r="1238" spans="1:5" ht="17.25" thickBot="1" x14ac:dyDescent="0.25">
      <c r="A1238" s="131">
        <v>1234</v>
      </c>
      <c r="B1238" s="135">
        <v>7151733438</v>
      </c>
      <c r="D1238" s="131">
        <v>1234</v>
      </c>
      <c r="E1238" s="132">
        <v>62.168529999999997</v>
      </c>
    </row>
    <row r="1239" spans="1:5" ht="17.25" thickBot="1" x14ac:dyDescent="0.25">
      <c r="A1239" s="131">
        <v>1235</v>
      </c>
      <c r="B1239" s="135">
        <v>7184157938</v>
      </c>
      <c r="D1239" s="131">
        <v>1235</v>
      </c>
      <c r="E1239" s="132">
        <v>62.218800000000002</v>
      </c>
    </row>
    <row r="1240" spans="1:5" ht="17.25" thickBot="1" x14ac:dyDescent="0.25">
      <c r="A1240" s="131">
        <v>1236</v>
      </c>
      <c r="B1240" s="135">
        <v>7216699966</v>
      </c>
      <c r="D1240" s="131">
        <v>1236</v>
      </c>
      <c r="E1240" s="132">
        <v>62.269030000000001</v>
      </c>
    </row>
    <row r="1241" spans="1:5" ht="17.25" thickBot="1" x14ac:dyDescent="0.25">
      <c r="A1241" s="131">
        <v>1237</v>
      </c>
      <c r="B1241" s="135">
        <v>7249359844</v>
      </c>
      <c r="D1241" s="131">
        <v>1237</v>
      </c>
      <c r="E1241" s="132">
        <v>62.319220000000001</v>
      </c>
    </row>
    <row r="1242" spans="1:5" ht="17.25" thickBot="1" x14ac:dyDescent="0.25">
      <c r="A1242" s="131">
        <v>1238</v>
      </c>
      <c r="B1242" s="135">
        <v>7282137883</v>
      </c>
      <c r="D1242" s="131">
        <v>1238</v>
      </c>
      <c r="E1242" s="132">
        <v>62.369370000000004</v>
      </c>
    </row>
    <row r="1243" spans="1:5" ht="17.25" thickBot="1" x14ac:dyDescent="0.25">
      <c r="A1243" s="131">
        <v>1239</v>
      </c>
      <c r="B1243" s="135">
        <v>7315034405</v>
      </c>
      <c r="D1243" s="131">
        <v>1239</v>
      </c>
      <c r="E1243" s="132">
        <v>62.41948</v>
      </c>
    </row>
    <row r="1244" spans="1:5" ht="17.25" thickBot="1" x14ac:dyDescent="0.25">
      <c r="A1244" s="131">
        <v>1240</v>
      </c>
      <c r="B1244" s="135">
        <v>7348049722</v>
      </c>
      <c r="D1244" s="131">
        <v>1240</v>
      </c>
      <c r="E1244" s="132">
        <v>62.469549999999998</v>
      </c>
    </row>
    <row r="1245" spans="1:5" ht="17.25" thickBot="1" x14ac:dyDescent="0.25">
      <c r="A1245" s="131">
        <v>1241</v>
      </c>
      <c r="B1245" s="135">
        <v>7381184155</v>
      </c>
      <c r="D1245" s="131">
        <v>1241</v>
      </c>
      <c r="E1245" s="132">
        <v>62.519579999999998</v>
      </c>
    </row>
    <row r="1246" spans="1:5" ht="17.25" thickBot="1" x14ac:dyDescent="0.25">
      <c r="A1246" s="131">
        <v>1242</v>
      </c>
      <c r="B1246" s="135">
        <v>7414438022</v>
      </c>
      <c r="D1246" s="131">
        <v>1242</v>
      </c>
      <c r="E1246" s="132">
        <v>62.569569999999999</v>
      </c>
    </row>
    <row r="1247" spans="1:5" ht="17.25" thickBot="1" x14ac:dyDescent="0.25">
      <c r="A1247" s="131">
        <v>1243</v>
      </c>
      <c r="B1247" s="135">
        <v>7447811638</v>
      </c>
      <c r="D1247" s="131">
        <v>1243</v>
      </c>
      <c r="E1247" s="132">
        <v>62.619520000000001</v>
      </c>
    </row>
    <row r="1248" spans="1:5" ht="17.25" thickBot="1" x14ac:dyDescent="0.25">
      <c r="A1248" s="131">
        <v>1244</v>
      </c>
      <c r="B1248" s="135">
        <v>7481305327</v>
      </c>
      <c r="D1248" s="131">
        <v>1244</v>
      </c>
      <c r="E1248" s="132">
        <v>62.669429999999998</v>
      </c>
    </row>
    <row r="1249" spans="1:5" ht="17.25" thickBot="1" x14ac:dyDescent="0.25">
      <c r="A1249" s="131">
        <v>1245</v>
      </c>
      <c r="B1249" s="135">
        <v>7514919411</v>
      </c>
      <c r="D1249" s="131">
        <v>1245</v>
      </c>
      <c r="E1249" s="132">
        <v>62.719299999999997</v>
      </c>
    </row>
    <row r="1250" spans="1:5" ht="17.25" thickBot="1" x14ac:dyDescent="0.25">
      <c r="A1250" s="131">
        <v>1246</v>
      </c>
      <c r="B1250" s="135">
        <v>7548654205</v>
      </c>
      <c r="D1250" s="131">
        <v>1246</v>
      </c>
      <c r="E1250" s="132">
        <v>62.769129999999997</v>
      </c>
    </row>
    <row r="1251" spans="1:5" ht="17.25" thickBot="1" x14ac:dyDescent="0.25">
      <c r="A1251" s="131">
        <v>1247</v>
      </c>
      <c r="B1251" s="135">
        <v>7582510033</v>
      </c>
      <c r="D1251" s="131">
        <v>1247</v>
      </c>
      <c r="E1251" s="132">
        <v>62.818919999999999</v>
      </c>
    </row>
    <row r="1252" spans="1:5" ht="17.25" thickBot="1" x14ac:dyDescent="0.25">
      <c r="A1252" s="131">
        <v>1248</v>
      </c>
      <c r="B1252" s="135">
        <v>7616487216</v>
      </c>
      <c r="D1252" s="131">
        <v>1248</v>
      </c>
      <c r="E1252" s="132">
        <v>62.868670000000002</v>
      </c>
    </row>
    <row r="1253" spans="1:5" ht="17.25" thickBot="1" x14ac:dyDescent="0.25">
      <c r="A1253" s="131">
        <v>1249</v>
      </c>
      <c r="B1253" s="135">
        <v>7650586077</v>
      </c>
      <c r="D1253" s="131">
        <v>1249</v>
      </c>
      <c r="E1253" s="132">
        <v>62.918379999999999</v>
      </c>
    </row>
    <row r="1254" spans="1:5" ht="17.25" thickBot="1" x14ac:dyDescent="0.25">
      <c r="A1254" s="131">
        <v>1250</v>
      </c>
      <c r="B1254" s="135">
        <v>7684806938</v>
      </c>
      <c r="D1254" s="131">
        <v>1250</v>
      </c>
      <c r="E1254" s="132">
        <v>62.968049999999998</v>
      </c>
    </row>
    <row r="1255" spans="1:5" ht="17.25" thickBot="1" x14ac:dyDescent="0.25">
      <c r="A1255" s="131">
        <v>1251</v>
      </c>
      <c r="B1255" s="135">
        <v>7719150122</v>
      </c>
      <c r="D1255" s="131">
        <v>1251</v>
      </c>
      <c r="E1255" s="132">
        <v>63.017679999999999</v>
      </c>
    </row>
    <row r="1256" spans="1:5" ht="17.25" thickBot="1" x14ac:dyDescent="0.25">
      <c r="A1256" s="131">
        <v>1252</v>
      </c>
      <c r="B1256" s="135">
        <v>7753615949</v>
      </c>
      <c r="D1256" s="131">
        <v>1252</v>
      </c>
      <c r="E1256" s="132">
        <v>63.067270000000001</v>
      </c>
    </row>
    <row r="1257" spans="1:5" ht="17.25" thickBot="1" x14ac:dyDescent="0.25">
      <c r="A1257" s="131">
        <v>1253</v>
      </c>
      <c r="B1257" s="135">
        <v>7788204744</v>
      </c>
      <c r="D1257" s="131">
        <v>1253</v>
      </c>
      <c r="E1257" s="132">
        <v>63.116819999999997</v>
      </c>
    </row>
    <row r="1258" spans="1:5" ht="17.25" thickBot="1" x14ac:dyDescent="0.25">
      <c r="A1258" s="131">
        <v>1254</v>
      </c>
      <c r="B1258" s="135">
        <v>7822916833</v>
      </c>
      <c r="D1258" s="131">
        <v>1254</v>
      </c>
      <c r="E1258" s="132">
        <v>63.166330000000002</v>
      </c>
    </row>
    <row r="1259" spans="1:5" ht="17.25" thickBot="1" x14ac:dyDescent="0.25">
      <c r="A1259" s="131">
        <v>1255</v>
      </c>
      <c r="B1259" s="135">
        <v>7857752544</v>
      </c>
      <c r="D1259" s="131">
        <v>1255</v>
      </c>
      <c r="E1259" s="132">
        <v>63.215809999999998</v>
      </c>
    </row>
    <row r="1260" spans="1:5" ht="17.25" thickBot="1" x14ac:dyDescent="0.25">
      <c r="A1260" s="131">
        <v>1256</v>
      </c>
      <c r="B1260" s="135">
        <v>7892712199</v>
      </c>
      <c r="D1260" s="131">
        <v>1256</v>
      </c>
      <c r="E1260" s="132">
        <v>63.265250000000002</v>
      </c>
    </row>
    <row r="1261" spans="1:5" ht="17.25" thickBot="1" x14ac:dyDescent="0.25">
      <c r="A1261" s="131">
        <v>1257</v>
      </c>
      <c r="B1261" s="135">
        <v>7927796127</v>
      </c>
      <c r="D1261" s="131">
        <v>1257</v>
      </c>
      <c r="E1261" s="132">
        <v>63.31465</v>
      </c>
    </row>
    <row r="1262" spans="1:5" ht="17.25" thickBot="1" x14ac:dyDescent="0.25">
      <c r="A1262" s="131">
        <v>1258</v>
      </c>
      <c r="B1262" s="135">
        <v>7963004655</v>
      </c>
      <c r="D1262" s="131">
        <v>1258</v>
      </c>
      <c r="E1262" s="132">
        <v>63.36401</v>
      </c>
    </row>
    <row r="1263" spans="1:5" ht="17.25" thickBot="1" x14ac:dyDescent="0.25">
      <c r="A1263" s="131">
        <v>1259</v>
      </c>
      <c r="B1263" s="135">
        <v>7998338111</v>
      </c>
      <c r="D1263" s="131">
        <v>1259</v>
      </c>
      <c r="E1263" s="132">
        <v>63.413330000000002</v>
      </c>
    </row>
    <row r="1264" spans="1:5" ht="17.25" thickBot="1" x14ac:dyDescent="0.25">
      <c r="A1264" s="131">
        <v>1260</v>
      </c>
      <c r="B1264" s="135">
        <v>8033796822</v>
      </c>
      <c r="D1264" s="131">
        <v>1260</v>
      </c>
      <c r="E1264" s="132">
        <v>63.462609999999998</v>
      </c>
    </row>
    <row r="1265" spans="1:5" ht="17.25" thickBot="1" x14ac:dyDescent="0.25">
      <c r="A1265" s="131">
        <v>1261</v>
      </c>
      <c r="B1265" s="135">
        <v>8069381111</v>
      </c>
      <c r="D1265" s="131">
        <v>1261</v>
      </c>
      <c r="E1265" s="132">
        <v>63.511850000000003</v>
      </c>
    </row>
    <row r="1266" spans="1:5" ht="17.25" thickBot="1" x14ac:dyDescent="0.25">
      <c r="A1266" s="131">
        <v>1262</v>
      </c>
      <c r="B1266" s="135">
        <v>8105091316</v>
      </c>
      <c r="D1266" s="131">
        <v>1262</v>
      </c>
      <c r="E1266" s="132">
        <v>63.561050000000002</v>
      </c>
    </row>
    <row r="1267" spans="1:5" ht="17.25" thickBot="1" x14ac:dyDescent="0.25">
      <c r="A1267" s="131">
        <v>1263</v>
      </c>
      <c r="B1267" s="135">
        <v>8140927761</v>
      </c>
      <c r="D1267" s="131">
        <v>1263</v>
      </c>
      <c r="E1267" s="132">
        <v>63.610210000000002</v>
      </c>
    </row>
    <row r="1268" spans="1:5" ht="17.25" thickBot="1" x14ac:dyDescent="0.25">
      <c r="A1268" s="131">
        <v>1264</v>
      </c>
      <c r="B1268" s="135">
        <v>8176890777</v>
      </c>
      <c r="D1268" s="131">
        <v>1264</v>
      </c>
      <c r="E1268" s="132">
        <v>63.65934</v>
      </c>
    </row>
    <row r="1269" spans="1:5" ht="17.25" thickBot="1" x14ac:dyDescent="0.25">
      <c r="A1269" s="131">
        <v>1265</v>
      </c>
      <c r="B1269" s="135">
        <v>8212980694</v>
      </c>
      <c r="D1269" s="131">
        <v>1265</v>
      </c>
      <c r="E1269" s="132">
        <v>63.70843</v>
      </c>
    </row>
    <row r="1270" spans="1:5" ht="17.25" thickBot="1" x14ac:dyDescent="0.25">
      <c r="A1270" s="131">
        <v>1266</v>
      </c>
      <c r="B1270" s="135">
        <v>8249197844</v>
      </c>
      <c r="D1270" s="131">
        <v>1266</v>
      </c>
      <c r="E1270" s="132">
        <v>63.757480000000001</v>
      </c>
    </row>
    <row r="1271" spans="1:5" ht="17.25" thickBot="1" x14ac:dyDescent="0.25">
      <c r="A1271" s="131">
        <v>1267</v>
      </c>
      <c r="B1271" s="135">
        <v>8285542555</v>
      </c>
      <c r="D1271" s="131">
        <v>1267</v>
      </c>
      <c r="E1271" s="132">
        <v>63.806489999999997</v>
      </c>
    </row>
    <row r="1272" spans="1:5" ht="17.25" thickBot="1" x14ac:dyDescent="0.25">
      <c r="A1272" s="131">
        <v>1268</v>
      </c>
      <c r="B1272" s="135">
        <v>8322015166</v>
      </c>
      <c r="D1272" s="131">
        <v>1268</v>
      </c>
      <c r="E1272" s="132">
        <v>63.855460000000001</v>
      </c>
    </row>
    <row r="1273" spans="1:5" ht="17.25" thickBot="1" x14ac:dyDescent="0.25">
      <c r="A1273" s="131">
        <v>1269</v>
      </c>
      <c r="B1273" s="135">
        <v>8358616005</v>
      </c>
      <c r="D1273" s="131">
        <v>1269</v>
      </c>
      <c r="E1273" s="132">
        <v>63.904389999999999</v>
      </c>
    </row>
    <row r="1274" spans="1:5" ht="17.25" thickBot="1" x14ac:dyDescent="0.25">
      <c r="A1274" s="131">
        <v>1270</v>
      </c>
      <c r="B1274" s="135">
        <v>8395345405</v>
      </c>
      <c r="D1274" s="131">
        <v>1270</v>
      </c>
      <c r="E1274" s="132">
        <v>63.953279999999999</v>
      </c>
    </row>
    <row r="1275" spans="1:5" ht="17.25" thickBot="1" x14ac:dyDescent="0.25">
      <c r="A1275" s="131">
        <v>1271</v>
      </c>
      <c r="B1275" s="135">
        <v>8432203699</v>
      </c>
      <c r="D1275" s="131">
        <v>1271</v>
      </c>
      <c r="E1275" s="132">
        <v>64.002139999999997</v>
      </c>
    </row>
    <row r="1276" spans="1:5" ht="17.25" thickBot="1" x14ac:dyDescent="0.25">
      <c r="A1276" s="131">
        <v>1272</v>
      </c>
      <c r="B1276" s="135">
        <v>8469191227</v>
      </c>
      <c r="D1276" s="131">
        <v>1272</v>
      </c>
      <c r="E1276" s="132">
        <v>64.050960000000003</v>
      </c>
    </row>
    <row r="1277" spans="1:5" ht="17.25" thickBot="1" x14ac:dyDescent="0.25">
      <c r="A1277" s="131">
        <v>1273</v>
      </c>
      <c r="B1277" s="135">
        <v>8506308316</v>
      </c>
      <c r="D1277" s="131">
        <v>1273</v>
      </c>
      <c r="E1277" s="132">
        <v>64.099739999999997</v>
      </c>
    </row>
    <row r="1278" spans="1:5" ht="17.25" thickBot="1" x14ac:dyDescent="0.25">
      <c r="A1278" s="131">
        <v>1274</v>
      </c>
      <c r="B1278" s="135">
        <v>8543555311</v>
      </c>
      <c r="D1278" s="131">
        <v>1274</v>
      </c>
      <c r="E1278" s="132">
        <v>64.148480000000006</v>
      </c>
    </row>
    <row r="1279" spans="1:5" ht="17.25" thickBot="1" x14ac:dyDescent="0.25">
      <c r="A1279" s="131">
        <v>1275</v>
      </c>
      <c r="B1279" s="135">
        <v>8580932538</v>
      </c>
      <c r="D1279" s="131">
        <v>1275</v>
      </c>
      <c r="E1279" s="132">
        <v>64.197180000000003</v>
      </c>
    </row>
    <row r="1280" spans="1:5" ht="17.25" thickBot="1" x14ac:dyDescent="0.25">
      <c r="A1280" s="131">
        <v>1276</v>
      </c>
      <c r="B1280" s="135">
        <v>8618440338</v>
      </c>
      <c r="D1280" s="131">
        <v>1276</v>
      </c>
      <c r="E1280" s="132">
        <v>64.245850000000004</v>
      </c>
    </row>
    <row r="1281" spans="1:5" ht="17.25" thickBot="1" x14ac:dyDescent="0.25">
      <c r="A1281" s="131">
        <v>1277</v>
      </c>
      <c r="B1281" s="135">
        <v>8656079049</v>
      </c>
      <c r="D1281" s="131">
        <v>1277</v>
      </c>
      <c r="E1281" s="132">
        <v>64.294479999999993</v>
      </c>
    </row>
    <row r="1282" spans="1:5" ht="17.25" thickBot="1" x14ac:dyDescent="0.25">
      <c r="A1282" s="131">
        <v>1278</v>
      </c>
      <c r="B1282" s="135">
        <v>8693849005</v>
      </c>
      <c r="D1282" s="131">
        <v>1278</v>
      </c>
      <c r="E1282" s="132">
        <v>64.343069999999997</v>
      </c>
    </row>
    <row r="1283" spans="1:5" ht="17.25" thickBot="1" x14ac:dyDescent="0.25">
      <c r="A1283" s="131">
        <v>1279</v>
      </c>
      <c r="B1283" s="135">
        <v>8731750544</v>
      </c>
      <c r="D1283" s="131">
        <v>1279</v>
      </c>
      <c r="E1283" s="132">
        <v>64.391620000000003</v>
      </c>
    </row>
    <row r="1284" spans="1:5" ht="17.25" thickBot="1" x14ac:dyDescent="0.25">
      <c r="A1284" s="131">
        <v>1280</v>
      </c>
      <c r="B1284" s="135">
        <v>8769784011</v>
      </c>
      <c r="D1284" s="131">
        <v>1280</v>
      </c>
      <c r="E1284" s="132">
        <v>64.440129999999996</v>
      </c>
    </row>
    <row r="1285" spans="1:5" ht="17.25" thickBot="1" x14ac:dyDescent="0.25">
      <c r="A1285" s="131">
        <v>1281</v>
      </c>
      <c r="B1285" s="135">
        <v>8807949738</v>
      </c>
      <c r="D1285" s="131">
        <v>1281</v>
      </c>
      <c r="E1285" s="132">
        <v>64.488609999999994</v>
      </c>
    </row>
    <row r="1286" spans="1:5" ht="17.25" thickBot="1" x14ac:dyDescent="0.25">
      <c r="A1286" s="131">
        <v>1282</v>
      </c>
      <c r="B1286" s="135">
        <v>8846248066</v>
      </c>
      <c r="D1286" s="131">
        <v>1282</v>
      </c>
      <c r="E1286" s="132">
        <v>64.537049999999994</v>
      </c>
    </row>
    <row r="1287" spans="1:5" ht="17.25" thickBot="1" x14ac:dyDescent="0.25">
      <c r="A1287" s="131">
        <v>1283</v>
      </c>
      <c r="B1287" s="135">
        <v>8884679338</v>
      </c>
      <c r="D1287" s="131">
        <v>1283</v>
      </c>
      <c r="E1287" s="132">
        <v>64.585449999999994</v>
      </c>
    </row>
    <row r="1288" spans="1:5" ht="17.25" thickBot="1" x14ac:dyDescent="0.25">
      <c r="A1288" s="131">
        <v>1284</v>
      </c>
      <c r="B1288" s="135">
        <v>8923243894</v>
      </c>
      <c r="D1288" s="131">
        <v>1284</v>
      </c>
      <c r="E1288" s="132">
        <v>64.633809999999997</v>
      </c>
    </row>
    <row r="1289" spans="1:5" ht="17.25" thickBot="1" x14ac:dyDescent="0.25">
      <c r="A1289" s="131">
        <v>1285</v>
      </c>
      <c r="B1289" s="135">
        <v>8961942072</v>
      </c>
      <c r="D1289" s="131">
        <v>1285</v>
      </c>
      <c r="E1289" s="132">
        <v>64.682140000000004</v>
      </c>
    </row>
    <row r="1290" spans="1:5" ht="17.25" thickBot="1" x14ac:dyDescent="0.25">
      <c r="A1290" s="131">
        <v>1286</v>
      </c>
      <c r="B1290" s="135">
        <v>9000774216</v>
      </c>
      <c r="D1290" s="131">
        <v>1286</v>
      </c>
      <c r="E1290" s="132">
        <v>64.730429999999998</v>
      </c>
    </row>
    <row r="1291" spans="1:5" ht="17.25" thickBot="1" x14ac:dyDescent="0.25">
      <c r="A1291" s="131">
        <v>1287</v>
      </c>
      <c r="B1291" s="135">
        <v>9039740666</v>
      </c>
      <c r="D1291" s="131">
        <v>1287</v>
      </c>
      <c r="E1291" s="132">
        <v>64.778679999999994</v>
      </c>
    </row>
    <row r="1292" spans="1:5" ht="17.25" thickBot="1" x14ac:dyDescent="0.25">
      <c r="A1292" s="131">
        <v>1288</v>
      </c>
      <c r="B1292" s="135">
        <v>9078841766</v>
      </c>
      <c r="D1292" s="131">
        <v>1288</v>
      </c>
      <c r="E1292" s="132">
        <v>64.826890000000006</v>
      </c>
    </row>
    <row r="1293" spans="1:5" ht="17.25" thickBot="1" x14ac:dyDescent="0.25">
      <c r="A1293" s="131">
        <v>1289</v>
      </c>
      <c r="B1293" s="135">
        <v>9118077861</v>
      </c>
      <c r="D1293" s="131">
        <v>1289</v>
      </c>
      <c r="E1293" s="132">
        <v>64.875069999999994</v>
      </c>
    </row>
    <row r="1294" spans="1:5" ht="17.25" thickBot="1" x14ac:dyDescent="0.25">
      <c r="A1294" s="131">
        <v>1290</v>
      </c>
      <c r="B1294" s="135">
        <v>9157449294</v>
      </c>
      <c r="D1294" s="131">
        <v>1290</v>
      </c>
      <c r="E1294" s="132">
        <v>64.923209999999997</v>
      </c>
    </row>
    <row r="1295" spans="1:5" ht="17.25" thickBot="1" x14ac:dyDescent="0.25">
      <c r="A1295" s="131">
        <v>1291</v>
      </c>
      <c r="B1295" s="135">
        <v>9196956411</v>
      </c>
      <c r="D1295" s="131">
        <v>1291</v>
      </c>
      <c r="E1295" s="132">
        <v>64.971310000000003</v>
      </c>
    </row>
    <row r="1296" spans="1:5" ht="17.25" thickBot="1" x14ac:dyDescent="0.25">
      <c r="A1296" s="131">
        <v>1292</v>
      </c>
      <c r="B1296" s="135">
        <v>9236599549</v>
      </c>
      <c r="D1296" s="131">
        <v>1292</v>
      </c>
      <c r="E1296" s="132">
        <v>65.019379999999998</v>
      </c>
    </row>
    <row r="1297" spans="1:5" ht="17.25" thickBot="1" x14ac:dyDescent="0.25">
      <c r="A1297" s="131">
        <v>1293</v>
      </c>
      <c r="B1297" s="135">
        <v>9276379061</v>
      </c>
      <c r="D1297" s="131">
        <v>1293</v>
      </c>
      <c r="E1297" s="132">
        <v>65.067409999999995</v>
      </c>
    </row>
    <row r="1298" spans="1:5" ht="17.25" thickBot="1" x14ac:dyDescent="0.25">
      <c r="A1298" s="131">
        <v>1294</v>
      </c>
      <c r="B1298" s="135">
        <v>9316295294</v>
      </c>
      <c r="D1298" s="131">
        <v>1294</v>
      </c>
      <c r="E1298" s="132">
        <v>65.115399999999994</v>
      </c>
    </row>
    <row r="1299" spans="1:5" ht="17.25" thickBot="1" x14ac:dyDescent="0.25">
      <c r="A1299" s="131">
        <v>1295</v>
      </c>
      <c r="B1299" s="135">
        <v>9356348588</v>
      </c>
      <c r="D1299" s="131">
        <v>1295</v>
      </c>
      <c r="E1299" s="132">
        <v>65.163359999999997</v>
      </c>
    </row>
    <row r="1300" spans="1:5" ht="17.25" thickBot="1" x14ac:dyDescent="0.25">
      <c r="A1300" s="131">
        <v>1296</v>
      </c>
      <c r="B1300" s="135">
        <v>9396539294</v>
      </c>
      <c r="D1300" s="131">
        <v>1296</v>
      </c>
      <c r="E1300" s="132">
        <v>65.211280000000002</v>
      </c>
    </row>
    <row r="1301" spans="1:5" ht="17.25" thickBot="1" x14ac:dyDescent="0.25">
      <c r="A1301" s="131">
        <v>1297</v>
      </c>
      <c r="B1301" s="135">
        <v>9436867761</v>
      </c>
      <c r="D1301" s="131">
        <v>1297</v>
      </c>
      <c r="E1301" s="132">
        <v>65.259159999999994</v>
      </c>
    </row>
    <row r="1302" spans="1:5" ht="17.25" thickBot="1" x14ac:dyDescent="0.25">
      <c r="A1302" s="131">
        <v>1298</v>
      </c>
      <c r="B1302" s="135">
        <v>9477334333</v>
      </c>
      <c r="D1302" s="131">
        <v>1298</v>
      </c>
      <c r="E1302" s="132">
        <v>65.307010000000005</v>
      </c>
    </row>
    <row r="1303" spans="1:5" ht="17.25" thickBot="1" x14ac:dyDescent="0.25">
      <c r="A1303" s="131">
        <v>1299</v>
      </c>
      <c r="B1303" s="135">
        <v>9517939361</v>
      </c>
      <c r="D1303" s="131">
        <v>1299</v>
      </c>
      <c r="E1303" s="132">
        <v>65.358720000000005</v>
      </c>
    </row>
    <row r="1304" spans="1:5" ht="17.25" thickBot="1" x14ac:dyDescent="0.25">
      <c r="A1304" s="131">
        <v>1300</v>
      </c>
      <c r="B1304" s="135">
        <v>9558683194</v>
      </c>
      <c r="D1304" s="131">
        <v>1300</v>
      </c>
      <c r="E1304" s="132">
        <v>65.410390000000007</v>
      </c>
    </row>
    <row r="1305" spans="1:5" ht="17.25" thickBot="1" x14ac:dyDescent="0.25">
      <c r="A1305" s="131">
        <v>1301</v>
      </c>
      <c r="B1305" s="135">
        <v>9599566183</v>
      </c>
      <c r="D1305" s="131">
        <v>1301</v>
      </c>
      <c r="E1305" s="132">
        <v>65.462019999999995</v>
      </c>
    </row>
    <row r="1306" spans="1:5" ht="17.25" thickBot="1" x14ac:dyDescent="0.25">
      <c r="A1306" s="131">
        <v>1302</v>
      </c>
      <c r="B1306" s="135">
        <v>9640588677</v>
      </c>
      <c r="D1306" s="131">
        <v>1302</v>
      </c>
      <c r="E1306" s="132">
        <v>65.51361</v>
      </c>
    </row>
    <row r="1307" spans="1:5" ht="17.25" thickBot="1" x14ac:dyDescent="0.25">
      <c r="A1307" s="131">
        <v>1303</v>
      </c>
      <c r="B1307" s="135">
        <v>9681751027</v>
      </c>
      <c r="D1307" s="131">
        <v>1303</v>
      </c>
      <c r="E1307" s="132">
        <v>65.565160000000006</v>
      </c>
    </row>
    <row r="1308" spans="1:5" ht="17.25" thickBot="1" x14ac:dyDescent="0.25">
      <c r="A1308" s="131">
        <v>1304</v>
      </c>
      <c r="B1308" s="135">
        <v>9723053583</v>
      </c>
      <c r="D1308" s="131">
        <v>1304</v>
      </c>
      <c r="E1308" s="132">
        <v>65.616669999999999</v>
      </c>
    </row>
    <row r="1309" spans="1:5" ht="17.25" thickBot="1" x14ac:dyDescent="0.25">
      <c r="A1309" s="131">
        <v>1305</v>
      </c>
      <c r="B1309" s="135">
        <v>9764496699</v>
      </c>
      <c r="D1309" s="131">
        <v>1305</v>
      </c>
      <c r="E1309" s="132">
        <v>65.668139999999994</v>
      </c>
    </row>
    <row r="1310" spans="1:5" ht="17.25" thickBot="1" x14ac:dyDescent="0.25">
      <c r="A1310" s="131">
        <v>1306</v>
      </c>
      <c r="B1310" s="135">
        <v>9806080727</v>
      </c>
      <c r="D1310" s="131">
        <v>1306</v>
      </c>
      <c r="E1310" s="132">
        <v>65.719570000000004</v>
      </c>
    </row>
    <row r="1311" spans="1:5" ht="17.25" thickBot="1" x14ac:dyDescent="0.25">
      <c r="A1311" s="131">
        <v>1307</v>
      </c>
      <c r="B1311" s="135">
        <v>9847806016</v>
      </c>
      <c r="D1311" s="131">
        <v>1307</v>
      </c>
      <c r="E1311" s="132">
        <v>65.770970000000005</v>
      </c>
    </row>
    <row r="1312" spans="1:5" ht="17.25" thickBot="1" x14ac:dyDescent="0.25">
      <c r="A1312" s="131">
        <v>1308</v>
      </c>
      <c r="B1312" s="135">
        <v>9889672922</v>
      </c>
      <c r="D1312" s="131">
        <v>1308</v>
      </c>
      <c r="E1312" s="132">
        <v>65.822329999999994</v>
      </c>
    </row>
    <row r="1313" spans="1:5" ht="17.25" thickBot="1" x14ac:dyDescent="0.25">
      <c r="A1313" s="131">
        <v>1309</v>
      </c>
      <c r="B1313" s="135">
        <v>9931681799</v>
      </c>
      <c r="D1313" s="131">
        <v>1309</v>
      </c>
      <c r="E1313" s="132">
        <v>65.873649999999998</v>
      </c>
    </row>
    <row r="1314" spans="1:5" ht="17.25" thickBot="1" x14ac:dyDescent="0.25">
      <c r="A1314" s="131">
        <v>1310</v>
      </c>
      <c r="B1314" s="135">
        <v>9973832999</v>
      </c>
      <c r="D1314" s="131">
        <v>1310</v>
      </c>
      <c r="E1314" s="132">
        <v>65.924930000000003</v>
      </c>
    </row>
    <row r="1315" spans="1:5" ht="17.25" thickBot="1" x14ac:dyDescent="0.25">
      <c r="A1315" s="131">
        <v>1311</v>
      </c>
      <c r="B1315" s="135">
        <v>10016126883</v>
      </c>
      <c r="D1315" s="131">
        <v>1311</v>
      </c>
      <c r="E1315" s="132">
        <v>65.976169999999996</v>
      </c>
    </row>
    <row r="1316" spans="1:5" ht="17.25" thickBot="1" x14ac:dyDescent="0.25">
      <c r="A1316" s="131">
        <v>1312</v>
      </c>
      <c r="B1316" s="135">
        <v>10058563800</v>
      </c>
      <c r="D1316" s="131">
        <v>1312</v>
      </c>
      <c r="E1316" s="132">
        <v>66.027370000000005</v>
      </c>
    </row>
    <row r="1317" spans="1:5" ht="17.25" thickBot="1" x14ac:dyDescent="0.25">
      <c r="A1317" s="131">
        <v>1313</v>
      </c>
      <c r="B1317" s="135">
        <v>10101144111</v>
      </c>
      <c r="D1317" s="131">
        <v>1313</v>
      </c>
      <c r="E1317" s="132">
        <v>66.078530000000001</v>
      </c>
    </row>
    <row r="1318" spans="1:5" ht="17.25" thickBot="1" x14ac:dyDescent="0.25">
      <c r="A1318" s="131">
        <v>1314</v>
      </c>
      <c r="B1318" s="135">
        <v>10143868166</v>
      </c>
      <c r="D1318" s="131">
        <v>1314</v>
      </c>
      <c r="E1318" s="132">
        <v>66.129649999999998</v>
      </c>
    </row>
    <row r="1319" spans="1:5" ht="17.25" thickBot="1" x14ac:dyDescent="0.25">
      <c r="A1319" s="131">
        <v>1315</v>
      </c>
      <c r="B1319" s="135">
        <v>10186736327</v>
      </c>
      <c r="D1319" s="131">
        <v>1315</v>
      </c>
      <c r="E1319" s="132">
        <v>66.180729999999997</v>
      </c>
    </row>
    <row r="1320" spans="1:5" ht="17.25" thickBot="1" x14ac:dyDescent="0.25">
      <c r="A1320" s="131">
        <v>1316</v>
      </c>
      <c r="B1320" s="135">
        <v>10229748955</v>
      </c>
      <c r="D1320" s="131">
        <v>1316</v>
      </c>
      <c r="E1320" s="132">
        <v>66.231780000000001</v>
      </c>
    </row>
    <row r="1321" spans="1:5" ht="17.25" thickBot="1" x14ac:dyDescent="0.25">
      <c r="A1321" s="131">
        <v>1317</v>
      </c>
      <c r="B1321" s="135">
        <v>10272906400</v>
      </c>
      <c r="D1321" s="131">
        <v>1317</v>
      </c>
      <c r="E1321" s="132">
        <v>66.282790000000006</v>
      </c>
    </row>
    <row r="1322" spans="1:5" ht="17.25" thickBot="1" x14ac:dyDescent="0.25">
      <c r="A1322" s="131">
        <v>1318</v>
      </c>
      <c r="B1322" s="135">
        <v>10316209027</v>
      </c>
      <c r="D1322" s="131">
        <v>1318</v>
      </c>
      <c r="E1322" s="132">
        <v>66.333759999999998</v>
      </c>
    </row>
    <row r="1323" spans="1:5" ht="17.25" thickBot="1" x14ac:dyDescent="0.25">
      <c r="A1323" s="131">
        <v>1319</v>
      </c>
      <c r="B1323" s="135">
        <v>10359657194</v>
      </c>
      <c r="D1323" s="131">
        <v>1319</v>
      </c>
      <c r="E1323" s="132">
        <v>66.384690000000006</v>
      </c>
    </row>
    <row r="1324" spans="1:5" ht="17.25" thickBot="1" x14ac:dyDescent="0.25">
      <c r="A1324" s="131">
        <v>1320</v>
      </c>
      <c r="B1324" s="135">
        <v>10403251255</v>
      </c>
      <c r="D1324" s="131">
        <v>1320</v>
      </c>
      <c r="E1324" s="132">
        <v>66.435580000000002</v>
      </c>
    </row>
    <row r="1325" spans="1:5" ht="17.25" thickBot="1" x14ac:dyDescent="0.25">
      <c r="A1325" s="131">
        <v>1321</v>
      </c>
      <c r="B1325" s="135">
        <v>10446991577</v>
      </c>
      <c r="D1325" s="131">
        <v>1321</v>
      </c>
      <c r="E1325" s="132">
        <v>66.486429999999999</v>
      </c>
    </row>
    <row r="1326" spans="1:5" ht="17.25" thickBot="1" x14ac:dyDescent="0.25">
      <c r="A1326" s="131">
        <v>1322</v>
      </c>
      <c r="B1326" s="135">
        <v>10490878516</v>
      </c>
      <c r="D1326" s="131">
        <v>1322</v>
      </c>
      <c r="E1326" s="132">
        <v>66.53725</v>
      </c>
    </row>
    <row r="1327" spans="1:5" ht="17.25" thickBot="1" x14ac:dyDescent="0.25">
      <c r="A1327" s="131">
        <v>1323</v>
      </c>
      <c r="B1327" s="135">
        <v>10534912438</v>
      </c>
      <c r="D1327" s="131">
        <v>1323</v>
      </c>
      <c r="E1327" s="132">
        <v>66.588030000000003</v>
      </c>
    </row>
    <row r="1328" spans="1:5" ht="17.25" thickBot="1" x14ac:dyDescent="0.25">
      <c r="A1328" s="131">
        <v>1324</v>
      </c>
      <c r="B1328" s="135">
        <v>10579093705</v>
      </c>
      <c r="D1328" s="131">
        <v>1324</v>
      </c>
      <c r="E1328" s="132">
        <v>66.638769999999994</v>
      </c>
    </row>
    <row r="1329" spans="1:5" ht="17.25" thickBot="1" x14ac:dyDescent="0.25">
      <c r="A1329" s="131">
        <v>1325</v>
      </c>
      <c r="B1329" s="135">
        <v>10623422672</v>
      </c>
      <c r="D1329" s="131">
        <v>1325</v>
      </c>
      <c r="E1329" s="132">
        <v>66.68947</v>
      </c>
    </row>
    <row r="1330" spans="1:5" ht="17.25" thickBot="1" x14ac:dyDescent="0.25">
      <c r="A1330" s="131">
        <v>1326</v>
      </c>
      <c r="B1330" s="135">
        <v>10667899711</v>
      </c>
      <c r="D1330" s="131">
        <v>1326</v>
      </c>
      <c r="E1330" s="132">
        <v>66.740129999999994</v>
      </c>
    </row>
    <row r="1331" spans="1:5" ht="17.25" thickBot="1" x14ac:dyDescent="0.25">
      <c r="A1331" s="131">
        <v>1327</v>
      </c>
      <c r="B1331" s="135">
        <v>10712525177</v>
      </c>
      <c r="D1331" s="131">
        <v>1327</v>
      </c>
      <c r="E1331" s="132">
        <v>66.790750000000003</v>
      </c>
    </row>
    <row r="1332" spans="1:5" ht="17.25" thickBot="1" x14ac:dyDescent="0.25">
      <c r="A1332" s="131">
        <v>1328</v>
      </c>
      <c r="B1332" s="135">
        <v>10757299438</v>
      </c>
      <c r="D1332" s="131">
        <v>1328</v>
      </c>
      <c r="E1332" s="132">
        <v>66.841340000000002</v>
      </c>
    </row>
    <row r="1333" spans="1:5" ht="17.25" thickBot="1" x14ac:dyDescent="0.25">
      <c r="A1333" s="131">
        <v>1329</v>
      </c>
      <c r="B1333" s="135">
        <v>10802222861</v>
      </c>
      <c r="D1333" s="131">
        <v>1329</v>
      </c>
      <c r="E1333" s="132">
        <v>66.891890000000004</v>
      </c>
    </row>
    <row r="1334" spans="1:5" ht="17.25" thickBot="1" x14ac:dyDescent="0.25">
      <c r="A1334" s="131">
        <v>1330</v>
      </c>
      <c r="B1334" s="135">
        <v>10847295805</v>
      </c>
      <c r="D1334" s="131">
        <v>1330</v>
      </c>
      <c r="E1334" s="132">
        <v>66.942400000000006</v>
      </c>
    </row>
    <row r="1335" spans="1:5" ht="17.25" thickBot="1" x14ac:dyDescent="0.25">
      <c r="A1335" s="131">
        <v>1331</v>
      </c>
      <c r="B1335" s="135">
        <v>10892518644</v>
      </c>
      <c r="D1335" s="131">
        <v>1331</v>
      </c>
      <c r="E1335" s="132">
        <v>66.992869999999996</v>
      </c>
    </row>
    <row r="1336" spans="1:5" ht="17.25" thickBot="1" x14ac:dyDescent="0.25">
      <c r="A1336" s="131">
        <v>1332</v>
      </c>
      <c r="B1336" s="135">
        <v>10937891738</v>
      </c>
      <c r="D1336" s="131">
        <v>1332</v>
      </c>
      <c r="E1336" s="132">
        <v>67.043310000000005</v>
      </c>
    </row>
    <row r="1337" spans="1:5" ht="17.25" thickBot="1" x14ac:dyDescent="0.25">
      <c r="A1337" s="131">
        <v>1333</v>
      </c>
      <c r="B1337" s="135">
        <v>10983415455</v>
      </c>
      <c r="D1337" s="131">
        <v>1333</v>
      </c>
      <c r="E1337" s="132">
        <v>67.093710000000002</v>
      </c>
    </row>
    <row r="1338" spans="1:5" ht="17.25" thickBot="1" x14ac:dyDescent="0.25">
      <c r="A1338" s="131">
        <v>1334</v>
      </c>
      <c r="B1338" s="135">
        <v>11029090161</v>
      </c>
      <c r="D1338" s="131">
        <v>1334</v>
      </c>
      <c r="E1338" s="132">
        <v>67.144069999999999</v>
      </c>
    </row>
    <row r="1339" spans="1:5" ht="17.25" thickBot="1" x14ac:dyDescent="0.25">
      <c r="A1339" s="131">
        <v>1335</v>
      </c>
      <c r="B1339" s="135">
        <v>11074916222</v>
      </c>
      <c r="D1339" s="131">
        <v>1335</v>
      </c>
      <c r="E1339" s="132">
        <v>67.194389999999999</v>
      </c>
    </row>
    <row r="1340" spans="1:5" ht="17.25" thickBot="1" x14ac:dyDescent="0.25">
      <c r="A1340" s="131">
        <v>1336</v>
      </c>
      <c r="B1340" s="135">
        <v>11120894011</v>
      </c>
      <c r="D1340" s="131">
        <v>1336</v>
      </c>
      <c r="E1340" s="132">
        <v>67.244680000000002</v>
      </c>
    </row>
    <row r="1341" spans="1:5" ht="17.25" thickBot="1" x14ac:dyDescent="0.25">
      <c r="A1341" s="131">
        <v>1337</v>
      </c>
      <c r="B1341" s="135">
        <v>11167023894</v>
      </c>
      <c r="D1341" s="131">
        <v>1337</v>
      </c>
      <c r="E1341" s="132">
        <v>67.294929999999994</v>
      </c>
    </row>
    <row r="1342" spans="1:5" ht="17.25" thickBot="1" x14ac:dyDescent="0.25">
      <c r="A1342" s="131">
        <v>1338</v>
      </c>
      <c r="B1342" s="135">
        <v>11213306238</v>
      </c>
      <c r="D1342" s="131">
        <v>1338</v>
      </c>
      <c r="E1342" s="132">
        <v>67.345140000000001</v>
      </c>
    </row>
    <row r="1343" spans="1:5" ht="17.25" thickBot="1" x14ac:dyDescent="0.25">
      <c r="A1343" s="131">
        <v>1339</v>
      </c>
      <c r="B1343" s="135">
        <v>11259741416</v>
      </c>
      <c r="D1343" s="131">
        <v>1339</v>
      </c>
      <c r="E1343" s="132">
        <v>67.395309999999995</v>
      </c>
    </row>
    <row r="1344" spans="1:5" ht="17.25" thickBot="1" x14ac:dyDescent="0.25">
      <c r="A1344" s="131">
        <v>1340</v>
      </c>
      <c r="B1344" s="135">
        <v>11306329794</v>
      </c>
      <c r="D1344" s="131">
        <v>1340</v>
      </c>
      <c r="E1344" s="132">
        <v>67.445449999999994</v>
      </c>
    </row>
    <row r="1345" spans="1:5" ht="17.25" thickBot="1" x14ac:dyDescent="0.25">
      <c r="A1345" s="131">
        <v>1341</v>
      </c>
      <c r="B1345" s="135">
        <v>11353071750</v>
      </c>
      <c r="D1345" s="131">
        <v>1341</v>
      </c>
      <c r="E1345" s="132">
        <v>67.495549999999994</v>
      </c>
    </row>
    <row r="1346" spans="1:5" ht="17.25" thickBot="1" x14ac:dyDescent="0.25">
      <c r="A1346" s="131">
        <v>1342</v>
      </c>
      <c r="B1346" s="135">
        <v>11399967650</v>
      </c>
      <c r="D1346" s="131">
        <v>1342</v>
      </c>
      <c r="E1346" s="132">
        <v>67.545609999999996</v>
      </c>
    </row>
    <row r="1347" spans="1:5" ht="17.25" thickBot="1" x14ac:dyDescent="0.25">
      <c r="A1347" s="131">
        <v>1343</v>
      </c>
      <c r="B1347" s="135">
        <v>11447017866</v>
      </c>
      <c r="D1347" s="131">
        <v>1343</v>
      </c>
      <c r="E1347" s="132">
        <v>67.59563</v>
      </c>
    </row>
    <row r="1348" spans="1:5" ht="17.25" thickBot="1" x14ac:dyDescent="0.25">
      <c r="A1348" s="131">
        <v>1344</v>
      </c>
      <c r="B1348" s="135">
        <v>11494222772</v>
      </c>
      <c r="D1348" s="131">
        <v>1344</v>
      </c>
      <c r="E1348" s="132">
        <v>67.645619999999994</v>
      </c>
    </row>
    <row r="1349" spans="1:5" ht="17.25" thickBot="1" x14ac:dyDescent="0.25">
      <c r="A1349" s="131">
        <v>1345</v>
      </c>
      <c r="B1349" s="135">
        <v>11541582738</v>
      </c>
      <c r="D1349" s="131">
        <v>1345</v>
      </c>
      <c r="E1349" s="132">
        <v>67.695570000000004</v>
      </c>
    </row>
    <row r="1350" spans="1:5" ht="17.25" thickBot="1" x14ac:dyDescent="0.25">
      <c r="A1350" s="131">
        <v>1346</v>
      </c>
      <c r="B1350" s="135">
        <v>11589098138</v>
      </c>
      <c r="D1350" s="131">
        <v>1346</v>
      </c>
      <c r="E1350" s="132">
        <v>67.745480000000001</v>
      </c>
    </row>
    <row r="1351" spans="1:5" ht="17.25" thickBot="1" x14ac:dyDescent="0.25">
      <c r="A1351" s="131">
        <v>1347</v>
      </c>
      <c r="B1351" s="135">
        <v>11636769350</v>
      </c>
      <c r="D1351" s="131">
        <v>1347</v>
      </c>
      <c r="E1351" s="132">
        <v>67.795360000000002</v>
      </c>
    </row>
    <row r="1352" spans="1:5" ht="17.25" thickBot="1" x14ac:dyDescent="0.25">
      <c r="A1352" s="131">
        <v>1348</v>
      </c>
      <c r="B1352" s="135">
        <v>11684596744</v>
      </c>
      <c r="D1352" s="131">
        <v>1348</v>
      </c>
      <c r="E1352" s="132">
        <v>67.845200000000006</v>
      </c>
    </row>
    <row r="1353" spans="1:5" ht="17.25" thickBot="1" x14ac:dyDescent="0.25">
      <c r="A1353" s="131">
        <v>1349</v>
      </c>
      <c r="B1353" s="135">
        <v>11732580700</v>
      </c>
      <c r="D1353" s="131">
        <v>1349</v>
      </c>
      <c r="E1353" s="132">
        <v>67.894999999999996</v>
      </c>
    </row>
    <row r="1354" spans="1:5" ht="17.25" thickBot="1" x14ac:dyDescent="0.25">
      <c r="A1354" s="131">
        <v>1350</v>
      </c>
      <c r="B1354" s="135">
        <v>11780721588</v>
      </c>
      <c r="D1354" s="131">
        <v>1350</v>
      </c>
      <c r="E1354" s="132">
        <v>67.944770000000005</v>
      </c>
    </row>
    <row r="1355" spans="1:5" ht="17.25" thickBot="1" x14ac:dyDescent="0.25">
      <c r="A1355" s="131">
        <v>1351</v>
      </c>
      <c r="B1355" s="135">
        <v>11829019788</v>
      </c>
      <c r="D1355" s="131">
        <v>1351</v>
      </c>
      <c r="E1355" s="132">
        <v>67.994500000000002</v>
      </c>
    </row>
    <row r="1356" spans="1:5" ht="17.25" thickBot="1" x14ac:dyDescent="0.25">
      <c r="A1356" s="131">
        <v>1352</v>
      </c>
      <c r="B1356" s="135">
        <v>11877475672</v>
      </c>
      <c r="D1356" s="131">
        <v>1352</v>
      </c>
      <c r="E1356" s="132">
        <v>68.04419</v>
      </c>
    </row>
    <row r="1357" spans="1:5" ht="17.25" thickBot="1" x14ac:dyDescent="0.25">
      <c r="A1357" s="131">
        <v>1353</v>
      </c>
      <c r="B1357" s="135">
        <v>11926089622</v>
      </c>
      <c r="D1357" s="131">
        <v>1353</v>
      </c>
      <c r="E1357" s="132">
        <v>68.093850000000003</v>
      </c>
    </row>
    <row r="1358" spans="1:5" ht="17.25" thickBot="1" x14ac:dyDescent="0.25">
      <c r="A1358" s="131">
        <v>1354</v>
      </c>
      <c r="B1358" s="135">
        <v>11974862011</v>
      </c>
      <c r="D1358" s="131">
        <v>1354</v>
      </c>
      <c r="E1358" s="132">
        <v>68.143469999999994</v>
      </c>
    </row>
    <row r="1359" spans="1:5" ht="17.25" thickBot="1" x14ac:dyDescent="0.25">
      <c r="A1359" s="131">
        <v>1355</v>
      </c>
      <c r="B1359" s="135">
        <v>12023793222</v>
      </c>
      <c r="D1359" s="131">
        <v>1355</v>
      </c>
      <c r="E1359" s="132">
        <v>68.193049999999999</v>
      </c>
    </row>
    <row r="1360" spans="1:5" ht="17.25" thickBot="1" x14ac:dyDescent="0.25">
      <c r="A1360" s="131">
        <v>1356</v>
      </c>
      <c r="B1360" s="135">
        <v>12072883633</v>
      </c>
      <c r="D1360" s="131">
        <v>1356</v>
      </c>
      <c r="E1360" s="132">
        <v>68.242599999999996</v>
      </c>
    </row>
    <row r="1361" spans="1:5" ht="17.25" thickBot="1" x14ac:dyDescent="0.25">
      <c r="A1361" s="131">
        <v>1357</v>
      </c>
      <c r="B1361" s="135">
        <v>12122133616</v>
      </c>
      <c r="D1361" s="131">
        <v>1357</v>
      </c>
      <c r="E1361" s="132">
        <v>68.292109999999994</v>
      </c>
    </row>
    <row r="1362" spans="1:5" ht="17.25" thickBot="1" x14ac:dyDescent="0.25">
      <c r="A1362" s="131">
        <v>1358</v>
      </c>
      <c r="B1362" s="135">
        <v>12171543561</v>
      </c>
      <c r="D1362" s="131">
        <v>1358</v>
      </c>
      <c r="E1362" s="132">
        <v>68.341579999999993</v>
      </c>
    </row>
    <row r="1363" spans="1:5" ht="17.25" thickBot="1" x14ac:dyDescent="0.25">
      <c r="A1363" s="131">
        <v>1359</v>
      </c>
      <c r="B1363" s="135">
        <v>12221113838</v>
      </c>
      <c r="D1363" s="131">
        <v>1359</v>
      </c>
      <c r="E1363" s="132">
        <v>68.391019999999997</v>
      </c>
    </row>
    <row r="1364" spans="1:5" ht="17.25" thickBot="1" x14ac:dyDescent="0.25">
      <c r="A1364" s="131">
        <v>1360</v>
      </c>
      <c r="B1364" s="135">
        <v>12270844838</v>
      </c>
      <c r="D1364" s="131">
        <v>1360</v>
      </c>
      <c r="E1364" s="132">
        <v>68.440420000000003</v>
      </c>
    </row>
    <row r="1365" spans="1:5" ht="17.25" thickBot="1" x14ac:dyDescent="0.25">
      <c r="A1365" s="131">
        <v>1361</v>
      </c>
      <c r="B1365" s="135">
        <v>12320736933</v>
      </c>
      <c r="D1365" s="131">
        <v>1361</v>
      </c>
      <c r="E1365" s="132">
        <v>68.489789999999999</v>
      </c>
    </row>
    <row r="1366" spans="1:5" ht="17.25" thickBot="1" x14ac:dyDescent="0.25">
      <c r="A1366" s="131">
        <v>1362</v>
      </c>
      <c r="B1366" s="135">
        <v>12370790511</v>
      </c>
      <c r="D1366" s="131">
        <v>1362</v>
      </c>
      <c r="E1366" s="132">
        <v>68.539119999999997</v>
      </c>
    </row>
    <row r="1367" spans="1:5" ht="17.25" thickBot="1" x14ac:dyDescent="0.25">
      <c r="A1367" s="131">
        <v>1363</v>
      </c>
      <c r="B1367" s="135">
        <v>12421005950</v>
      </c>
      <c r="D1367" s="131">
        <v>1363</v>
      </c>
      <c r="E1367" s="132">
        <v>68.588409999999996</v>
      </c>
    </row>
    <row r="1368" spans="1:5" ht="17.25" thickBot="1" x14ac:dyDescent="0.25">
      <c r="A1368" s="131">
        <v>1364</v>
      </c>
      <c r="B1368" s="135">
        <v>12471383638</v>
      </c>
      <c r="D1368" s="131">
        <v>1364</v>
      </c>
      <c r="E1368" s="132">
        <v>68.63767</v>
      </c>
    </row>
    <row r="1369" spans="1:5" ht="17.25" thickBot="1" x14ac:dyDescent="0.25">
      <c r="A1369" s="131">
        <v>1365</v>
      </c>
      <c r="B1369" s="135">
        <v>12521923955</v>
      </c>
      <c r="D1369" s="131">
        <v>1365</v>
      </c>
      <c r="E1369" s="132">
        <v>68.686890000000005</v>
      </c>
    </row>
    <row r="1370" spans="1:5" ht="17.25" thickBot="1" x14ac:dyDescent="0.25">
      <c r="A1370" s="131">
        <v>1366</v>
      </c>
      <c r="B1370" s="135">
        <v>12572627283</v>
      </c>
      <c r="D1370" s="131">
        <v>1366</v>
      </c>
      <c r="E1370" s="132">
        <v>68.736080000000001</v>
      </c>
    </row>
    <row r="1371" spans="1:5" ht="17.25" thickBot="1" x14ac:dyDescent="0.25">
      <c r="A1371" s="131">
        <v>1367</v>
      </c>
      <c r="B1371" s="135">
        <v>12623494011</v>
      </c>
      <c r="D1371" s="131">
        <v>1367</v>
      </c>
      <c r="E1371" s="132">
        <v>68.785229999999999</v>
      </c>
    </row>
    <row r="1372" spans="1:5" ht="17.25" thickBot="1" x14ac:dyDescent="0.25">
      <c r="A1372" s="131">
        <v>1368</v>
      </c>
      <c r="B1372" s="135">
        <v>12674524516</v>
      </c>
      <c r="D1372" s="131">
        <v>1368</v>
      </c>
      <c r="E1372" s="132">
        <v>68.834350000000001</v>
      </c>
    </row>
    <row r="1373" spans="1:5" ht="17.25" thickBot="1" x14ac:dyDescent="0.25">
      <c r="A1373" s="131">
        <v>1369</v>
      </c>
      <c r="B1373" s="135">
        <v>12725719194</v>
      </c>
      <c r="D1373" s="131">
        <v>1369</v>
      </c>
      <c r="E1373" s="132">
        <v>68.883430000000004</v>
      </c>
    </row>
    <row r="1374" spans="1:5" ht="17.25" thickBot="1" x14ac:dyDescent="0.25">
      <c r="A1374" s="131">
        <v>1370</v>
      </c>
      <c r="B1374" s="135">
        <v>12777078422</v>
      </c>
      <c r="D1374" s="131">
        <v>1370</v>
      </c>
      <c r="E1374" s="132">
        <v>68.932469999999995</v>
      </c>
    </row>
    <row r="1375" spans="1:5" ht="17.25" thickBot="1" x14ac:dyDescent="0.25">
      <c r="A1375" s="131">
        <v>1371</v>
      </c>
      <c r="B1375" s="135">
        <v>12828602594</v>
      </c>
      <c r="D1375" s="131">
        <v>1371</v>
      </c>
      <c r="E1375" s="132">
        <v>68.981480000000005</v>
      </c>
    </row>
    <row r="1376" spans="1:5" ht="17.25" thickBot="1" x14ac:dyDescent="0.25">
      <c r="A1376" s="131">
        <v>1372</v>
      </c>
      <c r="B1376" s="135">
        <v>12880292088</v>
      </c>
      <c r="D1376" s="131">
        <v>1372</v>
      </c>
      <c r="E1376" s="132">
        <v>69.030450000000002</v>
      </c>
    </row>
    <row r="1377" spans="1:5" ht="17.25" thickBot="1" x14ac:dyDescent="0.25">
      <c r="A1377" s="131">
        <v>1373</v>
      </c>
      <c r="B1377" s="135">
        <v>12932147300</v>
      </c>
      <c r="D1377" s="131">
        <v>1373</v>
      </c>
      <c r="E1377" s="132">
        <v>69.079390000000004</v>
      </c>
    </row>
    <row r="1378" spans="1:5" ht="17.25" thickBot="1" x14ac:dyDescent="0.25">
      <c r="A1378" s="131">
        <v>1374</v>
      </c>
      <c r="B1378" s="135">
        <v>12984168611</v>
      </c>
      <c r="D1378" s="131">
        <v>1374</v>
      </c>
      <c r="E1378" s="132">
        <v>69.128290000000007</v>
      </c>
    </row>
    <row r="1379" spans="1:5" ht="17.25" thickBot="1" x14ac:dyDescent="0.25">
      <c r="A1379" s="131">
        <v>1375</v>
      </c>
      <c r="B1379" s="135">
        <v>13036356416</v>
      </c>
      <c r="D1379" s="131">
        <v>1375</v>
      </c>
      <c r="E1379" s="132">
        <v>69.177160000000001</v>
      </c>
    </row>
    <row r="1380" spans="1:5" ht="17.25" thickBot="1" x14ac:dyDescent="0.25">
      <c r="A1380" s="131">
        <v>1376</v>
      </c>
      <c r="B1380" s="135">
        <v>13088711100</v>
      </c>
      <c r="D1380" s="131">
        <v>1376</v>
      </c>
      <c r="E1380" s="132">
        <v>69.225989999999996</v>
      </c>
    </row>
    <row r="1381" spans="1:5" ht="17.25" thickBot="1" x14ac:dyDescent="0.25">
      <c r="A1381" s="131">
        <v>1377</v>
      </c>
      <c r="B1381" s="135">
        <v>13141233055</v>
      </c>
      <c r="D1381" s="131">
        <v>1377</v>
      </c>
      <c r="E1381" s="132">
        <v>69.274789999999996</v>
      </c>
    </row>
    <row r="1382" spans="1:5" ht="17.25" thickBot="1" x14ac:dyDescent="0.25">
      <c r="A1382" s="131">
        <v>1378</v>
      </c>
      <c r="B1382" s="135">
        <v>13193922666</v>
      </c>
      <c r="D1382" s="131">
        <v>1378</v>
      </c>
      <c r="E1382" s="132">
        <v>69.323549999999997</v>
      </c>
    </row>
    <row r="1383" spans="1:5" ht="17.25" thickBot="1" x14ac:dyDescent="0.25">
      <c r="A1383" s="131">
        <v>1379</v>
      </c>
      <c r="B1383" s="135">
        <v>13246780327</v>
      </c>
      <c r="D1383" s="131">
        <v>1379</v>
      </c>
      <c r="E1383" s="132">
        <v>69.372280000000003</v>
      </c>
    </row>
    <row r="1384" spans="1:5" ht="17.25" thickBot="1" x14ac:dyDescent="0.25">
      <c r="A1384" s="131">
        <v>1380</v>
      </c>
      <c r="B1384" s="135">
        <v>13299806433</v>
      </c>
      <c r="D1384" s="131">
        <v>1380</v>
      </c>
      <c r="E1384" s="132">
        <v>69.420969999999997</v>
      </c>
    </row>
    <row r="1385" spans="1:5" ht="17.25" thickBot="1" x14ac:dyDescent="0.25">
      <c r="A1385" s="131">
        <v>1381</v>
      </c>
      <c r="B1385" s="135">
        <v>13353001372</v>
      </c>
      <c r="D1385" s="131">
        <v>1381</v>
      </c>
      <c r="E1385" s="132">
        <v>69.469629999999995</v>
      </c>
    </row>
    <row r="1386" spans="1:5" ht="17.25" thickBot="1" x14ac:dyDescent="0.25">
      <c r="A1386" s="131">
        <v>1382</v>
      </c>
      <c r="B1386" s="135">
        <v>13406365533</v>
      </c>
      <c r="D1386" s="131">
        <v>1382</v>
      </c>
      <c r="E1386" s="132">
        <v>69.518249999999995</v>
      </c>
    </row>
    <row r="1387" spans="1:5" ht="17.25" thickBot="1" x14ac:dyDescent="0.25">
      <c r="A1387" s="131">
        <v>1383</v>
      </c>
      <c r="B1387" s="135">
        <v>13459899311</v>
      </c>
      <c r="D1387" s="131">
        <v>1383</v>
      </c>
      <c r="E1387" s="132">
        <v>69.566839999999999</v>
      </c>
    </row>
    <row r="1388" spans="1:5" ht="17.25" thickBot="1" x14ac:dyDescent="0.25">
      <c r="A1388" s="131">
        <v>1384</v>
      </c>
      <c r="B1388" s="135">
        <v>13513603100</v>
      </c>
      <c r="D1388" s="131">
        <v>1384</v>
      </c>
      <c r="E1388" s="132">
        <v>69.615390000000005</v>
      </c>
    </row>
    <row r="1389" spans="1:5" ht="17.25" thickBot="1" x14ac:dyDescent="0.25">
      <c r="A1389" s="131">
        <v>1385</v>
      </c>
      <c r="B1389" s="135">
        <v>13567477294</v>
      </c>
      <c r="D1389" s="131">
        <v>1385</v>
      </c>
      <c r="E1389" s="132">
        <v>69.663910000000001</v>
      </c>
    </row>
    <row r="1390" spans="1:5" ht="17.25" thickBot="1" x14ac:dyDescent="0.25">
      <c r="A1390" s="131">
        <v>1386</v>
      </c>
      <c r="B1390" s="135">
        <v>13621522288</v>
      </c>
      <c r="D1390" s="131">
        <v>1386</v>
      </c>
      <c r="E1390" s="132">
        <v>69.712389999999999</v>
      </c>
    </row>
    <row r="1391" spans="1:5" ht="17.25" thickBot="1" x14ac:dyDescent="0.25">
      <c r="A1391" s="131">
        <v>1387</v>
      </c>
      <c r="B1391" s="135">
        <v>13675738477</v>
      </c>
      <c r="D1391" s="131">
        <v>1387</v>
      </c>
      <c r="E1391" s="132">
        <v>69.760840000000002</v>
      </c>
    </row>
    <row r="1392" spans="1:5" ht="17.25" thickBot="1" x14ac:dyDescent="0.25">
      <c r="A1392" s="131">
        <v>1388</v>
      </c>
      <c r="B1392" s="135">
        <v>13730126255</v>
      </c>
      <c r="D1392" s="131">
        <v>1388</v>
      </c>
      <c r="E1392" s="132">
        <v>69.809250000000006</v>
      </c>
    </row>
    <row r="1393" spans="1:5" ht="17.25" thickBot="1" x14ac:dyDescent="0.25">
      <c r="A1393" s="131">
        <v>1389</v>
      </c>
      <c r="B1393" s="135">
        <v>13784686016</v>
      </c>
      <c r="D1393" s="131">
        <v>1389</v>
      </c>
      <c r="E1393" s="132">
        <v>69.85763</v>
      </c>
    </row>
    <row r="1394" spans="1:5" ht="17.25" thickBot="1" x14ac:dyDescent="0.25">
      <c r="A1394" s="131">
        <v>1390</v>
      </c>
      <c r="B1394" s="135">
        <v>13839418161</v>
      </c>
      <c r="D1394" s="131">
        <v>1390</v>
      </c>
      <c r="E1394" s="132">
        <v>69.905969999999996</v>
      </c>
    </row>
    <row r="1395" spans="1:5" ht="17.25" thickBot="1" x14ac:dyDescent="0.25">
      <c r="A1395" s="131">
        <v>1391</v>
      </c>
      <c r="B1395" s="135">
        <v>13894323083</v>
      </c>
      <c r="D1395" s="131">
        <v>1391</v>
      </c>
      <c r="E1395" s="132">
        <v>69.954279999999997</v>
      </c>
    </row>
    <row r="1396" spans="1:5" ht="17.25" thickBot="1" x14ac:dyDescent="0.25">
      <c r="A1396" s="131">
        <v>1392</v>
      </c>
      <c r="B1396" s="135">
        <v>13949401177</v>
      </c>
      <c r="D1396" s="131">
        <v>1392</v>
      </c>
      <c r="E1396" s="132">
        <v>70.002549999999999</v>
      </c>
    </row>
    <row r="1397" spans="1:5" ht="17.25" thickBot="1" x14ac:dyDescent="0.25">
      <c r="A1397" s="131">
        <v>1393</v>
      </c>
      <c r="B1397" s="135">
        <v>14004652844</v>
      </c>
      <c r="D1397" s="131">
        <v>1393</v>
      </c>
      <c r="E1397" s="132">
        <v>70.050790000000006</v>
      </c>
    </row>
    <row r="1398" spans="1:5" ht="17.25" thickBot="1" x14ac:dyDescent="0.25">
      <c r="A1398" s="131">
        <v>1394</v>
      </c>
      <c r="B1398" s="135">
        <v>14060078483</v>
      </c>
      <c r="D1398" s="131">
        <v>1394</v>
      </c>
      <c r="E1398" s="132">
        <v>70.098990000000001</v>
      </c>
    </row>
    <row r="1399" spans="1:5" ht="17.25" thickBot="1" x14ac:dyDescent="0.25">
      <c r="A1399" s="131">
        <v>1395</v>
      </c>
      <c r="B1399" s="135">
        <v>14115678494</v>
      </c>
      <c r="D1399" s="131">
        <v>1395</v>
      </c>
      <c r="E1399" s="132">
        <v>70.14716</v>
      </c>
    </row>
    <row r="1400" spans="1:5" ht="17.25" thickBot="1" x14ac:dyDescent="0.25">
      <c r="A1400" s="131">
        <v>1396</v>
      </c>
      <c r="B1400" s="135">
        <v>14171453272</v>
      </c>
      <c r="D1400" s="131">
        <v>1396</v>
      </c>
      <c r="E1400" s="132">
        <v>70.19529</v>
      </c>
    </row>
    <row r="1401" spans="1:5" ht="17.25" thickBot="1" x14ac:dyDescent="0.25">
      <c r="A1401" s="131">
        <v>1397</v>
      </c>
      <c r="B1401" s="135">
        <v>14227403216</v>
      </c>
      <c r="D1401" s="131">
        <v>1397</v>
      </c>
      <c r="E1401" s="132">
        <v>70.243390000000005</v>
      </c>
    </row>
    <row r="1402" spans="1:5" ht="17.25" thickBot="1" x14ac:dyDescent="0.25">
      <c r="A1402" s="131">
        <v>1398</v>
      </c>
      <c r="B1402" s="135">
        <v>14283528733</v>
      </c>
      <c r="D1402" s="131">
        <v>1398</v>
      </c>
      <c r="E1402" s="132">
        <v>70.291460000000001</v>
      </c>
    </row>
    <row r="1403" spans="1:5" ht="17.25" thickBot="1" x14ac:dyDescent="0.25">
      <c r="A1403" s="131">
        <v>1399</v>
      </c>
      <c r="B1403" s="135">
        <v>14339830222</v>
      </c>
      <c r="D1403" s="131">
        <v>1399</v>
      </c>
      <c r="E1403" s="132">
        <v>70.339489999999998</v>
      </c>
    </row>
    <row r="1404" spans="1:5" ht="17.25" thickBot="1" x14ac:dyDescent="0.25">
      <c r="A1404" s="133">
        <v>1400</v>
      </c>
      <c r="B1404" s="136">
        <v>14396308083</v>
      </c>
      <c r="D1404" s="133">
        <v>1400</v>
      </c>
      <c r="E1404" s="134">
        <v>70.38749</v>
      </c>
    </row>
    <row r="1405" spans="1:5" ht="17.25" thickTop="1" x14ac:dyDescent="0.3"/>
  </sheetData>
  <mergeCells count="3">
    <mergeCell ref="G2:H2"/>
    <mergeCell ref="A2:B2"/>
    <mergeCell ref="D2:E2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비교 </vt:lpstr>
      <vt:lpstr>능력치</vt:lpstr>
      <vt:lpstr>확율계산</vt:lpstr>
      <vt:lpstr>소환횟수</vt:lpstr>
      <vt:lpstr>슬키 비용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정기 조</dc:creator>
  <cp:lastModifiedBy>정기 조</cp:lastModifiedBy>
  <dcterms:created xsi:type="dcterms:W3CDTF">2025-08-04T05:22:46Z</dcterms:created>
  <dcterms:modified xsi:type="dcterms:W3CDTF">2026-02-25T08:13:56Z</dcterms:modified>
</cp:coreProperties>
</file>