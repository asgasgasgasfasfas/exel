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BM\각성 절멸타 수치\"/>
    </mc:Choice>
  </mc:AlternateContent>
  <xr:revisionPtr revIDLastSave="0" documentId="13_ncr:1_{F0FC337C-D811-4B81-89A5-264F3FA20121}" xr6:coauthVersionLast="47" xr6:coauthVersionMax="47" xr10:uidLastSave="{00000000-0000-0000-0000-000000000000}"/>
  <bookViews>
    <workbookView xWindow="9600" yWindow="420" windowWidth="25335" windowHeight="15480" firstSheet="1" activeTab="4" xr2:uid="{A99CFEC2-60A2-4309-B5ED-2C883047AF44}"/>
  </bookViews>
  <sheets>
    <sheet name="육성1 골드" sheetId="1" r:id="rId1"/>
    <sheet name="묘묙석" sheetId="4" r:id="rId2"/>
    <sheet name="나무계산" sheetId="5" r:id="rId3"/>
    <sheet name="Sheet2" sheetId="6" r:id="rId4"/>
    <sheet name="회심타절멸타 골드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5" i="3" l="1"/>
  <c r="J86" i="3"/>
  <c r="J87" i="3"/>
  <c r="J88" i="3"/>
  <c r="J89" i="3"/>
  <c r="J90" i="3"/>
  <c r="J91" i="3"/>
  <c r="J92" i="3"/>
  <c r="J93" i="3"/>
  <c r="J84" i="3"/>
  <c r="I85" i="3"/>
  <c r="I86" i="3"/>
  <c r="I87" i="3"/>
  <c r="I88" i="3"/>
  <c r="I89" i="3"/>
  <c r="I90" i="3"/>
  <c r="I91" i="3"/>
  <c r="I92" i="3"/>
  <c r="I93" i="3"/>
  <c r="I84" i="3"/>
  <c r="R84" i="3"/>
  <c r="R85" i="3"/>
  <c r="R86" i="3"/>
  <c r="R87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88" i="3"/>
  <c r="I20" i="3"/>
  <c r="I19" i="3"/>
  <c r="K25" i="3"/>
  <c r="I25" i="3"/>
  <c r="I24" i="3"/>
  <c r="K24" i="3" s="1"/>
  <c r="H7" i="3"/>
  <c r="H6" i="3"/>
  <c r="H5" i="3"/>
  <c r="H4" i="3"/>
  <c r="I15" i="3"/>
  <c r="X3" i="5"/>
  <c r="X2" i="5"/>
  <c r="X1" i="5"/>
  <c r="J25" i="3" l="1"/>
  <c r="J24" i="3"/>
  <c r="H88" i="3"/>
  <c r="H89" i="3"/>
  <c r="H90" i="3"/>
  <c r="H91" i="3"/>
  <c r="H92" i="3"/>
  <c r="H93" i="3"/>
  <c r="H85" i="3"/>
  <c r="Q86" i="3"/>
  <c r="Q87" i="3"/>
  <c r="Q88" i="3"/>
  <c r="Q89" i="3"/>
  <c r="Q90" i="3"/>
  <c r="Q91" i="3"/>
  <c r="Q92" i="3"/>
  <c r="Q93" i="3"/>
  <c r="Q94" i="3"/>
  <c r="Q95" i="3"/>
  <c r="S95" i="3" s="1"/>
  <c r="T95" i="3" s="1"/>
  <c r="Q96" i="3"/>
  <c r="S96" i="3" s="1"/>
  <c r="T96" i="3" s="1"/>
  <c r="Q97" i="3"/>
  <c r="Q98" i="3"/>
  <c r="Q99" i="3"/>
  <c r="Q100" i="3"/>
  <c r="Q101" i="3"/>
  <c r="Q102" i="3"/>
  <c r="Q103" i="3"/>
  <c r="Q85" i="3"/>
  <c r="S85" i="3" s="1"/>
  <c r="T85" i="3" s="1"/>
  <c r="U61" i="3"/>
  <c r="S94" i="3"/>
  <c r="T94" i="3" s="1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57" i="3"/>
  <c r="S84" i="3"/>
  <c r="T84" i="3" s="1"/>
  <c r="S86" i="3"/>
  <c r="T86" i="3" s="1"/>
  <c r="S87" i="3"/>
  <c r="T87" i="3" s="1"/>
  <c r="S88" i="3"/>
  <c r="T88" i="3" s="1"/>
  <c r="S89" i="3"/>
  <c r="T89" i="3" s="1"/>
  <c r="S90" i="3"/>
  <c r="T90" i="3" s="1"/>
  <c r="S91" i="3"/>
  <c r="T91" i="3" s="1"/>
  <c r="S92" i="3"/>
  <c r="T92" i="3" s="1"/>
  <c r="S93" i="3"/>
  <c r="T93" i="3" s="1"/>
  <c r="S97" i="3"/>
  <c r="T97" i="3" s="1"/>
  <c r="S98" i="3"/>
  <c r="T98" i="3" s="1"/>
  <c r="S99" i="3"/>
  <c r="T99" i="3" s="1"/>
  <c r="S100" i="3"/>
  <c r="T100" i="3" s="1"/>
  <c r="S101" i="3"/>
  <c r="T101" i="3" s="1"/>
  <c r="S102" i="3"/>
  <c r="T102" i="3" s="1"/>
  <c r="S103" i="3"/>
  <c r="T103" i="3" s="1"/>
  <c r="Q84" i="3"/>
  <c r="K88" i="3"/>
  <c r="K91" i="3"/>
  <c r="H84" i="3"/>
  <c r="O103" i="3"/>
  <c r="P102" i="3"/>
  <c r="O102" i="3"/>
  <c r="P103" i="3" s="1"/>
  <c r="O101" i="3"/>
  <c r="P100" i="3"/>
  <c r="O100" i="3"/>
  <c r="O99" i="3"/>
  <c r="P98" i="3"/>
  <c r="O98" i="3"/>
  <c r="P99" i="3" s="1"/>
  <c r="O97" i="3"/>
  <c r="P96" i="3"/>
  <c r="O96" i="3"/>
  <c r="O95" i="3"/>
  <c r="P94" i="3"/>
  <c r="O94" i="3"/>
  <c r="P95" i="3" s="1"/>
  <c r="O93" i="3"/>
  <c r="O92" i="3"/>
  <c r="O91" i="3"/>
  <c r="O90" i="3"/>
  <c r="O89" i="3"/>
  <c r="P90" i="3" s="1"/>
  <c r="O88" i="3"/>
  <c r="P89" i="3" s="1"/>
  <c r="O87" i="3"/>
  <c r="O86" i="3"/>
  <c r="P87" i="3" s="1"/>
  <c r="H86" i="3"/>
  <c r="P85" i="3"/>
  <c r="O85" i="3"/>
  <c r="P86" i="3" s="1"/>
  <c r="O84" i="3"/>
  <c r="K83" i="3"/>
  <c r="S30" i="5"/>
  <c r="AB2" i="5"/>
  <c r="AB1" i="5"/>
  <c r="K56" i="3"/>
  <c r="Q4" i="5"/>
  <c r="T4" i="5" s="1"/>
  <c r="Z4" i="5" s="1"/>
  <c r="R4" i="5"/>
  <c r="P5" i="5" s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O8" i="4" s="1"/>
  <c r="J46" i="3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3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39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40" i="4"/>
  <c r="E39" i="4"/>
  <c r="M45" i="1"/>
  <c r="H3" i="1"/>
  <c r="I3" i="1"/>
  <c r="K3" i="1"/>
  <c r="K2" i="1"/>
  <c r="I2" i="1"/>
  <c r="H2" i="1"/>
  <c r="K84" i="3" l="1"/>
  <c r="H87" i="3"/>
  <c r="K87" i="3" s="1"/>
  <c r="U4" i="5"/>
  <c r="AA4" i="5" s="1"/>
  <c r="Q5" i="5"/>
  <c r="R5" i="5" s="1"/>
  <c r="K89" i="3"/>
  <c r="K90" i="3"/>
  <c r="K86" i="3"/>
  <c r="K85" i="3"/>
  <c r="K92" i="3"/>
  <c r="K93" i="3"/>
  <c r="P88" i="3"/>
  <c r="P93" i="3"/>
  <c r="P97" i="3"/>
  <c r="P101" i="3"/>
  <c r="P92" i="3"/>
  <c r="P91" i="3"/>
  <c r="O18" i="4"/>
  <c r="O90" i="4"/>
  <c r="O79" i="4"/>
  <c r="O43" i="4"/>
  <c r="U3" i="4"/>
  <c r="O7" i="4"/>
  <c r="O91" i="4"/>
  <c r="O19" i="4"/>
  <c r="O78" i="4"/>
  <c r="O6" i="4"/>
  <c r="O67" i="4"/>
  <c r="O66" i="4"/>
  <c r="O55" i="4"/>
  <c r="O54" i="4"/>
  <c r="O42" i="4"/>
  <c r="O3" i="4"/>
  <c r="O31" i="4"/>
  <c r="O102" i="4"/>
  <c r="P40" i="4" s="1"/>
  <c r="O30" i="4"/>
  <c r="O101" i="4"/>
  <c r="O89" i="4"/>
  <c r="O77" i="4"/>
  <c r="O65" i="4"/>
  <c r="O53" i="4"/>
  <c r="O41" i="4"/>
  <c r="O29" i="4"/>
  <c r="O17" i="4"/>
  <c r="O5" i="4"/>
  <c r="O100" i="4"/>
  <c r="O88" i="4"/>
  <c r="O76" i="4"/>
  <c r="O64" i="4"/>
  <c r="O52" i="4"/>
  <c r="O40" i="4"/>
  <c r="O28" i="4"/>
  <c r="O16" i="4"/>
  <c r="O4" i="4"/>
  <c r="O99" i="4"/>
  <c r="O87" i="4"/>
  <c r="O75" i="4"/>
  <c r="O63" i="4"/>
  <c r="O51" i="4"/>
  <c r="O39" i="4"/>
  <c r="O27" i="4"/>
  <c r="O15" i="4"/>
  <c r="O98" i="4"/>
  <c r="O86" i="4"/>
  <c r="O74" i="4"/>
  <c r="O62" i="4"/>
  <c r="O50" i="4"/>
  <c r="O38" i="4"/>
  <c r="O26" i="4"/>
  <c r="O14" i="4"/>
  <c r="O97" i="4"/>
  <c r="O85" i="4"/>
  <c r="O73" i="4"/>
  <c r="O61" i="4"/>
  <c r="O49" i="4"/>
  <c r="O37" i="4"/>
  <c r="O25" i="4"/>
  <c r="O13" i="4"/>
  <c r="O96" i="4"/>
  <c r="O84" i="4"/>
  <c r="O72" i="4"/>
  <c r="O60" i="4"/>
  <c r="O48" i="4"/>
  <c r="O36" i="4"/>
  <c r="O24" i="4"/>
  <c r="O12" i="4"/>
  <c r="O95" i="4"/>
  <c r="O83" i="4"/>
  <c r="O71" i="4"/>
  <c r="O59" i="4"/>
  <c r="O47" i="4"/>
  <c r="O35" i="4"/>
  <c r="O23" i="4"/>
  <c r="O11" i="4"/>
  <c r="O94" i="4"/>
  <c r="O82" i="4"/>
  <c r="O70" i="4"/>
  <c r="O58" i="4"/>
  <c r="O46" i="4"/>
  <c r="O34" i="4"/>
  <c r="O22" i="4"/>
  <c r="O10" i="4"/>
  <c r="O93" i="4"/>
  <c r="O81" i="4"/>
  <c r="O69" i="4"/>
  <c r="O57" i="4"/>
  <c r="O45" i="4"/>
  <c r="O33" i="4"/>
  <c r="O21" i="4"/>
  <c r="O9" i="4"/>
  <c r="O92" i="4"/>
  <c r="O80" i="4"/>
  <c r="O68" i="4"/>
  <c r="O56" i="4"/>
  <c r="O44" i="4"/>
  <c r="O32" i="4"/>
  <c r="O20" i="4"/>
  <c r="P57" i="4" l="1"/>
  <c r="V4" i="5"/>
  <c r="P92" i="4"/>
  <c r="T5" i="5"/>
  <c r="Z5" i="5" s="1"/>
  <c r="Z3" i="5" s="1"/>
  <c r="P45" i="4"/>
  <c r="P10" i="4"/>
  <c r="P27" i="4"/>
  <c r="P39" i="4"/>
  <c r="P64" i="4"/>
  <c r="P17" i="4"/>
  <c r="P6" i="4"/>
  <c r="P19" i="4"/>
  <c r="P69" i="4"/>
  <c r="P52" i="4"/>
  <c r="P29" i="4"/>
  <c r="P18" i="4"/>
  <c r="P62" i="4"/>
  <c r="P66" i="4"/>
  <c r="P51" i="4"/>
  <c r="P99" i="4"/>
  <c r="P65" i="4"/>
  <c r="P74" i="4"/>
  <c r="P5" i="4"/>
  <c r="P76" i="4"/>
  <c r="P98" i="4"/>
  <c r="P53" i="4"/>
  <c r="P24" i="4"/>
  <c r="P36" i="4"/>
  <c r="P7" i="4"/>
  <c r="P86" i="4"/>
  <c r="P97" i="4"/>
  <c r="P88" i="4"/>
  <c r="P33" i="4"/>
  <c r="P77" i="4"/>
  <c r="P78" i="4"/>
  <c r="P31" i="4"/>
  <c r="P25" i="4"/>
  <c r="P90" i="4"/>
  <c r="P48" i="4"/>
  <c r="P37" i="4"/>
  <c r="P84" i="4"/>
  <c r="P60" i="4"/>
  <c r="P13" i="4"/>
  <c r="P14" i="4"/>
  <c r="P38" i="4"/>
  <c r="P72" i="4"/>
  <c r="P49" i="4"/>
  <c r="P96" i="4"/>
  <c r="P61" i="4"/>
  <c r="P73" i="4"/>
  <c r="P85" i="4"/>
  <c r="P50" i="4"/>
  <c r="P6" i="5"/>
  <c r="U5" i="5"/>
  <c r="P102" i="4"/>
  <c r="Q28" i="4" s="1"/>
  <c r="P26" i="4"/>
  <c r="P43" i="4"/>
  <c r="P55" i="4"/>
  <c r="P12" i="4"/>
  <c r="P11" i="4"/>
  <c r="P23" i="4"/>
  <c r="P35" i="4"/>
  <c r="P47" i="4"/>
  <c r="P59" i="4"/>
  <c r="P71" i="4"/>
  <c r="P83" i="4"/>
  <c r="P95" i="4"/>
  <c r="P81" i="4"/>
  <c r="P22" i="4"/>
  <c r="P15" i="4"/>
  <c r="P100" i="4"/>
  <c r="P41" i="4"/>
  <c r="P67" i="4"/>
  <c r="P8" i="4"/>
  <c r="P93" i="4"/>
  <c r="P34" i="4"/>
  <c r="P79" i="4"/>
  <c r="P20" i="4"/>
  <c r="P46" i="4"/>
  <c r="P91" i="4"/>
  <c r="P32" i="4"/>
  <c r="P58" i="4"/>
  <c r="P3" i="4"/>
  <c r="P44" i="4"/>
  <c r="P70" i="4"/>
  <c r="P63" i="4"/>
  <c r="P4" i="4"/>
  <c r="P89" i="4"/>
  <c r="P30" i="4"/>
  <c r="P56" i="4"/>
  <c r="P82" i="4"/>
  <c r="P75" i="4"/>
  <c r="P16" i="4"/>
  <c r="P101" i="4"/>
  <c r="P42" i="4"/>
  <c r="P68" i="4"/>
  <c r="P9" i="4"/>
  <c r="P94" i="4"/>
  <c r="P87" i="4"/>
  <c r="P28" i="4"/>
  <c r="P54" i="4"/>
  <c r="P80" i="4"/>
  <c r="P21" i="4"/>
  <c r="Q4" i="4"/>
  <c r="Q29" i="4"/>
  <c r="Q41" i="4"/>
  <c r="Q54" i="4"/>
  <c r="Q66" i="4"/>
  <c r="Q25" i="4"/>
  <c r="Q37" i="4"/>
  <c r="Q49" i="4"/>
  <c r="Q62" i="4"/>
  <c r="Q74" i="4"/>
  <c r="C3" i="4"/>
  <c r="E6" i="1" a="1"/>
  <c r="E12" i="1" a="1"/>
  <c r="E44" i="1" a="1"/>
  <c r="E38" i="1" a="1"/>
  <c r="E14" i="1" a="1"/>
  <c r="E34" i="1" a="1"/>
  <c r="E28" i="1" a="1"/>
  <c r="E42" i="1" a="1"/>
  <c r="E16" i="1" a="1"/>
  <c r="E26" i="1" a="1"/>
  <c r="E30" i="1" a="1"/>
  <c r="E40" i="1" a="1"/>
  <c r="E10" i="1" a="1"/>
  <c r="E22" i="1" a="1"/>
  <c r="E8" i="1" a="1"/>
  <c r="E36" i="1" a="1"/>
  <c r="E20" i="1" a="1"/>
  <c r="E32" i="1" a="1"/>
  <c r="E24" i="1" a="1"/>
  <c r="Q12" i="4" l="1"/>
  <c r="Q39" i="4"/>
  <c r="Q95" i="4"/>
  <c r="Q82" i="4"/>
  <c r="Q58" i="4"/>
  <c r="Q79" i="4"/>
  <c r="Q33" i="4"/>
  <c r="Q91" i="4"/>
  <c r="AC4" i="5"/>
  <c r="Q86" i="4"/>
  <c r="Q21" i="4"/>
  <c r="Q70" i="4"/>
  <c r="Q45" i="4"/>
  <c r="Q3" i="4"/>
  <c r="Q78" i="4"/>
  <c r="Q53" i="4"/>
  <c r="Q16" i="4"/>
  <c r="Q13" i="4"/>
  <c r="Q17" i="4"/>
  <c r="Q87" i="4"/>
  <c r="Q6" i="5"/>
  <c r="R6" i="5" s="1"/>
  <c r="V5" i="5"/>
  <c r="AA5" i="5"/>
  <c r="Q92" i="4"/>
  <c r="Q59" i="4"/>
  <c r="Q22" i="4"/>
  <c r="Q80" i="4"/>
  <c r="Q43" i="4"/>
  <c r="Q18" i="4"/>
  <c r="Q100" i="4"/>
  <c r="Q50" i="4"/>
  <c r="Q67" i="4"/>
  <c r="Q38" i="4"/>
  <c r="Q55" i="4"/>
  <c r="Q10" i="4"/>
  <c r="Q31" i="4"/>
  <c r="Q6" i="4"/>
  <c r="Q88" i="4"/>
  <c r="Q42" i="4"/>
  <c r="Q71" i="4"/>
  <c r="Q96" i="4"/>
  <c r="Q47" i="4"/>
  <c r="Q63" i="4"/>
  <c r="Q27" i="4"/>
  <c r="Q76" i="4"/>
  <c r="Q97" i="4"/>
  <c r="Q44" i="4"/>
  <c r="Q7" i="4"/>
  <c r="Q101" i="4"/>
  <c r="Q64" i="4"/>
  <c r="Q46" i="4"/>
  <c r="Q34" i="4"/>
  <c r="Q26" i="4"/>
  <c r="Q84" i="4"/>
  <c r="Q35" i="4"/>
  <c r="Q85" i="4"/>
  <c r="Q99" i="4"/>
  <c r="Q52" i="4"/>
  <c r="Q9" i="4"/>
  <c r="Q5" i="4"/>
  <c r="Q14" i="4"/>
  <c r="Q75" i="4"/>
  <c r="Q56" i="4"/>
  <c r="Q60" i="4"/>
  <c r="Q23" i="4"/>
  <c r="Q11" i="4"/>
  <c r="Q81" i="4"/>
  <c r="Q89" i="4"/>
  <c r="Q51" i="4"/>
  <c r="Q73" i="4"/>
  <c r="Q36" i="4"/>
  <c r="Q15" i="4"/>
  <c r="Q69" i="4"/>
  <c r="Q20" i="4"/>
  <c r="Q102" i="4"/>
  <c r="Q77" i="4"/>
  <c r="Q40" i="4"/>
  <c r="Q83" i="4"/>
  <c r="Q30" i="4"/>
  <c r="Q68" i="4"/>
  <c r="Q72" i="4"/>
  <c r="Q19" i="4"/>
  <c r="Q93" i="4"/>
  <c r="Q48" i="4"/>
  <c r="Q32" i="4"/>
  <c r="Q98" i="4"/>
  <c r="Q61" i="4"/>
  <c r="Q24" i="4"/>
  <c r="Q94" i="4"/>
  <c r="Q57" i="4"/>
  <c r="Q8" i="4"/>
  <c r="Q90" i="4"/>
  <c r="Q65" i="4"/>
  <c r="E20" i="1"/>
  <c r="E30" i="1"/>
  <c r="E16" i="1"/>
  <c r="E14" i="1"/>
  <c r="E44" i="1"/>
  <c r="E40" i="1"/>
  <c r="E28" i="1"/>
  <c r="E42" i="1"/>
  <c r="E12" i="1"/>
  <c r="E38" i="1"/>
  <c r="E26" i="1"/>
  <c r="E10" i="1"/>
  <c r="E36" i="1"/>
  <c r="E24" i="1"/>
  <c r="E8" i="1"/>
  <c r="E34" i="1"/>
  <c r="E22" i="1"/>
  <c r="E32" i="1"/>
  <c r="E6" i="1"/>
  <c r="H45" i="1"/>
  <c r="I45" i="1"/>
  <c r="AC5" i="5" l="1"/>
  <c r="P7" i="5"/>
  <c r="U6" i="5"/>
  <c r="T6" i="5"/>
  <c r="Z6" i="5" s="1"/>
  <c r="J45" i="1"/>
  <c r="H46" i="3"/>
  <c r="O76" i="3"/>
  <c r="O75" i="3"/>
  <c r="O74" i="3"/>
  <c r="O73" i="3"/>
  <c r="O72" i="3"/>
  <c r="O71" i="3"/>
  <c r="O70" i="3"/>
  <c r="P71" i="3" s="1"/>
  <c r="O69" i="3"/>
  <c r="O68" i="3"/>
  <c r="O67" i="3"/>
  <c r="O66" i="3"/>
  <c r="O65" i="3"/>
  <c r="O64" i="3"/>
  <c r="O63" i="3"/>
  <c r="O62" i="3"/>
  <c r="O61" i="3"/>
  <c r="O60" i="3"/>
  <c r="O59" i="3"/>
  <c r="P60" i="3" s="1"/>
  <c r="O58" i="3"/>
  <c r="O57" i="3"/>
  <c r="Q57" i="3" s="1"/>
  <c r="R57" i="3" s="1"/>
  <c r="T57" i="3" s="1"/>
  <c r="G60" i="3"/>
  <c r="G62" i="3"/>
  <c r="G63" i="3"/>
  <c r="G64" i="3"/>
  <c r="G65" i="3"/>
  <c r="G66" i="3"/>
  <c r="G58" i="3"/>
  <c r="Z46" i="3"/>
  <c r="Z47" i="3" s="1"/>
  <c r="Z48" i="3" s="1"/>
  <c r="Y46" i="3"/>
  <c r="Y47" i="3" s="1"/>
  <c r="Y48" i="3" s="1"/>
  <c r="AF42" i="3"/>
  <c r="AF41" i="3"/>
  <c r="AC35" i="3"/>
  <c r="AD35" i="3" s="1"/>
  <c r="AC34" i="3"/>
  <c r="AD34" i="3" s="1"/>
  <c r="AD33" i="3"/>
  <c r="AC33" i="3"/>
  <c r="T17" i="3"/>
  <c r="S17" i="3"/>
  <c r="R17" i="3"/>
  <c r="Q17" i="3"/>
  <c r="P17" i="3"/>
  <c r="I14" i="3"/>
  <c r="T13" i="3"/>
  <c r="S13" i="3"/>
  <c r="R13" i="3"/>
  <c r="Q13" i="3"/>
  <c r="P13" i="3"/>
  <c r="T7" i="3"/>
  <c r="T8" i="3" s="1"/>
  <c r="S7" i="3"/>
  <c r="S8" i="3" s="1"/>
  <c r="R7" i="3"/>
  <c r="R8" i="3" s="1"/>
  <c r="Q7" i="3"/>
  <c r="Q8" i="3" s="1"/>
  <c r="P7" i="3"/>
  <c r="P8" i="3" s="1"/>
  <c r="I74" i="3"/>
  <c r="I73" i="3"/>
  <c r="I72" i="3"/>
  <c r="T3" i="3"/>
  <c r="T4" i="3" s="1"/>
  <c r="S3" i="3"/>
  <c r="S4" i="3" s="1"/>
  <c r="R3" i="3"/>
  <c r="R4" i="3" s="1"/>
  <c r="Q3" i="3"/>
  <c r="Q4" i="3" s="1"/>
  <c r="P3" i="3"/>
  <c r="P4" i="3" s="1"/>
  <c r="V6" i="5" l="1"/>
  <c r="AA6" i="5"/>
  <c r="Q7" i="5"/>
  <c r="R7" i="5" s="1"/>
  <c r="T7" i="5"/>
  <c r="Z7" i="5" s="1"/>
  <c r="Q71" i="3"/>
  <c r="R71" i="3" s="1"/>
  <c r="T71" i="3" s="1"/>
  <c r="R14" i="3"/>
  <c r="Q60" i="3"/>
  <c r="R60" i="3" s="1"/>
  <c r="T60" i="3" s="1"/>
  <c r="P70" i="3"/>
  <c r="Q70" i="3" s="1"/>
  <c r="R70" i="3" s="1"/>
  <c r="T70" i="3" s="1"/>
  <c r="P76" i="3"/>
  <c r="Q76" i="3" s="1"/>
  <c r="R76" i="3" s="1"/>
  <c r="T76" i="3" s="1"/>
  <c r="P75" i="3"/>
  <c r="Q75" i="3" s="1"/>
  <c r="R75" i="3" s="1"/>
  <c r="T75" i="3" s="1"/>
  <c r="P72" i="3"/>
  <c r="Q72" i="3" s="1"/>
  <c r="R72" i="3" s="1"/>
  <c r="T72" i="3" s="1"/>
  <c r="H58" i="3"/>
  <c r="H60" i="3"/>
  <c r="P64" i="3"/>
  <c r="Q64" i="3" s="1"/>
  <c r="R64" i="3" s="1"/>
  <c r="T64" i="3" s="1"/>
  <c r="P63" i="3"/>
  <c r="Q63" i="3" s="1"/>
  <c r="R63" i="3" s="1"/>
  <c r="T63" i="3" s="1"/>
  <c r="P74" i="3"/>
  <c r="Q74" i="3" s="1"/>
  <c r="R74" i="3" s="1"/>
  <c r="T74" i="3" s="1"/>
  <c r="P62" i="3"/>
  <c r="Q62" i="3" s="1"/>
  <c r="R62" i="3" s="1"/>
  <c r="T62" i="3" s="1"/>
  <c r="P73" i="3"/>
  <c r="Q73" i="3" s="1"/>
  <c r="R73" i="3" s="1"/>
  <c r="T73" i="3" s="1"/>
  <c r="P61" i="3"/>
  <c r="Q61" i="3" s="1"/>
  <c r="R61" i="3" s="1"/>
  <c r="T61" i="3" s="1"/>
  <c r="P59" i="3"/>
  <c r="Q59" i="3" s="1"/>
  <c r="R59" i="3" s="1"/>
  <c r="T59" i="3" s="1"/>
  <c r="H66" i="3"/>
  <c r="H65" i="3"/>
  <c r="R18" i="3"/>
  <c r="P69" i="3"/>
  <c r="Q69" i="3" s="1"/>
  <c r="R69" i="3" s="1"/>
  <c r="T69" i="3" s="1"/>
  <c r="H64" i="3"/>
  <c r="I64" i="3" s="1"/>
  <c r="P68" i="3"/>
  <c r="Q68" i="3" s="1"/>
  <c r="R68" i="3" s="1"/>
  <c r="T68" i="3" s="1"/>
  <c r="H63" i="3"/>
  <c r="I63" i="3" s="1"/>
  <c r="G61" i="3"/>
  <c r="H61" i="3" s="1"/>
  <c r="P67" i="3"/>
  <c r="Q67" i="3" s="1"/>
  <c r="R67" i="3" s="1"/>
  <c r="T67" i="3" s="1"/>
  <c r="H62" i="3"/>
  <c r="P66" i="3"/>
  <c r="Q66" i="3" s="1"/>
  <c r="R66" i="3" s="1"/>
  <c r="T66" i="3" s="1"/>
  <c r="P58" i="3"/>
  <c r="Q58" i="3" s="1"/>
  <c r="R58" i="3" s="1"/>
  <c r="T58" i="3" s="1"/>
  <c r="P65" i="3"/>
  <c r="Q65" i="3" s="1"/>
  <c r="R65" i="3" s="1"/>
  <c r="T65" i="3" s="1"/>
  <c r="I75" i="3"/>
  <c r="G59" i="3"/>
  <c r="H59" i="3" s="1"/>
  <c r="I59" i="3" s="1"/>
  <c r="H57" i="3"/>
  <c r="P18" i="3"/>
  <c r="Q18" i="3"/>
  <c r="S18" i="3"/>
  <c r="T14" i="3"/>
  <c r="P14" i="3"/>
  <c r="T18" i="3"/>
  <c r="Q14" i="3"/>
  <c r="S14" i="3"/>
  <c r="E15" i="1" a="1"/>
  <c r="E43" i="1" a="1"/>
  <c r="E21" i="1" a="1"/>
  <c r="E31" i="1" a="1"/>
  <c r="E29" i="1" a="1"/>
  <c r="E9" i="1" a="1"/>
  <c r="E13" i="1" a="1"/>
  <c r="E17" i="1" a="1"/>
  <c r="E23" i="1" a="1"/>
  <c r="E41" i="1" a="1"/>
  <c r="E33" i="1" a="1"/>
  <c r="E5" i="1" a="1"/>
  <c r="E7" i="1" a="1"/>
  <c r="E35" i="1" a="1"/>
  <c r="E39" i="1" a="1"/>
  <c r="E11" i="1" a="1"/>
  <c r="E19" i="1" a="1"/>
  <c r="E25" i="1" a="1"/>
  <c r="E18" i="1" a="1"/>
  <c r="E27" i="1" a="1"/>
  <c r="E37" i="1" a="1"/>
  <c r="AC6" i="5" l="1"/>
  <c r="P8" i="5"/>
  <c r="U7" i="5"/>
  <c r="J59" i="3"/>
  <c r="K59" i="3" s="1"/>
  <c r="J64" i="3"/>
  <c r="K64" i="3" s="1"/>
  <c r="J63" i="3"/>
  <c r="K63" i="3" s="1"/>
  <c r="I61" i="3"/>
  <c r="I62" i="3"/>
  <c r="I58" i="3"/>
  <c r="I66" i="3"/>
  <c r="I57" i="3"/>
  <c r="I65" i="3"/>
  <c r="I60" i="3"/>
  <c r="E23" i="1"/>
  <c r="E43" i="1"/>
  <c r="E19" i="1"/>
  <c r="E39" i="1"/>
  <c r="E15" i="1"/>
  <c r="E35" i="1"/>
  <c r="E11" i="1"/>
  <c r="E27" i="1"/>
  <c r="E31" i="1"/>
  <c r="E7" i="1"/>
  <c r="E18" i="1"/>
  <c r="E25" i="1"/>
  <c r="E33" i="1"/>
  <c r="E41" i="1"/>
  <c r="E17" i="1"/>
  <c r="F17" i="1" s="1"/>
  <c r="E37" i="1"/>
  <c r="E29" i="1"/>
  <c r="E21" i="1"/>
  <c r="E13" i="1"/>
  <c r="E9" i="1"/>
  <c r="E5" i="1"/>
  <c r="V7" i="5" l="1"/>
  <c r="AA7" i="5"/>
  <c r="Q8" i="5"/>
  <c r="R8" i="5" s="1"/>
  <c r="J57" i="3"/>
  <c r="K57" i="3" s="1"/>
  <c r="J65" i="3"/>
  <c r="K65" i="3" s="1"/>
  <c r="J58" i="3"/>
  <c r="K58" i="3" s="1"/>
  <c r="J62" i="3"/>
  <c r="K62" i="3" s="1"/>
  <c r="J61" i="3"/>
  <c r="K61" i="3" s="1"/>
  <c r="J66" i="3"/>
  <c r="K66" i="3" s="1"/>
  <c r="J60" i="3"/>
  <c r="K60" i="3" s="1"/>
  <c r="F18" i="1"/>
  <c r="H18" i="1" s="1"/>
  <c r="F24" i="1"/>
  <c r="F23" i="1"/>
  <c r="F12" i="1"/>
  <c r="F11" i="1"/>
  <c r="F16" i="1"/>
  <c r="F15" i="1"/>
  <c r="F40" i="1"/>
  <c r="F39" i="1"/>
  <c r="F32" i="1"/>
  <c r="F31" i="1"/>
  <c r="F28" i="1"/>
  <c r="F27" i="1"/>
  <c r="F14" i="1"/>
  <c r="F13" i="1"/>
  <c r="H13" i="1" s="1"/>
  <c r="F22" i="1"/>
  <c r="F21" i="1"/>
  <c r="F20" i="1"/>
  <c r="F19" i="1"/>
  <c r="F34" i="1"/>
  <c r="F33" i="1"/>
  <c r="F26" i="1"/>
  <c r="F25" i="1"/>
  <c r="F8" i="1"/>
  <c r="F7" i="1"/>
  <c r="F5" i="1"/>
  <c r="F6" i="1"/>
  <c r="F10" i="1"/>
  <c r="F9" i="1"/>
  <c r="F36" i="1"/>
  <c r="F35" i="1"/>
  <c r="F30" i="1"/>
  <c r="F29" i="1"/>
  <c r="F38" i="1"/>
  <c r="F37" i="1"/>
  <c r="F42" i="1"/>
  <c r="F41" i="1"/>
  <c r="F44" i="1"/>
  <c r="F43" i="1"/>
  <c r="H17" i="1"/>
  <c r="T8" i="5" l="1"/>
  <c r="Z8" i="5" s="1"/>
  <c r="AC7" i="5"/>
  <c r="P9" i="5"/>
  <c r="U8" i="5"/>
  <c r="H42" i="1"/>
  <c r="J42" i="1" s="1"/>
  <c r="H9" i="1"/>
  <c r="J9" i="1" s="1"/>
  <c r="H21" i="1"/>
  <c r="M21" i="1" s="1"/>
  <c r="H11" i="1"/>
  <c r="M11" i="1" s="1"/>
  <c r="H23" i="1"/>
  <c r="M23" i="1" s="1"/>
  <c r="H43" i="1"/>
  <c r="J43" i="1" s="1"/>
  <c r="H44" i="1"/>
  <c r="M44" i="1" s="1"/>
  <c r="M17" i="1"/>
  <c r="M18" i="1"/>
  <c r="M13" i="1"/>
  <c r="H28" i="1"/>
  <c r="H32" i="1"/>
  <c r="H39" i="1"/>
  <c r="H40" i="1"/>
  <c r="H31" i="1"/>
  <c r="J31" i="1" s="1"/>
  <c r="H8" i="1"/>
  <c r="H29" i="1"/>
  <c r="H34" i="1"/>
  <c r="H15" i="1"/>
  <c r="H36" i="1"/>
  <c r="H20" i="1"/>
  <c r="H16" i="1"/>
  <c r="H37" i="1"/>
  <c r="H33" i="1"/>
  <c r="H25" i="1"/>
  <c r="H38" i="1"/>
  <c r="H30" i="1"/>
  <c r="H35" i="1"/>
  <c r="H19" i="1"/>
  <c r="H12" i="1"/>
  <c r="H22" i="1"/>
  <c r="H5" i="1"/>
  <c r="H14" i="1"/>
  <c r="H24" i="1"/>
  <c r="H26" i="1"/>
  <c r="H10" i="1"/>
  <c r="H6" i="1"/>
  <c r="H41" i="1"/>
  <c r="H7" i="1"/>
  <c r="H27" i="1"/>
  <c r="C16" i="4"/>
  <c r="C12" i="4"/>
  <c r="C17" i="4"/>
  <c r="J18" i="1"/>
  <c r="J17" i="1"/>
  <c r="J13" i="1"/>
  <c r="V8" i="5" l="1"/>
  <c r="AA8" i="5"/>
  <c r="Q9" i="5"/>
  <c r="R9" i="5" s="1"/>
  <c r="T9" i="5"/>
  <c r="Z9" i="5" s="1"/>
  <c r="M9" i="1"/>
  <c r="C8" i="4"/>
  <c r="C20" i="4"/>
  <c r="J21" i="1"/>
  <c r="M42" i="1"/>
  <c r="C10" i="4"/>
  <c r="C30" i="4"/>
  <c r="J44" i="1"/>
  <c r="J23" i="1"/>
  <c r="C22" i="4"/>
  <c r="J11" i="1"/>
  <c r="M43" i="1"/>
  <c r="J10" i="1"/>
  <c r="J28" i="1"/>
  <c r="C31" i="4"/>
  <c r="J40" i="1"/>
  <c r="J32" i="1"/>
  <c r="C27" i="4"/>
  <c r="M41" i="1"/>
  <c r="M32" i="1"/>
  <c r="M25" i="1"/>
  <c r="M26" i="1"/>
  <c r="M37" i="1"/>
  <c r="M28" i="1"/>
  <c r="M39" i="1"/>
  <c r="M24" i="1"/>
  <c r="M16" i="1"/>
  <c r="M14" i="1"/>
  <c r="M20" i="1"/>
  <c r="M38" i="1"/>
  <c r="M6" i="1"/>
  <c r="J25" i="1"/>
  <c r="J41" i="1"/>
  <c r="M36" i="1"/>
  <c r="M33" i="1"/>
  <c r="C24" i="4"/>
  <c r="M22" i="1"/>
  <c r="M15" i="1"/>
  <c r="J39" i="1"/>
  <c r="M12" i="1"/>
  <c r="M34" i="1"/>
  <c r="M19" i="1"/>
  <c r="M29" i="1"/>
  <c r="M27" i="1"/>
  <c r="M35" i="1"/>
  <c r="M8" i="1"/>
  <c r="M40" i="1"/>
  <c r="M10" i="1"/>
  <c r="C32" i="4"/>
  <c r="M7" i="1"/>
  <c r="M30" i="1"/>
  <c r="M31" i="1"/>
  <c r="J24" i="1"/>
  <c r="J16" i="1"/>
  <c r="J36" i="1"/>
  <c r="C14" i="4"/>
  <c r="C4" i="4"/>
  <c r="J12" i="1"/>
  <c r="J34" i="1"/>
  <c r="J19" i="1"/>
  <c r="C26" i="4"/>
  <c r="J35" i="1"/>
  <c r="C7" i="4"/>
  <c r="C6" i="4"/>
  <c r="J30" i="1"/>
  <c r="C13" i="4"/>
  <c r="J20" i="1"/>
  <c r="J22" i="1"/>
  <c r="J6" i="1"/>
  <c r="C9" i="4"/>
  <c r="J33" i="1"/>
  <c r="J29" i="1"/>
  <c r="J38" i="1"/>
  <c r="J26" i="1"/>
  <c r="J37" i="1"/>
  <c r="C5" i="4"/>
  <c r="C29" i="4"/>
  <c r="C28" i="4"/>
  <c r="C11" i="4"/>
  <c r="J15" i="1"/>
  <c r="J27" i="1"/>
  <c r="J7" i="1"/>
  <c r="J14" i="1"/>
  <c r="J5" i="1"/>
  <c r="C21" i="4"/>
  <c r="C15" i="4"/>
  <c r="C23" i="4"/>
  <c r="C19" i="4"/>
  <c r="C25" i="4"/>
  <c r="C18" i="4"/>
  <c r="J8" i="1"/>
  <c r="AC8" i="5" l="1"/>
  <c r="P10" i="5"/>
  <c r="U9" i="5"/>
  <c r="V9" i="5" l="1"/>
  <c r="AA9" i="5"/>
  <c r="Q10" i="5"/>
  <c r="R10" i="5" s="1"/>
  <c r="T10" i="5" l="1"/>
  <c r="Z10" i="5" s="1"/>
  <c r="AC9" i="5"/>
  <c r="P11" i="5"/>
  <c r="U10" i="5"/>
  <c r="AA10" i="5" l="1"/>
  <c r="V10" i="5"/>
  <c r="Q11" i="5"/>
  <c r="R11" i="5" s="1"/>
  <c r="AC10" i="5" l="1"/>
  <c r="P12" i="5"/>
  <c r="U11" i="5"/>
  <c r="T11" i="5"/>
  <c r="Z11" i="5" s="1"/>
  <c r="AA11" i="5" l="1"/>
  <c r="V11" i="5"/>
  <c r="Q12" i="5"/>
  <c r="R12" i="5" s="1"/>
  <c r="AC11" i="5" l="1"/>
  <c r="P13" i="5"/>
  <c r="U12" i="5"/>
  <c r="T12" i="5"/>
  <c r="Z12" i="5" s="1"/>
  <c r="AA12" i="5" l="1"/>
  <c r="V12" i="5"/>
  <c r="Q13" i="5"/>
  <c r="R13" i="5" s="1"/>
  <c r="AC12" i="5" l="1"/>
  <c r="P14" i="5"/>
  <c r="U13" i="5"/>
  <c r="T13" i="5"/>
  <c r="Z13" i="5" s="1"/>
  <c r="AA13" i="5" l="1"/>
  <c r="V13" i="5"/>
  <c r="Q14" i="5"/>
  <c r="R14" i="5" s="1"/>
  <c r="AC13" i="5" l="1"/>
  <c r="T14" i="5"/>
  <c r="Z14" i="5" s="1"/>
  <c r="P15" i="5"/>
  <c r="U14" i="5"/>
  <c r="AA14" i="5" l="1"/>
  <c r="V14" i="5"/>
  <c r="Q15" i="5"/>
  <c r="R15" i="5" s="1"/>
  <c r="AC14" i="5" l="1"/>
  <c r="P16" i="5"/>
  <c r="U15" i="5"/>
  <c r="T15" i="5"/>
  <c r="Z15" i="5" s="1"/>
  <c r="V15" i="5" l="1"/>
  <c r="AA15" i="5"/>
  <c r="Q16" i="5"/>
  <c r="R16" i="5" s="1"/>
  <c r="AC15" i="5" l="1"/>
  <c r="P17" i="5"/>
  <c r="U16" i="5"/>
  <c r="T16" i="5"/>
  <c r="Z16" i="5" s="1"/>
  <c r="V16" i="5" l="1"/>
  <c r="AA16" i="5"/>
  <c r="Q17" i="5"/>
  <c r="R17" i="5" s="1"/>
  <c r="AC16" i="5" l="1"/>
  <c r="T17" i="5"/>
  <c r="Z17" i="5" s="1"/>
  <c r="P18" i="5"/>
  <c r="U17" i="5"/>
  <c r="V17" i="5" l="1"/>
  <c r="AA17" i="5"/>
  <c r="Q18" i="5"/>
  <c r="R18" i="5" s="1"/>
  <c r="AC17" i="5" l="1"/>
  <c r="P19" i="5"/>
  <c r="U18" i="5"/>
  <c r="T18" i="5"/>
  <c r="Z18" i="5" s="1"/>
  <c r="V18" i="5" l="1"/>
  <c r="AA18" i="5"/>
  <c r="Q19" i="5"/>
  <c r="R19" i="5" s="1"/>
  <c r="AC18" i="5" l="1"/>
  <c r="T19" i="5"/>
  <c r="Z19" i="5" s="1"/>
  <c r="P20" i="5"/>
  <c r="U19" i="5"/>
  <c r="V19" i="5" l="1"/>
  <c r="AA19" i="5"/>
  <c r="Q20" i="5"/>
  <c r="R20" i="5" s="1"/>
  <c r="AC19" i="5" l="1"/>
  <c r="T20" i="5"/>
  <c r="Z20" i="5" s="1"/>
  <c r="P21" i="5"/>
  <c r="U20" i="5"/>
  <c r="V20" i="5" l="1"/>
  <c r="AA20" i="5"/>
  <c r="Q21" i="5"/>
  <c r="R21" i="5" s="1"/>
  <c r="T21" i="5"/>
  <c r="Z21" i="5" s="1"/>
  <c r="AC20" i="5" l="1"/>
  <c r="P22" i="5"/>
  <c r="U21" i="5"/>
  <c r="AA21" i="5" l="1"/>
  <c r="V21" i="5"/>
  <c r="Q22" i="5"/>
  <c r="R22" i="5" s="1"/>
  <c r="AC21" i="5" l="1"/>
  <c r="T22" i="5"/>
  <c r="Z22" i="5" s="1"/>
  <c r="P23" i="5"/>
  <c r="U22" i="5"/>
  <c r="AA22" i="5" l="1"/>
  <c r="V22" i="5"/>
  <c r="Q23" i="5"/>
  <c r="R23" i="5" s="1"/>
  <c r="P24" i="5" s="1"/>
  <c r="T23" i="5" l="1"/>
  <c r="Z23" i="5" s="1"/>
  <c r="Q24" i="5"/>
  <c r="R24" i="5" s="1"/>
  <c r="AC22" i="5"/>
  <c r="U23" i="5"/>
  <c r="AA23" i="5" s="1"/>
  <c r="V23" i="5" l="1"/>
  <c r="T24" i="5"/>
  <c r="Z24" i="5" s="1"/>
  <c r="AC23" i="5"/>
  <c r="P25" i="5"/>
  <c r="U24" i="5"/>
  <c r="V24" i="5" l="1"/>
  <c r="AA24" i="5"/>
  <c r="Q25" i="5"/>
  <c r="R25" i="5" s="1"/>
  <c r="T25" i="5" l="1"/>
  <c r="Z25" i="5" s="1"/>
  <c r="P26" i="5"/>
  <c r="U25" i="5"/>
  <c r="AC24" i="5"/>
  <c r="V25" i="5" l="1"/>
  <c r="AA25" i="5"/>
  <c r="Q26" i="5"/>
  <c r="R26" i="5" s="1"/>
  <c r="T26" i="5" l="1"/>
  <c r="Z26" i="5" s="1"/>
  <c r="P27" i="5"/>
  <c r="U26" i="5"/>
  <c r="AC25" i="5"/>
  <c r="V26" i="5" l="1"/>
  <c r="AA26" i="5"/>
  <c r="Q27" i="5"/>
  <c r="R27" i="5" s="1"/>
  <c r="T27" i="5"/>
  <c r="Z27" i="5" s="1"/>
  <c r="P28" i="5" l="1"/>
  <c r="U27" i="5"/>
  <c r="AC26" i="5"/>
  <c r="V27" i="5" l="1"/>
  <c r="AA27" i="5"/>
  <c r="Q28" i="5"/>
  <c r="R28" i="5" s="1"/>
  <c r="T28" i="5"/>
  <c r="Z28" i="5" s="1"/>
  <c r="P29" i="5" l="1"/>
  <c r="U28" i="5"/>
  <c r="AC27" i="5"/>
  <c r="AA28" i="5" l="1"/>
  <c r="V28" i="5"/>
  <c r="Q29" i="5"/>
  <c r="R29" i="5" s="1"/>
  <c r="T29" i="5"/>
  <c r="Z29" i="5" s="1"/>
  <c r="AC28" i="5" l="1"/>
  <c r="P30" i="5"/>
  <c r="U29" i="5"/>
  <c r="V29" i="5" l="1"/>
  <c r="AA29" i="5"/>
  <c r="Q30" i="5"/>
  <c r="R30" i="5" s="1"/>
  <c r="T30" i="5"/>
  <c r="Z30" i="5" s="1"/>
  <c r="P31" i="5" l="1"/>
  <c r="U30" i="5"/>
  <c r="AC29" i="5"/>
  <c r="V30" i="5" l="1"/>
  <c r="AA30" i="5"/>
  <c r="Q31" i="5"/>
  <c r="R31" i="5" s="1"/>
  <c r="T31" i="5"/>
  <c r="Z31" i="5" l="1"/>
  <c r="P32" i="5"/>
  <c r="U31" i="5"/>
  <c r="AA31" i="5" s="1"/>
  <c r="AC30" i="5"/>
  <c r="Q32" i="5" l="1"/>
  <c r="R32" i="5" s="1"/>
  <c r="T32" i="5"/>
  <c r="Z32" i="5" s="1"/>
  <c r="V31" i="5"/>
  <c r="AC31" i="5" l="1"/>
  <c r="P33" i="5"/>
  <c r="U32" i="5"/>
  <c r="AA32" i="5" l="1"/>
  <c r="V32" i="5"/>
  <c r="Q33" i="5"/>
  <c r="R33" i="5" s="1"/>
  <c r="T33" i="5"/>
  <c r="Z33" i="5" s="1"/>
  <c r="P34" i="5" l="1"/>
  <c r="U33" i="5"/>
  <c r="AC32" i="5"/>
  <c r="AA33" i="5" l="1"/>
  <c r="V33" i="5"/>
  <c r="Q34" i="5"/>
  <c r="R34" i="5" s="1"/>
  <c r="T34" i="5"/>
  <c r="Z34" i="5" s="1"/>
  <c r="P35" i="5" l="1"/>
  <c r="U34" i="5"/>
  <c r="AC33" i="5"/>
  <c r="V34" i="5" l="1"/>
  <c r="AA34" i="5"/>
  <c r="Q35" i="5"/>
  <c r="R35" i="5" s="1"/>
  <c r="T35" i="5"/>
  <c r="Z35" i="5" s="1"/>
  <c r="P36" i="5" l="1"/>
  <c r="U35" i="5"/>
  <c r="AC34" i="5"/>
  <c r="AA35" i="5" l="1"/>
  <c r="V35" i="5"/>
  <c r="Q36" i="5"/>
  <c r="R36" i="5" s="1"/>
  <c r="T36" i="5" l="1"/>
  <c r="Z36" i="5"/>
  <c r="P37" i="5"/>
  <c r="U36" i="5"/>
  <c r="AC35" i="5"/>
  <c r="V36" i="5" l="1"/>
  <c r="AA36" i="5"/>
  <c r="Q37" i="5"/>
  <c r="R37" i="5" s="1"/>
  <c r="T37" i="5"/>
  <c r="Z37" i="5" l="1"/>
  <c r="P38" i="5"/>
  <c r="U37" i="5"/>
  <c r="AC36" i="5"/>
  <c r="V37" i="5" l="1"/>
  <c r="AA37" i="5"/>
  <c r="Q38" i="5"/>
  <c r="R38" i="5" s="1"/>
  <c r="T38" i="5"/>
  <c r="Z38" i="5" l="1"/>
  <c r="P39" i="5"/>
  <c r="U38" i="5"/>
  <c r="AC37" i="5"/>
  <c r="Q39" i="5" l="1"/>
  <c r="R39" i="5" s="1"/>
  <c r="T39" i="5"/>
  <c r="V38" i="5"/>
  <c r="AA38" i="5"/>
  <c r="AC38" i="5" l="1"/>
  <c r="P40" i="5"/>
  <c r="U39" i="5"/>
  <c r="AA39" i="5" s="1"/>
  <c r="Z39" i="5" l="1"/>
  <c r="V39" i="5"/>
  <c r="AB39" i="5" s="1"/>
  <c r="Q40" i="5"/>
  <c r="R40" i="5" s="1"/>
  <c r="T40" i="5" l="1"/>
  <c r="P41" i="5"/>
  <c r="U40" i="5"/>
  <c r="AA40" i="5" s="1"/>
  <c r="Z40" i="5" l="1"/>
  <c r="V40" i="5"/>
  <c r="AB40" i="5" s="1"/>
  <c r="Q41" i="5"/>
  <c r="R41" i="5" s="1"/>
  <c r="U41" i="5" s="1"/>
  <c r="AA41" i="5" s="1"/>
  <c r="T41" i="5" l="1"/>
  <c r="V41" i="5"/>
  <c r="AB41" i="5" s="1"/>
  <c r="Z41" i="5"/>
  <c r="AJ3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<sst xmlns="http://schemas.openxmlformats.org/spreadsheetml/2006/main" count="198" uniqueCount="132">
  <si>
    <t xml:space="preserve"> </t>
    <phoneticPr fontId="2" type="noConversion"/>
  </si>
  <si>
    <t>열1</t>
  </si>
  <si>
    <t>열2</t>
  </si>
  <si>
    <t>열3</t>
  </si>
  <si>
    <t>열4</t>
  </si>
  <si>
    <t>열5</t>
  </si>
  <si>
    <t>열6</t>
  </si>
  <si>
    <t>열7</t>
  </si>
  <si>
    <t>열8</t>
    <phoneticPr fontId="2" type="noConversion"/>
  </si>
  <si>
    <t>ID</t>
  </si>
  <si>
    <t>스탯이름</t>
  </si>
  <si>
    <t>고정값</t>
  </si>
  <si>
    <t>고정값조정</t>
  </si>
  <si>
    <t>상승값</t>
  </si>
  <si>
    <t>최대값</t>
  </si>
  <si>
    <t>예측(사용X)</t>
  </si>
  <si>
    <t>누적금액</t>
    <phoneticPr fontId="2" type="noConversion"/>
  </si>
  <si>
    <t>금화감소후</t>
    <phoneticPr fontId="2" type="noConversion"/>
  </si>
  <si>
    <t>회심타</t>
    <phoneticPr fontId="2" type="noConversion"/>
  </si>
  <si>
    <t>공격력</t>
  </si>
  <si>
    <t>52C_4만육성</t>
  </si>
  <si>
    <t>진행율</t>
    <phoneticPr fontId="2" type="noConversion"/>
  </si>
  <si>
    <t>생명력</t>
  </si>
  <si>
    <t>공격력</t>
    <phoneticPr fontId="2" type="noConversion"/>
  </si>
  <si>
    <t>회심타확률</t>
  </si>
  <si>
    <t>51C</t>
  </si>
  <si>
    <t>125c</t>
    <phoneticPr fontId="2" type="noConversion"/>
  </si>
  <si>
    <t>62c</t>
    <phoneticPr fontId="2" type="noConversion"/>
  </si>
  <si>
    <t>회심타데미지</t>
  </si>
  <si>
    <t>110C</t>
  </si>
  <si>
    <t>272c</t>
    <phoneticPr fontId="2" type="noConversion"/>
  </si>
  <si>
    <t>136c</t>
    <phoneticPr fontId="2" type="noConversion"/>
  </si>
  <si>
    <t>한번업글가격</t>
    <phoneticPr fontId="2" type="noConversion"/>
  </si>
  <si>
    <t>50b</t>
    <phoneticPr fontId="2" type="noConversion"/>
  </si>
  <si>
    <t>100b</t>
    <phoneticPr fontId="2" type="noConversion"/>
  </si>
  <si>
    <t>150b</t>
    <phoneticPr fontId="2" type="noConversion"/>
  </si>
  <si>
    <t>200b</t>
    <phoneticPr fontId="2" type="noConversion"/>
  </si>
  <si>
    <t>250b</t>
    <phoneticPr fontId="2" type="noConversion"/>
  </si>
  <si>
    <t>절멸타확률</t>
  </si>
  <si>
    <t>300C</t>
  </si>
  <si>
    <t>376c</t>
    <phoneticPr fontId="2" type="noConversion"/>
  </si>
  <si>
    <t>188c</t>
    <phoneticPr fontId="2" type="noConversion"/>
  </si>
  <si>
    <t>데미지</t>
    <phoneticPr fontId="2" type="noConversion"/>
  </si>
  <si>
    <t>절멸타데미지</t>
  </si>
  <si>
    <t>600C</t>
  </si>
  <si>
    <t>810c</t>
    <phoneticPr fontId="2" type="noConversion"/>
  </si>
  <si>
    <t>405c</t>
    <phoneticPr fontId="2" type="noConversion"/>
  </si>
  <si>
    <t>23b</t>
    <phoneticPr fontId="2" type="noConversion"/>
  </si>
  <si>
    <t>44b</t>
    <phoneticPr fontId="2" type="noConversion"/>
  </si>
  <si>
    <t>66b</t>
    <phoneticPr fontId="2" type="noConversion"/>
  </si>
  <si>
    <t>87b</t>
    <phoneticPr fontId="2" type="noConversion"/>
  </si>
  <si>
    <t>110b</t>
    <phoneticPr fontId="2" type="noConversion"/>
  </si>
  <si>
    <t>절멸타</t>
    <phoneticPr fontId="2" type="noConversion"/>
  </si>
  <si>
    <t>횟수</t>
    <phoneticPr fontId="2" type="noConversion"/>
  </si>
  <si>
    <t>400b</t>
    <phoneticPr fontId="2" type="noConversion"/>
  </si>
  <si>
    <t>550b</t>
    <phoneticPr fontId="2" type="noConversion"/>
  </si>
  <si>
    <t>700b</t>
    <phoneticPr fontId="2" type="noConversion"/>
  </si>
  <si>
    <t>853b</t>
    <phoneticPr fontId="2" type="noConversion"/>
  </si>
  <si>
    <t>1000b</t>
    <phoneticPr fontId="2" type="noConversion"/>
  </si>
  <si>
    <t>1A   100만</t>
  </si>
  <si>
    <t>10A   1000만</t>
  </si>
  <si>
    <t>합공식</t>
    <phoneticPr fontId="2" type="noConversion"/>
  </si>
  <si>
    <t>n=</t>
    <phoneticPr fontId="2" type="noConversion"/>
  </si>
  <si>
    <t>100A   1억</t>
  </si>
  <si>
    <t>152b</t>
    <phoneticPr fontId="2" type="noConversion"/>
  </si>
  <si>
    <t>195b</t>
    <phoneticPr fontId="2" type="noConversion"/>
  </si>
  <si>
    <t>238b</t>
    <phoneticPr fontId="2" type="noConversion"/>
  </si>
  <si>
    <t>281b</t>
    <phoneticPr fontId="2" type="noConversion"/>
  </si>
  <si>
    <t>324b</t>
    <phoneticPr fontId="2" type="noConversion"/>
  </si>
  <si>
    <t>1B   10억</t>
  </si>
  <si>
    <t>10B   100억</t>
  </si>
  <si>
    <t>100B   1000억</t>
  </si>
  <si>
    <t>1C   1조</t>
  </si>
  <si>
    <t>10C   10조</t>
  </si>
  <si>
    <t>100C   100조</t>
  </si>
  <si>
    <t>랭킹</t>
    <phoneticPr fontId="2" type="noConversion"/>
  </si>
  <si>
    <t>스테이지</t>
    <phoneticPr fontId="2" type="noConversion"/>
  </si>
  <si>
    <t>20시간</t>
    <phoneticPr fontId="2" type="noConversion"/>
  </si>
  <si>
    <t>노다지5</t>
    <phoneticPr fontId="2" type="noConversion"/>
  </si>
  <si>
    <t>하루 총금화</t>
    <phoneticPr fontId="2" type="noConversion"/>
  </si>
  <si>
    <t>골드증강량</t>
    <phoneticPr fontId="2" type="noConversion"/>
  </si>
  <si>
    <t>강화석소탕</t>
    <phoneticPr fontId="2" type="noConversion"/>
  </si>
  <si>
    <t>강화석증강량</t>
    <phoneticPr fontId="2" type="noConversion"/>
  </si>
  <si>
    <t>950b</t>
    <phoneticPr fontId="2" type="noConversion"/>
  </si>
  <si>
    <t>67b</t>
    <phoneticPr fontId="2" type="noConversion"/>
  </si>
  <si>
    <t>11a</t>
    <phoneticPr fontId="2" type="noConversion"/>
  </si>
  <si>
    <t>흑천검</t>
    <phoneticPr fontId="2" type="noConversion"/>
  </si>
  <si>
    <t>신화</t>
    <phoneticPr fontId="2" type="noConversion"/>
  </si>
  <si>
    <t>전설</t>
    <phoneticPr fontId="2" type="noConversion"/>
  </si>
  <si>
    <t>증강량</t>
    <phoneticPr fontId="2" type="noConversion"/>
  </si>
  <si>
    <t>11각성</t>
    <phoneticPr fontId="2" type="noConversion"/>
  </si>
  <si>
    <t>12각성</t>
    <phoneticPr fontId="2" type="noConversion"/>
  </si>
  <si>
    <t>13각성</t>
    <phoneticPr fontId="2" type="noConversion"/>
  </si>
  <si>
    <t>열9</t>
  </si>
  <si>
    <t>열10</t>
    <phoneticPr fontId="2" type="noConversion"/>
  </si>
  <si>
    <t>열11</t>
  </si>
  <si>
    <t>열12</t>
  </si>
  <si>
    <t>씨앗</t>
  </si>
  <si>
    <t>뿌리</t>
  </si>
  <si>
    <t>새싹</t>
  </si>
  <si>
    <t>잎새</t>
  </si>
  <si>
    <t>가지</t>
  </si>
  <si>
    <t>묘목</t>
  </si>
  <si>
    <t>견목</t>
  </si>
  <si>
    <t>성목</t>
  </si>
  <si>
    <t>거목</t>
  </si>
  <si>
    <t>신목</t>
  </si>
  <si>
    <t>영목</t>
  </si>
  <si>
    <t>천목</t>
  </si>
  <si>
    <t>태초목</t>
  </si>
  <si>
    <t>창조목</t>
  </si>
  <si>
    <t>수호목</t>
  </si>
  <si>
    <t>세계목</t>
  </si>
  <si>
    <t>세계수</t>
  </si>
  <si>
    <t>신화수</t>
  </si>
  <si>
    <t>무한수</t>
  </si>
  <si>
    <t>영겁수</t>
  </si>
  <si>
    <t>열13</t>
  </si>
  <si>
    <t>육성</t>
    <phoneticPr fontId="2" type="noConversion"/>
  </si>
  <si>
    <t>순수비용</t>
    <phoneticPr fontId="2" type="noConversion"/>
  </si>
  <si>
    <t>감면</t>
    <phoneticPr fontId="2" type="noConversion"/>
  </si>
  <si>
    <t>회심타 확률</t>
    <phoneticPr fontId="2" type="noConversion"/>
  </si>
  <si>
    <t>회심타 데미지</t>
    <phoneticPr fontId="2" type="noConversion"/>
  </si>
  <si>
    <t>중간</t>
    <phoneticPr fontId="2" type="noConversion"/>
  </si>
  <si>
    <t>시작</t>
    <phoneticPr fontId="2" type="noConversion"/>
  </si>
  <si>
    <t>중간값</t>
    <phoneticPr fontId="2" type="noConversion"/>
  </si>
  <si>
    <t>끝값</t>
    <phoneticPr fontId="2" type="noConversion"/>
  </si>
  <si>
    <t>나무계산</t>
    <phoneticPr fontId="2" type="noConversion"/>
  </si>
  <si>
    <t>절멸타 확률</t>
    <phoneticPr fontId="2" type="noConversion"/>
  </si>
  <si>
    <t>절멸타 데미지</t>
    <phoneticPr fontId="2" type="noConversion"/>
  </si>
  <si>
    <t>ㅇ</t>
    <phoneticPr fontId="2" type="noConversion"/>
  </si>
  <si>
    <t>초항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</si>
</sst>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0000E+00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4" tint="-0.249977111117893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1" fontId="0" fillId="0" borderId="0" xfId="0" applyNumberFormat="1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0" fontId="0" fillId="0" borderId="0" xfId="1" applyNumberFormat="1" applyFont="1">
      <alignment vertical="center"/>
    </xf>
    <xf numFmtId="0" fontId="0" fillId="2" borderId="0" xfId="1" applyNumberFormat="1" applyFont="1" applyFill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0" xfId="0" applyFill="1">
      <alignment vertical="center"/>
    </xf>
    <xf numFmtId="0" fontId="0" fillId="3" borderId="5" xfId="0" applyFill="1" applyBorder="1">
      <alignment vertical="center"/>
    </xf>
    <xf numFmtId="9" fontId="0" fillId="3" borderId="2" xfId="2" applyFont="1" applyFill="1" applyBorder="1">
      <alignment vertical="center"/>
    </xf>
    <xf numFmtId="9" fontId="0" fillId="3" borderId="3" xfId="2" applyFont="1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9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3" fillId="0" borderId="0" xfId="0" applyFont="1" applyAlignment="1">
      <alignment horizontal="center" vertical="center" wrapText="1"/>
    </xf>
    <xf numFmtId="0" fontId="0" fillId="3" borderId="4" xfId="2" applyNumberFormat="1" applyFont="1" applyFill="1" applyBorder="1" applyAlignment="1">
      <alignment horizontal="center" vertical="center"/>
    </xf>
    <xf numFmtId="0" fontId="0" fillId="3" borderId="0" xfId="2" applyNumberFormat="1" applyFont="1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9" fontId="0" fillId="3" borderId="8" xfId="0" applyNumberFormat="1" applyFill="1" applyBorder="1" applyAlignment="1">
      <alignment horizontal="center" vertical="center"/>
    </xf>
    <xf numFmtId="9" fontId="0" fillId="0" borderId="0" xfId="2" applyFont="1">
      <alignment vertical="center"/>
    </xf>
    <xf numFmtId="0" fontId="4" fillId="4" borderId="0" xfId="0" applyFont="1" applyFill="1">
      <alignment vertical="center"/>
    </xf>
    <xf numFmtId="0" fontId="4" fillId="0" borderId="0" xfId="0" applyFont="1">
      <alignment vertical="center"/>
    </xf>
    <xf numFmtId="1" fontId="0" fillId="2" borderId="0" xfId="0" applyNumberFormat="1" applyFill="1">
      <alignment vertical="center"/>
    </xf>
    <xf numFmtId="0" fontId="0" fillId="2" borderId="0" xfId="0" applyFill="1">
      <alignment vertical="center"/>
    </xf>
    <xf numFmtId="0" fontId="0" fillId="5" borderId="0" xfId="0" applyFill="1">
      <alignment vertical="center"/>
    </xf>
    <xf numFmtId="176" fontId="0" fillId="5" borderId="0" xfId="0" applyNumberFormat="1" applyFill="1">
      <alignment vertical="center"/>
    </xf>
    <xf numFmtId="0" fontId="0" fillId="6" borderId="0" xfId="0" applyFill="1">
      <alignment vertical="center"/>
    </xf>
    <xf numFmtId="1" fontId="0" fillId="6" borderId="0" xfId="0" applyNumberFormat="1" applyFill="1">
      <alignment vertical="center"/>
    </xf>
    <xf numFmtId="0" fontId="0" fillId="7" borderId="0" xfId="0" applyFill="1">
      <alignment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49F5D-F182-47E9-BE0C-38CB3EC997B3}" name="표1" displayName="표1" ref="A4:M45" totalsRowShown="0">
  <autoFilter ref="A4:M45" xr:uid="{9E449F5D-F182-47E9-BE0C-38CB3EC997B3}"/>
  <tableColumns count="13">
    <tableColumn id="1" xr3:uid="{9F96ACF2-B1BC-4A20-ACBE-4EDDD5768C14}" name="열1"/>
    <tableColumn id="2" xr3:uid="{61D98239-E78A-4FE4-9E74-82D42BBBB4AD}" name="열2"/>
    <tableColumn id="3" xr3:uid="{80D76171-BF5D-4BBC-B940-EFAB2B69AB29}" name="열3"/>
    <tableColumn id="4" xr3:uid="{C946801F-2311-4E73-92D7-1C8E544F79EE}" name="열4"/>
    <tableColumn id="5" xr3:uid="{685CE2F5-C328-432B-ABA6-D2B52F27C194}" name="열5"/>
    <tableColumn id="6" xr3:uid="{D6A0A83C-0B50-4712-83C2-369B1FD2DEFC}" name="열6" dataDxfId="6" dataCellStyle="쉼표 [0]"/>
    <tableColumn id="7" xr3:uid="{90B8099A-7234-471E-ACD4-63E8C7CD2F72}" name="열7"/>
    <tableColumn id="8" xr3:uid="{3B5AF8AE-3C8D-4D61-8DDD-D235F408D8FC}" name="열8" dataDxfId="5">
      <calculatedColumnFormula>표1[[#This Row],[열6]]*표1[[#This Row],[열7]]</calculatedColumnFormula>
    </tableColumn>
    <tableColumn id="9" xr3:uid="{DCDF0486-89CF-4331-93B1-0C4A94143E4A}" name="열9" dataDxfId="4">
      <calculatedColumnFormula>표1[[#This Row],[열7]]/표1[[#This Row],[열6]]</calculatedColumnFormula>
    </tableColumn>
    <tableColumn id="10" xr3:uid="{6AB0DD7E-3E66-4185-B3CA-96F28F28A8EC}" name="열10" dataDxfId="3">
      <calculatedColumnFormula>표1[[#This Row],[열8]]/10^7</calculatedColumnFormula>
    </tableColumn>
    <tableColumn id="11" xr3:uid="{2F4F2370-4561-42E5-8545-CEDBB14DF132}" name="열11" dataDxfId="2"/>
    <tableColumn id="12" xr3:uid="{4F4C7107-8DC1-4066-97E2-731F306AF89F}" name="열12" dataDxfId="1"/>
    <tableColumn id="13" xr3:uid="{4F738991-B9EA-45D7-BA44-A53C775E7169}" name="열13" dataDxfId="0">
      <calculatedColumnFormula>표1[[#This Row],[열8]]/10^7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B4E2-D06B-41E2-9ABD-33139C34C77C}">
  <dimension ref="A1:P45"/>
  <sheetViews>
    <sheetView topLeftCell="A3" workbookViewId="0">
      <selection activeCell="D20" sqref="D20"/>
    </sheetView>
  </sheetViews>
  <sheetFormatPr defaultRowHeight="16.5" x14ac:dyDescent="0.3"/>
  <cols>
    <col min="5" max="5" width="12.75" bestFit="1" customWidth="1"/>
    <col min="6" max="6" width="8.125" customWidth="1"/>
    <col min="7" max="7" width="9.375" customWidth="1"/>
    <col min="8" max="8" width="8.125" customWidth="1"/>
    <col min="10" max="10" width="12.125" bestFit="1" customWidth="1"/>
  </cols>
  <sheetData>
    <row r="1" spans="1:16" x14ac:dyDescent="0.3">
      <c r="H1">
        <v>20</v>
      </c>
      <c r="I1">
        <v>40</v>
      </c>
      <c r="J1">
        <v>50</v>
      </c>
      <c r="K1">
        <v>60</v>
      </c>
    </row>
    <row r="2" spans="1:16" x14ac:dyDescent="0.3">
      <c r="G2">
        <v>100</v>
      </c>
      <c r="H2">
        <f>G2*0.8</f>
        <v>80</v>
      </c>
      <c r="I2">
        <f>G2*0.6</f>
        <v>60</v>
      </c>
      <c r="J2">
        <v>50</v>
      </c>
      <c r="K2">
        <f>G2*0.4</f>
        <v>40</v>
      </c>
    </row>
    <row r="3" spans="1:16" x14ac:dyDescent="0.3">
      <c r="G3">
        <v>70</v>
      </c>
      <c r="H3">
        <f>G3*0.8</f>
        <v>56</v>
      </c>
      <c r="I3">
        <f>G3*0.6</f>
        <v>42</v>
      </c>
      <c r="J3">
        <v>35</v>
      </c>
      <c r="K3">
        <f>G3*0.4</f>
        <v>28</v>
      </c>
    </row>
    <row r="4" spans="1:16" x14ac:dyDescent="0.3">
      <c r="A4" t="s">
        <v>1</v>
      </c>
      <c r="B4" t="s">
        <v>2</v>
      </c>
      <c r="C4" t="s">
        <v>3</v>
      </c>
      <c r="D4" s="1" t="s">
        <v>4</v>
      </c>
      <c r="E4" t="s">
        <v>5</v>
      </c>
      <c r="F4" s="4" t="s">
        <v>6</v>
      </c>
      <c r="G4" t="s">
        <v>7</v>
      </c>
      <c r="H4" t="s">
        <v>8</v>
      </c>
      <c r="I4" t="s">
        <v>93</v>
      </c>
      <c r="J4" t="s">
        <v>94</v>
      </c>
      <c r="K4" t="s">
        <v>95</v>
      </c>
      <c r="L4" t="s">
        <v>96</v>
      </c>
      <c r="M4" t="s">
        <v>117</v>
      </c>
    </row>
    <row r="5" spans="1:16" x14ac:dyDescent="0.3">
      <c r="A5">
        <v>300</v>
      </c>
      <c r="B5">
        <v>638</v>
      </c>
      <c r="C5">
        <v>389</v>
      </c>
      <c r="D5" s="1">
        <v>379048</v>
      </c>
      <c r="E5" t="e" cm="1">
        <f t="array" aca="1" ref="E5" ca="1">INDIRECT("'[상승값.xlsx]상승'!E" &amp; A5)</f>
        <v>#REF!</v>
      </c>
      <c r="F5" s="4" t="e">
        <f ca="1">E5-E3</f>
        <v>#REF!</v>
      </c>
      <c r="G5">
        <v>0.8</v>
      </c>
      <c r="H5" t="e">
        <f ca="1">표1[[#This Row],[열6]]*표1[[#This Row],[열7]]</f>
        <v>#REF!</v>
      </c>
      <c r="I5">
        <v>0.7</v>
      </c>
      <c r="J5" s="1" t="e">
        <f ca="1">표1[[#This Row],[열8]]/10^7</f>
        <v>#REF!</v>
      </c>
      <c r="L5">
        <v>300</v>
      </c>
      <c r="O5" s="29">
        <v>300</v>
      </c>
      <c r="P5" s="29">
        <v>29771225.600000001</v>
      </c>
    </row>
    <row r="6" spans="1:16" x14ac:dyDescent="0.3">
      <c r="A6">
        <v>700</v>
      </c>
      <c r="B6">
        <v>1238</v>
      </c>
      <c r="C6">
        <v>1089</v>
      </c>
      <c r="D6" s="1">
        <v>1537782</v>
      </c>
      <c r="E6" t="e" cm="1">
        <f t="array" aca="1" ref="E6" ca="1">INDIRECT("'[상승값.xlsx]상승'!E" &amp; A6)</f>
        <v>#REF!</v>
      </c>
      <c r="F6" s="4" t="e">
        <f t="shared" ref="F6:F44" ca="1" si="0">E6-E5</f>
        <v>#REF!</v>
      </c>
      <c r="G6">
        <v>0.8</v>
      </c>
      <c r="H6" t="e">
        <f ca="1">표1[[#This Row],[열6]]*표1[[#This Row],[열7]]</f>
        <v>#REF!</v>
      </c>
      <c r="I6">
        <v>0.7</v>
      </c>
      <c r="J6" s="1" t="e">
        <f ca="1">표1[[#This Row],[열8]]/10^7</f>
        <v>#REF!</v>
      </c>
      <c r="K6">
        <v>300</v>
      </c>
      <c r="L6">
        <v>700</v>
      </c>
      <c r="M6" t="e">
        <f ca="1">표1[[#This Row],[열8]]/10^7</f>
        <v>#REF!</v>
      </c>
      <c r="O6" s="30">
        <v>700</v>
      </c>
      <c r="P6" s="30">
        <v>358560408.80000001</v>
      </c>
    </row>
    <row r="7" spans="1:16" x14ac:dyDescent="0.3">
      <c r="A7">
        <v>1000</v>
      </c>
      <c r="E7" t="e" cm="1">
        <f t="array" aca="1" ref="E7" ca="1">INDIRECT("'[상승값.xlsx]상승'!E" &amp; A7)</f>
        <v>#REF!</v>
      </c>
      <c r="F7" s="4" t="e">
        <f ca="1">E7-E6</f>
        <v>#REF!</v>
      </c>
      <c r="G7">
        <v>0.8</v>
      </c>
      <c r="H7" t="e">
        <f ca="1">표1[[#This Row],[열6]]*표1[[#This Row],[열7]]</f>
        <v>#REF!</v>
      </c>
      <c r="I7">
        <v>0.7</v>
      </c>
      <c r="J7" s="1" t="e">
        <f ca="1">표1[[#This Row],[열8]]/10^7</f>
        <v>#REF!</v>
      </c>
      <c r="K7">
        <v>600</v>
      </c>
      <c r="M7" t="e">
        <f ca="1">표1[[#This Row],[열8]]/10^7</f>
        <v>#REF!</v>
      </c>
      <c r="O7" s="29">
        <v>1000</v>
      </c>
      <c r="P7" s="29">
        <v>750734973.60000002</v>
      </c>
    </row>
    <row r="8" spans="1:16" x14ac:dyDescent="0.3">
      <c r="A8">
        <v>1700</v>
      </c>
      <c r="B8">
        <v>2038</v>
      </c>
      <c r="C8">
        <v>2536</v>
      </c>
      <c r="D8" s="1">
        <v>4296093</v>
      </c>
      <c r="E8" t="e" cm="1">
        <f t="array" aca="1" ref="E8" ca="1">INDIRECT("'[상승값.xlsx]상승'!E" &amp; A8)</f>
        <v>#REF!</v>
      </c>
      <c r="F8" s="4" t="e">
        <f t="shared" ca="1" si="0"/>
        <v>#REF!</v>
      </c>
      <c r="G8">
        <v>0.8</v>
      </c>
      <c r="H8" t="e">
        <f ca="1">표1[[#This Row],[열6]]*표1[[#This Row],[열7]]</f>
        <v>#REF!</v>
      </c>
      <c r="I8">
        <v>0.88</v>
      </c>
      <c r="J8" s="31" t="e">
        <f ca="1">표1[[#This Row],[열8]]/10^7</f>
        <v>#REF!</v>
      </c>
      <c r="K8" s="32">
        <v>1000</v>
      </c>
      <c r="L8">
        <v>1700</v>
      </c>
      <c r="M8" t="e">
        <f ca="1">표1[[#This Row],[열8]]/10^7</f>
        <v>#REF!</v>
      </c>
      <c r="O8" s="30">
        <v>1700</v>
      </c>
      <c r="P8" s="30">
        <v>4490208271.1999998</v>
      </c>
    </row>
    <row r="9" spans="1:16" x14ac:dyDescent="0.3">
      <c r="A9">
        <v>2000</v>
      </c>
      <c r="B9">
        <v>3038</v>
      </c>
      <c r="C9">
        <v>5286</v>
      </c>
      <c r="D9" s="1">
        <v>9693982</v>
      </c>
      <c r="E9" t="e" cm="1">
        <f t="array" aca="1" ref="E9" ca="1">INDIRECT("'[상승값.xlsx]상승'!E" &amp; A9)</f>
        <v>#REF!</v>
      </c>
      <c r="F9" s="5" t="e">
        <f ca="1">E9-E8</f>
        <v>#REF!</v>
      </c>
      <c r="G9">
        <v>0.8</v>
      </c>
      <c r="H9" t="e">
        <f ca="1">표1[[#This Row],[열6]]*표1[[#This Row],[열7]]</f>
        <v>#REF!</v>
      </c>
      <c r="I9">
        <v>0.88</v>
      </c>
      <c r="J9" s="1" t="e">
        <f ca="1">표1[[#This Row],[열8]]/10^7</f>
        <v>#REF!</v>
      </c>
      <c r="K9">
        <v>1500</v>
      </c>
      <c r="M9" s="32" t="e">
        <f ca="1">표1[[#This Row],[열8]]/10^7</f>
        <v>#REF!</v>
      </c>
      <c r="O9" s="29">
        <v>2000</v>
      </c>
      <c r="P9" s="29">
        <v>3548681640</v>
      </c>
    </row>
    <row r="10" spans="1:16" x14ac:dyDescent="0.3">
      <c r="A10">
        <v>2700</v>
      </c>
      <c r="E10" t="e" cm="1">
        <f t="array" aca="1" ref="E10" ca="1">INDIRECT("'[상승값.xlsx]상승'!E" &amp; A10)</f>
        <v>#REF!</v>
      </c>
      <c r="F10" s="4" t="e">
        <f t="shared" ca="1" si="0"/>
        <v>#REF!</v>
      </c>
      <c r="G10">
        <v>0.7</v>
      </c>
      <c r="H10" t="e">
        <f ca="1">표1[[#This Row],[열6]]*표1[[#This Row],[열7]]</f>
        <v>#REF!</v>
      </c>
      <c r="I10">
        <v>0.87999999999999989</v>
      </c>
      <c r="J10" s="1" t="e">
        <f ca="1">표1[[#This Row],[열8]]/10^7</f>
        <v>#REF!</v>
      </c>
      <c r="K10">
        <v>2000</v>
      </c>
      <c r="L10">
        <v>2700</v>
      </c>
      <c r="M10" t="e">
        <f ca="1">표1[[#This Row],[열8]]/10^7</f>
        <v>#REF!</v>
      </c>
      <c r="O10" s="30">
        <v>2700</v>
      </c>
      <c r="P10" s="30">
        <v>11764740015</v>
      </c>
    </row>
    <row r="11" spans="1:16" x14ac:dyDescent="0.3">
      <c r="A11">
        <v>3000</v>
      </c>
      <c r="E11" t="e" cm="1">
        <f t="array" aca="1" ref="E11" ca="1">INDIRECT("'[상승값.xlsx]상승'!E" &amp; A11)</f>
        <v>#REF!</v>
      </c>
      <c r="F11" s="4" t="e">
        <f ca="1">E11-E10</f>
        <v>#REF!</v>
      </c>
      <c r="G11">
        <v>0.6</v>
      </c>
      <c r="H11" t="e">
        <f ca="1">표1[[#This Row],[열6]]*표1[[#This Row],[열7]]</f>
        <v>#REF!</v>
      </c>
      <c r="I11">
        <v>0.8</v>
      </c>
      <c r="J11" s="1" t="e">
        <f ca="1">표1[[#This Row],[열8]]/10^7</f>
        <v>#REF!</v>
      </c>
      <c r="K11">
        <v>2500</v>
      </c>
      <c r="L11">
        <v>3000</v>
      </c>
      <c r="M11" t="e">
        <f ca="1">표1[[#This Row],[열8]]/10^7</f>
        <v>#REF!</v>
      </c>
      <c r="O11" s="29">
        <v>3000</v>
      </c>
      <c r="P11" s="29">
        <v>6319971229.8000002</v>
      </c>
    </row>
    <row r="12" spans="1:16" x14ac:dyDescent="0.3">
      <c r="A12">
        <v>3700</v>
      </c>
      <c r="E12" t="e" cm="1">
        <f t="array" aca="1" ref="E12" ca="1">INDIRECT("'[상승값.xlsx]상승'!E" &amp; A12)</f>
        <v>#REF!</v>
      </c>
      <c r="F12" s="4" t="e">
        <f t="shared" ca="1" si="0"/>
        <v>#REF!</v>
      </c>
      <c r="G12">
        <v>0.6</v>
      </c>
      <c r="H12" t="e">
        <f ca="1">표1[[#This Row],[열6]]*표1[[#This Row],[열7]]</f>
        <v>#REF!</v>
      </c>
      <c r="I12">
        <v>0.80000000000000016</v>
      </c>
      <c r="J12" s="31" t="e">
        <f ca="1">표1[[#This Row],[열8]]/10^7</f>
        <v>#REF!</v>
      </c>
      <c r="K12" s="32">
        <v>3000</v>
      </c>
      <c r="L12">
        <v>3700</v>
      </c>
      <c r="M12" t="e">
        <f ca="1">표1[[#This Row],[열8]]/10^7</f>
        <v>#REF!</v>
      </c>
      <c r="O12" s="30">
        <v>3700</v>
      </c>
      <c r="P12" s="30">
        <v>20440469536.799999</v>
      </c>
    </row>
    <row r="13" spans="1:16" x14ac:dyDescent="0.3">
      <c r="A13">
        <v>4000</v>
      </c>
      <c r="E13" t="e" cm="1">
        <f t="array" aca="1" ref="E13" ca="1">INDIRECT("'[상승값.xlsx]상승'!E" &amp; A13)</f>
        <v>#REF!</v>
      </c>
      <c r="F13" s="4" t="e">
        <f ca="1">E13-E12</f>
        <v>#REF!</v>
      </c>
      <c r="G13">
        <v>0.6</v>
      </c>
      <c r="H13" t="e">
        <f ca="1">표1[[#This Row],[열6]]*표1[[#This Row],[열7]]</f>
        <v>#REF!</v>
      </c>
      <c r="I13">
        <v>0.8</v>
      </c>
      <c r="J13" s="1" t="e">
        <f ca="1">표1[[#This Row],[열8]]/10^7</f>
        <v>#REF!</v>
      </c>
      <c r="K13">
        <v>3500</v>
      </c>
      <c r="L13">
        <v>4000</v>
      </c>
      <c r="M13" s="32" t="e">
        <f ca="1">표1[[#This Row],[열8]]/10^7</f>
        <v>#REF!</v>
      </c>
      <c r="O13" s="29">
        <v>4000</v>
      </c>
      <c r="P13" s="29">
        <v>11538431229.6</v>
      </c>
    </row>
    <row r="14" spans="1:16" x14ac:dyDescent="0.3">
      <c r="A14">
        <v>4700</v>
      </c>
      <c r="E14" t="e" cm="1">
        <f t="array" aca="1" ref="E14" ca="1">INDIRECT("'[상승값.xlsx]상승'!E" &amp; A14)</f>
        <v>#REF!</v>
      </c>
      <c r="F14" s="4" t="e">
        <f t="shared" ca="1" si="0"/>
        <v>#REF!</v>
      </c>
      <c r="G14">
        <v>0.6</v>
      </c>
      <c r="H14" t="e">
        <f ca="1">표1[[#This Row],[열6]]*표1[[#This Row],[열7]]</f>
        <v>#REF!</v>
      </c>
      <c r="I14">
        <v>0.8</v>
      </c>
      <c r="J14" s="1" t="e">
        <f ca="1">표1[[#This Row],[열8]]/10^7</f>
        <v>#REF!</v>
      </c>
      <c r="K14">
        <v>4000</v>
      </c>
      <c r="L14">
        <v>4700</v>
      </c>
      <c r="M14" t="e">
        <f ca="1">표1[[#This Row],[열8]]/10^7</f>
        <v>#REF!</v>
      </c>
      <c r="O14" s="30">
        <v>4700</v>
      </c>
      <c r="P14" s="30">
        <v>34436876203.799995</v>
      </c>
    </row>
    <row r="15" spans="1:16" x14ac:dyDescent="0.3">
      <c r="A15">
        <v>5000</v>
      </c>
      <c r="E15" t="e" cm="1">
        <f t="array" aca="1" ref="E15" ca="1">INDIRECT("'[상승값.xlsx]상승'!E" &amp; A15)</f>
        <v>#REF!</v>
      </c>
      <c r="F15" s="4" t="e">
        <f ca="1">E15-E14</f>
        <v>#REF!</v>
      </c>
      <c r="G15">
        <v>0.6</v>
      </c>
      <c r="H15" t="e">
        <f ca="1">표1[[#This Row],[열6]]*표1[[#This Row],[열7]]</f>
        <v>#REF!</v>
      </c>
      <c r="I15">
        <v>0.8</v>
      </c>
      <c r="J15" s="1" t="e">
        <f ca="1">표1[[#This Row],[열8]]/10^7</f>
        <v>#REF!</v>
      </c>
      <c r="K15">
        <v>4500</v>
      </c>
      <c r="L15">
        <v>5000</v>
      </c>
      <c r="M15" t="e">
        <f ca="1">표1[[#This Row],[열8]]/10^7</f>
        <v>#REF!</v>
      </c>
      <c r="O15" s="29">
        <v>5000</v>
      </c>
      <c r="P15" s="29">
        <v>18316891229.399998</v>
      </c>
    </row>
    <row r="16" spans="1:16" x14ac:dyDescent="0.3">
      <c r="A16">
        <v>5700</v>
      </c>
      <c r="E16" t="e" cm="1">
        <f t="array" aca="1" ref="E16" ca="1">INDIRECT("'[상승값.xlsx]상승'!E" &amp; A16)</f>
        <v>#REF!</v>
      </c>
      <c r="F16" s="4" t="e">
        <f t="shared" ca="1" si="0"/>
        <v>#REF!</v>
      </c>
      <c r="G16">
        <v>0.6</v>
      </c>
      <c r="H16" t="e">
        <f ca="1">표1[[#This Row],[열6]]*표1[[#This Row],[열7]]</f>
        <v>#REF!</v>
      </c>
      <c r="I16">
        <v>0.80000000000000016</v>
      </c>
      <c r="J16" s="31" t="e">
        <f ca="1">표1[[#This Row],[열8]]/10^7</f>
        <v>#REF!</v>
      </c>
      <c r="K16" s="32">
        <v>5000</v>
      </c>
      <c r="L16">
        <v>5700</v>
      </c>
      <c r="M16" t="e">
        <f ca="1">표1[[#This Row],[열8]]/10^7</f>
        <v>#REF!</v>
      </c>
      <c r="O16" s="30">
        <v>5700</v>
      </c>
      <c r="P16" s="30">
        <v>52073282870.400002</v>
      </c>
    </row>
    <row r="17" spans="1:16" x14ac:dyDescent="0.3">
      <c r="A17">
        <v>6000</v>
      </c>
      <c r="E17" t="e" cm="1">
        <f t="array" aca="1" ref="E17" ca="1">INDIRECT("'[상승값.xlsx]상승'!E" &amp; A17)</f>
        <v>#REF!</v>
      </c>
      <c r="F17" s="4" t="e">
        <f ca="1">E17-E16</f>
        <v>#REF!</v>
      </c>
      <c r="G17">
        <v>0.6</v>
      </c>
      <c r="H17" t="e">
        <f ca="1">표1[[#This Row],[열6]]*표1[[#This Row],[열7]]</f>
        <v>#REF!</v>
      </c>
      <c r="I17">
        <v>0.8</v>
      </c>
      <c r="J17" s="1" t="e">
        <f ca="1">표1[[#This Row],[열8]]/10^7</f>
        <v>#REF!</v>
      </c>
      <c r="K17">
        <v>5500</v>
      </c>
      <c r="L17">
        <v>6000</v>
      </c>
      <c r="M17" s="32" t="e">
        <f ca="1">표1[[#This Row],[열8]]/10^7</f>
        <v>#REF!</v>
      </c>
      <c r="O17" s="29">
        <v>6000</v>
      </c>
      <c r="P17" s="29">
        <v>26655351229.799999</v>
      </c>
    </row>
    <row r="18" spans="1:16" x14ac:dyDescent="0.3">
      <c r="A18">
        <v>6700</v>
      </c>
      <c r="E18" t="e" cm="1">
        <f t="array" aca="1" ref="E18" ca="1">INDIRECT("'[상승값.xlsx]상승'!E" &amp; A18)</f>
        <v>#REF!</v>
      </c>
      <c r="F18" s="4" t="e">
        <f t="shared" ca="1" si="0"/>
        <v>#REF!</v>
      </c>
      <c r="G18">
        <v>0.55000000000000004</v>
      </c>
      <c r="H18" t="e">
        <f ca="1">표1[[#This Row],[열6]]*표1[[#This Row],[열7]]</f>
        <v>#REF!</v>
      </c>
      <c r="I18">
        <v>0.8</v>
      </c>
      <c r="J18" s="1" t="e">
        <f ca="1">표1[[#This Row],[열8]]/10^7</f>
        <v>#REF!</v>
      </c>
      <c r="K18">
        <v>6000</v>
      </c>
      <c r="L18">
        <v>6700</v>
      </c>
      <c r="M18" t="e">
        <f ca="1">표1[[#This Row],[열8]]/10^7</f>
        <v>#REF!</v>
      </c>
      <c r="O18" s="30">
        <v>6700</v>
      </c>
      <c r="P18" s="30">
        <v>67237215408.550003</v>
      </c>
    </row>
    <row r="19" spans="1:16" x14ac:dyDescent="0.3">
      <c r="A19">
        <v>7000</v>
      </c>
      <c r="E19" t="e" cm="1">
        <f t="array" aca="1" ref="E19" ca="1">INDIRECT("'[상승값.xlsx]상승'!E" &amp; A19)</f>
        <v>#REF!</v>
      </c>
      <c r="F19" s="4" t="e">
        <f t="shared" ca="1" si="0"/>
        <v>#REF!</v>
      </c>
      <c r="G19">
        <v>0.55000000000000004</v>
      </c>
      <c r="H19" t="e">
        <f ca="1">표1[[#This Row],[열6]]*표1[[#This Row],[열7]]</f>
        <v>#REF!</v>
      </c>
      <c r="I19">
        <v>0.6</v>
      </c>
      <c r="J19" s="1" t="e">
        <f ca="1">표1[[#This Row],[열8]]/10^7</f>
        <v>#REF!</v>
      </c>
      <c r="K19">
        <v>6500</v>
      </c>
      <c r="L19">
        <v>7000</v>
      </c>
      <c r="M19" t="e">
        <f ca="1">표1[[#This Row],[열8]]/10^7</f>
        <v>#REF!</v>
      </c>
      <c r="O19" s="29">
        <v>7000</v>
      </c>
      <c r="P19" s="29">
        <v>33507660294.350002</v>
      </c>
    </row>
    <row r="20" spans="1:16" x14ac:dyDescent="0.3">
      <c r="A20">
        <v>7700</v>
      </c>
      <c r="E20" t="e" cm="1">
        <f t="array" aca="1" ref="E20" ca="1">INDIRECT("'[상승값.xlsx]상승'!E" &amp; A20)</f>
        <v>#REF!</v>
      </c>
      <c r="F20" s="4" t="e">
        <f t="shared" ca="1" si="0"/>
        <v>#REF!</v>
      </c>
      <c r="G20">
        <v>0.55000000000000004</v>
      </c>
      <c r="H20" t="e">
        <f ca="1">표1[[#This Row],[열6]]*표1[[#This Row],[열7]]</f>
        <v>#REF!</v>
      </c>
      <c r="I20">
        <v>0.6</v>
      </c>
      <c r="J20" s="31" t="e">
        <f ca="1">표1[[#This Row],[열8]]/10^7</f>
        <v>#REF!</v>
      </c>
      <c r="K20" s="32">
        <v>7000</v>
      </c>
      <c r="L20">
        <v>7700</v>
      </c>
      <c r="M20" t="e">
        <f ca="1">표1[[#This Row],[열8]]/10^7</f>
        <v>#REF!</v>
      </c>
      <c r="O20" s="30">
        <v>7700</v>
      </c>
      <c r="P20" s="30">
        <v>90077254852.75</v>
      </c>
    </row>
    <row r="21" spans="1:16" x14ac:dyDescent="0.3">
      <c r="A21">
        <v>8000</v>
      </c>
      <c r="E21" t="e" cm="1">
        <f t="array" aca="1" ref="E21" ca="1">INDIRECT("'[상승값.xlsx]상승'!E" &amp; A21)</f>
        <v>#REF!</v>
      </c>
      <c r="F21" s="4" t="e">
        <f ca="1">E21-E20</f>
        <v>#REF!</v>
      </c>
      <c r="G21">
        <v>0.55000000000000004</v>
      </c>
      <c r="H21" t="e">
        <f ca="1">표1[[#This Row],[열6]]*표1[[#This Row],[열7]]</f>
        <v>#REF!</v>
      </c>
      <c r="I21">
        <v>0.6</v>
      </c>
      <c r="J21" s="1" t="e">
        <f ca="1">표1[[#This Row],[열8]]/10^7</f>
        <v>#REF!</v>
      </c>
      <c r="K21">
        <v>7500</v>
      </c>
      <c r="L21">
        <v>8000</v>
      </c>
      <c r="M21" s="32" t="e">
        <f ca="1">표1[[#This Row],[열8]]/10^7</f>
        <v>#REF!</v>
      </c>
      <c r="O21" s="29">
        <v>8000</v>
      </c>
      <c r="P21" s="29">
        <v>44011248628.050003</v>
      </c>
    </row>
    <row r="22" spans="1:16" x14ac:dyDescent="0.3">
      <c r="A22">
        <v>8700</v>
      </c>
      <c r="E22" t="e" cm="1">
        <f t="array" aca="1" ref="E22" ca="1">INDIRECT("'[상승값.xlsx]상승'!E" &amp; A22)</f>
        <v>#REF!</v>
      </c>
      <c r="F22" s="4" t="e">
        <f t="shared" ca="1" si="0"/>
        <v>#REF!</v>
      </c>
      <c r="G22">
        <v>0.55000000000000004</v>
      </c>
      <c r="H22" t="e">
        <f ca="1">표1[[#This Row],[열6]]*표1[[#This Row],[열7]]</f>
        <v>#REF!</v>
      </c>
      <c r="I22">
        <v>0.6</v>
      </c>
      <c r="J22" s="1" t="e">
        <f ca="1">표1[[#This Row],[열8]]/10^7</f>
        <v>#REF!</v>
      </c>
      <c r="K22">
        <v>8000</v>
      </c>
      <c r="L22">
        <v>8700</v>
      </c>
      <c r="M22" t="e">
        <f ca="1">표1[[#This Row],[열8]]/10^7</f>
        <v>#REF!</v>
      </c>
      <c r="O22" s="30">
        <v>8700</v>
      </c>
      <c r="P22" s="30">
        <v>116253960963.8</v>
      </c>
    </row>
    <row r="23" spans="1:16" x14ac:dyDescent="0.3">
      <c r="A23">
        <v>9000</v>
      </c>
      <c r="E23" t="e" cm="1">
        <f t="array" aca="1" ref="E23" ca="1">INDIRECT("'[상승값.xlsx]상승'!E" &amp; A23)</f>
        <v>#REF!</v>
      </c>
      <c r="F23" s="4" t="e">
        <f ca="1">E23-E22</f>
        <v>#REF!</v>
      </c>
      <c r="G23">
        <v>0.55000000000000004</v>
      </c>
      <c r="H23" t="e">
        <f ca="1">표1[[#This Row],[열6]]*표1[[#This Row],[열7]]</f>
        <v>#REF!</v>
      </c>
      <c r="I23">
        <v>0.6</v>
      </c>
      <c r="J23" s="1" t="e">
        <f ca="1">표1[[#This Row],[열8]]/10^7</f>
        <v>#REF!</v>
      </c>
      <c r="K23">
        <v>8500</v>
      </c>
      <c r="L23">
        <v>9000</v>
      </c>
      <c r="M23" t="e">
        <f ca="1">표1[[#This Row],[열8]]/10^7</f>
        <v>#REF!</v>
      </c>
      <c r="O23" s="29">
        <v>9000</v>
      </c>
      <c r="P23" s="29">
        <v>55944836961.200005</v>
      </c>
    </row>
    <row r="24" spans="1:16" x14ac:dyDescent="0.3">
      <c r="A24">
        <v>9700</v>
      </c>
      <c r="E24" t="e" cm="1">
        <f t="array" aca="1" ref="E24" ca="1">INDIRECT("'[상승값.xlsx]상승'!E" &amp; A24)</f>
        <v>#REF!</v>
      </c>
      <c r="F24" s="4" t="e">
        <f t="shared" ca="1" si="0"/>
        <v>#REF!</v>
      </c>
      <c r="G24">
        <v>0.5</v>
      </c>
      <c r="H24" t="e">
        <f ca="1">표1[[#This Row],[열6]]*표1[[#This Row],[열7]]</f>
        <v>#REF!</v>
      </c>
      <c r="I24">
        <v>0.6</v>
      </c>
      <c r="J24" s="31" t="e">
        <f ca="1">표1[[#This Row],[열8]]/10^7</f>
        <v>#REF!</v>
      </c>
      <c r="K24" s="32">
        <v>9000</v>
      </c>
      <c r="L24">
        <v>9700</v>
      </c>
      <c r="M24" t="e">
        <f ca="1">표1[[#This Row],[열8]]/10^7</f>
        <v>#REF!</v>
      </c>
      <c r="O24" s="30">
        <v>9700</v>
      </c>
      <c r="P24" s="30">
        <v>132515757947</v>
      </c>
    </row>
    <row r="25" spans="1:16" x14ac:dyDescent="0.3">
      <c r="A25">
        <v>10000</v>
      </c>
      <c r="E25" t="e" cm="1">
        <f t="array" aca="1" ref="E25" ca="1">INDIRECT("'[상승값.xlsx]상승'!E" &amp; A25)</f>
        <v>#REF!</v>
      </c>
      <c r="F25" s="4" t="e">
        <f ca="1">E25-E24</f>
        <v>#REF!</v>
      </c>
      <c r="G25">
        <v>0.5</v>
      </c>
      <c r="H25" t="e">
        <f ca="1">표1[[#This Row],[열6]]*표1[[#This Row],[열7]]</f>
        <v>#REF!</v>
      </c>
      <c r="I25">
        <v>0.55000000000000004</v>
      </c>
      <c r="J25" s="1" t="e">
        <f ca="1">표1[[#This Row],[열8]]/10^7</f>
        <v>#REF!</v>
      </c>
      <c r="K25">
        <v>9500</v>
      </c>
      <c r="L25">
        <v>10000</v>
      </c>
      <c r="M25" s="32" t="e">
        <f ca="1">표1[[#This Row],[열8]]/10^7</f>
        <v>#REF!</v>
      </c>
      <c r="O25" s="29">
        <v>10000</v>
      </c>
      <c r="P25" s="29">
        <v>63007659358.5</v>
      </c>
    </row>
    <row r="26" spans="1:16" x14ac:dyDescent="0.3">
      <c r="A26">
        <v>10700</v>
      </c>
      <c r="E26" t="e" cm="1">
        <f t="array" aca="1" ref="E26" ca="1">INDIRECT("'[상승값.xlsx]상승'!E" &amp; A26)</f>
        <v>#REF!</v>
      </c>
      <c r="F26" s="4" t="e">
        <f t="shared" ca="1" si="0"/>
        <v>#REF!</v>
      </c>
      <c r="G26">
        <v>0.5</v>
      </c>
      <c r="H26" t="e">
        <f ca="1">표1[[#This Row],[열6]]*표1[[#This Row],[열7]]</f>
        <v>#REF!</v>
      </c>
      <c r="I26">
        <v>0.55000000000000004</v>
      </c>
      <c r="J26" s="1" t="e">
        <f ca="1">표1[[#This Row],[열8]]/10^7</f>
        <v>#REF!</v>
      </c>
      <c r="K26">
        <v>10000</v>
      </c>
      <c r="L26">
        <v>10700</v>
      </c>
      <c r="M26" t="e">
        <f ca="1">표1[[#This Row],[열8]]/10^7</f>
        <v>#REF!</v>
      </c>
      <c r="O26" s="30">
        <v>10700</v>
      </c>
      <c r="P26" s="30">
        <v>162379430169.5</v>
      </c>
    </row>
    <row r="27" spans="1:16" x14ac:dyDescent="0.3">
      <c r="A27">
        <v>11000</v>
      </c>
      <c r="E27" t="e" cm="1">
        <f t="array" aca="1" ref="E27" ca="1">INDIRECT("'[상승값.xlsx]상승'!E" &amp; A27)</f>
        <v>#REF!</v>
      </c>
      <c r="F27" s="4" t="e">
        <f ca="1">E27-E26</f>
        <v>#REF!</v>
      </c>
      <c r="G27">
        <v>0.5</v>
      </c>
      <c r="H27" t="e">
        <f ca="1">표1[[#This Row],[열6]]*표1[[#This Row],[열7]]</f>
        <v>#REF!</v>
      </c>
      <c r="I27">
        <v>0.55000000000000004</v>
      </c>
      <c r="J27" s="1" t="e">
        <f ca="1">표1[[#This Row],[열8]]/10^7</f>
        <v>#REF!</v>
      </c>
      <c r="K27">
        <v>10500</v>
      </c>
      <c r="L27">
        <v>11000</v>
      </c>
      <c r="M27" t="e">
        <f ca="1">표1[[#This Row],[열8]]/10^7</f>
        <v>#REF!</v>
      </c>
      <c r="O27" s="29">
        <v>11000</v>
      </c>
      <c r="P27" s="29">
        <v>76456376025</v>
      </c>
    </row>
    <row r="28" spans="1:16" x14ac:dyDescent="0.3">
      <c r="A28">
        <v>11700</v>
      </c>
      <c r="E28" t="e" cm="1">
        <f t="array" aca="1" ref="E28" ca="1">INDIRECT("'[상승값.xlsx]상승'!E" &amp; A28)</f>
        <v>#REF!</v>
      </c>
      <c r="F28" s="4" t="e">
        <f t="shared" ca="1" si="0"/>
        <v>#REF!</v>
      </c>
      <c r="G28">
        <v>0.5</v>
      </c>
      <c r="H28" t="e">
        <f ca="1">표1[[#This Row],[열6]]*표1[[#This Row],[열7]]</f>
        <v>#REF!</v>
      </c>
      <c r="I28">
        <v>0.55000000000000004</v>
      </c>
      <c r="J28" s="31" t="e">
        <f ca="1">표1[[#This Row],[열8]]/10^7</f>
        <v>#REF!</v>
      </c>
      <c r="K28" s="32">
        <v>11000</v>
      </c>
      <c r="L28">
        <v>11700</v>
      </c>
      <c r="M28" t="e">
        <f ca="1">표1[[#This Row],[열8]]/10^7</f>
        <v>#REF!</v>
      </c>
      <c r="O28" s="30">
        <v>11700</v>
      </c>
      <c r="P28" s="30">
        <v>195276435725</v>
      </c>
    </row>
    <row r="29" spans="1:16" x14ac:dyDescent="0.3">
      <c r="A29">
        <v>12000</v>
      </c>
      <c r="E29" t="e" cm="1">
        <f t="array" aca="1" ref="E29" ca="1">INDIRECT("'[상승값.xlsx]상승'!E" &amp; A29)</f>
        <v>#REF!</v>
      </c>
      <c r="F29" s="4" t="e">
        <f ca="1">E29-E28</f>
        <v>#REF!</v>
      </c>
      <c r="G29">
        <v>0.5</v>
      </c>
      <c r="H29" t="e">
        <f ca="1">표1[[#This Row],[열6]]*표1[[#This Row],[열7]]</f>
        <v>#REF!</v>
      </c>
      <c r="I29">
        <v>0.55000000000000004</v>
      </c>
      <c r="J29" s="1" t="e">
        <f ca="1">표1[[#This Row],[열8]]/10^7</f>
        <v>#REF!</v>
      </c>
      <c r="K29">
        <v>11500</v>
      </c>
      <c r="L29">
        <v>12000</v>
      </c>
      <c r="M29" s="32" t="e">
        <f ca="1">표1[[#This Row],[열8]]/10^7</f>
        <v>#REF!</v>
      </c>
      <c r="O29" s="29">
        <v>12000</v>
      </c>
      <c r="P29" s="29">
        <v>91205092691.5</v>
      </c>
    </row>
    <row r="30" spans="1:16" x14ac:dyDescent="0.3">
      <c r="A30">
        <v>12700</v>
      </c>
      <c r="E30" t="e" cm="1">
        <f t="array" aca="1" ref="E30" ca="1">INDIRECT("'[상승값.xlsx]상승'!E" &amp; A30)</f>
        <v>#REF!</v>
      </c>
      <c r="F30" s="4" t="e">
        <f t="shared" ca="1" si="0"/>
        <v>#REF!</v>
      </c>
      <c r="G30">
        <v>0.5</v>
      </c>
      <c r="H30" t="e">
        <f ca="1">표1[[#This Row],[열6]]*표1[[#This Row],[열7]]</f>
        <v>#REF!</v>
      </c>
      <c r="I30">
        <v>0.55000000000000004</v>
      </c>
      <c r="J30" s="1" t="e">
        <f ca="1">표1[[#This Row],[열8]]/10^7</f>
        <v>#REF!</v>
      </c>
      <c r="K30">
        <v>12000</v>
      </c>
      <c r="L30">
        <v>12700</v>
      </c>
      <c r="M30" t="e">
        <f ca="1">표1[[#This Row],[열8]]/10^7</f>
        <v>#REF!</v>
      </c>
      <c r="O30" s="30">
        <v>12700</v>
      </c>
      <c r="P30" s="30">
        <v>231206774614</v>
      </c>
    </row>
    <row r="31" spans="1:16" x14ac:dyDescent="0.3">
      <c r="A31">
        <v>13000</v>
      </c>
      <c r="E31" t="e" cm="1">
        <f t="array" aca="1" ref="E31" ca="1">INDIRECT("'[상승값.xlsx]상승'!E" &amp; A31)</f>
        <v>#REF!</v>
      </c>
      <c r="F31" s="4" t="e">
        <f ca="1">E31-E30</f>
        <v>#REF!</v>
      </c>
      <c r="G31">
        <v>0.5</v>
      </c>
      <c r="H31" t="e">
        <f ca="1">표1[[#This Row],[열6]]*표1[[#This Row],[열7]]</f>
        <v>#REF!</v>
      </c>
      <c r="I31">
        <v>0.55000000000000004</v>
      </c>
      <c r="J31" s="1" t="e">
        <f ca="1">표1[[#This Row],[열8]]/10^7</f>
        <v>#REF!</v>
      </c>
      <c r="K31">
        <v>12500</v>
      </c>
      <c r="L31">
        <v>13000</v>
      </c>
      <c r="M31" t="e">
        <f ca="1">표1[[#This Row],[열8]]/10^7</f>
        <v>#REF!</v>
      </c>
      <c r="O31" s="29">
        <v>13000</v>
      </c>
      <c r="P31" s="29">
        <v>107253809358</v>
      </c>
    </row>
    <row r="32" spans="1:16" x14ac:dyDescent="0.3">
      <c r="A32">
        <v>13700</v>
      </c>
      <c r="E32" t="e" cm="1">
        <f t="array" aca="1" ref="E32" ca="1">INDIRECT("'[상승값.xlsx]상승'!E" &amp; A32)</f>
        <v>#REF!</v>
      </c>
      <c r="F32" s="4" t="e">
        <f t="shared" ca="1" si="0"/>
        <v>#REF!</v>
      </c>
      <c r="G32">
        <v>0.5</v>
      </c>
      <c r="H32" t="e">
        <f ca="1">표1[[#This Row],[열6]]*표1[[#This Row],[열7]]</f>
        <v>#REF!</v>
      </c>
      <c r="I32">
        <v>0.5</v>
      </c>
      <c r="J32" s="31" t="e">
        <f ca="1">표1[[#This Row],[열8]]/10^7</f>
        <v>#REF!</v>
      </c>
      <c r="K32" s="32">
        <v>13000</v>
      </c>
      <c r="L32">
        <v>13700</v>
      </c>
      <c r="M32" t="e">
        <f ca="1">표1[[#This Row],[열8]]/10^7</f>
        <v>#REF!</v>
      </c>
      <c r="O32" s="30">
        <v>13700</v>
      </c>
      <c r="P32" s="30">
        <v>270170446836.5</v>
      </c>
    </row>
    <row r="33" spans="1:16" x14ac:dyDescent="0.3">
      <c r="A33">
        <v>14000</v>
      </c>
      <c r="E33" t="e" cm="1">
        <f t="array" aca="1" ref="E33" ca="1">INDIRECT("'[상승값.xlsx]상승'!E" &amp; A33)</f>
        <v>#REF!</v>
      </c>
      <c r="F33" s="4" t="e">
        <f ca="1">E33-E32</f>
        <v>#REF!</v>
      </c>
      <c r="G33">
        <v>0.5</v>
      </c>
      <c r="H33" t="e">
        <f ca="1">표1[[#This Row],[열6]]*표1[[#This Row],[열7]]</f>
        <v>#REF!</v>
      </c>
      <c r="I33">
        <v>0.5</v>
      </c>
      <c r="J33" s="1" t="e">
        <f ca="1">표1[[#This Row],[열8]]/10^7</f>
        <v>#REF!</v>
      </c>
      <c r="K33">
        <v>13500</v>
      </c>
      <c r="L33">
        <v>14000</v>
      </c>
      <c r="M33" s="32" t="e">
        <f ca="1">표1[[#This Row],[열8]]/10^7</f>
        <v>#REF!</v>
      </c>
      <c r="O33" s="29">
        <v>14000</v>
      </c>
      <c r="P33" s="29">
        <v>124602526024.5</v>
      </c>
    </row>
    <row r="34" spans="1:16" x14ac:dyDescent="0.3">
      <c r="A34">
        <v>14700</v>
      </c>
      <c r="E34" t="e" cm="1">
        <f t="array" aca="1" ref="E34" ca="1">INDIRECT("'[상승값.xlsx]상승'!E" &amp; A34)</f>
        <v>#REF!</v>
      </c>
      <c r="F34" s="4" t="e">
        <f t="shared" ca="1" si="0"/>
        <v>#REF!</v>
      </c>
      <c r="G34">
        <v>0.45</v>
      </c>
      <c r="H34" t="e">
        <f ca="1">표1[[#This Row],[열6]]*표1[[#This Row],[열7]]</f>
        <v>#REF!</v>
      </c>
      <c r="I34">
        <v>0.45</v>
      </c>
      <c r="J34" s="1" t="e">
        <f ca="1">표1[[#This Row],[열8]]/10^7</f>
        <v>#REF!</v>
      </c>
      <c r="K34">
        <v>14000</v>
      </c>
      <c r="L34">
        <v>14700</v>
      </c>
      <c r="M34" t="e">
        <f ca="1">표1[[#This Row],[열8]]/10^7</f>
        <v>#REF!</v>
      </c>
      <c r="O34" s="30">
        <v>14700</v>
      </c>
      <c r="P34" s="30">
        <v>280950707152.79999</v>
      </c>
    </row>
    <row r="35" spans="1:16" x14ac:dyDescent="0.3">
      <c r="A35">
        <v>15000</v>
      </c>
      <c r="E35" t="e" cm="1">
        <f t="array" aca="1" ref="E35" ca="1">INDIRECT("'[상승값.xlsx]상승'!E" &amp; A35)</f>
        <v>#REF!</v>
      </c>
      <c r="F35" s="4" t="e">
        <f ca="1">E35-E34</f>
        <v>#REF!</v>
      </c>
      <c r="G35">
        <v>0.43</v>
      </c>
      <c r="H35" t="e">
        <f ca="1">표1[[#This Row],[열6]]*표1[[#This Row],[열7]]</f>
        <v>#REF!</v>
      </c>
      <c r="I35">
        <v>0.43</v>
      </c>
      <c r="J35" s="1" t="e">
        <f ca="1">표1[[#This Row],[열8]]/10^7</f>
        <v>#REF!</v>
      </c>
      <c r="K35">
        <v>14500</v>
      </c>
      <c r="L35">
        <v>15000</v>
      </c>
      <c r="M35" t="e">
        <f ca="1">표1[[#This Row],[열8]]/10^7</f>
        <v>#REF!</v>
      </c>
      <c r="O35" s="29">
        <v>15000</v>
      </c>
      <c r="P35" s="29">
        <v>123196068714.69</v>
      </c>
    </row>
    <row r="36" spans="1:16" x14ac:dyDescent="0.3">
      <c r="A36">
        <v>15700</v>
      </c>
      <c r="E36" t="e" cm="1">
        <f t="array" aca="1" ref="E36" ca="1">INDIRECT("'[상승값.xlsx]상승'!E" &amp; A36)</f>
        <v>#REF!</v>
      </c>
      <c r="F36" s="4" t="e">
        <f t="shared" ca="1" si="0"/>
        <v>#REF!</v>
      </c>
      <c r="G36">
        <v>0.43</v>
      </c>
      <c r="H36" t="e">
        <f ca="1">표1[[#This Row],[열6]]*표1[[#This Row],[열7]]</f>
        <v>#REF!</v>
      </c>
      <c r="I36">
        <v>0.43</v>
      </c>
      <c r="J36" s="31" t="e">
        <f ca="1">표1[[#This Row],[열8]]/10^7</f>
        <v>#REF!</v>
      </c>
      <c r="K36" s="32">
        <v>15000</v>
      </c>
      <c r="L36">
        <v>15700</v>
      </c>
      <c r="M36" t="e">
        <f ca="1">표1[[#This Row],[열8]]/10^7</f>
        <v>#REF!</v>
      </c>
      <c r="O36" s="30">
        <v>15700</v>
      </c>
      <c r="P36" s="30">
        <v>307190100501.22998</v>
      </c>
    </row>
    <row r="37" spans="1:16" x14ac:dyDescent="0.3">
      <c r="A37">
        <v>16000</v>
      </c>
      <c r="E37" t="e" cm="1">
        <f t="array" aca="1" ref="E37" ca="1">INDIRECT("'[상승값.xlsx]상승'!E" &amp; A37)</f>
        <v>#REF!</v>
      </c>
      <c r="F37" s="4" t="e">
        <f ca="1">E37-E36</f>
        <v>#REF!</v>
      </c>
      <c r="G37">
        <v>0.43</v>
      </c>
      <c r="H37" t="e">
        <f ca="1">표1[[#This Row],[열6]]*표1[[#This Row],[열7]]</f>
        <v>#REF!</v>
      </c>
      <c r="I37">
        <v>0.43</v>
      </c>
      <c r="J37" s="1" t="e">
        <f ca="1">표1[[#This Row],[열8]]/10^7</f>
        <v>#REF!</v>
      </c>
      <c r="K37">
        <v>15500</v>
      </c>
      <c r="L37">
        <v>16000</v>
      </c>
      <c r="M37" s="32" t="e">
        <f ca="1">표1[[#This Row],[열8]]/10^7</f>
        <v>#REF!</v>
      </c>
      <c r="O37" s="29">
        <v>16000</v>
      </c>
      <c r="P37" s="29">
        <v>140351965048.31</v>
      </c>
    </row>
    <row r="38" spans="1:16" x14ac:dyDescent="0.3">
      <c r="A38">
        <v>16700</v>
      </c>
      <c r="E38" t="e" cm="1">
        <f t="array" aca="1" ref="E38" ca="1">INDIRECT("'[상승값.xlsx]상승'!E" &amp; A38)</f>
        <v>#REF!</v>
      </c>
      <c r="F38" s="4" t="e">
        <f t="shared" ca="1" si="0"/>
        <v>#REF!</v>
      </c>
      <c r="G38">
        <v>0.43</v>
      </c>
      <c r="H38" t="e">
        <f ca="1">표1[[#This Row],[열6]]*표1[[#This Row],[열7]]</f>
        <v>#REF!</v>
      </c>
      <c r="I38">
        <v>0.43</v>
      </c>
      <c r="J38" s="1" t="e">
        <f ca="1">표1[[#This Row],[열8]]/10^7</f>
        <v>#REF!</v>
      </c>
      <c r="K38">
        <v>16000</v>
      </c>
      <c r="L38">
        <v>16700</v>
      </c>
      <c r="M38" t="e">
        <f ca="1">표1[[#This Row],[열8]]/10^7</f>
        <v>#REF!</v>
      </c>
      <c r="O38" s="30">
        <v>16700</v>
      </c>
      <c r="P38" s="30">
        <v>348524858612.15002</v>
      </c>
    </row>
    <row r="39" spans="1:16" x14ac:dyDescent="0.3">
      <c r="A39">
        <v>17000</v>
      </c>
      <c r="E39" t="e" cm="1">
        <f t="array" aca="1" ref="E39" ca="1">INDIRECT("'[상승값.xlsx]상승'!E" &amp; A39)</f>
        <v>#REF!</v>
      </c>
      <c r="F39" s="4" t="e">
        <f ca="1">E39-E38</f>
        <v>#REF!</v>
      </c>
      <c r="G39">
        <v>0.43</v>
      </c>
      <c r="H39" t="e">
        <f ca="1">표1[[#This Row],[열6]]*표1[[#This Row],[열7]]</f>
        <v>#REF!</v>
      </c>
      <c r="I39">
        <v>0.43</v>
      </c>
      <c r="J39" s="1" t="e">
        <f ca="1">표1[[#This Row],[열8]]/10^7</f>
        <v>#REF!</v>
      </c>
      <c r="K39">
        <v>16500</v>
      </c>
      <c r="L39">
        <v>17000</v>
      </c>
      <c r="M39" t="e">
        <f ca="1">표1[[#This Row],[열8]]/10^7</f>
        <v>#REF!</v>
      </c>
      <c r="O39" s="29">
        <v>17000</v>
      </c>
      <c r="P39" s="29">
        <v>158625861381.92999</v>
      </c>
    </row>
    <row r="40" spans="1:16" x14ac:dyDescent="0.3">
      <c r="A40">
        <v>17700</v>
      </c>
      <c r="E40" t="e" cm="1">
        <f t="array" aca="1" ref="E40" ca="1">INDIRECT("'[상승값.xlsx]상승'!E" &amp; A40)</f>
        <v>#REF!</v>
      </c>
      <c r="F40" s="4" t="e">
        <f t="shared" ca="1" si="0"/>
        <v>#REF!</v>
      </c>
      <c r="G40">
        <v>0.43</v>
      </c>
      <c r="H40" t="e">
        <f ca="1">표1[[#This Row],[열6]]*표1[[#This Row],[열7]]</f>
        <v>#REF!</v>
      </c>
      <c r="I40">
        <v>0.43</v>
      </c>
      <c r="J40" s="31" t="e">
        <f ca="1">표1[[#This Row],[열8]]/10^7</f>
        <v>#REF!</v>
      </c>
      <c r="K40" s="32">
        <v>17000</v>
      </c>
      <c r="L40">
        <v>17700</v>
      </c>
      <c r="M40" t="e">
        <f ca="1">표1[[#This Row],[열8]]/10^7</f>
        <v>#REF!</v>
      </c>
      <c r="O40" s="30">
        <v>17700</v>
      </c>
      <c r="P40" s="30">
        <v>392468283389.88</v>
      </c>
    </row>
    <row r="41" spans="1:16" x14ac:dyDescent="0.3">
      <c r="A41">
        <v>18000</v>
      </c>
      <c r="E41" t="e" cm="1">
        <f t="array" aca="1" ref="E41" ca="1">INDIRECT("'[상승값.xlsx]상승'!E" &amp; A41)</f>
        <v>#REF!</v>
      </c>
      <c r="F41" s="4" t="e">
        <f ca="1">E41-E40</f>
        <v>#REF!</v>
      </c>
      <c r="G41">
        <v>0.43000000000000005</v>
      </c>
      <c r="H41" t="e">
        <f ca="1">표1[[#This Row],[열6]]*표1[[#This Row],[열7]]</f>
        <v>#REF!</v>
      </c>
      <c r="I41">
        <v>0.43000000000000005</v>
      </c>
      <c r="J41" s="1" t="e">
        <f ca="1">표1[[#This Row],[열8]]/10^7</f>
        <v>#REF!</v>
      </c>
      <c r="K41">
        <v>17500</v>
      </c>
      <c r="L41">
        <v>18000</v>
      </c>
      <c r="M41" s="32" t="e">
        <f ca="1">표1[[#This Row],[열8]]/10^7</f>
        <v>#REF!</v>
      </c>
      <c r="O41" s="29">
        <v>18000</v>
      </c>
      <c r="P41" s="29">
        <v>178017757715.12003</v>
      </c>
    </row>
    <row r="42" spans="1:16" x14ac:dyDescent="0.3">
      <c r="A42">
        <v>18700</v>
      </c>
      <c r="E42" t="e" cm="1">
        <f t="array" aca="1" ref="E42" ca="1">INDIRECT("'[상승값.xlsx]상승'!E" &amp; A42)</f>
        <v>#REF!</v>
      </c>
      <c r="F42" s="4" t="e">
        <f t="shared" ca="1" si="0"/>
        <v>#REF!</v>
      </c>
      <c r="G42">
        <v>0.43</v>
      </c>
      <c r="H42" t="e">
        <f ca="1">표1[[#This Row],[열6]]*표1[[#This Row],[열7]]</f>
        <v>#REF!</v>
      </c>
      <c r="I42">
        <v>0.43</v>
      </c>
      <c r="J42" s="1" t="e">
        <f ca="1">표1[[#This Row],[열8]]/10^7</f>
        <v>#REF!</v>
      </c>
      <c r="K42">
        <v>18000</v>
      </c>
      <c r="L42">
        <v>18700</v>
      </c>
      <c r="M42" t="e">
        <f ca="1">표1[[#This Row],[열8]]/10^7</f>
        <v>#REF!</v>
      </c>
      <c r="O42" s="30">
        <v>18700</v>
      </c>
      <c r="P42" s="30">
        <v>439020374834.41998</v>
      </c>
    </row>
    <row r="43" spans="1:16" x14ac:dyDescent="0.3">
      <c r="A43">
        <v>19000</v>
      </c>
      <c r="E43" t="e" cm="1">
        <f t="array" aca="1" ref="E43" ca="1">INDIRECT("'[상승값.xlsx]상승'!E" &amp; A43)</f>
        <v>#REF!</v>
      </c>
      <c r="F43" s="4" t="e">
        <f ca="1">E43-E42</f>
        <v>#REF!</v>
      </c>
      <c r="G43">
        <v>0.42999999999999994</v>
      </c>
      <c r="H43" t="e">
        <f ca="1">표1[[#This Row],[열6]]*표1[[#This Row],[열7]]</f>
        <v>#REF!</v>
      </c>
      <c r="I43">
        <v>0.42999999999999994</v>
      </c>
      <c r="J43" s="1" t="e">
        <f ca="1">표1[[#This Row],[열8]]/10^7</f>
        <v>#REF!</v>
      </c>
      <c r="K43">
        <v>18500</v>
      </c>
      <c r="L43">
        <v>19000</v>
      </c>
      <c r="M43" t="e">
        <f ca="1">표1[[#This Row],[열8]]/10^7</f>
        <v>#REF!</v>
      </c>
      <c r="O43" s="29">
        <v>19000</v>
      </c>
      <c r="P43" s="29">
        <v>198527654048.30997</v>
      </c>
    </row>
    <row r="44" spans="1:16" x14ac:dyDescent="0.3">
      <c r="A44">
        <v>19700</v>
      </c>
      <c r="E44" t="e" cm="1">
        <f t="array" aca="1" ref="E44" ca="1">INDIRECT("'[상승값.xlsx]상승'!E" &amp; A44)</f>
        <v>#REF!</v>
      </c>
      <c r="F44" s="4" t="e">
        <f t="shared" ca="1" si="0"/>
        <v>#REF!</v>
      </c>
      <c r="G44">
        <v>0.43000000000000005</v>
      </c>
      <c r="H44" t="e">
        <f ca="1">표1[[#This Row],[열6]]*표1[[#This Row],[열7]]</f>
        <v>#REF!</v>
      </c>
      <c r="I44">
        <v>0.43000000000000005</v>
      </c>
      <c r="J44" s="31" t="e">
        <f ca="1">표1[[#This Row],[열8]]/10^7</f>
        <v>#REF!</v>
      </c>
      <c r="K44" s="32">
        <v>19000</v>
      </c>
      <c r="L44">
        <v>19700</v>
      </c>
      <c r="M44" t="e">
        <f ca="1">표1[[#This Row],[열8]]/10^7</f>
        <v>#REF!</v>
      </c>
      <c r="O44" s="30">
        <v>19700</v>
      </c>
      <c r="P44" s="30">
        <v>488181132945.77008</v>
      </c>
    </row>
    <row r="45" spans="1:16" x14ac:dyDescent="0.3">
      <c r="H45">
        <f>표1[[#This Row],[열6]]*표1[[#This Row],[열7]]</f>
        <v>0</v>
      </c>
      <c r="I45" t="e">
        <f>표1[[#This Row],[열7]]/표1[[#This Row],[열6]]</f>
        <v>#DIV/0!</v>
      </c>
      <c r="J45">
        <f>표1[[#This Row],[열8]]/10^7</f>
        <v>0</v>
      </c>
      <c r="K45">
        <v>19500</v>
      </c>
      <c r="M45" s="32">
        <f>표1[[#This Row],[열8]]/10^7</f>
        <v>0</v>
      </c>
    </row>
  </sheetData>
  <sortState xmlns:xlrd2="http://schemas.microsoft.com/office/spreadsheetml/2017/richdata2" ref="A5:F44">
    <sortCondition ref="A5:A44"/>
  </sortState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967E-9DFE-4975-87A4-2401F29635E9}">
  <dimension ref="B2:U169"/>
  <sheetViews>
    <sheetView topLeftCell="D1" workbookViewId="0">
      <selection activeCell="G2" sqref="G2:L22"/>
    </sheetView>
  </sheetViews>
  <sheetFormatPr defaultRowHeight="16.5" x14ac:dyDescent="0.3"/>
  <cols>
    <col min="5" max="6" width="9.875" bestFit="1" customWidth="1"/>
  </cols>
  <sheetData>
    <row r="2" spans="2:21" x14ac:dyDescent="0.3">
      <c r="M2">
        <v>100</v>
      </c>
      <c r="N2">
        <v>12</v>
      </c>
    </row>
    <row r="3" spans="2:21" x14ac:dyDescent="0.3">
      <c r="B3" s="29">
        <v>0.88</v>
      </c>
      <c r="C3" t="e">
        <f>'육성1 골드'!H4*B3</f>
        <v>#VALUE!</v>
      </c>
      <c r="D3">
        <v>9900</v>
      </c>
      <c r="M3">
        <f>100+나무계산!O$4*나무계산!K4</f>
        <v>101</v>
      </c>
      <c r="N3">
        <f>150+나무계산!K4*나무계산!O$5</f>
        <v>152</v>
      </c>
      <c r="O3">
        <f>N$102+나무계산!O$6*나무계산!K4</f>
        <v>353</v>
      </c>
      <c r="P3">
        <f>O$102+나무계산!O$7*나무계산!K4</f>
        <v>654</v>
      </c>
      <c r="Q3">
        <f>P$102+나무계산!O$8*나무계산!K4</f>
        <v>1055</v>
      </c>
      <c r="S3">
        <v>25</v>
      </c>
      <c r="U3">
        <f>SUM(M3:M27)</f>
        <v>2825</v>
      </c>
    </row>
    <row r="4" spans="2:21" x14ac:dyDescent="0.3">
      <c r="B4" s="30">
        <v>0.88</v>
      </c>
      <c r="C4" t="e">
        <f ca="1">'육성1 골드'!H5*B4</f>
        <v>#REF!</v>
      </c>
      <c r="D4">
        <v>12100</v>
      </c>
      <c r="M4">
        <f>100+나무계산!O$4*나무계산!K5</f>
        <v>102</v>
      </c>
      <c r="N4">
        <f>150+나무계산!K5*나무계산!O$5</f>
        <v>154</v>
      </c>
      <c r="O4">
        <f>N$102+나무계산!O$6*나무계산!K5</f>
        <v>356</v>
      </c>
      <c r="P4">
        <f>O$102+나무계산!O$7*나무계산!K5</f>
        <v>658</v>
      </c>
      <c r="Q4">
        <f>P$102+나무계산!O$8*나무계산!K5</f>
        <v>1060</v>
      </c>
      <c r="S4">
        <v>125</v>
      </c>
    </row>
    <row r="5" spans="2:21" x14ac:dyDescent="0.3">
      <c r="B5" s="29">
        <v>0.88</v>
      </c>
      <c r="C5" t="e">
        <f ca="1">'육성1 골드'!H6*B5</f>
        <v>#REF!</v>
      </c>
      <c r="D5">
        <v>70400</v>
      </c>
      <c r="M5">
        <f>100+나무계산!O$4*나무계산!K6</f>
        <v>103</v>
      </c>
      <c r="N5">
        <f>150+나무계산!K6*나무계산!O$5</f>
        <v>156</v>
      </c>
      <c r="O5">
        <f>N$102+나무계산!O$6*나무계산!K6</f>
        <v>359</v>
      </c>
      <c r="P5">
        <f>O$102+나무계산!O$7*나무계산!K6</f>
        <v>662</v>
      </c>
      <c r="Q5">
        <f>P$102+나무계산!O$8*나무계산!K6</f>
        <v>1065</v>
      </c>
      <c r="S5">
        <v>225</v>
      </c>
    </row>
    <row r="6" spans="2:21" x14ac:dyDescent="0.3">
      <c r="B6" s="29">
        <v>0.8</v>
      </c>
      <c r="C6" t="e">
        <f ca="1">'육성1 골드'!H7*B6</f>
        <v>#REF!</v>
      </c>
      <c r="D6">
        <v>96000</v>
      </c>
      <c r="M6">
        <f>100+나무계산!O$4*나무계산!K7</f>
        <v>104</v>
      </c>
      <c r="N6">
        <f>150+나무계산!K7*나무계산!O$5</f>
        <v>158</v>
      </c>
      <c r="O6">
        <f>N$102+나무계산!O$6*나무계산!K7</f>
        <v>362</v>
      </c>
      <c r="P6">
        <f>O$102+나무계산!O$7*나무계산!K7</f>
        <v>666</v>
      </c>
      <c r="Q6">
        <f>P$102+나무계산!O$8*나무계산!K7</f>
        <v>1070</v>
      </c>
      <c r="S6">
        <v>325</v>
      </c>
    </row>
    <row r="7" spans="2:21" x14ac:dyDescent="0.3">
      <c r="B7" s="30">
        <v>0.80000000000000016</v>
      </c>
      <c r="C7" t="e">
        <f ca="1">'육성1 골드'!H8*B7</f>
        <v>#REF!</v>
      </c>
      <c r="D7">
        <v>136000.00000000003</v>
      </c>
      <c r="M7">
        <f>100+나무계산!O$4*나무계산!K8</f>
        <v>105</v>
      </c>
      <c r="N7">
        <f>150+나무계산!K8*나무계산!O$5</f>
        <v>160</v>
      </c>
      <c r="O7">
        <f>N$102+나무계산!O$6*나무계산!K8</f>
        <v>365</v>
      </c>
      <c r="P7">
        <f>O$102+나무계산!O$7*나무계산!K8</f>
        <v>670</v>
      </c>
      <c r="Q7">
        <f>P$102+나무계산!O$8*나무계산!K8</f>
        <v>1075</v>
      </c>
      <c r="S7">
        <v>425</v>
      </c>
    </row>
    <row r="8" spans="2:21" x14ac:dyDescent="0.3">
      <c r="B8" s="29">
        <v>0.8</v>
      </c>
      <c r="C8" t="e">
        <f ca="1">'육성1 골드'!H9*B8</f>
        <v>#REF!</v>
      </c>
      <c r="D8">
        <v>184000</v>
      </c>
      <c r="M8">
        <f>100+나무계산!O$4*나무계산!K9</f>
        <v>106</v>
      </c>
      <c r="N8">
        <f>150+나무계산!K9*나무계산!O$5</f>
        <v>162</v>
      </c>
      <c r="O8">
        <f>N$102+나무계산!O$6*나무계산!K9</f>
        <v>368</v>
      </c>
      <c r="P8">
        <f>O$102+나무계산!O$7*나무계산!K9</f>
        <v>674</v>
      </c>
      <c r="Q8">
        <f>P$102+나무계산!O$8*나무계산!K9</f>
        <v>1080</v>
      </c>
      <c r="S8">
        <v>525</v>
      </c>
    </row>
    <row r="9" spans="2:21" x14ac:dyDescent="0.3">
      <c r="B9" s="30">
        <v>0.8</v>
      </c>
      <c r="C9" t="e">
        <f ca="1">'육성1 골드'!H10*B9</f>
        <v>#REF!</v>
      </c>
      <c r="D9">
        <v>240000</v>
      </c>
      <c r="M9">
        <f>100+나무계산!O$4*나무계산!K10</f>
        <v>107</v>
      </c>
      <c r="N9">
        <f>150+나무계산!K10*나무계산!O$5</f>
        <v>164</v>
      </c>
      <c r="O9">
        <f>N$102+나무계산!O$6*나무계산!K10</f>
        <v>371</v>
      </c>
      <c r="P9">
        <f>O$102+나무계산!O$7*나무계산!K10</f>
        <v>678</v>
      </c>
      <c r="Q9">
        <f>P$102+나무계산!O$8*나무계산!K10</f>
        <v>1085</v>
      </c>
      <c r="S9">
        <v>625</v>
      </c>
    </row>
    <row r="10" spans="2:21" x14ac:dyDescent="0.3">
      <c r="B10" s="29">
        <v>0.8</v>
      </c>
      <c r="C10" t="e">
        <f ca="1">'육성1 골드'!H11*B10</f>
        <v>#REF!</v>
      </c>
      <c r="D10">
        <v>304000</v>
      </c>
      <c r="M10">
        <f>100+나무계산!O$4*나무계산!K11</f>
        <v>108</v>
      </c>
      <c r="N10">
        <f>150+나무계산!K11*나무계산!O$5</f>
        <v>166</v>
      </c>
      <c r="O10">
        <f>N$102+나무계산!O$6*나무계산!K11</f>
        <v>374</v>
      </c>
      <c r="P10">
        <f>O$102+나무계산!O$7*나무계산!K11</f>
        <v>682</v>
      </c>
      <c r="Q10">
        <f>P$102+나무계산!O$8*나무계산!K11</f>
        <v>1090</v>
      </c>
      <c r="S10">
        <v>725</v>
      </c>
    </row>
    <row r="11" spans="2:21" x14ac:dyDescent="0.3">
      <c r="B11" s="30">
        <v>0.80000000000000016</v>
      </c>
      <c r="C11" t="e">
        <f ca="1">'육성1 골드'!H12*B11</f>
        <v>#REF!</v>
      </c>
      <c r="D11">
        <v>376000.00000000006</v>
      </c>
      <c r="M11">
        <f>100+나무계산!O$4*나무계산!K12</f>
        <v>109</v>
      </c>
      <c r="N11">
        <f>150+나무계산!K12*나무계산!O$5</f>
        <v>168</v>
      </c>
      <c r="O11">
        <f>N$102+나무계산!O$6*나무계산!K12</f>
        <v>377</v>
      </c>
      <c r="P11">
        <f>O$102+나무계산!O$7*나무계산!K12</f>
        <v>686</v>
      </c>
      <c r="Q11">
        <f>P$102+나무계산!O$8*나무계산!K12</f>
        <v>1095</v>
      </c>
      <c r="S11">
        <v>825</v>
      </c>
    </row>
    <row r="12" spans="2:21" x14ac:dyDescent="0.3">
      <c r="B12" s="29">
        <v>0.6</v>
      </c>
      <c r="C12" t="e">
        <f ca="1">'육성1 골드'!H13*B12</f>
        <v>#REF!</v>
      </c>
      <c r="D12">
        <v>342000</v>
      </c>
      <c r="M12">
        <f>100+나무계산!O$4*나무계산!K13</f>
        <v>110</v>
      </c>
      <c r="N12">
        <f>150+나무계산!K13*나무계산!O$5</f>
        <v>170</v>
      </c>
      <c r="O12">
        <f>N$102+나무계산!O$6*나무계산!K13</f>
        <v>380</v>
      </c>
      <c r="P12">
        <f>O$102+나무계산!O$7*나무계산!K13</f>
        <v>690</v>
      </c>
      <c r="Q12">
        <f>P$102+나무계산!O$8*나무계산!K13</f>
        <v>1100</v>
      </c>
      <c r="S12">
        <v>925</v>
      </c>
    </row>
    <row r="13" spans="2:21" x14ac:dyDescent="0.3">
      <c r="B13" s="30">
        <v>0.6</v>
      </c>
      <c r="C13" t="e">
        <f ca="1">'육성1 골드'!H14*B13</f>
        <v>#REF!</v>
      </c>
      <c r="D13">
        <v>408000</v>
      </c>
      <c r="M13">
        <f>100+나무계산!O$4*나무계산!K14</f>
        <v>111</v>
      </c>
      <c r="N13">
        <f>150+나무계산!K14*나무계산!O$5</f>
        <v>172</v>
      </c>
      <c r="O13">
        <f>N$102+나무계산!O$6*나무계산!K14</f>
        <v>383</v>
      </c>
      <c r="P13">
        <f>O$102+나무계산!O$7*나무계산!K14</f>
        <v>694</v>
      </c>
      <c r="Q13">
        <f>P$102+나무계산!O$8*나무계산!K14</f>
        <v>1105</v>
      </c>
      <c r="S13">
        <v>1025</v>
      </c>
    </row>
    <row r="14" spans="2:21" x14ac:dyDescent="0.3">
      <c r="B14" s="29">
        <v>0.6</v>
      </c>
      <c r="C14" t="e">
        <f ca="1">'육성1 골드'!H15*B14</f>
        <v>#REF!</v>
      </c>
      <c r="D14">
        <v>480000</v>
      </c>
      <c r="M14">
        <f>100+나무계산!O$4*나무계산!K15</f>
        <v>112</v>
      </c>
      <c r="N14">
        <f>150+나무계산!K15*나무계산!O$5</f>
        <v>174</v>
      </c>
      <c r="O14">
        <f>N$102+나무계산!O$6*나무계산!K15</f>
        <v>386</v>
      </c>
      <c r="P14">
        <f>O$102+나무계산!O$7*나무계산!K15</f>
        <v>698</v>
      </c>
      <c r="Q14">
        <f>P$102+나무계산!O$8*나무계산!K15</f>
        <v>1110</v>
      </c>
      <c r="S14">
        <v>1125</v>
      </c>
    </row>
    <row r="15" spans="2:21" x14ac:dyDescent="0.3">
      <c r="B15" s="30">
        <v>0.6</v>
      </c>
      <c r="C15" t="e">
        <f ca="1">'육성1 골드'!H16*B15</f>
        <v>#REF!</v>
      </c>
      <c r="D15">
        <v>558000</v>
      </c>
      <c r="M15">
        <f>100+나무계산!O$4*나무계산!K16</f>
        <v>113</v>
      </c>
      <c r="N15">
        <f>150+나무계산!K16*나무계산!O$5</f>
        <v>176</v>
      </c>
      <c r="O15">
        <f>N$102+나무계산!O$6*나무계산!K16</f>
        <v>389</v>
      </c>
      <c r="P15">
        <f>O$102+나무계산!O$7*나무계산!K16</f>
        <v>702</v>
      </c>
      <c r="Q15">
        <f>P$102+나무계산!O$8*나무계산!K16</f>
        <v>1115</v>
      </c>
      <c r="S15">
        <v>1225</v>
      </c>
    </row>
    <row r="16" spans="2:21" x14ac:dyDescent="0.3">
      <c r="B16" s="29">
        <v>0.6</v>
      </c>
      <c r="C16" t="e">
        <f ca="1">'육성1 골드'!H17*B16</f>
        <v>#REF!</v>
      </c>
      <c r="D16">
        <v>642000</v>
      </c>
      <c r="M16">
        <f>100+나무계산!O$4*나무계산!K17</f>
        <v>114</v>
      </c>
      <c r="N16">
        <f>150+나무계산!K17*나무계산!O$5</f>
        <v>178</v>
      </c>
      <c r="O16">
        <f>N$102+나무계산!O$6*나무계산!K17</f>
        <v>392</v>
      </c>
      <c r="P16">
        <f>O$102+나무계산!O$7*나무계산!K17</f>
        <v>706</v>
      </c>
      <c r="Q16">
        <f>P$102+나무계산!O$8*나무계산!K17</f>
        <v>1120</v>
      </c>
      <c r="S16">
        <v>1325</v>
      </c>
    </row>
    <row r="17" spans="2:19" x14ac:dyDescent="0.3">
      <c r="B17" s="30">
        <v>0.6</v>
      </c>
      <c r="C17" t="e">
        <f ca="1">'육성1 골드'!H18*B17</f>
        <v>#REF!</v>
      </c>
      <c r="D17">
        <v>732000</v>
      </c>
      <c r="M17">
        <f>100+나무계산!O$4*나무계산!K18</f>
        <v>115</v>
      </c>
      <c r="N17">
        <f>150+나무계산!K18*나무계산!O$5</f>
        <v>180</v>
      </c>
      <c r="O17">
        <f>N$102+나무계산!O$6*나무계산!K18</f>
        <v>395</v>
      </c>
      <c r="P17">
        <f>O$102+나무계산!O$7*나무계산!K18</f>
        <v>710</v>
      </c>
      <c r="Q17">
        <f>P$102+나무계산!O$8*나무계산!K18</f>
        <v>1125</v>
      </c>
      <c r="S17">
        <v>1425</v>
      </c>
    </row>
    <row r="18" spans="2:19" x14ac:dyDescent="0.3">
      <c r="B18" s="29">
        <v>0.55000000000000004</v>
      </c>
      <c r="C18" t="e">
        <f ca="1">'육성1 골드'!H19*B18</f>
        <v>#REF!</v>
      </c>
      <c r="D18">
        <v>759000.00000000012</v>
      </c>
      <c r="M18">
        <f>100+나무계산!O$4*나무계산!K19</f>
        <v>116</v>
      </c>
      <c r="N18">
        <f>150+나무계산!K19*나무계산!O$5</f>
        <v>182</v>
      </c>
      <c r="O18">
        <f>N$102+나무계산!O$6*나무계산!K19</f>
        <v>398</v>
      </c>
      <c r="P18">
        <f>O$102+나무계산!O$7*나무계산!K19</f>
        <v>714</v>
      </c>
      <c r="Q18">
        <f>P$102+나무계산!O$8*나무계산!K19</f>
        <v>1130</v>
      </c>
      <c r="S18">
        <v>1525</v>
      </c>
    </row>
    <row r="19" spans="2:19" x14ac:dyDescent="0.3">
      <c r="B19" s="30">
        <v>0.55000000000000004</v>
      </c>
      <c r="C19" t="e">
        <f ca="1">'육성1 골드'!H20*B19</f>
        <v>#REF!</v>
      </c>
      <c r="D19">
        <v>852500.00000000012</v>
      </c>
      <c r="M19">
        <f>100+나무계산!O$4*나무계산!K20</f>
        <v>117</v>
      </c>
      <c r="N19">
        <f>150+나무계산!K20*나무계산!O$5</f>
        <v>184</v>
      </c>
      <c r="O19">
        <f>N$102+나무계산!O$6*나무계산!K20</f>
        <v>401</v>
      </c>
      <c r="P19">
        <f>O$102+나무계산!O$7*나무계산!K20</f>
        <v>718</v>
      </c>
      <c r="Q19">
        <f>P$102+나무계산!O$8*나무계산!K20</f>
        <v>1135</v>
      </c>
      <c r="S19">
        <v>1625</v>
      </c>
    </row>
    <row r="20" spans="2:19" x14ac:dyDescent="0.3">
      <c r="B20" s="29">
        <v>0.55000000000000004</v>
      </c>
      <c r="C20" t="e">
        <f ca="1">'육성1 골드'!H21*B20</f>
        <v>#REF!</v>
      </c>
      <c r="D20">
        <v>951500.00000000012</v>
      </c>
      <c r="M20">
        <f>100+나무계산!O$4*나무계산!K21</f>
        <v>118</v>
      </c>
      <c r="N20">
        <f>150+나무계산!K21*나무계산!O$5</f>
        <v>186</v>
      </c>
      <c r="O20">
        <f>N$102+나무계산!O$6*나무계산!K21</f>
        <v>404</v>
      </c>
      <c r="P20">
        <f>O$102+나무계산!O$7*나무계산!K21</f>
        <v>722</v>
      </c>
      <c r="Q20">
        <f>P$102+나무계산!O$8*나무계산!K21</f>
        <v>1140</v>
      </c>
      <c r="S20">
        <v>1725</v>
      </c>
    </row>
    <row r="21" spans="2:19" x14ac:dyDescent="0.3">
      <c r="B21" s="30">
        <v>0.55000000000000004</v>
      </c>
      <c r="C21" t="e">
        <f ca="1">'육성1 골드'!H22*B21</f>
        <v>#REF!</v>
      </c>
      <c r="D21">
        <v>1056000</v>
      </c>
      <c r="M21">
        <f>100+나무계산!O$4*나무계산!K22</f>
        <v>119</v>
      </c>
      <c r="N21">
        <f>150+나무계산!K22*나무계산!O$5</f>
        <v>188</v>
      </c>
      <c r="O21">
        <f>N$102+나무계산!O$6*나무계산!K22</f>
        <v>407</v>
      </c>
      <c r="P21">
        <f>O$102+나무계산!O$7*나무계산!K22</f>
        <v>726</v>
      </c>
      <c r="Q21">
        <f>P$102+나무계산!O$8*나무계산!K22</f>
        <v>1145</v>
      </c>
      <c r="S21">
        <v>1825</v>
      </c>
    </row>
    <row r="22" spans="2:19" x14ac:dyDescent="0.3">
      <c r="B22" s="29">
        <v>0.55000000000000004</v>
      </c>
      <c r="C22" t="e">
        <f ca="1">'육성1 골드'!H23*B22</f>
        <v>#REF!</v>
      </c>
      <c r="D22">
        <v>1166000</v>
      </c>
      <c r="M22">
        <f>100+나무계산!O$4*나무계산!K23</f>
        <v>120</v>
      </c>
      <c r="N22">
        <f>150+나무계산!K23*나무계산!O$5</f>
        <v>190</v>
      </c>
      <c r="O22">
        <f>N$102+나무계산!O$6*나무계산!K23</f>
        <v>410</v>
      </c>
      <c r="P22">
        <f>O$102+나무계산!O$7*나무계산!K23</f>
        <v>730</v>
      </c>
      <c r="Q22">
        <f>P$102+나무계산!O$8*나무계산!K23</f>
        <v>1150</v>
      </c>
      <c r="S22">
        <v>1925</v>
      </c>
    </row>
    <row r="23" spans="2:19" x14ac:dyDescent="0.3">
      <c r="B23" s="30">
        <v>0.55000000000000004</v>
      </c>
      <c r="C23" t="e">
        <f ca="1">'육성1 골드'!H24*B23</f>
        <v>#REF!</v>
      </c>
      <c r="D23">
        <v>1281500</v>
      </c>
      <c r="L23">
        <v>21</v>
      </c>
      <c r="M23">
        <f>100+나무계산!O$4*L23</f>
        <v>121</v>
      </c>
      <c r="N23">
        <f>150+L23*나무계산!O$5</f>
        <v>192</v>
      </c>
      <c r="O23">
        <f>N$102+나무계산!O$6*L23</f>
        <v>413</v>
      </c>
      <c r="P23">
        <f>O$102+나무계산!O$7*L23</f>
        <v>734</v>
      </c>
      <c r="Q23">
        <f>P$102+나무계산!O$8*L23</f>
        <v>1155</v>
      </c>
    </row>
    <row r="24" spans="2:19" x14ac:dyDescent="0.3">
      <c r="B24" s="29">
        <v>0.55000000000000004</v>
      </c>
      <c r="C24" t="e">
        <f ca="1">'육성1 골드'!H25*B24</f>
        <v>#REF!</v>
      </c>
      <c r="D24">
        <v>1402500</v>
      </c>
      <c r="L24">
        <v>22</v>
      </c>
      <c r="M24">
        <f>100+나무계산!O$4*L24</f>
        <v>122</v>
      </c>
      <c r="N24">
        <f>150+L24*나무계산!O$5</f>
        <v>194</v>
      </c>
      <c r="O24">
        <f>N$102+나무계산!O$6*L24</f>
        <v>416</v>
      </c>
      <c r="P24">
        <f>O$102+나무계산!O$7*L24</f>
        <v>738</v>
      </c>
      <c r="Q24">
        <f>P$102+나무계산!O$8*L24</f>
        <v>1160</v>
      </c>
    </row>
    <row r="25" spans="2:19" x14ac:dyDescent="0.3">
      <c r="B25" s="30">
        <v>0.5</v>
      </c>
      <c r="C25" t="e">
        <f ca="1">'육성1 골드'!H26*B25</f>
        <v>#REF!</v>
      </c>
      <c r="D25">
        <v>1390000</v>
      </c>
      <c r="L25">
        <v>23</v>
      </c>
      <c r="M25">
        <f>100+나무계산!O$4*L25</f>
        <v>123</v>
      </c>
      <c r="N25">
        <f>150+L25*나무계산!O$5</f>
        <v>196</v>
      </c>
      <c r="O25">
        <f>N$102+나무계산!O$6*L25</f>
        <v>419</v>
      </c>
      <c r="P25">
        <f>O$102+나무계산!O$7*L25</f>
        <v>742</v>
      </c>
      <c r="Q25">
        <f>P$102+나무계산!O$8*L25</f>
        <v>1165</v>
      </c>
    </row>
    <row r="26" spans="2:19" x14ac:dyDescent="0.3">
      <c r="B26" s="29">
        <v>0.5</v>
      </c>
      <c r="C26" t="e">
        <f ca="1">'육성1 골드'!H27*B26</f>
        <v>#REF!</v>
      </c>
      <c r="D26">
        <v>1510000</v>
      </c>
      <c r="L26">
        <v>24</v>
      </c>
      <c r="M26">
        <f>100+나무계산!O$4*L26</f>
        <v>124</v>
      </c>
      <c r="N26">
        <f>150+L26*나무계산!O$5</f>
        <v>198</v>
      </c>
      <c r="O26">
        <f>N$102+나무계산!O$6*L26</f>
        <v>422</v>
      </c>
      <c r="P26">
        <f>O$102+나무계산!O$7*L26</f>
        <v>746</v>
      </c>
      <c r="Q26">
        <f>P$102+나무계산!O$8*L26</f>
        <v>1170</v>
      </c>
    </row>
    <row r="27" spans="2:19" x14ac:dyDescent="0.3">
      <c r="B27" s="30">
        <v>0.45</v>
      </c>
      <c r="C27" t="e">
        <f ca="1">'육성1 골드'!H28*B27</f>
        <v>#REF!</v>
      </c>
      <c r="D27">
        <v>1471500</v>
      </c>
      <c r="L27">
        <v>25</v>
      </c>
      <c r="M27">
        <f>100+나무계산!O$4*L27</f>
        <v>125</v>
      </c>
      <c r="N27">
        <f>150+L27*나무계산!O$5</f>
        <v>200</v>
      </c>
      <c r="O27">
        <f>N$102+나무계산!O$6*L27</f>
        <v>425</v>
      </c>
      <c r="P27">
        <f>O$102+나무계산!O$7*L27</f>
        <v>750</v>
      </c>
      <c r="Q27">
        <f>P$102+나무계산!O$8*L27</f>
        <v>1175</v>
      </c>
    </row>
    <row r="28" spans="2:19" x14ac:dyDescent="0.3">
      <c r="B28" s="29">
        <v>0.43</v>
      </c>
      <c r="C28" t="e">
        <f ca="1">'육성1 골드'!H29*B28</f>
        <v>#REF!</v>
      </c>
      <c r="D28">
        <v>1517900</v>
      </c>
      <c r="L28">
        <v>26</v>
      </c>
      <c r="M28">
        <f>100+나무계산!O$4*L28</f>
        <v>126</v>
      </c>
      <c r="N28">
        <f>150+L28*나무계산!O$5</f>
        <v>202</v>
      </c>
      <c r="O28">
        <f>N$102+나무계산!O$6*L28</f>
        <v>428</v>
      </c>
      <c r="P28">
        <f>O$102+나무계산!O$7*L28</f>
        <v>754</v>
      </c>
      <c r="Q28">
        <f>P$102+나무계산!O$8*L28</f>
        <v>1180</v>
      </c>
    </row>
    <row r="29" spans="2:19" x14ac:dyDescent="0.3">
      <c r="B29" s="30">
        <v>0.43</v>
      </c>
      <c r="C29" t="e">
        <f ca="1">'육성1 골드'!H30*B29</f>
        <v>#REF!</v>
      </c>
      <c r="D29">
        <v>1634000</v>
      </c>
      <c r="L29">
        <v>27</v>
      </c>
      <c r="M29">
        <f>100+나무계산!O$4*L29</f>
        <v>127</v>
      </c>
      <c r="N29">
        <f>150+L29*나무계산!O$5</f>
        <v>204</v>
      </c>
      <c r="O29">
        <f>N$102+나무계산!O$6*L29</f>
        <v>431</v>
      </c>
      <c r="P29">
        <f>O$102+나무계산!O$7*L29</f>
        <v>758</v>
      </c>
      <c r="Q29">
        <f>P$102+나무계산!O$8*L29</f>
        <v>1185</v>
      </c>
    </row>
    <row r="30" spans="2:19" x14ac:dyDescent="0.3">
      <c r="B30" s="29">
        <v>0.43</v>
      </c>
      <c r="C30" t="e">
        <f ca="1">'육성1 골드'!H31*B30</f>
        <v>#REF!</v>
      </c>
      <c r="D30">
        <v>1754400</v>
      </c>
      <c r="L30">
        <v>28</v>
      </c>
      <c r="M30">
        <f>100+나무계산!O$4*L30</f>
        <v>128</v>
      </c>
      <c r="N30">
        <f>150+L30*나무계산!O$5</f>
        <v>206</v>
      </c>
      <c r="O30">
        <f>N$102+나무계산!O$6*L30</f>
        <v>434</v>
      </c>
      <c r="P30">
        <f>O$102+나무계산!O$7*L30</f>
        <v>762</v>
      </c>
      <c r="Q30">
        <f>P$102+나무계산!O$8*L30</f>
        <v>1190</v>
      </c>
    </row>
    <row r="31" spans="2:19" x14ac:dyDescent="0.3">
      <c r="B31" s="30">
        <v>0.43</v>
      </c>
      <c r="C31" t="e">
        <f ca="1">'육성1 골드'!H32*B31</f>
        <v>#REF!</v>
      </c>
      <c r="D31">
        <v>1879100</v>
      </c>
      <c r="L31">
        <v>29</v>
      </c>
      <c r="M31">
        <f>100+나무계산!O$4*L31</f>
        <v>129</v>
      </c>
      <c r="N31">
        <f>150+L31*나무계산!O$5</f>
        <v>208</v>
      </c>
      <c r="O31">
        <f>N$102+나무계산!O$6*L31</f>
        <v>437</v>
      </c>
      <c r="P31">
        <f>O$102+나무계산!O$7*L31</f>
        <v>766</v>
      </c>
      <c r="Q31">
        <f>P$102+나무계산!O$8*L31</f>
        <v>1195</v>
      </c>
    </row>
    <row r="32" spans="2:19" x14ac:dyDescent="0.3">
      <c r="B32" s="29">
        <v>0.43</v>
      </c>
      <c r="C32" t="e">
        <f ca="1">'육성1 골드'!H33*B32</f>
        <v>#REF!</v>
      </c>
      <c r="D32">
        <v>2008100</v>
      </c>
      <c r="L32">
        <v>30</v>
      </c>
      <c r="M32">
        <f>100+나무계산!O$4*L32</f>
        <v>130</v>
      </c>
      <c r="N32">
        <f>150+L32*나무계산!O$5</f>
        <v>210</v>
      </c>
      <c r="O32">
        <f>N$102+나무계산!O$6*L32</f>
        <v>440</v>
      </c>
      <c r="P32">
        <f>O$102+나무계산!O$7*L32</f>
        <v>770</v>
      </c>
      <c r="Q32">
        <f>P$102+나무계산!O$8*L32</f>
        <v>1200</v>
      </c>
    </row>
    <row r="33" spans="2:17" x14ac:dyDescent="0.3">
      <c r="L33">
        <v>31</v>
      </c>
      <c r="M33">
        <f>100+나무계산!O$4*L33</f>
        <v>131</v>
      </c>
      <c r="N33">
        <f>150+L33*나무계산!O$5</f>
        <v>212</v>
      </c>
      <c r="O33">
        <f>N$102+나무계산!O$6*L33</f>
        <v>443</v>
      </c>
      <c r="P33">
        <f>O$102+나무계산!O$7*L33</f>
        <v>774</v>
      </c>
      <c r="Q33">
        <f>P$102+나무계산!O$8*L33</f>
        <v>1205</v>
      </c>
    </row>
    <row r="34" spans="2:17" x14ac:dyDescent="0.3">
      <c r="L34">
        <v>32</v>
      </c>
      <c r="M34">
        <f>100+나무계산!O$4*L34</f>
        <v>132</v>
      </c>
      <c r="N34">
        <f>150+L34*나무계산!O$5</f>
        <v>214</v>
      </c>
      <c r="O34">
        <f>N$102+나무계산!O$6*L34</f>
        <v>446</v>
      </c>
      <c r="P34">
        <f>O$102+나무계산!O$7*L34</f>
        <v>778</v>
      </c>
      <c r="Q34">
        <f>P$102+나무계산!O$8*L34</f>
        <v>1210</v>
      </c>
    </row>
    <row r="35" spans="2:17" x14ac:dyDescent="0.3">
      <c r="L35">
        <v>33</v>
      </c>
      <c r="M35">
        <f>100+나무계산!O$4*L35</f>
        <v>133</v>
      </c>
      <c r="N35">
        <f>150+L35*나무계산!O$5</f>
        <v>216</v>
      </c>
      <c r="O35">
        <f>N$102+나무계산!O$6*L35</f>
        <v>449</v>
      </c>
      <c r="P35">
        <f>O$102+나무계산!O$7*L35</f>
        <v>782</v>
      </c>
      <c r="Q35">
        <f>P$102+나무계산!O$8*L35</f>
        <v>1215</v>
      </c>
    </row>
    <row r="36" spans="2:17" x14ac:dyDescent="0.3">
      <c r="F36" t="s">
        <v>118</v>
      </c>
      <c r="L36">
        <v>34</v>
      </c>
      <c r="M36">
        <f>100+나무계산!O$4*L36</f>
        <v>134</v>
      </c>
      <c r="N36">
        <f>150+L36*나무계산!O$5</f>
        <v>218</v>
      </c>
      <c r="O36">
        <f>N$102+나무계산!O$6*L36</f>
        <v>452</v>
      </c>
      <c r="P36">
        <f>O$102+나무계산!O$7*L36</f>
        <v>786</v>
      </c>
      <c r="Q36">
        <f>P$102+나무계산!O$8*L36</f>
        <v>1220</v>
      </c>
    </row>
    <row r="37" spans="2:17" x14ac:dyDescent="0.3">
      <c r="L37">
        <v>35</v>
      </c>
      <c r="M37">
        <f>100+나무계산!O$4*L37</f>
        <v>135</v>
      </c>
      <c r="N37">
        <f>150+L37*나무계산!O$5</f>
        <v>220</v>
      </c>
      <c r="O37">
        <f>N$102+나무계산!O$6*L37</f>
        <v>455</v>
      </c>
      <c r="P37">
        <f>O$102+나무계산!O$7*L37</f>
        <v>790</v>
      </c>
      <c r="Q37">
        <f>P$102+나무계산!O$8*L37</f>
        <v>1225</v>
      </c>
    </row>
    <row r="38" spans="2:17" x14ac:dyDescent="0.3">
      <c r="L38">
        <v>36</v>
      </c>
      <c r="M38">
        <f>100+나무계산!O$4*L38</f>
        <v>136</v>
      </c>
      <c r="N38">
        <f>150+L38*나무계산!O$5</f>
        <v>222</v>
      </c>
      <c r="O38">
        <f>N$102+나무계산!O$6*L38</f>
        <v>458</v>
      </c>
      <c r="P38">
        <f>O$102+나무계산!O$7*L38</f>
        <v>794</v>
      </c>
      <c r="Q38">
        <f>P$102+나무계산!O$8*L38</f>
        <v>1230</v>
      </c>
    </row>
    <row r="39" spans="2:17" x14ac:dyDescent="0.3">
      <c r="B39" s="30">
        <v>700</v>
      </c>
      <c r="C39" s="30">
        <v>358560408.80000001</v>
      </c>
      <c r="E39" s="1">
        <f>C39/(10^5)</f>
        <v>3585.604088</v>
      </c>
      <c r="F39" s="1">
        <f>E39/1000</f>
        <v>3.5856040880000002</v>
      </c>
      <c r="G39">
        <v>5</v>
      </c>
      <c r="L39">
        <v>37</v>
      </c>
      <c r="M39">
        <f>100+나무계산!O$4*L39</f>
        <v>137</v>
      </c>
      <c r="N39">
        <f>150+L39*나무계산!O$5</f>
        <v>224</v>
      </c>
      <c r="O39">
        <f>N$102+나무계산!O$6*L39</f>
        <v>461</v>
      </c>
      <c r="P39">
        <f>O$102+나무계산!O$7*L39</f>
        <v>798</v>
      </c>
      <c r="Q39">
        <f>P$102+나무계산!O$8*L39</f>
        <v>1235</v>
      </c>
    </row>
    <row r="40" spans="2:17" x14ac:dyDescent="0.3">
      <c r="B40" s="30">
        <v>1700</v>
      </c>
      <c r="C40" s="30">
        <v>4490208271.1999998</v>
      </c>
      <c r="E40" s="1">
        <f t="shared" ref="E40" si="0">C40/(10^5)</f>
        <v>44902.082711999996</v>
      </c>
      <c r="F40" s="1">
        <f t="shared" ref="F40:F58" si="1">E40/1000</f>
        <v>44.902082711999995</v>
      </c>
      <c r="G40">
        <v>5</v>
      </c>
      <c r="L40">
        <v>38</v>
      </c>
      <c r="M40">
        <f>100+나무계산!O$4*L40</f>
        <v>138</v>
      </c>
      <c r="N40">
        <f>150+L40*나무계산!O$5</f>
        <v>226</v>
      </c>
      <c r="O40">
        <f>N$102+나무계산!O$6*L40</f>
        <v>464</v>
      </c>
      <c r="P40">
        <f>O$102+나무계산!O$7*L40</f>
        <v>802</v>
      </c>
      <c r="Q40">
        <f>P$102+나무계산!O$8*L40</f>
        <v>1240</v>
      </c>
    </row>
    <row r="41" spans="2:17" x14ac:dyDescent="0.3">
      <c r="B41" s="30">
        <v>2700</v>
      </c>
      <c r="C41" s="30">
        <v>11764740015</v>
      </c>
      <c r="E41" s="1">
        <f t="shared" ref="E41:E58" si="2">C41/(10^7)</f>
        <v>1176.4740015</v>
      </c>
      <c r="F41" s="1">
        <f t="shared" si="1"/>
        <v>1.1764740014999999</v>
      </c>
      <c r="L41">
        <v>39</v>
      </c>
      <c r="M41">
        <f>100+나무계산!O$4*L41</f>
        <v>139</v>
      </c>
      <c r="N41">
        <f>150+L41*나무계산!O$5</f>
        <v>228</v>
      </c>
      <c r="O41">
        <f>N$102+나무계산!O$6*L41</f>
        <v>467</v>
      </c>
      <c r="P41">
        <f>O$102+나무계산!O$7*L41</f>
        <v>806</v>
      </c>
      <c r="Q41">
        <f>P$102+나무계산!O$8*L41</f>
        <v>1245</v>
      </c>
    </row>
    <row r="42" spans="2:17" x14ac:dyDescent="0.3">
      <c r="B42" s="30">
        <v>3700</v>
      </c>
      <c r="C42" s="30">
        <v>20440469536.799999</v>
      </c>
      <c r="E42" s="1">
        <f t="shared" si="2"/>
        <v>2044.0469536799999</v>
      </c>
      <c r="F42" s="1">
        <f t="shared" si="1"/>
        <v>2.0440469536799997</v>
      </c>
      <c r="L42">
        <v>40</v>
      </c>
      <c r="M42">
        <f>100+나무계산!O$4*L42</f>
        <v>140</v>
      </c>
      <c r="N42">
        <f>150+L42*나무계산!O$5</f>
        <v>230</v>
      </c>
      <c r="O42">
        <f>N$102+나무계산!O$6*L42</f>
        <v>470</v>
      </c>
      <c r="P42">
        <f>O$102+나무계산!O$7*L42</f>
        <v>810</v>
      </c>
      <c r="Q42">
        <f>P$102+나무계산!O$8*L42</f>
        <v>1250</v>
      </c>
    </row>
    <row r="43" spans="2:17" x14ac:dyDescent="0.3">
      <c r="B43" s="30">
        <v>4700</v>
      </c>
      <c r="C43" s="30">
        <v>34436876203.799995</v>
      </c>
      <c r="E43" s="1">
        <f t="shared" si="2"/>
        <v>3443.6876203799993</v>
      </c>
      <c r="F43" s="1">
        <f t="shared" si="1"/>
        <v>3.4436876203799995</v>
      </c>
      <c r="L43">
        <v>41</v>
      </c>
      <c r="M43">
        <f>100+나무계산!O$4*L43</f>
        <v>141</v>
      </c>
      <c r="N43">
        <f>150+L43*나무계산!O$5</f>
        <v>232</v>
      </c>
      <c r="O43">
        <f>N$102+나무계산!O$6*L43</f>
        <v>473</v>
      </c>
      <c r="P43">
        <f>O$102+나무계산!O$7*L43</f>
        <v>814</v>
      </c>
      <c r="Q43">
        <f>P$102+나무계산!O$8*L43</f>
        <v>1255</v>
      </c>
    </row>
    <row r="44" spans="2:17" x14ac:dyDescent="0.3">
      <c r="B44" s="30">
        <v>5700</v>
      </c>
      <c r="C44" s="30">
        <v>52073282870.400002</v>
      </c>
      <c r="E44" s="1">
        <f t="shared" si="2"/>
        <v>5207.3282870399999</v>
      </c>
      <c r="F44" s="1">
        <f t="shared" si="1"/>
        <v>5.2073282870400002</v>
      </c>
      <c r="L44">
        <v>42</v>
      </c>
      <c r="M44">
        <f>100+나무계산!O$4*L44</f>
        <v>142</v>
      </c>
      <c r="N44">
        <f>150+L44*나무계산!O$5</f>
        <v>234</v>
      </c>
      <c r="O44">
        <f>N$102+나무계산!O$6*L44</f>
        <v>476</v>
      </c>
      <c r="P44">
        <f>O$102+나무계산!O$7*L44</f>
        <v>818</v>
      </c>
      <c r="Q44">
        <f>P$102+나무계산!O$8*L44</f>
        <v>1260</v>
      </c>
    </row>
    <row r="45" spans="2:17" x14ac:dyDescent="0.3">
      <c r="B45" s="30">
        <v>6700</v>
      </c>
      <c r="C45" s="30">
        <v>67237215408.550003</v>
      </c>
      <c r="E45" s="1">
        <f t="shared" si="2"/>
        <v>6723.7215408550001</v>
      </c>
      <c r="F45" s="1">
        <f t="shared" si="1"/>
        <v>6.7237215408550002</v>
      </c>
      <c r="L45">
        <v>43</v>
      </c>
      <c r="M45">
        <f>100+나무계산!O$4*L45</f>
        <v>143</v>
      </c>
      <c r="N45">
        <f>150+L45*나무계산!O$5</f>
        <v>236</v>
      </c>
      <c r="O45">
        <f>N$102+나무계산!O$6*L45</f>
        <v>479</v>
      </c>
      <c r="P45">
        <f>O$102+나무계산!O$7*L45</f>
        <v>822</v>
      </c>
      <c r="Q45">
        <f>P$102+나무계산!O$8*L45</f>
        <v>1265</v>
      </c>
    </row>
    <row r="46" spans="2:17" x14ac:dyDescent="0.3">
      <c r="B46" s="30">
        <v>7700</v>
      </c>
      <c r="C46" s="30">
        <v>90077254852.75</v>
      </c>
      <c r="E46" s="1">
        <f t="shared" si="2"/>
        <v>9007.7254852749993</v>
      </c>
      <c r="F46" s="1">
        <f t="shared" si="1"/>
        <v>9.0077254852749995</v>
      </c>
      <c r="L46">
        <v>44</v>
      </c>
      <c r="M46">
        <f>100+나무계산!O$4*L46</f>
        <v>144</v>
      </c>
      <c r="N46">
        <f>150+L46*나무계산!O$5</f>
        <v>238</v>
      </c>
      <c r="O46">
        <f>N$102+나무계산!O$6*L46</f>
        <v>482</v>
      </c>
      <c r="P46">
        <f>O$102+나무계산!O$7*L46</f>
        <v>826</v>
      </c>
      <c r="Q46">
        <f>P$102+나무계산!O$8*L46</f>
        <v>1270</v>
      </c>
    </row>
    <row r="47" spans="2:17" x14ac:dyDescent="0.3">
      <c r="B47" s="30">
        <v>8700</v>
      </c>
      <c r="C47" s="30">
        <v>116253960963.8</v>
      </c>
      <c r="E47" s="1">
        <f t="shared" si="2"/>
        <v>11625.39609638</v>
      </c>
      <c r="F47" s="1">
        <f t="shared" si="1"/>
        <v>11.625396096379999</v>
      </c>
      <c r="L47">
        <v>45</v>
      </c>
      <c r="M47">
        <f>100+나무계산!O$4*L47</f>
        <v>145</v>
      </c>
      <c r="N47">
        <f>150+L47*나무계산!O$5</f>
        <v>240</v>
      </c>
      <c r="O47">
        <f>N$102+나무계산!O$6*L47</f>
        <v>485</v>
      </c>
      <c r="P47">
        <f>O$102+나무계산!O$7*L47</f>
        <v>830</v>
      </c>
      <c r="Q47">
        <f>P$102+나무계산!O$8*L47</f>
        <v>1275</v>
      </c>
    </row>
    <row r="48" spans="2:17" x14ac:dyDescent="0.3">
      <c r="B48" s="30">
        <v>9700</v>
      </c>
      <c r="C48" s="30">
        <v>132515757947</v>
      </c>
      <c r="E48" s="1">
        <f t="shared" si="2"/>
        <v>13251.5757947</v>
      </c>
      <c r="F48" s="1">
        <f t="shared" si="1"/>
        <v>13.251575794700001</v>
      </c>
      <c r="L48">
        <v>46</v>
      </c>
      <c r="M48">
        <f>100+나무계산!O$4*L48</f>
        <v>146</v>
      </c>
      <c r="N48">
        <f>150+L48*나무계산!O$5</f>
        <v>242</v>
      </c>
      <c r="O48">
        <f>N$102+나무계산!O$6*L48</f>
        <v>488</v>
      </c>
      <c r="P48">
        <f>O$102+나무계산!O$7*L48</f>
        <v>834</v>
      </c>
      <c r="Q48">
        <f>P$102+나무계산!O$8*L48</f>
        <v>1280</v>
      </c>
    </row>
    <row r="49" spans="2:17" x14ac:dyDescent="0.3">
      <c r="B49" s="30">
        <v>10700</v>
      </c>
      <c r="C49" s="30">
        <v>162379430169.5</v>
      </c>
      <c r="E49" s="1">
        <f t="shared" si="2"/>
        <v>16237.943016949999</v>
      </c>
      <c r="F49" s="1">
        <f t="shared" si="1"/>
        <v>16.237943016949998</v>
      </c>
      <c r="L49">
        <v>47</v>
      </c>
      <c r="M49">
        <f>100+나무계산!O$4*L49</f>
        <v>147</v>
      </c>
      <c r="N49">
        <f>150+L49*나무계산!O$5</f>
        <v>244</v>
      </c>
      <c r="O49">
        <f>N$102+나무계산!O$6*L49</f>
        <v>491</v>
      </c>
      <c r="P49">
        <f>O$102+나무계산!O$7*L49</f>
        <v>838</v>
      </c>
      <c r="Q49">
        <f>P$102+나무계산!O$8*L49</f>
        <v>1285</v>
      </c>
    </row>
    <row r="50" spans="2:17" x14ac:dyDescent="0.3">
      <c r="B50" s="30">
        <v>11700</v>
      </c>
      <c r="C50" s="30">
        <v>195276435725</v>
      </c>
      <c r="E50" s="1">
        <f t="shared" si="2"/>
        <v>19527.643572500001</v>
      </c>
      <c r="F50" s="1">
        <f t="shared" si="1"/>
        <v>19.527643572500001</v>
      </c>
      <c r="L50">
        <v>48</v>
      </c>
      <c r="M50">
        <f>100+나무계산!O$4*L50</f>
        <v>148</v>
      </c>
      <c r="N50">
        <f>150+L50*나무계산!O$5</f>
        <v>246</v>
      </c>
      <c r="O50">
        <f>N$102+나무계산!O$6*L50</f>
        <v>494</v>
      </c>
      <c r="P50">
        <f>O$102+나무계산!O$7*L50</f>
        <v>842</v>
      </c>
      <c r="Q50">
        <f>P$102+나무계산!O$8*L50</f>
        <v>1290</v>
      </c>
    </row>
    <row r="51" spans="2:17" x14ac:dyDescent="0.3">
      <c r="B51" s="30">
        <v>12700</v>
      </c>
      <c r="C51" s="30">
        <v>231206774614</v>
      </c>
      <c r="E51" s="1">
        <f t="shared" si="2"/>
        <v>23120.677461399999</v>
      </c>
      <c r="F51" s="1">
        <f t="shared" si="1"/>
        <v>23.1206774614</v>
      </c>
      <c r="L51">
        <v>49</v>
      </c>
      <c r="M51">
        <f>100+나무계산!O$4*L51</f>
        <v>149</v>
      </c>
      <c r="N51">
        <f>150+L51*나무계산!O$5</f>
        <v>248</v>
      </c>
      <c r="O51">
        <f>N$102+나무계산!O$6*L51</f>
        <v>497</v>
      </c>
      <c r="P51">
        <f>O$102+나무계산!O$7*L51</f>
        <v>846</v>
      </c>
      <c r="Q51">
        <f>P$102+나무계산!O$8*L51</f>
        <v>1295</v>
      </c>
    </row>
    <row r="52" spans="2:17" x14ac:dyDescent="0.3">
      <c r="B52" s="30">
        <v>13700</v>
      </c>
      <c r="C52" s="30">
        <v>270170446836.5</v>
      </c>
      <c r="E52" s="1">
        <f t="shared" si="2"/>
        <v>27017.044683650001</v>
      </c>
      <c r="F52" s="1">
        <f t="shared" si="1"/>
        <v>27.017044683650003</v>
      </c>
      <c r="L52">
        <v>50</v>
      </c>
      <c r="M52">
        <f>100+나무계산!O$4*L52</f>
        <v>150</v>
      </c>
      <c r="N52">
        <f>150+L52*나무계산!O$5</f>
        <v>250</v>
      </c>
      <c r="O52">
        <f>N$102+나무계산!O$6*L52</f>
        <v>500</v>
      </c>
      <c r="P52">
        <f>O$102+나무계산!O$7*L52</f>
        <v>850</v>
      </c>
      <c r="Q52">
        <f>P$102+나무계산!O$8*L52</f>
        <v>1300</v>
      </c>
    </row>
    <row r="53" spans="2:17" x14ac:dyDescent="0.3">
      <c r="B53" s="30">
        <v>14700</v>
      </c>
      <c r="C53" s="30">
        <v>280950707152.79999</v>
      </c>
      <c r="E53" s="1">
        <f t="shared" si="2"/>
        <v>28095.070715279999</v>
      </c>
      <c r="F53" s="1">
        <f t="shared" si="1"/>
        <v>28.095070715279999</v>
      </c>
      <c r="L53">
        <v>51</v>
      </c>
      <c r="M53">
        <f>100+나무계산!O$4*L53</f>
        <v>151</v>
      </c>
      <c r="N53">
        <f>150+L53*나무계산!O$5</f>
        <v>252</v>
      </c>
      <c r="O53">
        <f>N$102+나무계산!O$6*L53</f>
        <v>503</v>
      </c>
      <c r="P53">
        <f>O$102+나무계산!O$7*L53</f>
        <v>854</v>
      </c>
      <c r="Q53">
        <f>P$102+나무계산!O$8*L53</f>
        <v>1305</v>
      </c>
    </row>
    <row r="54" spans="2:17" x14ac:dyDescent="0.3">
      <c r="B54" s="30">
        <v>15700</v>
      </c>
      <c r="C54" s="30">
        <v>307190100501.22998</v>
      </c>
      <c r="E54" s="1">
        <f t="shared" si="2"/>
        <v>30719.010050122997</v>
      </c>
      <c r="F54" s="1">
        <f t="shared" si="1"/>
        <v>30.719010050122996</v>
      </c>
      <c r="L54">
        <v>52</v>
      </c>
      <c r="M54">
        <f>100+나무계산!O$4*L54</f>
        <v>152</v>
      </c>
      <c r="N54">
        <f>150+L54*나무계산!O$5</f>
        <v>254</v>
      </c>
      <c r="O54">
        <f>N$102+나무계산!O$6*L54</f>
        <v>506</v>
      </c>
      <c r="P54">
        <f>O$102+나무계산!O$7*L54</f>
        <v>858</v>
      </c>
      <c r="Q54">
        <f>P$102+나무계산!O$8*L54</f>
        <v>1310</v>
      </c>
    </row>
    <row r="55" spans="2:17" x14ac:dyDescent="0.3">
      <c r="B55" s="30">
        <v>16700</v>
      </c>
      <c r="C55" s="30">
        <v>348524858612.15002</v>
      </c>
      <c r="E55" s="1">
        <f t="shared" si="2"/>
        <v>34852.485861215006</v>
      </c>
      <c r="F55" s="1">
        <f t="shared" si="1"/>
        <v>34.852485861215008</v>
      </c>
      <c r="L55">
        <v>53</v>
      </c>
      <c r="M55">
        <f>100+나무계산!O$4*L55</f>
        <v>153</v>
      </c>
      <c r="N55">
        <f>150+L55*나무계산!O$5</f>
        <v>256</v>
      </c>
      <c r="O55">
        <f>N$102+나무계산!O$6*L55</f>
        <v>509</v>
      </c>
      <c r="P55">
        <f>O$102+나무계산!O$7*L55</f>
        <v>862</v>
      </c>
      <c r="Q55">
        <f>P$102+나무계산!O$8*L55</f>
        <v>1315</v>
      </c>
    </row>
    <row r="56" spans="2:17" x14ac:dyDescent="0.3">
      <c r="B56" s="30">
        <v>17700</v>
      </c>
      <c r="C56" s="30">
        <v>392468283389.88</v>
      </c>
      <c r="E56" s="1">
        <f t="shared" si="2"/>
        <v>39246.828338988002</v>
      </c>
      <c r="F56" s="1">
        <f t="shared" si="1"/>
        <v>39.246828338988003</v>
      </c>
      <c r="L56">
        <v>54</v>
      </c>
      <c r="M56">
        <f>100+나무계산!O$4*L56</f>
        <v>154</v>
      </c>
      <c r="N56">
        <f>150+L56*나무계산!O$5</f>
        <v>258</v>
      </c>
      <c r="O56">
        <f>N$102+나무계산!O$6*L56</f>
        <v>512</v>
      </c>
      <c r="P56">
        <f>O$102+나무계산!O$7*L56</f>
        <v>866</v>
      </c>
      <c r="Q56">
        <f>P$102+나무계산!O$8*L56</f>
        <v>1320</v>
      </c>
    </row>
    <row r="57" spans="2:17" x14ac:dyDescent="0.3">
      <c r="B57" s="30">
        <v>18700</v>
      </c>
      <c r="C57" s="30">
        <v>439020374834.41998</v>
      </c>
      <c r="E57" s="1">
        <f t="shared" si="2"/>
        <v>43902.037483442</v>
      </c>
      <c r="F57" s="1">
        <f t="shared" si="1"/>
        <v>43.902037483442001</v>
      </c>
      <c r="L57">
        <v>55</v>
      </c>
      <c r="M57">
        <f>100+나무계산!O$4*L57</f>
        <v>155</v>
      </c>
      <c r="N57">
        <f>150+L57*나무계산!O$5</f>
        <v>260</v>
      </c>
      <c r="O57">
        <f>N$102+나무계산!O$6*L57</f>
        <v>515</v>
      </c>
      <c r="P57">
        <f>O$102+나무계산!O$7*L57</f>
        <v>870</v>
      </c>
      <c r="Q57">
        <f>P$102+나무계산!O$8*L57</f>
        <v>1325</v>
      </c>
    </row>
    <row r="58" spans="2:17" x14ac:dyDescent="0.3">
      <c r="B58" s="30">
        <v>19700</v>
      </c>
      <c r="C58" s="30">
        <v>488181132945.77008</v>
      </c>
      <c r="E58" s="1">
        <f t="shared" si="2"/>
        <v>48818.113294577008</v>
      </c>
      <c r="F58" s="1">
        <f t="shared" si="1"/>
        <v>48.81811329457701</v>
      </c>
      <c r="L58">
        <v>56</v>
      </c>
      <c r="M58">
        <f>100+나무계산!O$4*L58</f>
        <v>156</v>
      </c>
      <c r="N58">
        <f>150+L58*나무계산!O$5</f>
        <v>262</v>
      </c>
      <c r="O58">
        <f>N$102+나무계산!O$6*L58</f>
        <v>518</v>
      </c>
      <c r="P58">
        <f>O$102+나무계산!O$7*L58</f>
        <v>874</v>
      </c>
      <c r="Q58">
        <f>P$102+나무계산!O$8*L58</f>
        <v>1330</v>
      </c>
    </row>
    <row r="59" spans="2:17" x14ac:dyDescent="0.3">
      <c r="L59">
        <v>57</v>
      </c>
      <c r="M59">
        <f>100+나무계산!O$4*L59</f>
        <v>157</v>
      </c>
      <c r="N59">
        <f>150+L59*나무계산!O$5</f>
        <v>264</v>
      </c>
      <c r="O59">
        <f>N$102+나무계산!O$6*L59</f>
        <v>521</v>
      </c>
      <c r="P59">
        <f>O$102+나무계산!O$7*L59</f>
        <v>878</v>
      </c>
      <c r="Q59">
        <f>P$102+나무계산!O$8*L59</f>
        <v>1335</v>
      </c>
    </row>
    <row r="60" spans="2:17" x14ac:dyDescent="0.3">
      <c r="L60">
        <v>58</v>
      </c>
      <c r="M60">
        <f>100+나무계산!O$4*L60</f>
        <v>158</v>
      </c>
      <c r="N60">
        <f>150+L60*나무계산!O$5</f>
        <v>266</v>
      </c>
      <c r="O60">
        <f>N$102+나무계산!O$6*L60</f>
        <v>524</v>
      </c>
      <c r="P60">
        <f>O$102+나무계산!O$7*L60</f>
        <v>882</v>
      </c>
      <c r="Q60">
        <f>P$102+나무계산!O$8*L60</f>
        <v>1340</v>
      </c>
    </row>
    <row r="61" spans="2:17" x14ac:dyDescent="0.3">
      <c r="L61">
        <v>59</v>
      </c>
      <c r="M61">
        <f>100+나무계산!O$4*L61</f>
        <v>159</v>
      </c>
      <c r="N61">
        <f>150+L61*나무계산!O$5</f>
        <v>268</v>
      </c>
      <c r="O61">
        <f>N$102+나무계산!O$6*L61</f>
        <v>527</v>
      </c>
      <c r="P61">
        <f>O$102+나무계산!O$7*L61</f>
        <v>886</v>
      </c>
      <c r="Q61">
        <f>P$102+나무계산!O$8*L61</f>
        <v>1345</v>
      </c>
    </row>
    <row r="62" spans="2:17" x14ac:dyDescent="0.3">
      <c r="L62">
        <v>60</v>
      </c>
      <c r="M62">
        <f>100+나무계산!O$4*L62</f>
        <v>160</v>
      </c>
      <c r="N62">
        <f>150+L62*나무계산!O$5</f>
        <v>270</v>
      </c>
      <c r="O62">
        <f>N$102+나무계산!O$6*L62</f>
        <v>530</v>
      </c>
      <c r="P62">
        <f>O$102+나무계산!O$7*L62</f>
        <v>890</v>
      </c>
      <c r="Q62">
        <f>P$102+나무계산!O$8*L62</f>
        <v>1350</v>
      </c>
    </row>
    <row r="63" spans="2:17" x14ac:dyDescent="0.3">
      <c r="L63">
        <v>61</v>
      </c>
      <c r="M63">
        <f>100+나무계산!O$4*L63</f>
        <v>161</v>
      </c>
      <c r="N63">
        <f>150+L63*나무계산!O$5</f>
        <v>272</v>
      </c>
      <c r="O63">
        <f>N$102+나무계산!O$6*L63</f>
        <v>533</v>
      </c>
      <c r="P63">
        <f>O$102+나무계산!O$7*L63</f>
        <v>894</v>
      </c>
      <c r="Q63">
        <f>P$102+나무계산!O$8*L63</f>
        <v>1355</v>
      </c>
    </row>
    <row r="64" spans="2:17" x14ac:dyDescent="0.3">
      <c r="L64">
        <v>62</v>
      </c>
      <c r="M64">
        <f>100+나무계산!O$4*L64</f>
        <v>162</v>
      </c>
      <c r="N64">
        <f>150+L64*나무계산!O$5</f>
        <v>274</v>
      </c>
      <c r="O64">
        <f>N$102+나무계산!O$6*L64</f>
        <v>536</v>
      </c>
      <c r="P64">
        <f>O$102+나무계산!O$7*L64</f>
        <v>898</v>
      </c>
      <c r="Q64">
        <f>P$102+나무계산!O$8*L64</f>
        <v>1360</v>
      </c>
    </row>
    <row r="65" spans="12:17" x14ac:dyDescent="0.3">
      <c r="L65">
        <v>63</v>
      </c>
      <c r="M65">
        <f>100+나무계산!O$4*L65</f>
        <v>163</v>
      </c>
      <c r="N65">
        <f>150+L65*나무계산!O$5</f>
        <v>276</v>
      </c>
      <c r="O65">
        <f>N$102+나무계산!O$6*L65</f>
        <v>539</v>
      </c>
      <c r="P65">
        <f>O$102+나무계산!O$7*L65</f>
        <v>902</v>
      </c>
      <c r="Q65">
        <f>P$102+나무계산!O$8*L65</f>
        <v>1365</v>
      </c>
    </row>
    <row r="66" spans="12:17" x14ac:dyDescent="0.3">
      <c r="L66">
        <v>64</v>
      </c>
      <c r="M66">
        <f>100+나무계산!O$4*L66</f>
        <v>164</v>
      </c>
      <c r="N66">
        <f>150+L66*나무계산!O$5</f>
        <v>278</v>
      </c>
      <c r="O66">
        <f>N$102+나무계산!O$6*L66</f>
        <v>542</v>
      </c>
      <c r="P66">
        <f>O$102+나무계산!O$7*L66</f>
        <v>906</v>
      </c>
      <c r="Q66">
        <f>P$102+나무계산!O$8*L66</f>
        <v>1370</v>
      </c>
    </row>
    <row r="67" spans="12:17" x14ac:dyDescent="0.3">
      <c r="L67">
        <v>65</v>
      </c>
      <c r="M67">
        <f>100+나무계산!O$4*L67</f>
        <v>165</v>
      </c>
      <c r="N67">
        <f>150+L67*나무계산!O$5</f>
        <v>280</v>
      </c>
      <c r="O67">
        <f>N$102+나무계산!O$6*L67</f>
        <v>545</v>
      </c>
      <c r="P67">
        <f>O$102+나무계산!O$7*L67</f>
        <v>910</v>
      </c>
      <c r="Q67">
        <f>P$102+나무계산!O$8*L67</f>
        <v>1375</v>
      </c>
    </row>
    <row r="68" spans="12:17" x14ac:dyDescent="0.3">
      <c r="L68">
        <v>66</v>
      </c>
      <c r="M68">
        <f>100+나무계산!O$4*L68</f>
        <v>166</v>
      </c>
      <c r="N68">
        <f>150+L68*나무계산!O$5</f>
        <v>282</v>
      </c>
      <c r="O68">
        <f>N$102+나무계산!O$6*L68</f>
        <v>548</v>
      </c>
      <c r="P68">
        <f>O$102+나무계산!O$7*L68</f>
        <v>914</v>
      </c>
      <c r="Q68">
        <f>P$102+나무계산!O$8*L68</f>
        <v>1380</v>
      </c>
    </row>
    <row r="69" spans="12:17" x14ac:dyDescent="0.3">
      <c r="L69">
        <v>67</v>
      </c>
      <c r="M69">
        <f>100+나무계산!O$4*L69</f>
        <v>167</v>
      </c>
      <c r="N69">
        <f>150+L69*나무계산!O$5</f>
        <v>284</v>
      </c>
      <c r="O69">
        <f>N$102+나무계산!O$6*L69</f>
        <v>551</v>
      </c>
      <c r="P69">
        <f>O$102+나무계산!O$7*L69</f>
        <v>918</v>
      </c>
      <c r="Q69">
        <f>P$102+나무계산!O$8*L69</f>
        <v>1385</v>
      </c>
    </row>
    <row r="70" spans="12:17" x14ac:dyDescent="0.3">
      <c r="L70">
        <v>68</v>
      </c>
      <c r="M70">
        <f>100+나무계산!O$4*L70</f>
        <v>168</v>
      </c>
      <c r="N70">
        <f>150+L70*나무계산!O$5</f>
        <v>286</v>
      </c>
      <c r="O70">
        <f>N$102+나무계산!O$6*L70</f>
        <v>554</v>
      </c>
      <c r="P70">
        <f>O$102+나무계산!O$7*L70</f>
        <v>922</v>
      </c>
      <c r="Q70">
        <f>P$102+나무계산!O$8*L70</f>
        <v>1390</v>
      </c>
    </row>
    <row r="71" spans="12:17" x14ac:dyDescent="0.3">
      <c r="L71">
        <v>69</v>
      </c>
      <c r="M71">
        <f>100+나무계산!O$4*L71</f>
        <v>169</v>
      </c>
      <c r="N71">
        <f>150+L71*나무계산!O$5</f>
        <v>288</v>
      </c>
      <c r="O71">
        <f>N$102+나무계산!O$6*L71</f>
        <v>557</v>
      </c>
      <c r="P71">
        <f>O$102+나무계산!O$7*L71</f>
        <v>926</v>
      </c>
      <c r="Q71">
        <f>P$102+나무계산!O$8*L71</f>
        <v>1395</v>
      </c>
    </row>
    <row r="72" spans="12:17" x14ac:dyDescent="0.3">
      <c r="L72">
        <v>70</v>
      </c>
      <c r="M72">
        <f>100+나무계산!O$4*L72</f>
        <v>170</v>
      </c>
      <c r="N72">
        <f>150+L72*나무계산!O$5</f>
        <v>290</v>
      </c>
      <c r="O72">
        <f>N$102+나무계산!O$6*L72</f>
        <v>560</v>
      </c>
      <c r="P72">
        <f>O$102+나무계산!O$7*L72</f>
        <v>930</v>
      </c>
      <c r="Q72">
        <f>P$102+나무계산!O$8*L72</f>
        <v>1400</v>
      </c>
    </row>
    <row r="73" spans="12:17" x14ac:dyDescent="0.3">
      <c r="L73">
        <v>71</v>
      </c>
      <c r="M73">
        <f>100+나무계산!O$4*L73</f>
        <v>171</v>
      </c>
      <c r="N73">
        <f>150+L73*나무계산!O$5</f>
        <v>292</v>
      </c>
      <c r="O73">
        <f>N$102+나무계산!O$6*L73</f>
        <v>563</v>
      </c>
      <c r="P73">
        <f>O$102+나무계산!O$7*L73</f>
        <v>934</v>
      </c>
      <c r="Q73">
        <f>P$102+나무계산!O$8*L73</f>
        <v>1405</v>
      </c>
    </row>
    <row r="74" spans="12:17" x14ac:dyDescent="0.3">
      <c r="L74">
        <v>72</v>
      </c>
      <c r="M74">
        <f>100+나무계산!O$4*L74</f>
        <v>172</v>
      </c>
      <c r="N74">
        <f>150+L74*나무계산!O$5</f>
        <v>294</v>
      </c>
      <c r="O74">
        <f>N$102+나무계산!O$6*L74</f>
        <v>566</v>
      </c>
      <c r="P74">
        <f>O$102+나무계산!O$7*L74</f>
        <v>938</v>
      </c>
      <c r="Q74">
        <f>P$102+나무계산!O$8*L74</f>
        <v>1410</v>
      </c>
    </row>
    <row r="75" spans="12:17" x14ac:dyDescent="0.3">
      <c r="L75">
        <v>73</v>
      </c>
      <c r="M75">
        <f>100+나무계산!O$4*L75</f>
        <v>173</v>
      </c>
      <c r="N75">
        <f>150+L75*나무계산!O$5</f>
        <v>296</v>
      </c>
      <c r="O75">
        <f>N$102+나무계산!O$6*L75</f>
        <v>569</v>
      </c>
      <c r="P75">
        <f>O$102+나무계산!O$7*L75</f>
        <v>942</v>
      </c>
      <c r="Q75">
        <f>P$102+나무계산!O$8*L75</f>
        <v>1415</v>
      </c>
    </row>
    <row r="76" spans="12:17" x14ac:dyDescent="0.3">
      <c r="L76">
        <v>74</v>
      </c>
      <c r="M76">
        <f>100+나무계산!O$4*L76</f>
        <v>174</v>
      </c>
      <c r="N76">
        <f>150+L76*나무계산!O$5</f>
        <v>298</v>
      </c>
      <c r="O76">
        <f>N$102+나무계산!O$6*L76</f>
        <v>572</v>
      </c>
      <c r="P76">
        <f>O$102+나무계산!O$7*L76</f>
        <v>946</v>
      </c>
      <c r="Q76">
        <f>P$102+나무계산!O$8*L76</f>
        <v>1420</v>
      </c>
    </row>
    <row r="77" spans="12:17" x14ac:dyDescent="0.3">
      <c r="L77">
        <v>75</v>
      </c>
      <c r="M77">
        <f>100+나무계산!O$4*L77</f>
        <v>175</v>
      </c>
      <c r="N77">
        <f>150+L77*나무계산!O$5</f>
        <v>300</v>
      </c>
      <c r="O77">
        <f>N$102+나무계산!O$6*L77</f>
        <v>575</v>
      </c>
      <c r="P77">
        <f>O$102+나무계산!O$7*L77</f>
        <v>950</v>
      </c>
      <c r="Q77">
        <f>P$102+나무계산!O$8*L77</f>
        <v>1425</v>
      </c>
    </row>
    <row r="78" spans="12:17" x14ac:dyDescent="0.3">
      <c r="L78">
        <v>76</v>
      </c>
      <c r="M78">
        <f>100+나무계산!O$4*L78</f>
        <v>176</v>
      </c>
      <c r="N78">
        <f>150+L78*나무계산!O$5</f>
        <v>302</v>
      </c>
      <c r="O78">
        <f>N$102+나무계산!O$6*L78</f>
        <v>578</v>
      </c>
      <c r="P78">
        <f>O$102+나무계산!O$7*L78</f>
        <v>954</v>
      </c>
      <c r="Q78">
        <f>P$102+나무계산!O$8*L78</f>
        <v>1430</v>
      </c>
    </row>
    <row r="79" spans="12:17" x14ac:dyDescent="0.3">
      <c r="L79">
        <v>77</v>
      </c>
      <c r="M79">
        <f>100+나무계산!O$4*L79</f>
        <v>177</v>
      </c>
      <c r="N79">
        <f>150+L79*나무계산!O$5</f>
        <v>304</v>
      </c>
      <c r="O79">
        <f>N$102+나무계산!O$6*L79</f>
        <v>581</v>
      </c>
      <c r="P79">
        <f>O$102+나무계산!O$7*L79</f>
        <v>958</v>
      </c>
      <c r="Q79">
        <f>P$102+나무계산!O$8*L79</f>
        <v>1435</v>
      </c>
    </row>
    <row r="80" spans="12:17" x14ac:dyDescent="0.3">
      <c r="L80">
        <v>78</v>
      </c>
      <c r="M80">
        <f>100+나무계산!O$4*L80</f>
        <v>178</v>
      </c>
      <c r="N80">
        <f>150+L80*나무계산!O$5</f>
        <v>306</v>
      </c>
      <c r="O80">
        <f>N$102+나무계산!O$6*L80</f>
        <v>584</v>
      </c>
      <c r="P80">
        <f>O$102+나무계산!O$7*L80</f>
        <v>962</v>
      </c>
      <c r="Q80">
        <f>P$102+나무계산!O$8*L80</f>
        <v>1440</v>
      </c>
    </row>
    <row r="81" spans="12:17" x14ac:dyDescent="0.3">
      <c r="L81">
        <v>79</v>
      </c>
      <c r="M81">
        <f>100+나무계산!O$4*L81</f>
        <v>179</v>
      </c>
      <c r="N81">
        <f>150+L81*나무계산!O$5</f>
        <v>308</v>
      </c>
      <c r="O81">
        <f>N$102+나무계산!O$6*L81</f>
        <v>587</v>
      </c>
      <c r="P81">
        <f>O$102+나무계산!O$7*L81</f>
        <v>966</v>
      </c>
      <c r="Q81">
        <f>P$102+나무계산!O$8*L81</f>
        <v>1445</v>
      </c>
    </row>
    <row r="82" spans="12:17" x14ac:dyDescent="0.3">
      <c r="L82">
        <v>80</v>
      </c>
      <c r="M82">
        <f>100+나무계산!O$4*L82</f>
        <v>180</v>
      </c>
      <c r="N82">
        <f>150+L82*나무계산!O$5</f>
        <v>310</v>
      </c>
      <c r="O82">
        <f>N$102+나무계산!O$6*L82</f>
        <v>590</v>
      </c>
      <c r="P82">
        <f>O$102+나무계산!O$7*L82</f>
        <v>970</v>
      </c>
      <c r="Q82">
        <f>P$102+나무계산!O$8*L82</f>
        <v>1450</v>
      </c>
    </row>
    <row r="83" spans="12:17" x14ac:dyDescent="0.3">
      <c r="L83">
        <v>81</v>
      </c>
      <c r="M83">
        <f>100+나무계산!O$4*L83</f>
        <v>181</v>
      </c>
      <c r="N83">
        <f>150+L83*나무계산!O$5</f>
        <v>312</v>
      </c>
      <c r="O83">
        <f>N$102+나무계산!O$6*L83</f>
        <v>593</v>
      </c>
      <c r="P83">
        <f>O$102+나무계산!O$7*L83</f>
        <v>974</v>
      </c>
      <c r="Q83">
        <f>P$102+나무계산!O$8*L83</f>
        <v>1455</v>
      </c>
    </row>
    <row r="84" spans="12:17" x14ac:dyDescent="0.3">
      <c r="L84">
        <v>82</v>
      </c>
      <c r="M84">
        <f>100+나무계산!O$4*L84</f>
        <v>182</v>
      </c>
      <c r="N84">
        <f>150+L84*나무계산!O$5</f>
        <v>314</v>
      </c>
      <c r="O84">
        <f>N$102+나무계산!O$6*L84</f>
        <v>596</v>
      </c>
      <c r="P84">
        <f>O$102+나무계산!O$7*L84</f>
        <v>978</v>
      </c>
      <c r="Q84">
        <f>P$102+나무계산!O$8*L84</f>
        <v>1460</v>
      </c>
    </row>
    <row r="85" spans="12:17" x14ac:dyDescent="0.3">
      <c r="L85">
        <v>83</v>
      </c>
      <c r="M85">
        <f>100+나무계산!O$4*L85</f>
        <v>183</v>
      </c>
      <c r="N85">
        <f>150+L85*나무계산!O$5</f>
        <v>316</v>
      </c>
      <c r="O85">
        <f>N$102+나무계산!O$6*L85</f>
        <v>599</v>
      </c>
      <c r="P85">
        <f>O$102+나무계산!O$7*L85</f>
        <v>982</v>
      </c>
      <c r="Q85">
        <f>P$102+나무계산!O$8*L85</f>
        <v>1465</v>
      </c>
    </row>
    <row r="86" spans="12:17" x14ac:dyDescent="0.3">
      <c r="L86">
        <v>84</v>
      </c>
      <c r="M86">
        <f>100+나무계산!O$4*L86</f>
        <v>184</v>
      </c>
      <c r="N86">
        <f>150+L86*나무계산!O$5</f>
        <v>318</v>
      </c>
      <c r="O86">
        <f>N$102+나무계산!O$6*L86</f>
        <v>602</v>
      </c>
      <c r="P86">
        <f>O$102+나무계산!O$7*L86</f>
        <v>986</v>
      </c>
      <c r="Q86">
        <f>P$102+나무계산!O$8*L86</f>
        <v>1470</v>
      </c>
    </row>
    <row r="87" spans="12:17" x14ac:dyDescent="0.3">
      <c r="L87">
        <v>85</v>
      </c>
      <c r="M87">
        <f>100+나무계산!O$4*L87</f>
        <v>185</v>
      </c>
      <c r="N87">
        <f>150+L87*나무계산!O$5</f>
        <v>320</v>
      </c>
      <c r="O87">
        <f>N$102+나무계산!O$6*L87</f>
        <v>605</v>
      </c>
      <c r="P87">
        <f>O$102+나무계산!O$7*L87</f>
        <v>990</v>
      </c>
      <c r="Q87">
        <f>P$102+나무계산!O$8*L87</f>
        <v>1475</v>
      </c>
    </row>
    <row r="88" spans="12:17" x14ac:dyDescent="0.3">
      <c r="L88">
        <v>86</v>
      </c>
      <c r="M88">
        <f>100+나무계산!O$4*L88</f>
        <v>186</v>
      </c>
      <c r="N88">
        <f>150+L88*나무계산!O$5</f>
        <v>322</v>
      </c>
      <c r="O88">
        <f>N$102+나무계산!O$6*L88</f>
        <v>608</v>
      </c>
      <c r="P88">
        <f>O$102+나무계산!O$7*L88</f>
        <v>994</v>
      </c>
      <c r="Q88">
        <f>P$102+나무계산!O$8*L88</f>
        <v>1480</v>
      </c>
    </row>
    <row r="89" spans="12:17" x14ac:dyDescent="0.3">
      <c r="L89">
        <v>87</v>
      </c>
      <c r="M89">
        <f>100+나무계산!O$4*L89</f>
        <v>187</v>
      </c>
      <c r="N89">
        <f>150+L89*나무계산!O$5</f>
        <v>324</v>
      </c>
      <c r="O89">
        <f>N$102+나무계산!O$6*L89</f>
        <v>611</v>
      </c>
      <c r="P89">
        <f>O$102+나무계산!O$7*L89</f>
        <v>998</v>
      </c>
      <c r="Q89">
        <f>P$102+나무계산!O$8*L89</f>
        <v>1485</v>
      </c>
    </row>
    <row r="90" spans="12:17" x14ac:dyDescent="0.3">
      <c r="L90">
        <v>88</v>
      </c>
      <c r="M90">
        <f>100+나무계산!O$4*L90</f>
        <v>188</v>
      </c>
      <c r="N90">
        <f>150+L90*나무계산!O$5</f>
        <v>326</v>
      </c>
      <c r="O90">
        <f>N$102+나무계산!O$6*L90</f>
        <v>614</v>
      </c>
      <c r="P90">
        <f>O$102+나무계산!O$7*L90</f>
        <v>1002</v>
      </c>
      <c r="Q90">
        <f>P$102+나무계산!O$8*L90</f>
        <v>1490</v>
      </c>
    </row>
    <row r="91" spans="12:17" x14ac:dyDescent="0.3">
      <c r="L91">
        <v>89</v>
      </c>
      <c r="M91">
        <f>100+나무계산!O$4*L91</f>
        <v>189</v>
      </c>
      <c r="N91">
        <f>150+L91*나무계산!O$5</f>
        <v>328</v>
      </c>
      <c r="O91">
        <f>N$102+나무계산!O$6*L91</f>
        <v>617</v>
      </c>
      <c r="P91">
        <f>O$102+나무계산!O$7*L91</f>
        <v>1006</v>
      </c>
      <c r="Q91">
        <f>P$102+나무계산!O$8*L91</f>
        <v>1495</v>
      </c>
    </row>
    <row r="92" spans="12:17" x14ac:dyDescent="0.3">
      <c r="L92">
        <v>90</v>
      </c>
      <c r="M92">
        <f>100+나무계산!O$4*L92</f>
        <v>190</v>
      </c>
      <c r="N92">
        <f>150+L92*나무계산!O$5</f>
        <v>330</v>
      </c>
      <c r="O92">
        <f>N$102+나무계산!O$6*L92</f>
        <v>620</v>
      </c>
      <c r="P92">
        <f>O$102+나무계산!O$7*L92</f>
        <v>1010</v>
      </c>
      <c r="Q92">
        <f>P$102+나무계산!O$8*L92</f>
        <v>1500</v>
      </c>
    </row>
    <row r="93" spans="12:17" x14ac:dyDescent="0.3">
      <c r="L93">
        <v>91</v>
      </c>
      <c r="M93">
        <f>100+나무계산!O$4*L93</f>
        <v>191</v>
      </c>
      <c r="N93">
        <f>150+L93*나무계산!O$5</f>
        <v>332</v>
      </c>
      <c r="O93">
        <f>N$102+나무계산!O$6*L93</f>
        <v>623</v>
      </c>
      <c r="P93">
        <f>O$102+나무계산!O$7*L93</f>
        <v>1014</v>
      </c>
      <c r="Q93">
        <f>P$102+나무계산!O$8*L93</f>
        <v>1505</v>
      </c>
    </row>
    <row r="94" spans="12:17" x14ac:dyDescent="0.3">
      <c r="L94">
        <v>92</v>
      </c>
      <c r="M94">
        <f>100+나무계산!O$4*L94</f>
        <v>192</v>
      </c>
      <c r="N94">
        <f>150+L94*나무계산!O$5</f>
        <v>334</v>
      </c>
      <c r="O94">
        <f>N$102+나무계산!O$6*L94</f>
        <v>626</v>
      </c>
      <c r="P94">
        <f>O$102+나무계산!O$7*L94</f>
        <v>1018</v>
      </c>
      <c r="Q94">
        <f>P$102+나무계산!O$8*L94</f>
        <v>1510</v>
      </c>
    </row>
    <row r="95" spans="12:17" x14ac:dyDescent="0.3">
      <c r="L95">
        <v>93</v>
      </c>
      <c r="M95">
        <f>100+나무계산!O$4*L95</f>
        <v>193</v>
      </c>
      <c r="N95">
        <f>150+L95*나무계산!O$5</f>
        <v>336</v>
      </c>
      <c r="O95">
        <f>N$102+나무계산!O$6*L95</f>
        <v>629</v>
      </c>
      <c r="P95">
        <f>O$102+나무계산!O$7*L95</f>
        <v>1022</v>
      </c>
      <c r="Q95">
        <f>P$102+나무계산!O$8*L95</f>
        <v>1515</v>
      </c>
    </row>
    <row r="96" spans="12:17" x14ac:dyDescent="0.3">
      <c r="L96">
        <v>94</v>
      </c>
      <c r="M96">
        <f>100+나무계산!O$4*L96</f>
        <v>194</v>
      </c>
      <c r="N96">
        <f>150+L96*나무계산!O$5</f>
        <v>338</v>
      </c>
      <c r="O96">
        <f>N$102+나무계산!O$6*L96</f>
        <v>632</v>
      </c>
      <c r="P96">
        <f>O$102+나무계산!O$7*L96</f>
        <v>1026</v>
      </c>
      <c r="Q96">
        <f>P$102+나무계산!O$8*L96</f>
        <v>1520</v>
      </c>
    </row>
    <row r="97" spans="12:17" x14ac:dyDescent="0.3">
      <c r="L97">
        <v>95</v>
      </c>
      <c r="M97">
        <f>100+나무계산!O$4*L97</f>
        <v>195</v>
      </c>
      <c r="N97">
        <f>150+L97*나무계산!O$5</f>
        <v>340</v>
      </c>
      <c r="O97">
        <f>N$102+나무계산!O$6*L97</f>
        <v>635</v>
      </c>
      <c r="P97">
        <f>O$102+나무계산!O$7*L97</f>
        <v>1030</v>
      </c>
      <c r="Q97">
        <f>P$102+나무계산!O$8*L97</f>
        <v>1525</v>
      </c>
    </row>
    <row r="98" spans="12:17" x14ac:dyDescent="0.3">
      <c r="L98">
        <v>96</v>
      </c>
      <c r="M98">
        <f>100+나무계산!O$4*L98</f>
        <v>196</v>
      </c>
      <c r="N98">
        <f>150+L98*나무계산!O$5</f>
        <v>342</v>
      </c>
      <c r="O98">
        <f>N$102+나무계산!O$6*L98</f>
        <v>638</v>
      </c>
      <c r="P98">
        <f>O$102+나무계산!O$7*L98</f>
        <v>1034</v>
      </c>
      <c r="Q98">
        <f>P$102+나무계산!O$8*L98</f>
        <v>1530</v>
      </c>
    </row>
    <row r="99" spans="12:17" x14ac:dyDescent="0.3">
      <c r="L99">
        <v>97</v>
      </c>
      <c r="M99">
        <f>100+나무계산!O$4*L99</f>
        <v>197</v>
      </c>
      <c r="N99">
        <f>150+L99*나무계산!O$5</f>
        <v>344</v>
      </c>
      <c r="O99">
        <f>N$102+나무계산!O$6*L99</f>
        <v>641</v>
      </c>
      <c r="P99">
        <f>O$102+나무계산!O$7*L99</f>
        <v>1038</v>
      </c>
      <c r="Q99">
        <f>P$102+나무계산!O$8*L99</f>
        <v>1535</v>
      </c>
    </row>
    <row r="100" spans="12:17" x14ac:dyDescent="0.3">
      <c r="L100">
        <v>98</v>
      </c>
      <c r="M100">
        <f>100+나무계산!O$4*L100</f>
        <v>198</v>
      </c>
      <c r="N100">
        <f>150+L100*나무계산!O$5</f>
        <v>346</v>
      </c>
      <c r="O100">
        <f>N$102+나무계산!O$6*L100</f>
        <v>644</v>
      </c>
      <c r="P100">
        <f>O$102+나무계산!O$7*L100</f>
        <v>1042</v>
      </c>
      <c r="Q100">
        <f>P$102+나무계산!O$8*L100</f>
        <v>1540</v>
      </c>
    </row>
    <row r="101" spans="12:17" x14ac:dyDescent="0.3">
      <c r="L101">
        <v>99</v>
      </c>
      <c r="M101">
        <f>100+나무계산!O$4*L101</f>
        <v>199</v>
      </c>
      <c r="N101">
        <f>150+L101*나무계산!O$5</f>
        <v>348</v>
      </c>
      <c r="O101">
        <f>N$102+나무계산!O$6*L101</f>
        <v>647</v>
      </c>
      <c r="P101">
        <f>O$102+나무계산!O$7*L101</f>
        <v>1046</v>
      </c>
      <c r="Q101">
        <f>P$102+나무계산!O$8*L101</f>
        <v>1545</v>
      </c>
    </row>
    <row r="102" spans="12:17" x14ac:dyDescent="0.3">
      <c r="L102">
        <v>100</v>
      </c>
      <c r="M102">
        <f>100+나무계산!O$4*L102</f>
        <v>200</v>
      </c>
      <c r="N102">
        <f>150+L102*나무계산!O$5</f>
        <v>350</v>
      </c>
      <c r="O102">
        <f>N$102+나무계산!O$6*L102</f>
        <v>650</v>
      </c>
      <c r="P102">
        <f>O$102+나무계산!O$7*L102</f>
        <v>1050</v>
      </c>
      <c r="Q102">
        <f>P$102+나무계산!O$8*L102</f>
        <v>1550</v>
      </c>
    </row>
    <row r="124" spans="12:12" x14ac:dyDescent="0.3">
      <c r="L124">
        <v>122</v>
      </c>
    </row>
    <row r="125" spans="12:12" x14ac:dyDescent="0.3">
      <c r="L125">
        <v>123</v>
      </c>
    </row>
    <row r="126" spans="12:12" x14ac:dyDescent="0.3">
      <c r="L126">
        <v>124</v>
      </c>
    </row>
    <row r="127" spans="12:12" x14ac:dyDescent="0.3">
      <c r="L127">
        <v>125</v>
      </c>
    </row>
    <row r="128" spans="12:12" x14ac:dyDescent="0.3">
      <c r="L128">
        <v>126</v>
      </c>
    </row>
    <row r="129" spans="12:12" x14ac:dyDescent="0.3">
      <c r="L129">
        <v>127</v>
      </c>
    </row>
    <row r="130" spans="12:12" x14ac:dyDescent="0.3">
      <c r="L130">
        <v>128</v>
      </c>
    </row>
    <row r="131" spans="12:12" x14ac:dyDescent="0.3">
      <c r="L131">
        <v>129</v>
      </c>
    </row>
    <row r="132" spans="12:12" x14ac:dyDescent="0.3">
      <c r="L132">
        <v>130</v>
      </c>
    </row>
    <row r="133" spans="12:12" x14ac:dyDescent="0.3">
      <c r="L133">
        <v>131</v>
      </c>
    </row>
    <row r="134" spans="12:12" x14ac:dyDescent="0.3">
      <c r="L134">
        <v>132</v>
      </c>
    </row>
    <row r="135" spans="12:12" x14ac:dyDescent="0.3">
      <c r="L135">
        <v>133</v>
      </c>
    </row>
    <row r="136" spans="12:12" x14ac:dyDescent="0.3">
      <c r="L136">
        <v>134</v>
      </c>
    </row>
    <row r="137" spans="12:12" x14ac:dyDescent="0.3">
      <c r="L137">
        <v>135</v>
      </c>
    </row>
    <row r="138" spans="12:12" x14ac:dyDescent="0.3">
      <c r="L138">
        <v>136</v>
      </c>
    </row>
    <row r="139" spans="12:12" x14ac:dyDescent="0.3">
      <c r="L139">
        <v>137</v>
      </c>
    </row>
    <row r="140" spans="12:12" x14ac:dyDescent="0.3">
      <c r="L140">
        <v>138</v>
      </c>
    </row>
    <row r="141" spans="12:12" x14ac:dyDescent="0.3">
      <c r="L141">
        <v>139</v>
      </c>
    </row>
    <row r="142" spans="12:12" x14ac:dyDescent="0.3">
      <c r="L142">
        <v>140</v>
      </c>
    </row>
    <row r="143" spans="12:12" x14ac:dyDescent="0.3">
      <c r="L143">
        <v>141</v>
      </c>
    </row>
    <row r="144" spans="12:12" x14ac:dyDescent="0.3">
      <c r="L144">
        <v>142</v>
      </c>
    </row>
    <row r="145" spans="12:12" x14ac:dyDescent="0.3">
      <c r="L145">
        <v>143</v>
      </c>
    </row>
    <row r="146" spans="12:12" x14ac:dyDescent="0.3">
      <c r="L146">
        <v>144</v>
      </c>
    </row>
    <row r="147" spans="12:12" x14ac:dyDescent="0.3">
      <c r="L147">
        <v>145</v>
      </c>
    </row>
    <row r="148" spans="12:12" x14ac:dyDescent="0.3">
      <c r="L148">
        <v>146</v>
      </c>
    </row>
    <row r="149" spans="12:12" x14ac:dyDescent="0.3">
      <c r="L149">
        <v>147</v>
      </c>
    </row>
    <row r="150" spans="12:12" x14ac:dyDescent="0.3">
      <c r="L150">
        <v>148</v>
      </c>
    </row>
    <row r="151" spans="12:12" x14ac:dyDescent="0.3">
      <c r="L151">
        <v>149</v>
      </c>
    </row>
    <row r="152" spans="12:12" x14ac:dyDescent="0.3">
      <c r="L152">
        <v>150</v>
      </c>
    </row>
    <row r="153" spans="12:12" x14ac:dyDescent="0.3">
      <c r="L153">
        <v>151</v>
      </c>
    </row>
    <row r="154" spans="12:12" x14ac:dyDescent="0.3">
      <c r="L154">
        <v>152</v>
      </c>
    </row>
    <row r="155" spans="12:12" x14ac:dyDescent="0.3">
      <c r="L155">
        <v>153</v>
      </c>
    </row>
    <row r="156" spans="12:12" x14ac:dyDescent="0.3">
      <c r="L156">
        <v>154</v>
      </c>
    </row>
    <row r="157" spans="12:12" x14ac:dyDescent="0.3">
      <c r="L157">
        <v>155</v>
      </c>
    </row>
    <row r="158" spans="12:12" x14ac:dyDescent="0.3">
      <c r="L158">
        <v>156</v>
      </c>
    </row>
    <row r="159" spans="12:12" x14ac:dyDescent="0.3">
      <c r="L159">
        <v>157</v>
      </c>
    </row>
    <row r="160" spans="12:12" x14ac:dyDescent="0.3">
      <c r="L160">
        <v>158</v>
      </c>
    </row>
    <row r="161" spans="12:12" x14ac:dyDescent="0.3">
      <c r="L161">
        <v>159</v>
      </c>
    </row>
    <row r="162" spans="12:12" x14ac:dyDescent="0.3">
      <c r="L162">
        <v>160</v>
      </c>
    </row>
    <row r="163" spans="12:12" x14ac:dyDescent="0.3">
      <c r="L163">
        <v>161</v>
      </c>
    </row>
    <row r="164" spans="12:12" x14ac:dyDescent="0.3">
      <c r="L164">
        <v>162</v>
      </c>
    </row>
    <row r="165" spans="12:12" x14ac:dyDescent="0.3">
      <c r="L165">
        <v>163</v>
      </c>
    </row>
    <row r="166" spans="12:12" x14ac:dyDescent="0.3">
      <c r="L166">
        <v>164</v>
      </c>
    </row>
    <row r="167" spans="12:12" x14ac:dyDescent="0.3">
      <c r="L167">
        <v>165</v>
      </c>
    </row>
    <row r="168" spans="12:12" x14ac:dyDescent="0.3">
      <c r="L168">
        <v>166</v>
      </c>
    </row>
    <row r="169" spans="12:12" x14ac:dyDescent="0.3">
      <c r="L169">
        <v>167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A6E6-EB01-41AF-8E05-0E32C4C8395B}">
  <dimension ref="A1:AI43"/>
  <sheetViews>
    <sheetView topLeftCell="L1" workbookViewId="0">
      <pane xSplit="3" ySplit="3" topLeftCell="X22" activePane="bottomRight" state="frozen"/>
      <selection activeCell="L1" sqref="L1"/>
      <selection pane="topRight" activeCell="O1" sqref="O1"/>
      <selection pane="bottomLeft" activeCell="L4" sqref="L4"/>
      <selection pane="bottomRight" activeCell="AE9" sqref="AE9"/>
    </sheetView>
  </sheetViews>
  <sheetFormatPr defaultRowHeight="16.5" x14ac:dyDescent="0.3"/>
  <sheetData>
    <row r="1" spans="1:35" x14ac:dyDescent="0.3">
      <c r="T1" t="s">
        <v>127</v>
      </c>
      <c r="X1">
        <f>S1*V1*0.6</f>
        <v>0</v>
      </c>
      <c r="AA1">
        <v>100</v>
      </c>
      <c r="AB1">
        <f>AA1*100</f>
        <v>10000</v>
      </c>
    </row>
    <row r="2" spans="1:35" x14ac:dyDescent="0.3">
      <c r="X2">
        <f t="shared" ref="X2:X3" si="0">S2*V2*0.6</f>
        <v>0</v>
      </c>
      <c r="AA2">
        <v>250</v>
      </c>
      <c r="AB2">
        <f>AA2*200</f>
        <v>50000</v>
      </c>
    </row>
    <row r="3" spans="1:35" x14ac:dyDescent="0.3">
      <c r="M3">
        <v>50</v>
      </c>
      <c r="N3">
        <v>100</v>
      </c>
      <c r="P3" t="s">
        <v>124</v>
      </c>
      <c r="Q3" t="s">
        <v>125</v>
      </c>
      <c r="R3" t="s">
        <v>126</v>
      </c>
      <c r="T3" t="s">
        <v>124</v>
      </c>
      <c r="U3" t="s">
        <v>123</v>
      </c>
      <c r="X3">
        <f t="shared" si="0"/>
        <v>0</v>
      </c>
      <c r="Z3">
        <f>Z5/200</f>
        <v>114</v>
      </c>
    </row>
    <row r="4" spans="1:35" x14ac:dyDescent="0.3">
      <c r="A4">
        <v>1</v>
      </c>
      <c r="B4" t="s">
        <v>97</v>
      </c>
      <c r="C4">
        <v>25</v>
      </c>
      <c r="D4">
        <v>50</v>
      </c>
      <c r="E4">
        <v>75</v>
      </c>
      <c r="I4">
        <v>0</v>
      </c>
      <c r="K4">
        <v>1</v>
      </c>
      <c r="L4">
        <v>0</v>
      </c>
      <c r="M4">
        <v>25</v>
      </c>
      <c r="N4">
        <v>50</v>
      </c>
      <c r="O4">
        <v>1</v>
      </c>
      <c r="P4">
        <v>100</v>
      </c>
      <c r="Q4">
        <f>P4+M4*$K4</f>
        <v>125</v>
      </c>
      <c r="R4">
        <f>$P$4+N4*$K4</f>
        <v>150</v>
      </c>
      <c r="T4">
        <f>25*(P4+Q4)/2*4</f>
        <v>11250</v>
      </c>
      <c r="U4">
        <f>25*(R4+Q4)/2*4</f>
        <v>13750</v>
      </c>
      <c r="V4">
        <f>U4+T4</f>
        <v>25000</v>
      </c>
      <c r="W4" s="29">
        <v>0.95</v>
      </c>
      <c r="X4">
        <v>6412.5</v>
      </c>
      <c r="Y4">
        <v>7837.5</v>
      </c>
      <c r="Z4">
        <f t="shared" ref="Z4:Z38" si="1">T4*W4*0.6</f>
        <v>6412.5</v>
      </c>
      <c r="AA4">
        <f>U4*W4*0.6</f>
        <v>7837.5</v>
      </c>
      <c r="AC4">
        <f t="shared" ref="AC4:AC38" si="2">V4*W4*0.6</f>
        <v>14250</v>
      </c>
      <c r="AE4">
        <v>1</v>
      </c>
      <c r="AF4">
        <v>12000</v>
      </c>
      <c r="AG4">
        <v>1</v>
      </c>
      <c r="AH4">
        <v>5400</v>
      </c>
      <c r="AI4">
        <v>1</v>
      </c>
    </row>
    <row r="5" spans="1:35" x14ac:dyDescent="0.3">
      <c r="A5">
        <v>2</v>
      </c>
      <c r="B5" t="s">
        <v>98</v>
      </c>
      <c r="C5">
        <v>125</v>
      </c>
      <c r="D5">
        <v>150</v>
      </c>
      <c r="E5">
        <v>125</v>
      </c>
      <c r="I5">
        <v>25</v>
      </c>
      <c r="K5">
        <v>2</v>
      </c>
      <c r="L5">
        <v>50</v>
      </c>
      <c r="M5">
        <v>100</v>
      </c>
      <c r="N5">
        <v>150</v>
      </c>
      <c r="O5">
        <v>2</v>
      </c>
      <c r="P5">
        <f>R4</f>
        <v>150</v>
      </c>
      <c r="Q5">
        <f>P5+(M5-L5)*O5</f>
        <v>250</v>
      </c>
      <c r="R5">
        <f>Q5+(N5-M5)*O5</f>
        <v>350</v>
      </c>
      <c r="T5">
        <f>50*(P5+Q5)/2*4</f>
        <v>40000</v>
      </c>
      <c r="U5">
        <f>50*(R5+Q5)/2*4</f>
        <v>60000</v>
      </c>
      <c r="V5">
        <f t="shared" ref="V5:V23" si="3">U5+T5</f>
        <v>100000</v>
      </c>
      <c r="W5" s="30">
        <v>0.95</v>
      </c>
      <c r="X5">
        <v>22800</v>
      </c>
      <c r="Y5">
        <v>34200</v>
      </c>
      <c r="Z5">
        <f t="shared" si="1"/>
        <v>22800</v>
      </c>
      <c r="AA5">
        <f t="shared" ref="AA5:AA23" si="4">U5*W5*0.6</f>
        <v>34200</v>
      </c>
      <c r="AC5">
        <f t="shared" si="2"/>
        <v>57000</v>
      </c>
      <c r="AE5">
        <v>200</v>
      </c>
      <c r="AF5">
        <v>48000</v>
      </c>
      <c r="AG5">
        <v>200</v>
      </c>
      <c r="AH5">
        <v>6600</v>
      </c>
      <c r="AI5">
        <v>2</v>
      </c>
    </row>
    <row r="6" spans="1:35" x14ac:dyDescent="0.3">
      <c r="A6">
        <v>3</v>
      </c>
      <c r="B6" t="s">
        <v>99</v>
      </c>
      <c r="C6">
        <v>225</v>
      </c>
      <c r="D6">
        <v>250</v>
      </c>
      <c r="E6">
        <v>175</v>
      </c>
      <c r="I6">
        <v>50</v>
      </c>
      <c r="K6">
        <v>3</v>
      </c>
      <c r="L6">
        <v>150</v>
      </c>
      <c r="M6" s="32">
        <v>200</v>
      </c>
      <c r="N6">
        <v>250</v>
      </c>
      <c r="O6">
        <v>3</v>
      </c>
      <c r="P6">
        <f t="shared" ref="P6:P23" si="5">R5</f>
        <v>350</v>
      </c>
      <c r="Q6">
        <f t="shared" ref="Q6:Q23" si="6">P6+(M6-L6)*O6</f>
        <v>500</v>
      </c>
      <c r="R6">
        <f t="shared" ref="R6:R23" si="7">Q6+(N6-M6)*O6</f>
        <v>650</v>
      </c>
      <c r="T6">
        <f t="shared" ref="T6:T23" si="8">50*(P6+Q6)/2*4</f>
        <v>85000</v>
      </c>
      <c r="U6">
        <f t="shared" ref="U6:U23" si="9">50*(R6+Q6)/2*4</f>
        <v>115000</v>
      </c>
      <c r="V6">
        <f t="shared" si="3"/>
        <v>200000</v>
      </c>
      <c r="W6" s="30">
        <v>0.9</v>
      </c>
      <c r="X6">
        <v>45900</v>
      </c>
      <c r="Y6">
        <v>62100</v>
      </c>
      <c r="Z6">
        <f t="shared" si="1"/>
        <v>45900</v>
      </c>
      <c r="AA6">
        <f t="shared" si="4"/>
        <v>62100</v>
      </c>
      <c r="AC6">
        <f t="shared" si="2"/>
        <v>108000</v>
      </c>
      <c r="AE6">
        <v>600</v>
      </c>
      <c r="AF6">
        <v>84000</v>
      </c>
      <c r="AG6">
        <v>400</v>
      </c>
      <c r="AH6">
        <v>19200</v>
      </c>
      <c r="AI6">
        <v>3</v>
      </c>
    </row>
    <row r="7" spans="1:35" x14ac:dyDescent="0.3">
      <c r="A7">
        <v>4</v>
      </c>
      <c r="B7" t="s">
        <v>100</v>
      </c>
      <c r="C7">
        <v>325</v>
      </c>
      <c r="D7">
        <v>350</v>
      </c>
      <c r="E7">
        <v>225</v>
      </c>
      <c r="I7">
        <v>100</v>
      </c>
      <c r="K7">
        <v>4</v>
      </c>
      <c r="L7">
        <v>250</v>
      </c>
      <c r="M7">
        <v>300</v>
      </c>
      <c r="N7">
        <v>350</v>
      </c>
      <c r="O7">
        <v>4</v>
      </c>
      <c r="P7">
        <f t="shared" si="5"/>
        <v>650</v>
      </c>
      <c r="Q7">
        <f t="shared" si="6"/>
        <v>850</v>
      </c>
      <c r="R7">
        <f t="shared" si="7"/>
        <v>1050</v>
      </c>
      <c r="T7">
        <f t="shared" si="8"/>
        <v>150000</v>
      </c>
      <c r="U7">
        <f t="shared" si="9"/>
        <v>190000</v>
      </c>
      <c r="V7">
        <f t="shared" si="3"/>
        <v>340000</v>
      </c>
      <c r="W7" s="30">
        <v>0.9</v>
      </c>
      <c r="X7">
        <v>81000</v>
      </c>
      <c r="Y7">
        <v>102600</v>
      </c>
      <c r="Z7">
        <f t="shared" si="1"/>
        <v>81000</v>
      </c>
      <c r="AA7">
        <f t="shared" si="4"/>
        <v>102600</v>
      </c>
      <c r="AC7">
        <f t="shared" si="2"/>
        <v>183600</v>
      </c>
      <c r="AE7">
        <v>1000</v>
      </c>
      <c r="AF7">
        <v>142799.99999999997</v>
      </c>
      <c r="AG7">
        <v>600</v>
      </c>
      <c r="AH7">
        <v>28800</v>
      </c>
      <c r="AI7">
        <v>4</v>
      </c>
    </row>
    <row r="8" spans="1:35" x14ac:dyDescent="0.3">
      <c r="A8">
        <v>5</v>
      </c>
      <c r="B8" t="s">
        <v>101</v>
      </c>
      <c r="C8">
        <v>425</v>
      </c>
      <c r="D8">
        <v>450</v>
      </c>
      <c r="E8">
        <v>275</v>
      </c>
      <c r="I8">
        <v>150</v>
      </c>
      <c r="K8">
        <v>5</v>
      </c>
      <c r="L8">
        <v>350</v>
      </c>
      <c r="M8" s="32">
        <v>400</v>
      </c>
      <c r="N8">
        <v>450</v>
      </c>
      <c r="O8">
        <v>5</v>
      </c>
      <c r="P8">
        <f t="shared" si="5"/>
        <v>1050</v>
      </c>
      <c r="Q8">
        <f t="shared" si="6"/>
        <v>1300</v>
      </c>
      <c r="R8">
        <f t="shared" si="7"/>
        <v>1550</v>
      </c>
      <c r="T8">
        <f t="shared" si="8"/>
        <v>235000</v>
      </c>
      <c r="U8">
        <f t="shared" si="9"/>
        <v>285000</v>
      </c>
      <c r="V8">
        <f t="shared" si="3"/>
        <v>520000</v>
      </c>
      <c r="W8" s="29">
        <v>0.85</v>
      </c>
      <c r="X8">
        <v>119850</v>
      </c>
      <c r="Y8">
        <v>145350</v>
      </c>
      <c r="Z8">
        <f t="shared" si="1"/>
        <v>119850</v>
      </c>
      <c r="AA8">
        <f t="shared" si="4"/>
        <v>145350</v>
      </c>
      <c r="AC8">
        <f t="shared" si="2"/>
        <v>265200</v>
      </c>
      <c r="AE8">
        <v>1400</v>
      </c>
      <c r="AF8">
        <v>187200</v>
      </c>
      <c r="AG8">
        <v>800</v>
      </c>
      <c r="AH8">
        <v>35699.999999999993</v>
      </c>
      <c r="AI8">
        <v>5</v>
      </c>
    </row>
    <row r="9" spans="1:35" x14ac:dyDescent="0.3">
      <c r="A9">
        <v>6</v>
      </c>
      <c r="B9" t="s">
        <v>102</v>
      </c>
      <c r="C9">
        <v>525</v>
      </c>
      <c r="D9">
        <v>550</v>
      </c>
      <c r="E9">
        <v>325</v>
      </c>
      <c r="I9">
        <v>200</v>
      </c>
      <c r="K9">
        <v>6</v>
      </c>
      <c r="L9">
        <v>450</v>
      </c>
      <c r="M9">
        <v>500</v>
      </c>
      <c r="N9">
        <v>550</v>
      </c>
      <c r="O9">
        <v>6</v>
      </c>
      <c r="P9">
        <f t="shared" si="5"/>
        <v>1550</v>
      </c>
      <c r="Q9">
        <f t="shared" si="6"/>
        <v>1850</v>
      </c>
      <c r="R9">
        <f t="shared" si="7"/>
        <v>2150</v>
      </c>
      <c r="T9">
        <f t="shared" si="8"/>
        <v>340000</v>
      </c>
      <c r="U9">
        <f t="shared" si="9"/>
        <v>400000</v>
      </c>
      <c r="V9">
        <f t="shared" si="3"/>
        <v>740000</v>
      </c>
      <c r="W9" s="29">
        <v>0.8</v>
      </c>
      <c r="X9">
        <v>163200</v>
      </c>
      <c r="Y9">
        <v>192000</v>
      </c>
      <c r="Z9">
        <f t="shared" si="1"/>
        <v>163200</v>
      </c>
      <c r="AA9">
        <f t="shared" si="4"/>
        <v>192000</v>
      </c>
      <c r="AC9">
        <f t="shared" si="2"/>
        <v>355200</v>
      </c>
      <c r="AE9">
        <v>1800</v>
      </c>
      <c r="AF9">
        <v>266400</v>
      </c>
      <c r="AG9">
        <v>1000</v>
      </c>
      <c r="AH9">
        <v>48300</v>
      </c>
      <c r="AI9">
        <v>6</v>
      </c>
    </row>
    <row r="10" spans="1:35" x14ac:dyDescent="0.3">
      <c r="A10">
        <v>7</v>
      </c>
      <c r="B10" t="s">
        <v>103</v>
      </c>
      <c r="C10">
        <v>625</v>
      </c>
      <c r="D10">
        <v>650</v>
      </c>
      <c r="E10">
        <v>375</v>
      </c>
      <c r="I10">
        <v>250</v>
      </c>
      <c r="K10">
        <v>7</v>
      </c>
      <c r="L10">
        <v>550</v>
      </c>
      <c r="M10" s="32">
        <v>600</v>
      </c>
      <c r="N10">
        <v>650</v>
      </c>
      <c r="O10">
        <v>7</v>
      </c>
      <c r="P10">
        <f t="shared" si="5"/>
        <v>2150</v>
      </c>
      <c r="Q10">
        <f t="shared" si="6"/>
        <v>2500</v>
      </c>
      <c r="R10">
        <f t="shared" si="7"/>
        <v>2850</v>
      </c>
      <c r="T10">
        <f t="shared" si="8"/>
        <v>465000</v>
      </c>
      <c r="U10">
        <f t="shared" si="9"/>
        <v>535000</v>
      </c>
      <c r="V10">
        <f t="shared" si="3"/>
        <v>1000000</v>
      </c>
      <c r="W10" s="30">
        <v>0.8</v>
      </c>
      <c r="X10">
        <v>223200</v>
      </c>
      <c r="Y10">
        <v>256800</v>
      </c>
      <c r="Z10">
        <f t="shared" si="1"/>
        <v>223200</v>
      </c>
      <c r="AA10">
        <f t="shared" si="4"/>
        <v>256800</v>
      </c>
      <c r="AC10">
        <f t="shared" si="2"/>
        <v>480000</v>
      </c>
      <c r="AE10">
        <v>2200</v>
      </c>
      <c r="AF10">
        <v>360000</v>
      </c>
      <c r="AG10">
        <v>1200</v>
      </c>
      <c r="AH10">
        <v>63000</v>
      </c>
      <c r="AI10">
        <v>7</v>
      </c>
    </row>
    <row r="11" spans="1:35" x14ac:dyDescent="0.3">
      <c r="A11">
        <v>8</v>
      </c>
      <c r="B11" t="s">
        <v>104</v>
      </c>
      <c r="C11">
        <v>725</v>
      </c>
      <c r="D11">
        <v>750</v>
      </c>
      <c r="E11">
        <v>425</v>
      </c>
      <c r="I11">
        <v>300</v>
      </c>
      <c r="K11">
        <v>8</v>
      </c>
      <c r="L11">
        <v>650</v>
      </c>
      <c r="M11">
        <v>700</v>
      </c>
      <c r="N11">
        <v>750</v>
      </c>
      <c r="O11">
        <v>8</v>
      </c>
      <c r="P11">
        <f t="shared" si="5"/>
        <v>2850</v>
      </c>
      <c r="Q11">
        <f t="shared" si="6"/>
        <v>3250</v>
      </c>
      <c r="R11">
        <f t="shared" si="7"/>
        <v>3650</v>
      </c>
      <c r="T11">
        <f t="shared" si="8"/>
        <v>610000</v>
      </c>
      <c r="U11">
        <f t="shared" si="9"/>
        <v>690000</v>
      </c>
      <c r="V11">
        <f t="shared" si="3"/>
        <v>1300000</v>
      </c>
      <c r="W11" s="30">
        <v>0.75</v>
      </c>
      <c r="X11">
        <v>274500</v>
      </c>
      <c r="Y11">
        <v>310500</v>
      </c>
      <c r="Z11">
        <f t="shared" si="1"/>
        <v>274500</v>
      </c>
      <c r="AA11">
        <f t="shared" si="4"/>
        <v>310500</v>
      </c>
      <c r="AC11">
        <f t="shared" si="2"/>
        <v>585000</v>
      </c>
      <c r="AE11">
        <v>2600</v>
      </c>
      <c r="AF11">
        <v>468000</v>
      </c>
      <c r="AG11">
        <v>1400</v>
      </c>
      <c r="AH11">
        <v>79800</v>
      </c>
      <c r="AI11">
        <v>8</v>
      </c>
    </row>
    <row r="12" spans="1:35" x14ac:dyDescent="0.3">
      <c r="A12">
        <v>9</v>
      </c>
      <c r="B12" t="s">
        <v>105</v>
      </c>
      <c r="C12">
        <v>825</v>
      </c>
      <c r="D12">
        <v>850</v>
      </c>
      <c r="E12">
        <v>475</v>
      </c>
      <c r="I12">
        <v>350</v>
      </c>
      <c r="K12">
        <v>9</v>
      </c>
      <c r="L12">
        <v>750</v>
      </c>
      <c r="M12" s="32">
        <v>800</v>
      </c>
      <c r="N12">
        <v>850</v>
      </c>
      <c r="O12">
        <v>9</v>
      </c>
      <c r="P12">
        <f t="shared" si="5"/>
        <v>3650</v>
      </c>
      <c r="Q12">
        <f t="shared" si="6"/>
        <v>4100</v>
      </c>
      <c r="R12">
        <f t="shared" si="7"/>
        <v>4550</v>
      </c>
      <c r="T12">
        <f t="shared" si="8"/>
        <v>775000</v>
      </c>
      <c r="U12">
        <f t="shared" si="9"/>
        <v>865000</v>
      </c>
      <c r="V12">
        <f t="shared" si="3"/>
        <v>1640000</v>
      </c>
      <c r="W12" s="29">
        <v>0.7</v>
      </c>
      <c r="X12">
        <v>325500</v>
      </c>
      <c r="Y12">
        <v>363300</v>
      </c>
      <c r="Z12">
        <f t="shared" si="1"/>
        <v>325500</v>
      </c>
      <c r="AA12">
        <f t="shared" si="4"/>
        <v>363300</v>
      </c>
      <c r="AC12">
        <f t="shared" si="2"/>
        <v>688800</v>
      </c>
      <c r="AE12">
        <v>3000</v>
      </c>
      <c r="AF12">
        <v>590400</v>
      </c>
      <c r="AG12">
        <v>1600</v>
      </c>
      <c r="AH12">
        <v>84600</v>
      </c>
      <c r="AI12">
        <v>9</v>
      </c>
    </row>
    <row r="13" spans="1:35" x14ac:dyDescent="0.3">
      <c r="A13">
        <v>10</v>
      </c>
      <c r="B13" t="s">
        <v>106</v>
      </c>
      <c r="C13">
        <v>925</v>
      </c>
      <c r="D13">
        <v>950</v>
      </c>
      <c r="E13">
        <v>525</v>
      </c>
      <c r="I13">
        <v>400</v>
      </c>
      <c r="K13">
        <v>10</v>
      </c>
      <c r="L13">
        <v>850</v>
      </c>
      <c r="M13">
        <v>900</v>
      </c>
      <c r="N13">
        <v>950</v>
      </c>
      <c r="O13">
        <v>10</v>
      </c>
      <c r="P13">
        <f t="shared" si="5"/>
        <v>4550</v>
      </c>
      <c r="Q13">
        <f t="shared" si="6"/>
        <v>5050</v>
      </c>
      <c r="R13">
        <f t="shared" si="7"/>
        <v>5550</v>
      </c>
      <c r="T13">
        <f t="shared" si="8"/>
        <v>960000</v>
      </c>
      <c r="U13">
        <f t="shared" si="9"/>
        <v>1060000</v>
      </c>
      <c r="V13">
        <f t="shared" si="3"/>
        <v>2020000</v>
      </c>
      <c r="W13" s="29">
        <v>0.7</v>
      </c>
      <c r="X13">
        <v>403200</v>
      </c>
      <c r="Y13">
        <v>445200</v>
      </c>
      <c r="Z13">
        <f t="shared" si="1"/>
        <v>403200</v>
      </c>
      <c r="AA13">
        <f t="shared" si="4"/>
        <v>445200</v>
      </c>
      <c r="AC13">
        <f t="shared" si="2"/>
        <v>848400</v>
      </c>
      <c r="AE13">
        <v>3400</v>
      </c>
      <c r="AF13">
        <v>606000</v>
      </c>
      <c r="AG13">
        <v>1800</v>
      </c>
      <c r="AH13">
        <v>102600</v>
      </c>
      <c r="AI13">
        <v>10</v>
      </c>
    </row>
    <row r="14" spans="1:35" x14ac:dyDescent="0.3">
      <c r="A14">
        <v>11</v>
      </c>
      <c r="B14" t="s">
        <v>107</v>
      </c>
      <c r="C14">
        <v>1025</v>
      </c>
      <c r="D14">
        <v>1050</v>
      </c>
      <c r="E14">
        <v>575</v>
      </c>
      <c r="I14">
        <v>450</v>
      </c>
      <c r="K14">
        <v>11</v>
      </c>
      <c r="L14">
        <v>950</v>
      </c>
      <c r="M14">
        <v>1000</v>
      </c>
      <c r="N14">
        <v>1050</v>
      </c>
      <c r="O14">
        <v>11</v>
      </c>
      <c r="P14">
        <f t="shared" si="5"/>
        <v>5550</v>
      </c>
      <c r="Q14">
        <f t="shared" si="6"/>
        <v>6100</v>
      </c>
      <c r="R14">
        <f t="shared" si="7"/>
        <v>6650</v>
      </c>
      <c r="T14">
        <f t="shared" si="8"/>
        <v>1165000</v>
      </c>
      <c r="U14">
        <f t="shared" si="9"/>
        <v>1275000</v>
      </c>
      <c r="V14">
        <f t="shared" si="3"/>
        <v>2440000</v>
      </c>
      <c r="W14" s="30">
        <v>0.65</v>
      </c>
      <c r="X14">
        <v>454350</v>
      </c>
      <c r="Y14">
        <v>497250</v>
      </c>
      <c r="Z14">
        <f t="shared" si="1"/>
        <v>454350</v>
      </c>
      <c r="AA14">
        <f t="shared" si="4"/>
        <v>497250</v>
      </c>
      <c r="AC14">
        <f t="shared" si="2"/>
        <v>951600</v>
      </c>
      <c r="AE14">
        <v>3800</v>
      </c>
      <c r="AF14">
        <v>732000</v>
      </c>
      <c r="AG14">
        <v>2000</v>
      </c>
      <c r="AH14">
        <v>122400</v>
      </c>
      <c r="AI14">
        <v>11</v>
      </c>
    </row>
    <row r="15" spans="1:35" x14ac:dyDescent="0.3">
      <c r="A15">
        <v>12</v>
      </c>
      <c r="B15" t="s">
        <v>108</v>
      </c>
      <c r="C15">
        <v>1125</v>
      </c>
      <c r="D15">
        <v>1150</v>
      </c>
      <c r="E15">
        <v>625</v>
      </c>
      <c r="I15">
        <v>500</v>
      </c>
      <c r="K15">
        <v>12</v>
      </c>
      <c r="L15">
        <v>1050</v>
      </c>
      <c r="M15">
        <v>1100</v>
      </c>
      <c r="N15">
        <v>1150</v>
      </c>
      <c r="O15">
        <v>12</v>
      </c>
      <c r="P15">
        <f t="shared" si="5"/>
        <v>6650</v>
      </c>
      <c r="Q15">
        <f t="shared" si="6"/>
        <v>7250</v>
      </c>
      <c r="R15">
        <f t="shared" si="7"/>
        <v>7850</v>
      </c>
      <c r="T15">
        <f t="shared" si="8"/>
        <v>1390000</v>
      </c>
      <c r="U15">
        <f t="shared" si="9"/>
        <v>1510000</v>
      </c>
      <c r="V15">
        <f t="shared" si="3"/>
        <v>2900000</v>
      </c>
      <c r="W15" s="30">
        <v>0.65</v>
      </c>
      <c r="X15">
        <v>542100</v>
      </c>
      <c r="Y15">
        <v>588900</v>
      </c>
      <c r="Z15">
        <f t="shared" si="1"/>
        <v>542100</v>
      </c>
      <c r="AA15">
        <f t="shared" si="4"/>
        <v>588900</v>
      </c>
      <c r="AC15">
        <f t="shared" si="2"/>
        <v>1131000</v>
      </c>
      <c r="AE15">
        <v>4200</v>
      </c>
      <c r="AF15">
        <v>870000</v>
      </c>
      <c r="AG15">
        <v>2200</v>
      </c>
      <c r="AH15">
        <v>144000</v>
      </c>
      <c r="AI15">
        <v>12</v>
      </c>
    </row>
    <row r="16" spans="1:35" x14ac:dyDescent="0.3">
      <c r="A16">
        <v>13</v>
      </c>
      <c r="B16" t="s">
        <v>109</v>
      </c>
      <c r="C16">
        <v>1225</v>
      </c>
      <c r="D16">
        <v>1250</v>
      </c>
      <c r="E16">
        <v>675</v>
      </c>
      <c r="I16">
        <v>550</v>
      </c>
      <c r="K16">
        <v>13</v>
      </c>
      <c r="L16">
        <v>1150</v>
      </c>
      <c r="M16">
        <v>1200</v>
      </c>
      <c r="N16">
        <v>1250</v>
      </c>
      <c r="O16">
        <v>13</v>
      </c>
      <c r="P16">
        <f t="shared" si="5"/>
        <v>7850</v>
      </c>
      <c r="Q16">
        <f t="shared" si="6"/>
        <v>8500</v>
      </c>
      <c r="R16">
        <f t="shared" si="7"/>
        <v>9150</v>
      </c>
      <c r="T16">
        <f t="shared" si="8"/>
        <v>1635000</v>
      </c>
      <c r="U16">
        <f t="shared" si="9"/>
        <v>1765000</v>
      </c>
      <c r="V16">
        <f t="shared" si="3"/>
        <v>3400000</v>
      </c>
      <c r="W16" s="29">
        <v>0.6</v>
      </c>
      <c r="X16">
        <v>588600</v>
      </c>
      <c r="Y16">
        <v>635400</v>
      </c>
      <c r="Z16">
        <f t="shared" si="1"/>
        <v>588600</v>
      </c>
      <c r="AA16">
        <f t="shared" si="4"/>
        <v>635400</v>
      </c>
      <c r="AC16">
        <f t="shared" si="2"/>
        <v>1224000</v>
      </c>
      <c r="AE16">
        <v>4600</v>
      </c>
      <c r="AF16">
        <v>1020000</v>
      </c>
      <c r="AG16">
        <v>2400</v>
      </c>
      <c r="AH16">
        <v>167400</v>
      </c>
      <c r="AI16">
        <v>13</v>
      </c>
    </row>
    <row r="17" spans="1:35" x14ac:dyDescent="0.3">
      <c r="A17">
        <v>14</v>
      </c>
      <c r="B17" t="s">
        <v>110</v>
      </c>
      <c r="C17">
        <v>1325</v>
      </c>
      <c r="D17">
        <v>1350</v>
      </c>
      <c r="E17">
        <v>725</v>
      </c>
      <c r="I17">
        <v>600</v>
      </c>
      <c r="K17">
        <v>14</v>
      </c>
      <c r="L17">
        <v>1250</v>
      </c>
      <c r="M17">
        <v>1300</v>
      </c>
      <c r="N17">
        <v>1350</v>
      </c>
      <c r="O17">
        <v>14</v>
      </c>
      <c r="P17">
        <f t="shared" si="5"/>
        <v>9150</v>
      </c>
      <c r="Q17">
        <f t="shared" si="6"/>
        <v>9850</v>
      </c>
      <c r="R17">
        <f t="shared" si="7"/>
        <v>10550</v>
      </c>
      <c r="T17">
        <f t="shared" si="8"/>
        <v>1900000</v>
      </c>
      <c r="U17">
        <f t="shared" si="9"/>
        <v>2040000</v>
      </c>
      <c r="V17">
        <f t="shared" si="3"/>
        <v>3940000</v>
      </c>
      <c r="W17" s="29">
        <v>0.6</v>
      </c>
      <c r="X17">
        <v>684000</v>
      </c>
      <c r="Y17">
        <v>734400</v>
      </c>
      <c r="Z17">
        <f t="shared" si="1"/>
        <v>684000</v>
      </c>
      <c r="AA17">
        <f t="shared" si="4"/>
        <v>734400</v>
      </c>
      <c r="AC17">
        <f t="shared" si="2"/>
        <v>1418400</v>
      </c>
      <c r="AE17">
        <v>5000</v>
      </c>
      <c r="AF17">
        <v>1182000</v>
      </c>
      <c r="AG17">
        <v>2600</v>
      </c>
      <c r="AH17">
        <v>192600</v>
      </c>
      <c r="AI17">
        <v>14</v>
      </c>
    </row>
    <row r="18" spans="1:35" x14ac:dyDescent="0.3">
      <c r="A18">
        <v>15</v>
      </c>
      <c r="B18" t="s">
        <v>111</v>
      </c>
      <c r="C18">
        <v>1425</v>
      </c>
      <c r="D18">
        <v>1450</v>
      </c>
      <c r="E18">
        <v>775</v>
      </c>
      <c r="I18">
        <v>650</v>
      </c>
      <c r="K18">
        <v>15</v>
      </c>
      <c r="L18">
        <v>1350</v>
      </c>
      <c r="M18">
        <v>1400</v>
      </c>
      <c r="N18">
        <v>1450</v>
      </c>
      <c r="O18">
        <v>15</v>
      </c>
      <c r="P18">
        <f t="shared" si="5"/>
        <v>10550</v>
      </c>
      <c r="Q18">
        <f t="shared" si="6"/>
        <v>11300</v>
      </c>
      <c r="R18">
        <f t="shared" si="7"/>
        <v>12050</v>
      </c>
      <c r="T18">
        <f t="shared" si="8"/>
        <v>2185000</v>
      </c>
      <c r="U18">
        <f t="shared" si="9"/>
        <v>2335000</v>
      </c>
      <c r="V18">
        <f t="shared" si="3"/>
        <v>4520000</v>
      </c>
      <c r="W18" s="29">
        <v>0.6</v>
      </c>
      <c r="X18">
        <v>786600</v>
      </c>
      <c r="Y18">
        <v>840600</v>
      </c>
      <c r="Z18">
        <f t="shared" si="1"/>
        <v>786600</v>
      </c>
      <c r="AA18">
        <f t="shared" si="4"/>
        <v>840600</v>
      </c>
      <c r="AC18">
        <f t="shared" si="2"/>
        <v>1627200</v>
      </c>
      <c r="AE18">
        <v>5400</v>
      </c>
      <c r="AF18">
        <v>1356000</v>
      </c>
      <c r="AG18">
        <v>2800</v>
      </c>
      <c r="AH18">
        <v>219600</v>
      </c>
      <c r="AI18">
        <v>15</v>
      </c>
    </row>
    <row r="19" spans="1:35" x14ac:dyDescent="0.3">
      <c r="A19">
        <v>16</v>
      </c>
      <c r="B19" t="s">
        <v>112</v>
      </c>
      <c r="C19">
        <v>1525</v>
      </c>
      <c r="D19">
        <v>1550</v>
      </c>
      <c r="E19">
        <v>825</v>
      </c>
      <c r="I19">
        <v>700</v>
      </c>
      <c r="K19">
        <v>16</v>
      </c>
      <c r="L19">
        <v>1450</v>
      </c>
      <c r="M19">
        <v>1500</v>
      </c>
      <c r="N19">
        <v>1550</v>
      </c>
      <c r="O19">
        <v>16</v>
      </c>
      <c r="P19">
        <f t="shared" si="5"/>
        <v>12050</v>
      </c>
      <c r="Q19">
        <f t="shared" si="6"/>
        <v>12850</v>
      </c>
      <c r="R19">
        <f t="shared" si="7"/>
        <v>13650</v>
      </c>
      <c r="T19">
        <f t="shared" si="8"/>
        <v>2490000</v>
      </c>
      <c r="U19">
        <f t="shared" si="9"/>
        <v>2650000</v>
      </c>
      <c r="V19">
        <f t="shared" si="3"/>
        <v>5140000</v>
      </c>
      <c r="W19" s="29">
        <v>0.6</v>
      </c>
      <c r="X19">
        <v>896400</v>
      </c>
      <c r="Y19">
        <v>954000</v>
      </c>
      <c r="Z19">
        <f t="shared" si="1"/>
        <v>896400</v>
      </c>
      <c r="AA19">
        <f t="shared" si="4"/>
        <v>954000</v>
      </c>
      <c r="AC19">
        <f t="shared" si="2"/>
        <v>1850400</v>
      </c>
      <c r="AE19">
        <v>5800</v>
      </c>
      <c r="AF19">
        <v>1542000</v>
      </c>
      <c r="AG19">
        <v>3000</v>
      </c>
      <c r="AH19">
        <v>248400</v>
      </c>
      <c r="AI19">
        <v>16</v>
      </c>
    </row>
    <row r="20" spans="1:35" x14ac:dyDescent="0.3">
      <c r="A20">
        <v>17</v>
      </c>
      <c r="B20" t="s">
        <v>113</v>
      </c>
      <c r="C20">
        <v>1625</v>
      </c>
      <c r="D20">
        <v>1650</v>
      </c>
      <c r="E20">
        <v>875</v>
      </c>
      <c r="I20">
        <v>750</v>
      </c>
      <c r="K20">
        <v>17</v>
      </c>
      <c r="L20">
        <v>1550</v>
      </c>
      <c r="M20">
        <v>1600</v>
      </c>
      <c r="N20">
        <v>1650</v>
      </c>
      <c r="O20">
        <v>17</v>
      </c>
      <c r="P20">
        <f t="shared" si="5"/>
        <v>13650</v>
      </c>
      <c r="Q20">
        <f t="shared" si="6"/>
        <v>14500</v>
      </c>
      <c r="R20">
        <f t="shared" si="7"/>
        <v>15350</v>
      </c>
      <c r="T20">
        <f t="shared" si="8"/>
        <v>2815000</v>
      </c>
      <c r="U20">
        <f t="shared" si="9"/>
        <v>2985000</v>
      </c>
      <c r="V20">
        <f t="shared" si="3"/>
        <v>5800000</v>
      </c>
      <c r="W20" s="29">
        <v>0.6</v>
      </c>
      <c r="X20">
        <v>1013400</v>
      </c>
      <c r="Y20">
        <v>1074600</v>
      </c>
      <c r="Z20">
        <f t="shared" si="1"/>
        <v>1013400</v>
      </c>
      <c r="AA20">
        <f t="shared" si="4"/>
        <v>1074600</v>
      </c>
      <c r="AC20">
        <f t="shared" si="2"/>
        <v>2088000</v>
      </c>
      <c r="AE20">
        <v>6200</v>
      </c>
      <c r="AF20">
        <v>1740000</v>
      </c>
      <c r="AG20">
        <v>3200</v>
      </c>
      <c r="AH20">
        <v>279000</v>
      </c>
      <c r="AI20">
        <v>17</v>
      </c>
    </row>
    <row r="21" spans="1:35" x14ac:dyDescent="0.3">
      <c r="A21">
        <v>18</v>
      </c>
      <c r="B21" t="s">
        <v>114</v>
      </c>
      <c r="C21">
        <v>1725</v>
      </c>
      <c r="D21">
        <v>1750</v>
      </c>
      <c r="E21">
        <v>925</v>
      </c>
      <c r="I21">
        <v>800</v>
      </c>
      <c r="K21">
        <v>18</v>
      </c>
      <c r="L21">
        <v>1650</v>
      </c>
      <c r="M21">
        <v>1700</v>
      </c>
      <c r="N21">
        <v>1750</v>
      </c>
      <c r="O21">
        <v>18</v>
      </c>
      <c r="P21">
        <f t="shared" si="5"/>
        <v>15350</v>
      </c>
      <c r="Q21">
        <f t="shared" si="6"/>
        <v>16250</v>
      </c>
      <c r="R21">
        <f t="shared" si="7"/>
        <v>17150</v>
      </c>
      <c r="T21">
        <f t="shared" si="8"/>
        <v>3160000</v>
      </c>
      <c r="U21">
        <f t="shared" si="9"/>
        <v>3340000</v>
      </c>
      <c r="V21">
        <f t="shared" si="3"/>
        <v>6500000</v>
      </c>
      <c r="W21" s="30">
        <v>0.5</v>
      </c>
      <c r="X21">
        <v>948000</v>
      </c>
      <c r="Y21">
        <v>1002000</v>
      </c>
      <c r="Z21">
        <f t="shared" si="1"/>
        <v>948000</v>
      </c>
      <c r="AA21">
        <f t="shared" si="4"/>
        <v>1002000</v>
      </c>
      <c r="AC21">
        <f t="shared" si="2"/>
        <v>1950000</v>
      </c>
      <c r="AE21">
        <v>6600</v>
      </c>
      <c r="AF21">
        <v>1950000</v>
      </c>
      <c r="AG21">
        <v>3400</v>
      </c>
      <c r="AH21">
        <v>288000</v>
      </c>
      <c r="AI21">
        <v>18</v>
      </c>
    </row>
    <row r="22" spans="1:35" x14ac:dyDescent="0.3">
      <c r="A22">
        <v>19</v>
      </c>
      <c r="B22" t="s">
        <v>115</v>
      </c>
      <c r="C22">
        <v>1825</v>
      </c>
      <c r="D22">
        <v>1850</v>
      </c>
      <c r="E22">
        <v>975</v>
      </c>
      <c r="I22">
        <v>850</v>
      </c>
      <c r="K22">
        <v>19</v>
      </c>
      <c r="L22">
        <v>1750</v>
      </c>
      <c r="M22">
        <v>1800</v>
      </c>
      <c r="N22">
        <v>1850</v>
      </c>
      <c r="O22">
        <v>19</v>
      </c>
      <c r="P22">
        <f t="shared" si="5"/>
        <v>17150</v>
      </c>
      <c r="Q22">
        <f t="shared" si="6"/>
        <v>18100</v>
      </c>
      <c r="R22">
        <f t="shared" si="7"/>
        <v>19050</v>
      </c>
      <c r="T22">
        <f t="shared" si="8"/>
        <v>3525000</v>
      </c>
      <c r="U22">
        <f t="shared" si="9"/>
        <v>3715000</v>
      </c>
      <c r="V22">
        <f t="shared" si="3"/>
        <v>7240000</v>
      </c>
      <c r="W22" s="30">
        <v>0.5</v>
      </c>
      <c r="X22">
        <v>1057500</v>
      </c>
      <c r="Y22">
        <v>1114500</v>
      </c>
      <c r="Z22">
        <f t="shared" si="1"/>
        <v>1057500</v>
      </c>
      <c r="AA22">
        <f t="shared" si="4"/>
        <v>1114500</v>
      </c>
      <c r="AC22">
        <f t="shared" si="2"/>
        <v>2172000</v>
      </c>
      <c r="AE22">
        <v>7000</v>
      </c>
      <c r="AF22">
        <v>2172000</v>
      </c>
      <c r="AG22">
        <v>3600</v>
      </c>
      <c r="AH22">
        <v>311400</v>
      </c>
      <c r="AI22">
        <v>19</v>
      </c>
    </row>
    <row r="23" spans="1:35" x14ac:dyDescent="0.3">
      <c r="A23">
        <v>20</v>
      </c>
      <c r="B23" t="s">
        <v>116</v>
      </c>
      <c r="C23">
        <v>1925</v>
      </c>
      <c r="D23">
        <v>1950</v>
      </c>
      <c r="E23">
        <v>1025</v>
      </c>
      <c r="I23">
        <v>900</v>
      </c>
      <c r="K23">
        <v>20</v>
      </c>
      <c r="L23">
        <v>1850</v>
      </c>
      <c r="M23">
        <v>1900</v>
      </c>
      <c r="N23">
        <v>1950</v>
      </c>
      <c r="O23">
        <v>20</v>
      </c>
      <c r="P23">
        <f t="shared" si="5"/>
        <v>19050</v>
      </c>
      <c r="Q23">
        <f t="shared" si="6"/>
        <v>20050</v>
      </c>
      <c r="R23">
        <f t="shared" si="7"/>
        <v>21050</v>
      </c>
      <c r="T23">
        <f t="shared" si="8"/>
        <v>3910000</v>
      </c>
      <c r="U23">
        <f t="shared" si="9"/>
        <v>4110000</v>
      </c>
      <c r="V23">
        <f t="shared" si="3"/>
        <v>8020000</v>
      </c>
      <c r="W23" s="29">
        <v>0.5</v>
      </c>
      <c r="X23">
        <v>1173000</v>
      </c>
      <c r="Y23">
        <v>1233000</v>
      </c>
      <c r="Z23">
        <f t="shared" si="1"/>
        <v>1173000</v>
      </c>
      <c r="AA23">
        <f t="shared" si="4"/>
        <v>1233000</v>
      </c>
      <c r="AC23">
        <f t="shared" si="2"/>
        <v>2406000</v>
      </c>
      <c r="AE23">
        <v>7400</v>
      </c>
      <c r="AF23">
        <v>2406000</v>
      </c>
      <c r="AG23">
        <v>3800</v>
      </c>
      <c r="AH23">
        <v>318000</v>
      </c>
      <c r="AI23">
        <v>20</v>
      </c>
    </row>
    <row r="24" spans="1:35" x14ac:dyDescent="0.3">
      <c r="I24">
        <v>950</v>
      </c>
      <c r="L24">
        <v>1950</v>
      </c>
      <c r="M24">
        <v>2000</v>
      </c>
      <c r="N24">
        <v>2050</v>
      </c>
      <c r="O24">
        <v>21</v>
      </c>
      <c r="P24">
        <f t="shared" ref="P24:P41" si="10">R23</f>
        <v>21050</v>
      </c>
      <c r="Q24">
        <f t="shared" ref="Q24:Q41" si="11">P24+(M24-L24)*O24</f>
        <v>22100</v>
      </c>
      <c r="R24">
        <f t="shared" ref="R24:R41" si="12">Q24+(N24-M24)*O24</f>
        <v>23150</v>
      </c>
      <c r="T24">
        <f t="shared" ref="T24:T41" si="13">50*(P24+Q24)/2*4</f>
        <v>4315000</v>
      </c>
      <c r="U24">
        <f t="shared" ref="U24:U41" si="14">50*(R24+Q24)/2*4</f>
        <v>4525000</v>
      </c>
      <c r="V24">
        <f t="shared" ref="V24:V41" si="15">U24+T24</f>
        <v>8840000</v>
      </c>
      <c r="W24" s="29">
        <v>1.5</v>
      </c>
      <c r="X24">
        <v>3883500</v>
      </c>
      <c r="Y24">
        <v>4072500</v>
      </c>
      <c r="Z24">
        <f t="shared" si="1"/>
        <v>3883500</v>
      </c>
      <c r="AA24">
        <f t="shared" ref="AA24:AA38" si="16">U24*W24*0.6</f>
        <v>4072500</v>
      </c>
      <c r="AC24">
        <f t="shared" si="2"/>
        <v>7956000</v>
      </c>
      <c r="AG24">
        <v>4000</v>
      </c>
      <c r="AH24">
        <v>349500</v>
      </c>
      <c r="AI24">
        <v>21</v>
      </c>
    </row>
    <row r="25" spans="1:35" x14ac:dyDescent="0.3">
      <c r="I25">
        <v>1000</v>
      </c>
      <c r="L25">
        <v>2050</v>
      </c>
      <c r="M25">
        <v>2100</v>
      </c>
      <c r="N25">
        <v>2150</v>
      </c>
      <c r="O25">
        <v>22</v>
      </c>
      <c r="P25">
        <f t="shared" si="10"/>
        <v>23150</v>
      </c>
      <c r="Q25">
        <f t="shared" si="11"/>
        <v>24250</v>
      </c>
      <c r="R25">
        <f t="shared" si="12"/>
        <v>25350</v>
      </c>
      <c r="T25">
        <f t="shared" si="13"/>
        <v>4740000</v>
      </c>
      <c r="U25">
        <f t="shared" si="14"/>
        <v>4960000</v>
      </c>
      <c r="V25">
        <f t="shared" si="15"/>
        <v>9700000</v>
      </c>
      <c r="W25" s="29">
        <v>2.5</v>
      </c>
      <c r="X25">
        <v>7110000</v>
      </c>
      <c r="Y25">
        <v>7440000</v>
      </c>
      <c r="Z25">
        <f t="shared" si="1"/>
        <v>7110000</v>
      </c>
      <c r="AA25">
        <f t="shared" si="16"/>
        <v>7440000</v>
      </c>
      <c r="AC25">
        <f t="shared" si="2"/>
        <v>14550000</v>
      </c>
      <c r="AG25">
        <v>4200</v>
      </c>
      <c r="AH25">
        <v>382500</v>
      </c>
      <c r="AI25">
        <v>22</v>
      </c>
    </row>
    <row r="26" spans="1:35" x14ac:dyDescent="0.3">
      <c r="I26">
        <v>1050</v>
      </c>
      <c r="L26">
        <v>2150</v>
      </c>
      <c r="M26">
        <v>2200</v>
      </c>
      <c r="N26">
        <v>2250</v>
      </c>
      <c r="O26">
        <v>23</v>
      </c>
      <c r="P26">
        <f t="shared" si="10"/>
        <v>25350</v>
      </c>
      <c r="Q26">
        <f t="shared" si="11"/>
        <v>26500</v>
      </c>
      <c r="R26">
        <f t="shared" si="12"/>
        <v>27650</v>
      </c>
      <c r="T26">
        <f t="shared" si="13"/>
        <v>5185000</v>
      </c>
      <c r="U26">
        <f t="shared" si="14"/>
        <v>5415000</v>
      </c>
      <c r="V26">
        <f t="shared" si="15"/>
        <v>10600000</v>
      </c>
      <c r="W26" s="29">
        <v>3.5</v>
      </c>
      <c r="X26">
        <v>10888500</v>
      </c>
      <c r="Y26">
        <v>11371500</v>
      </c>
      <c r="Z26">
        <f t="shared" si="1"/>
        <v>10888500</v>
      </c>
      <c r="AA26">
        <f t="shared" si="16"/>
        <v>11371500</v>
      </c>
      <c r="AC26">
        <f t="shared" si="2"/>
        <v>22260000</v>
      </c>
      <c r="AG26">
        <v>4400</v>
      </c>
      <c r="AH26">
        <v>417000</v>
      </c>
      <c r="AI26">
        <v>23</v>
      </c>
    </row>
    <row r="27" spans="1:35" x14ac:dyDescent="0.3">
      <c r="I27">
        <v>1100</v>
      </c>
      <c r="L27">
        <v>2250</v>
      </c>
      <c r="M27">
        <v>2300</v>
      </c>
      <c r="N27">
        <v>2350</v>
      </c>
      <c r="O27">
        <v>24</v>
      </c>
      <c r="P27">
        <f t="shared" si="10"/>
        <v>27650</v>
      </c>
      <c r="Q27">
        <f t="shared" si="11"/>
        <v>28850</v>
      </c>
      <c r="R27">
        <f t="shared" si="12"/>
        <v>30050</v>
      </c>
      <c r="T27">
        <f t="shared" si="13"/>
        <v>5650000</v>
      </c>
      <c r="U27">
        <f t="shared" si="14"/>
        <v>5890000</v>
      </c>
      <c r="V27">
        <f t="shared" si="15"/>
        <v>11540000</v>
      </c>
      <c r="W27" s="29">
        <v>4.5</v>
      </c>
      <c r="X27">
        <v>15255000</v>
      </c>
      <c r="Y27">
        <v>15903000</v>
      </c>
      <c r="Z27">
        <f t="shared" si="1"/>
        <v>15255000</v>
      </c>
      <c r="AA27">
        <f t="shared" si="16"/>
        <v>15903000</v>
      </c>
      <c r="AC27">
        <f t="shared" si="2"/>
        <v>31158000</v>
      </c>
      <c r="AG27">
        <v>4600</v>
      </c>
      <c r="AH27">
        <v>453000</v>
      </c>
      <c r="AI27">
        <v>24</v>
      </c>
    </row>
    <row r="28" spans="1:35" x14ac:dyDescent="0.3">
      <c r="I28">
        <v>1150</v>
      </c>
      <c r="L28">
        <v>2350</v>
      </c>
      <c r="M28">
        <v>2400</v>
      </c>
      <c r="N28">
        <v>2450</v>
      </c>
      <c r="O28">
        <v>25</v>
      </c>
      <c r="P28">
        <f t="shared" si="10"/>
        <v>30050</v>
      </c>
      <c r="Q28">
        <f t="shared" si="11"/>
        <v>31300</v>
      </c>
      <c r="R28">
        <f t="shared" si="12"/>
        <v>32550</v>
      </c>
      <c r="S28">
        <v>185</v>
      </c>
      <c r="T28">
        <f t="shared" si="13"/>
        <v>6135000</v>
      </c>
      <c r="U28">
        <f t="shared" si="14"/>
        <v>6385000</v>
      </c>
      <c r="V28">
        <f t="shared" si="15"/>
        <v>12520000</v>
      </c>
      <c r="W28" s="29">
        <v>5.5</v>
      </c>
      <c r="X28">
        <v>20245500</v>
      </c>
      <c r="Y28">
        <v>21070500</v>
      </c>
      <c r="Z28">
        <f t="shared" si="1"/>
        <v>20245500</v>
      </c>
      <c r="AA28">
        <f t="shared" si="16"/>
        <v>21070500</v>
      </c>
      <c r="AC28">
        <f t="shared" si="2"/>
        <v>41316000</v>
      </c>
      <c r="AG28">
        <v>4800</v>
      </c>
      <c r="AH28">
        <v>490500</v>
      </c>
      <c r="AI28">
        <v>25</v>
      </c>
    </row>
    <row r="29" spans="1:35" x14ac:dyDescent="0.3">
      <c r="I29">
        <v>1200</v>
      </c>
      <c r="L29">
        <v>2450</v>
      </c>
      <c r="M29">
        <v>2500</v>
      </c>
      <c r="N29">
        <v>2550</v>
      </c>
      <c r="O29">
        <v>26</v>
      </c>
      <c r="P29">
        <f t="shared" si="10"/>
        <v>32550</v>
      </c>
      <c r="Q29">
        <f t="shared" si="11"/>
        <v>33850</v>
      </c>
      <c r="R29">
        <f t="shared" si="12"/>
        <v>35150</v>
      </c>
      <c r="S29">
        <v>150</v>
      </c>
      <c r="T29">
        <f t="shared" si="13"/>
        <v>6640000</v>
      </c>
      <c r="U29">
        <f t="shared" si="14"/>
        <v>6900000</v>
      </c>
      <c r="V29">
        <f t="shared" si="15"/>
        <v>13540000</v>
      </c>
      <c r="W29" s="29">
        <v>6.5</v>
      </c>
      <c r="X29">
        <v>25896000</v>
      </c>
      <c r="Y29">
        <v>26910000</v>
      </c>
      <c r="Z29">
        <f t="shared" si="1"/>
        <v>25896000</v>
      </c>
      <c r="AA29">
        <f t="shared" si="16"/>
        <v>26910000</v>
      </c>
      <c r="AC29">
        <f t="shared" si="2"/>
        <v>52806000</v>
      </c>
      <c r="AG29">
        <v>5000</v>
      </c>
      <c r="AH29">
        <v>529500</v>
      </c>
      <c r="AI29">
        <v>26</v>
      </c>
    </row>
    <row r="30" spans="1:35" x14ac:dyDescent="0.3">
      <c r="I30">
        <v>1250</v>
      </c>
      <c r="L30">
        <v>2550</v>
      </c>
      <c r="M30">
        <v>2600</v>
      </c>
      <c r="N30">
        <v>2650</v>
      </c>
      <c r="O30">
        <v>27</v>
      </c>
      <c r="P30">
        <f t="shared" si="10"/>
        <v>35150</v>
      </c>
      <c r="Q30">
        <f t="shared" si="11"/>
        <v>36500</v>
      </c>
      <c r="R30">
        <f t="shared" si="12"/>
        <v>37850</v>
      </c>
      <c r="S30">
        <f t="shared" ref="S30" si="17">S28-S29</f>
        <v>35</v>
      </c>
      <c r="T30">
        <f t="shared" si="13"/>
        <v>7165000</v>
      </c>
      <c r="U30">
        <f t="shared" si="14"/>
        <v>7435000</v>
      </c>
      <c r="V30">
        <f t="shared" si="15"/>
        <v>14600000</v>
      </c>
      <c r="W30" s="29">
        <v>7.5</v>
      </c>
      <c r="X30">
        <v>32242500</v>
      </c>
      <c r="Y30">
        <v>33457500</v>
      </c>
      <c r="Z30">
        <f t="shared" si="1"/>
        <v>32242500</v>
      </c>
      <c r="AA30">
        <f t="shared" si="16"/>
        <v>33457500</v>
      </c>
      <c r="AC30">
        <f t="shared" si="2"/>
        <v>65700000</v>
      </c>
      <c r="AG30">
        <v>5200</v>
      </c>
      <c r="AH30">
        <v>570000</v>
      </c>
      <c r="AI30">
        <v>27</v>
      </c>
    </row>
    <row r="31" spans="1:35" x14ac:dyDescent="0.3">
      <c r="I31">
        <v>1300</v>
      </c>
      <c r="L31">
        <v>2650</v>
      </c>
      <c r="M31">
        <v>2700</v>
      </c>
      <c r="N31">
        <v>2750</v>
      </c>
      <c r="O31">
        <v>28</v>
      </c>
      <c r="P31">
        <f t="shared" si="10"/>
        <v>37850</v>
      </c>
      <c r="Q31">
        <f t="shared" si="11"/>
        <v>39250</v>
      </c>
      <c r="R31">
        <f t="shared" si="12"/>
        <v>40650</v>
      </c>
      <c r="T31">
        <f t="shared" si="13"/>
        <v>7710000</v>
      </c>
      <c r="U31">
        <f t="shared" si="14"/>
        <v>7990000</v>
      </c>
      <c r="V31">
        <f t="shared" si="15"/>
        <v>15700000</v>
      </c>
      <c r="W31" s="29">
        <v>8.5</v>
      </c>
      <c r="X31">
        <v>39321000</v>
      </c>
      <c r="Y31">
        <v>40749000</v>
      </c>
      <c r="Z31">
        <f t="shared" si="1"/>
        <v>39321000</v>
      </c>
      <c r="AA31">
        <f t="shared" si="16"/>
        <v>40749000</v>
      </c>
      <c r="AC31">
        <f t="shared" si="2"/>
        <v>80070000</v>
      </c>
      <c r="AG31">
        <v>5400</v>
      </c>
      <c r="AH31">
        <v>612000</v>
      </c>
      <c r="AI31">
        <v>28</v>
      </c>
    </row>
    <row r="32" spans="1:35" x14ac:dyDescent="0.3">
      <c r="I32">
        <v>1350</v>
      </c>
      <c r="L32">
        <v>2750</v>
      </c>
      <c r="M32">
        <v>2800</v>
      </c>
      <c r="N32">
        <v>2850</v>
      </c>
      <c r="O32">
        <v>29</v>
      </c>
      <c r="P32">
        <f t="shared" si="10"/>
        <v>40650</v>
      </c>
      <c r="Q32">
        <f t="shared" si="11"/>
        <v>42100</v>
      </c>
      <c r="R32">
        <f t="shared" si="12"/>
        <v>43550</v>
      </c>
      <c r="T32">
        <f t="shared" si="13"/>
        <v>8275000</v>
      </c>
      <c r="U32">
        <f t="shared" si="14"/>
        <v>8565000</v>
      </c>
      <c r="V32">
        <f t="shared" si="15"/>
        <v>16840000</v>
      </c>
      <c r="W32" s="29">
        <v>9.5</v>
      </c>
      <c r="X32">
        <v>47167500</v>
      </c>
      <c r="Y32">
        <v>48820500</v>
      </c>
      <c r="Z32">
        <f t="shared" si="1"/>
        <v>47167500</v>
      </c>
      <c r="AA32">
        <f t="shared" si="16"/>
        <v>48820500</v>
      </c>
      <c r="AC32">
        <f t="shared" si="2"/>
        <v>95988000</v>
      </c>
      <c r="AG32">
        <v>5600</v>
      </c>
      <c r="AH32">
        <v>655500</v>
      </c>
      <c r="AI32">
        <v>29</v>
      </c>
    </row>
    <row r="33" spans="9:35" x14ac:dyDescent="0.3">
      <c r="I33">
        <v>1400</v>
      </c>
      <c r="L33">
        <v>2850</v>
      </c>
      <c r="M33">
        <v>2900</v>
      </c>
      <c r="N33">
        <v>2950</v>
      </c>
      <c r="O33">
        <v>30</v>
      </c>
      <c r="P33">
        <f t="shared" si="10"/>
        <v>43550</v>
      </c>
      <c r="Q33">
        <f t="shared" si="11"/>
        <v>45050</v>
      </c>
      <c r="R33">
        <f t="shared" si="12"/>
        <v>46550</v>
      </c>
      <c r="T33">
        <f t="shared" si="13"/>
        <v>8860000</v>
      </c>
      <c r="U33">
        <f t="shared" si="14"/>
        <v>9160000</v>
      </c>
      <c r="V33">
        <f t="shared" si="15"/>
        <v>18020000</v>
      </c>
      <c r="W33" s="29">
        <v>10.5</v>
      </c>
      <c r="X33">
        <v>55818000</v>
      </c>
      <c r="Y33">
        <v>57708000</v>
      </c>
      <c r="Z33">
        <f t="shared" si="1"/>
        <v>55818000</v>
      </c>
      <c r="AA33">
        <f t="shared" si="16"/>
        <v>57708000</v>
      </c>
      <c r="AC33">
        <f t="shared" si="2"/>
        <v>113526000</v>
      </c>
      <c r="AG33">
        <v>5800</v>
      </c>
      <c r="AH33">
        <v>700500</v>
      </c>
      <c r="AI33">
        <v>30</v>
      </c>
    </row>
    <row r="34" spans="9:35" x14ac:dyDescent="0.3">
      <c r="I34">
        <v>1450</v>
      </c>
      <c r="L34">
        <v>2950</v>
      </c>
      <c r="M34">
        <v>3000</v>
      </c>
      <c r="N34">
        <v>3050</v>
      </c>
      <c r="O34">
        <v>31</v>
      </c>
      <c r="P34">
        <f t="shared" si="10"/>
        <v>46550</v>
      </c>
      <c r="Q34">
        <f t="shared" si="11"/>
        <v>48100</v>
      </c>
      <c r="R34">
        <f t="shared" si="12"/>
        <v>49650</v>
      </c>
      <c r="T34">
        <f t="shared" si="13"/>
        <v>9465000</v>
      </c>
      <c r="U34">
        <f t="shared" si="14"/>
        <v>9775000</v>
      </c>
      <c r="V34">
        <f t="shared" si="15"/>
        <v>19240000</v>
      </c>
      <c r="W34" s="29">
        <v>11.5</v>
      </c>
      <c r="X34">
        <v>65308500</v>
      </c>
      <c r="Y34">
        <v>67447500</v>
      </c>
      <c r="Z34">
        <f t="shared" si="1"/>
        <v>65308500</v>
      </c>
      <c r="AA34">
        <f t="shared" si="16"/>
        <v>67447500</v>
      </c>
      <c r="AC34">
        <f t="shared" si="2"/>
        <v>132756000</v>
      </c>
      <c r="AG34">
        <v>6000</v>
      </c>
      <c r="AH34">
        <v>747000</v>
      </c>
      <c r="AI34">
        <v>31</v>
      </c>
    </row>
    <row r="35" spans="9:35" x14ac:dyDescent="0.3">
      <c r="I35">
        <v>1500</v>
      </c>
      <c r="L35">
        <v>3050</v>
      </c>
      <c r="M35">
        <v>3100</v>
      </c>
      <c r="N35">
        <v>3150</v>
      </c>
      <c r="O35">
        <v>32</v>
      </c>
      <c r="P35">
        <f t="shared" si="10"/>
        <v>49650</v>
      </c>
      <c r="Q35">
        <f t="shared" si="11"/>
        <v>51250</v>
      </c>
      <c r="R35">
        <f t="shared" si="12"/>
        <v>52850</v>
      </c>
      <c r="T35">
        <f t="shared" si="13"/>
        <v>10090000</v>
      </c>
      <c r="U35">
        <f t="shared" si="14"/>
        <v>10410000</v>
      </c>
      <c r="V35">
        <f t="shared" si="15"/>
        <v>20500000</v>
      </c>
      <c r="W35" s="29">
        <v>12.5</v>
      </c>
      <c r="X35">
        <v>75675000</v>
      </c>
      <c r="Y35">
        <v>78075000</v>
      </c>
      <c r="Z35">
        <f t="shared" si="1"/>
        <v>75675000</v>
      </c>
      <c r="AA35">
        <f t="shared" si="16"/>
        <v>78075000</v>
      </c>
      <c r="AC35">
        <f t="shared" si="2"/>
        <v>153750000</v>
      </c>
      <c r="AG35">
        <v>6200</v>
      </c>
      <c r="AH35">
        <v>795000</v>
      </c>
      <c r="AI35">
        <v>32</v>
      </c>
    </row>
    <row r="36" spans="9:35" x14ac:dyDescent="0.3">
      <c r="I36">
        <v>1550</v>
      </c>
      <c r="L36">
        <v>3150</v>
      </c>
      <c r="M36">
        <v>3200</v>
      </c>
      <c r="N36">
        <v>3250</v>
      </c>
      <c r="O36">
        <v>33</v>
      </c>
      <c r="P36">
        <f t="shared" si="10"/>
        <v>52850</v>
      </c>
      <c r="Q36">
        <f t="shared" si="11"/>
        <v>54500</v>
      </c>
      <c r="R36">
        <f t="shared" si="12"/>
        <v>56150</v>
      </c>
      <c r="T36">
        <f t="shared" si="13"/>
        <v>10735000</v>
      </c>
      <c r="U36">
        <f t="shared" si="14"/>
        <v>11065000</v>
      </c>
      <c r="V36">
        <f t="shared" si="15"/>
        <v>21800000</v>
      </c>
      <c r="W36" s="29">
        <v>13.5</v>
      </c>
      <c r="X36">
        <v>86953500</v>
      </c>
      <c r="Y36">
        <v>89626500</v>
      </c>
      <c r="Z36">
        <f t="shared" si="1"/>
        <v>86953500</v>
      </c>
      <c r="AA36">
        <f t="shared" si="16"/>
        <v>89626500</v>
      </c>
      <c r="AC36">
        <f t="shared" si="2"/>
        <v>176580000</v>
      </c>
      <c r="AG36">
        <v>6400</v>
      </c>
      <c r="AH36">
        <v>844500</v>
      </c>
      <c r="AI36">
        <v>33</v>
      </c>
    </row>
    <row r="37" spans="9:35" x14ac:dyDescent="0.3">
      <c r="I37">
        <v>1600</v>
      </c>
      <c r="L37">
        <v>3250</v>
      </c>
      <c r="M37">
        <v>3300</v>
      </c>
      <c r="N37">
        <v>3350</v>
      </c>
      <c r="O37">
        <v>34</v>
      </c>
      <c r="P37">
        <f t="shared" si="10"/>
        <v>56150</v>
      </c>
      <c r="Q37">
        <f t="shared" si="11"/>
        <v>57850</v>
      </c>
      <c r="R37">
        <f t="shared" si="12"/>
        <v>59550</v>
      </c>
      <c r="T37">
        <f t="shared" si="13"/>
        <v>11400000</v>
      </c>
      <c r="U37">
        <f t="shared" si="14"/>
        <v>11740000</v>
      </c>
      <c r="V37">
        <f t="shared" si="15"/>
        <v>23140000</v>
      </c>
      <c r="W37" s="29">
        <v>14.5</v>
      </c>
      <c r="X37">
        <v>99180000</v>
      </c>
      <c r="Y37">
        <v>102138000</v>
      </c>
      <c r="Z37">
        <f t="shared" si="1"/>
        <v>99180000</v>
      </c>
      <c r="AA37">
        <f t="shared" si="16"/>
        <v>102138000</v>
      </c>
      <c r="AC37">
        <f t="shared" si="2"/>
        <v>201318000</v>
      </c>
      <c r="AG37">
        <v>6600</v>
      </c>
      <c r="AH37">
        <v>895500</v>
      </c>
      <c r="AI37">
        <v>34</v>
      </c>
    </row>
    <row r="38" spans="9:35" x14ac:dyDescent="0.3">
      <c r="I38">
        <v>1650</v>
      </c>
      <c r="L38">
        <v>3350</v>
      </c>
      <c r="M38">
        <v>3400</v>
      </c>
      <c r="N38">
        <v>3450</v>
      </c>
      <c r="O38">
        <v>35</v>
      </c>
      <c r="P38">
        <f t="shared" si="10"/>
        <v>59550</v>
      </c>
      <c r="Q38">
        <f t="shared" si="11"/>
        <v>61300</v>
      </c>
      <c r="R38">
        <f t="shared" si="12"/>
        <v>63050</v>
      </c>
      <c r="T38">
        <f t="shared" si="13"/>
        <v>12085000</v>
      </c>
      <c r="U38">
        <f t="shared" si="14"/>
        <v>12435000</v>
      </c>
      <c r="V38">
        <f t="shared" si="15"/>
        <v>24520000</v>
      </c>
      <c r="W38" s="29">
        <v>15.5</v>
      </c>
      <c r="X38">
        <v>112390500</v>
      </c>
      <c r="Y38">
        <v>115645500</v>
      </c>
      <c r="Z38">
        <f t="shared" si="1"/>
        <v>112390500</v>
      </c>
      <c r="AA38">
        <f t="shared" si="16"/>
        <v>115645500</v>
      </c>
      <c r="AC38">
        <f t="shared" si="2"/>
        <v>228036000</v>
      </c>
      <c r="AG38">
        <v>6800</v>
      </c>
      <c r="AH38">
        <v>948000</v>
      </c>
      <c r="AI38">
        <v>35</v>
      </c>
    </row>
    <row r="39" spans="9:35" x14ac:dyDescent="0.3">
      <c r="I39">
        <v>1700</v>
      </c>
      <c r="L39">
        <v>3450</v>
      </c>
      <c r="M39">
        <v>3500</v>
      </c>
      <c r="N39">
        <v>3550</v>
      </c>
      <c r="O39">
        <v>36</v>
      </c>
      <c r="P39">
        <f t="shared" si="10"/>
        <v>63050</v>
      </c>
      <c r="Q39">
        <f t="shared" si="11"/>
        <v>64850</v>
      </c>
      <c r="R39">
        <f t="shared" si="12"/>
        <v>66650</v>
      </c>
      <c r="T39">
        <f t="shared" si="13"/>
        <v>12790000</v>
      </c>
      <c r="U39">
        <f t="shared" si="14"/>
        <v>13150000</v>
      </c>
      <c r="V39">
        <f t="shared" si="15"/>
        <v>25940000</v>
      </c>
      <c r="W39" s="29">
        <v>16.5</v>
      </c>
      <c r="X39">
        <v>130185000</v>
      </c>
      <c r="Y39">
        <v>130185000</v>
      </c>
      <c r="Z39">
        <f>U39*W39*0.6</f>
        <v>130185000</v>
      </c>
      <c r="AA39">
        <f t="shared" ref="AA39:AA41" si="18">U39*W39*0.6</f>
        <v>130185000</v>
      </c>
      <c r="AB39">
        <f t="shared" ref="AB39:AB41" si="19">V39*W39*0.6</f>
        <v>256806000</v>
      </c>
      <c r="AF39">
        <v>7000</v>
      </c>
      <c r="AG39">
        <v>1002000</v>
      </c>
      <c r="AH39">
        <v>36</v>
      </c>
    </row>
    <row r="40" spans="9:35" x14ac:dyDescent="0.3">
      <c r="I40">
        <v>1750</v>
      </c>
      <c r="L40">
        <v>3550</v>
      </c>
      <c r="M40">
        <v>3600</v>
      </c>
      <c r="N40">
        <v>3650</v>
      </c>
      <c r="O40">
        <v>37</v>
      </c>
      <c r="P40">
        <f t="shared" si="10"/>
        <v>66650</v>
      </c>
      <c r="Q40">
        <f t="shared" si="11"/>
        <v>68500</v>
      </c>
      <c r="R40">
        <f t="shared" si="12"/>
        <v>70350</v>
      </c>
      <c r="T40">
        <f t="shared" si="13"/>
        <v>13515000</v>
      </c>
      <c r="U40">
        <f t="shared" si="14"/>
        <v>13885000</v>
      </c>
      <c r="V40">
        <f t="shared" si="15"/>
        <v>27400000</v>
      </c>
      <c r="W40" s="29">
        <v>17.5</v>
      </c>
      <c r="X40">
        <v>145792500</v>
      </c>
      <c r="Y40">
        <v>145792500</v>
      </c>
      <c r="Z40">
        <f>U40*W40*0.6</f>
        <v>145792500</v>
      </c>
      <c r="AA40">
        <f t="shared" si="18"/>
        <v>145792500</v>
      </c>
      <c r="AB40">
        <f t="shared" si="19"/>
        <v>287700000</v>
      </c>
      <c r="AF40">
        <v>7200</v>
      </c>
      <c r="AG40">
        <v>1057500</v>
      </c>
      <c r="AH40">
        <v>37</v>
      </c>
    </row>
    <row r="41" spans="9:35" x14ac:dyDescent="0.3">
      <c r="I41">
        <v>1800</v>
      </c>
      <c r="L41">
        <v>3650</v>
      </c>
      <c r="M41">
        <v>3700</v>
      </c>
      <c r="N41">
        <v>3750</v>
      </c>
      <c r="O41">
        <v>38</v>
      </c>
      <c r="P41">
        <f t="shared" si="10"/>
        <v>70350</v>
      </c>
      <c r="Q41">
        <f t="shared" si="11"/>
        <v>72250</v>
      </c>
      <c r="R41">
        <f t="shared" si="12"/>
        <v>74150</v>
      </c>
      <c r="T41">
        <f t="shared" si="13"/>
        <v>14260000</v>
      </c>
      <c r="U41">
        <f t="shared" si="14"/>
        <v>14640000</v>
      </c>
      <c r="V41">
        <f t="shared" si="15"/>
        <v>28900000</v>
      </c>
      <c r="W41" s="29">
        <v>18.5</v>
      </c>
      <c r="X41">
        <v>162504000</v>
      </c>
      <c r="Y41">
        <v>162504000</v>
      </c>
      <c r="Z41">
        <f>U41*W41*0.6</f>
        <v>162504000</v>
      </c>
      <c r="AA41">
        <f t="shared" si="18"/>
        <v>162504000</v>
      </c>
      <c r="AB41">
        <f t="shared" si="19"/>
        <v>320790000</v>
      </c>
      <c r="AF41">
        <v>7400</v>
      </c>
      <c r="AG41">
        <v>1114500</v>
      </c>
      <c r="AH41">
        <v>38</v>
      </c>
    </row>
    <row r="42" spans="9:35" x14ac:dyDescent="0.3">
      <c r="O42">
        <v>39</v>
      </c>
      <c r="W42" s="29">
        <v>0.42999999999999994</v>
      </c>
      <c r="AF42">
        <v>7600</v>
      </c>
      <c r="AG42">
        <v>1173000</v>
      </c>
      <c r="AH42">
        <v>39</v>
      </c>
    </row>
    <row r="43" spans="9:35" x14ac:dyDescent="0.3">
      <c r="O43">
        <v>40</v>
      </c>
      <c r="W43" s="30">
        <v>0.43000000000000005</v>
      </c>
      <c r="AF43">
        <v>7800</v>
      </c>
      <c r="AG43">
        <v>1233000</v>
      </c>
      <c r="AH43">
        <v>40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9FEB-E006-4BAC-A2A3-AC98115D30F4}">
  <dimension ref="B3:L42"/>
  <sheetViews>
    <sheetView workbookViewId="0">
      <selection activeCell="K42" sqref="K3:K42"/>
    </sheetView>
  </sheetViews>
  <sheetFormatPr defaultRowHeight="16.5" x14ac:dyDescent="0.3"/>
  <sheetData>
    <row r="3" spans="2:12" x14ac:dyDescent="0.3">
      <c r="B3">
        <v>5400</v>
      </c>
      <c r="F3">
        <v>7837.5</v>
      </c>
      <c r="I3" s="1">
        <v>6412.5</v>
      </c>
      <c r="K3" s="1">
        <v>6412.5</v>
      </c>
      <c r="L3">
        <v>7837.5</v>
      </c>
    </row>
    <row r="4" spans="2:12" x14ac:dyDescent="0.3">
      <c r="B4">
        <v>6600</v>
      </c>
      <c r="F4">
        <v>8550</v>
      </c>
      <c r="I4" s="1">
        <v>7837.5</v>
      </c>
      <c r="K4" s="1">
        <v>7837.5</v>
      </c>
    </row>
    <row r="5" spans="2:12" x14ac:dyDescent="0.3">
      <c r="B5">
        <v>19200</v>
      </c>
      <c r="F5">
        <v>22800</v>
      </c>
      <c r="I5" s="1">
        <v>22800</v>
      </c>
      <c r="K5" s="1">
        <v>22800</v>
      </c>
      <c r="L5">
        <v>34200</v>
      </c>
    </row>
    <row r="6" spans="2:12" x14ac:dyDescent="0.3">
      <c r="B6">
        <v>28800</v>
      </c>
      <c r="F6">
        <v>34200</v>
      </c>
      <c r="I6" s="1">
        <v>34200</v>
      </c>
      <c r="K6" s="1">
        <v>34200</v>
      </c>
    </row>
    <row r="7" spans="2:12" x14ac:dyDescent="0.3">
      <c r="B7">
        <v>35699.999999999993</v>
      </c>
      <c r="F7">
        <v>45900</v>
      </c>
      <c r="I7" s="1">
        <v>45900</v>
      </c>
      <c r="K7" s="1">
        <v>45900</v>
      </c>
      <c r="L7">
        <v>62100</v>
      </c>
    </row>
    <row r="8" spans="2:12" x14ac:dyDescent="0.3">
      <c r="B8">
        <v>48300</v>
      </c>
      <c r="F8">
        <v>62100</v>
      </c>
      <c r="I8" s="1">
        <v>62100</v>
      </c>
      <c r="K8" s="1">
        <v>62100</v>
      </c>
    </row>
    <row r="9" spans="2:12" x14ac:dyDescent="0.3">
      <c r="B9">
        <v>63000</v>
      </c>
      <c r="F9">
        <v>81000</v>
      </c>
      <c r="I9" s="1">
        <v>81000</v>
      </c>
      <c r="K9" s="1">
        <v>81000</v>
      </c>
      <c r="L9">
        <v>102600</v>
      </c>
    </row>
    <row r="10" spans="2:12" x14ac:dyDescent="0.3">
      <c r="B10">
        <v>79800</v>
      </c>
      <c r="F10">
        <v>102600</v>
      </c>
      <c r="I10" s="1">
        <v>102600</v>
      </c>
      <c r="K10" s="1">
        <v>102600</v>
      </c>
    </row>
    <row r="11" spans="2:12" x14ac:dyDescent="0.3">
      <c r="B11">
        <v>84600</v>
      </c>
      <c r="F11">
        <v>119850</v>
      </c>
      <c r="I11" s="1">
        <v>119850</v>
      </c>
      <c r="K11" s="1">
        <v>119850</v>
      </c>
      <c r="L11">
        <v>145350</v>
      </c>
    </row>
    <row r="12" spans="2:12" x14ac:dyDescent="0.3">
      <c r="B12">
        <v>102600</v>
      </c>
      <c r="F12">
        <v>145350</v>
      </c>
      <c r="I12" s="1">
        <v>145350</v>
      </c>
      <c r="K12" s="1">
        <v>145350</v>
      </c>
    </row>
    <row r="13" spans="2:12" x14ac:dyDescent="0.3">
      <c r="B13">
        <v>122400</v>
      </c>
      <c r="F13">
        <v>173400</v>
      </c>
      <c r="I13" s="1">
        <v>173400</v>
      </c>
      <c r="K13" s="1">
        <v>163200</v>
      </c>
      <c r="L13">
        <v>192000</v>
      </c>
    </row>
    <row r="14" spans="2:12" x14ac:dyDescent="0.3">
      <c r="B14">
        <v>144000</v>
      </c>
      <c r="F14">
        <v>204000</v>
      </c>
      <c r="I14" s="1">
        <v>204000</v>
      </c>
      <c r="K14" s="1">
        <v>192000</v>
      </c>
    </row>
    <row r="15" spans="2:12" x14ac:dyDescent="0.3">
      <c r="B15">
        <v>167400</v>
      </c>
      <c r="F15">
        <v>230175</v>
      </c>
      <c r="I15" s="1">
        <v>230175</v>
      </c>
      <c r="K15" s="1">
        <v>223200</v>
      </c>
      <c r="L15">
        <v>256800</v>
      </c>
    </row>
    <row r="16" spans="2:12" x14ac:dyDescent="0.3">
      <c r="B16">
        <v>192600</v>
      </c>
      <c r="F16">
        <v>264825</v>
      </c>
      <c r="I16" s="1">
        <v>264825</v>
      </c>
      <c r="K16" s="1">
        <v>256800</v>
      </c>
    </row>
    <row r="17" spans="2:12" x14ac:dyDescent="0.3">
      <c r="B17">
        <v>219600</v>
      </c>
      <c r="F17">
        <v>294630</v>
      </c>
      <c r="I17" s="1">
        <v>294630</v>
      </c>
      <c r="K17" s="1">
        <v>274500</v>
      </c>
      <c r="L17">
        <v>310500</v>
      </c>
    </row>
    <row r="18" spans="2:12" x14ac:dyDescent="0.3">
      <c r="B18">
        <v>248400</v>
      </c>
      <c r="F18">
        <v>333270</v>
      </c>
      <c r="I18" s="1">
        <v>333270</v>
      </c>
      <c r="K18" s="1">
        <v>310500</v>
      </c>
    </row>
    <row r="19" spans="2:12" x14ac:dyDescent="0.3">
      <c r="B19">
        <v>279000</v>
      </c>
      <c r="F19">
        <v>365025</v>
      </c>
      <c r="I19" s="1">
        <v>365025</v>
      </c>
      <c r="K19" s="1">
        <v>325500</v>
      </c>
      <c r="L19">
        <v>363300</v>
      </c>
    </row>
    <row r="20" spans="2:12" x14ac:dyDescent="0.3">
      <c r="B20">
        <v>288000</v>
      </c>
      <c r="F20">
        <v>407415</v>
      </c>
      <c r="I20" s="1">
        <v>407415</v>
      </c>
      <c r="K20" s="1">
        <v>363300</v>
      </c>
    </row>
    <row r="21" spans="2:12" x14ac:dyDescent="0.3">
      <c r="B21">
        <v>311400</v>
      </c>
      <c r="F21">
        <v>440640</v>
      </c>
      <c r="I21" s="1">
        <v>440640</v>
      </c>
      <c r="K21" s="1">
        <v>403200</v>
      </c>
      <c r="L21">
        <v>445200</v>
      </c>
    </row>
    <row r="22" spans="2:12" x14ac:dyDescent="0.3">
      <c r="B22">
        <v>318000</v>
      </c>
      <c r="F22">
        <v>486540</v>
      </c>
      <c r="I22" s="1">
        <v>486540</v>
      </c>
      <c r="K22" s="1">
        <v>445200</v>
      </c>
    </row>
    <row r="23" spans="2:12" x14ac:dyDescent="0.3">
      <c r="B23">
        <v>349500</v>
      </c>
      <c r="F23">
        <v>520755</v>
      </c>
      <c r="I23" s="1">
        <v>520755</v>
      </c>
      <c r="K23" s="1">
        <v>454350</v>
      </c>
      <c r="L23">
        <v>497250</v>
      </c>
    </row>
    <row r="24" spans="2:12" x14ac:dyDescent="0.3">
      <c r="B24">
        <v>382500</v>
      </c>
      <c r="F24">
        <v>569925</v>
      </c>
      <c r="I24" s="1">
        <v>569925</v>
      </c>
      <c r="K24" s="1">
        <v>497250</v>
      </c>
    </row>
    <row r="25" spans="2:12" x14ac:dyDescent="0.3">
      <c r="B25">
        <v>417000</v>
      </c>
      <c r="F25">
        <v>604650</v>
      </c>
      <c r="I25" s="1">
        <v>604650</v>
      </c>
      <c r="K25" s="1">
        <v>542100</v>
      </c>
      <c r="L25">
        <v>588900</v>
      </c>
    </row>
    <row r="26" spans="2:12" x14ac:dyDescent="0.3">
      <c r="B26">
        <v>453000</v>
      </c>
      <c r="F26">
        <v>656850</v>
      </c>
      <c r="I26" s="1">
        <v>656850</v>
      </c>
      <c r="K26" s="1">
        <v>588600</v>
      </c>
      <c r="L26">
        <v>635400</v>
      </c>
    </row>
    <row r="27" spans="2:12" x14ac:dyDescent="0.3">
      <c r="B27">
        <v>490500</v>
      </c>
      <c r="F27">
        <v>691605</v>
      </c>
      <c r="I27" s="1">
        <v>691605</v>
      </c>
      <c r="K27" s="1">
        <v>588900</v>
      </c>
    </row>
    <row r="28" spans="2:12" x14ac:dyDescent="0.3">
      <c r="B28">
        <v>529500</v>
      </c>
      <c r="F28">
        <v>746595</v>
      </c>
      <c r="I28" s="1">
        <v>746595</v>
      </c>
      <c r="K28" s="1">
        <v>635400</v>
      </c>
    </row>
    <row r="29" spans="2:12" x14ac:dyDescent="0.3">
      <c r="B29">
        <v>570000</v>
      </c>
      <c r="F29">
        <v>780900</v>
      </c>
      <c r="I29" s="1">
        <v>780900</v>
      </c>
      <c r="K29" s="1">
        <v>684000</v>
      </c>
      <c r="L29">
        <v>734400</v>
      </c>
    </row>
    <row r="30" spans="2:12" x14ac:dyDescent="0.3">
      <c r="B30">
        <v>612000</v>
      </c>
      <c r="F30">
        <v>838440</v>
      </c>
      <c r="I30" s="1">
        <v>838440</v>
      </c>
      <c r="K30" s="1">
        <v>734400</v>
      </c>
    </row>
    <row r="31" spans="2:12" x14ac:dyDescent="0.3">
      <c r="B31">
        <v>655500</v>
      </c>
      <c r="F31">
        <v>871815</v>
      </c>
      <c r="I31" s="1">
        <v>871815</v>
      </c>
      <c r="K31" s="1">
        <v>786600</v>
      </c>
      <c r="L31">
        <v>840600</v>
      </c>
    </row>
    <row r="32" spans="2:12" x14ac:dyDescent="0.3">
      <c r="B32">
        <v>700500</v>
      </c>
      <c r="F32">
        <v>931665</v>
      </c>
      <c r="I32" s="1">
        <v>931665</v>
      </c>
      <c r="K32" s="1">
        <v>840600</v>
      </c>
    </row>
    <row r="33" spans="2:12" x14ac:dyDescent="0.3">
      <c r="B33">
        <v>747000</v>
      </c>
      <c r="F33">
        <v>963630</v>
      </c>
      <c r="I33" s="1">
        <v>963630</v>
      </c>
      <c r="K33" s="1">
        <v>896400</v>
      </c>
      <c r="L33">
        <v>954000</v>
      </c>
    </row>
    <row r="34" spans="2:12" x14ac:dyDescent="0.3">
      <c r="B34">
        <v>795000</v>
      </c>
      <c r="F34">
        <v>1025550</v>
      </c>
      <c r="I34" s="1">
        <v>1025550</v>
      </c>
      <c r="K34" s="1">
        <v>948000</v>
      </c>
      <c r="L34">
        <v>1002000</v>
      </c>
    </row>
    <row r="35" spans="2:12" x14ac:dyDescent="0.3">
      <c r="B35">
        <v>844500</v>
      </c>
      <c r="F35">
        <v>1055625</v>
      </c>
      <c r="I35" s="1">
        <v>1055625</v>
      </c>
      <c r="K35" s="1">
        <v>954000</v>
      </c>
    </row>
    <row r="36" spans="2:12" x14ac:dyDescent="0.3">
      <c r="B36">
        <v>895500</v>
      </c>
      <c r="F36">
        <v>1119375</v>
      </c>
      <c r="I36" s="1">
        <v>1119375</v>
      </c>
      <c r="K36" s="1">
        <v>1002000</v>
      </c>
    </row>
    <row r="37" spans="2:12" x14ac:dyDescent="0.3">
      <c r="B37">
        <v>948000</v>
      </c>
      <c r="F37">
        <v>1147080</v>
      </c>
      <c r="I37" s="1">
        <v>1147080</v>
      </c>
      <c r="K37" s="1">
        <v>1013400</v>
      </c>
      <c r="L37">
        <v>1074600</v>
      </c>
    </row>
    <row r="38" spans="2:12" x14ac:dyDescent="0.3">
      <c r="B38">
        <v>1002000</v>
      </c>
      <c r="F38">
        <v>1212420</v>
      </c>
      <c r="I38" s="1">
        <v>1212420</v>
      </c>
      <c r="K38" s="1">
        <v>1057500</v>
      </c>
      <c r="L38">
        <v>1114500</v>
      </c>
    </row>
    <row r="39" spans="2:12" x14ac:dyDescent="0.3">
      <c r="B39">
        <v>1057500</v>
      </c>
      <c r="F39">
        <v>1237274.9999999998</v>
      </c>
      <c r="I39" s="1">
        <v>1237274.9999999998</v>
      </c>
      <c r="K39" s="1">
        <v>1074600</v>
      </c>
    </row>
    <row r="40" spans="2:12" x14ac:dyDescent="0.3">
      <c r="B40">
        <v>1114500</v>
      </c>
      <c r="F40">
        <v>1303965</v>
      </c>
      <c r="I40" s="1">
        <v>1303965</v>
      </c>
      <c r="K40" s="1">
        <v>1114500</v>
      </c>
    </row>
    <row r="41" spans="2:12" x14ac:dyDescent="0.3">
      <c r="B41">
        <v>1173000</v>
      </c>
      <c r="F41">
        <v>1325490</v>
      </c>
      <c r="I41" s="1">
        <v>1325490</v>
      </c>
      <c r="K41" s="1">
        <v>1173000</v>
      </c>
      <c r="L41">
        <v>1233000</v>
      </c>
    </row>
    <row r="42" spans="2:12" x14ac:dyDescent="0.3">
      <c r="B42">
        <v>1233000</v>
      </c>
      <c r="F42">
        <v>1393290</v>
      </c>
      <c r="I42" s="1">
        <v>1393290</v>
      </c>
      <c r="K42" s="1">
        <v>1233000</v>
      </c>
    </row>
  </sheetData>
  <sortState xmlns:xlrd2="http://schemas.microsoft.com/office/spreadsheetml/2017/richdata2" ref="K3:L42">
    <sortCondition ref="K3:K42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54FF-C9F1-41C0-86BA-697477BDDF4E}">
  <dimension ref="A1:AK103"/>
  <sheetViews>
    <sheetView tabSelected="1" topLeftCell="A72" zoomScale="85" zoomScaleNormal="85" workbookViewId="0">
      <selection activeCell="K88" sqref="K88"/>
    </sheetView>
  </sheetViews>
  <sheetFormatPr defaultRowHeight="16.5" x14ac:dyDescent="0.3"/>
  <cols>
    <col min="3" max="3" width="12.375" customWidth="1"/>
    <col min="8" max="8" width="13.125" bestFit="1" customWidth="1"/>
    <col min="9" max="9" width="11" customWidth="1"/>
    <col min="10" max="10" width="18.875" customWidth="1"/>
    <col min="11" max="11" width="12.125" bestFit="1" customWidth="1"/>
    <col min="16" max="17" width="13.125" bestFit="1" customWidth="1"/>
    <col min="18" max="19" width="13.375" bestFit="1" customWidth="1"/>
  </cols>
  <sheetData>
    <row r="1" spans="1:21" ht="17.25" thickBot="1" x14ac:dyDescent="0.35">
      <c r="A1" s="6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/>
      <c r="J1" s="8" t="s">
        <v>17</v>
      </c>
      <c r="N1" s="39" t="s">
        <v>18</v>
      </c>
      <c r="O1" s="39"/>
      <c r="P1" s="39"/>
      <c r="Q1" s="39"/>
      <c r="R1" s="39"/>
      <c r="S1" s="39"/>
      <c r="T1" s="39"/>
    </row>
    <row r="2" spans="1:21" x14ac:dyDescent="0.3">
      <c r="A2" s="9">
        <v>1</v>
      </c>
      <c r="B2" s="10" t="s">
        <v>19</v>
      </c>
      <c r="C2" s="10">
        <v>1000000000</v>
      </c>
      <c r="D2" s="10">
        <v>1</v>
      </c>
      <c r="E2" s="10">
        <v>113608</v>
      </c>
      <c r="F2" s="10">
        <v>0</v>
      </c>
      <c r="G2" s="10" t="s">
        <v>20</v>
      </c>
      <c r="H2" s="10"/>
      <c r="I2" s="10"/>
      <c r="J2" s="11"/>
      <c r="O2" s="6" t="s">
        <v>21</v>
      </c>
      <c r="P2" s="12">
        <v>0.2</v>
      </c>
      <c r="Q2" s="12">
        <v>0.4</v>
      </c>
      <c r="R2" s="12">
        <v>0.6</v>
      </c>
      <c r="S2" s="12">
        <v>0.8</v>
      </c>
      <c r="T2" s="13">
        <v>1</v>
      </c>
    </row>
    <row r="3" spans="1:21" x14ac:dyDescent="0.3">
      <c r="A3" s="9">
        <v>2</v>
      </c>
      <c r="B3" s="10" t="s">
        <v>22</v>
      </c>
      <c r="C3" s="10">
        <v>1000000000</v>
      </c>
      <c r="D3" s="10">
        <v>1</v>
      </c>
      <c r="E3" s="10">
        <v>113608</v>
      </c>
      <c r="F3" s="10">
        <v>0</v>
      </c>
      <c r="G3" s="10" t="s">
        <v>20</v>
      </c>
      <c r="H3" s="10"/>
      <c r="I3" s="10"/>
      <c r="J3" s="11"/>
      <c r="N3" t="s">
        <v>23</v>
      </c>
      <c r="O3" s="9">
        <v>1000</v>
      </c>
      <c r="P3" s="10">
        <f>$O3*P$2</f>
        <v>200</v>
      </c>
      <c r="Q3" s="10">
        <f>$O3*Q$2</f>
        <v>400</v>
      </c>
      <c r="R3" s="10">
        <f>$O3*R$2</f>
        <v>600</v>
      </c>
      <c r="S3" s="10">
        <f>$O3*S$2</f>
        <v>800</v>
      </c>
      <c r="T3" s="11">
        <f>$O3*T$2</f>
        <v>1000</v>
      </c>
    </row>
    <row r="4" spans="1:21" x14ac:dyDescent="0.3">
      <c r="A4" s="9">
        <v>3</v>
      </c>
      <c r="B4" s="10" t="s">
        <v>24</v>
      </c>
      <c r="C4" s="10">
        <v>1500000000</v>
      </c>
      <c r="D4" s="10">
        <v>1</v>
      </c>
      <c r="E4" s="10">
        <v>250501608</v>
      </c>
      <c r="F4" s="10">
        <v>1000</v>
      </c>
      <c r="G4" s="10" t="s">
        <v>25</v>
      </c>
      <c r="H4" s="10">
        <f>1000/2*(C4+999*E4)</f>
        <v>125875553196000</v>
      </c>
      <c r="I4" s="10" t="s">
        <v>26</v>
      </c>
      <c r="J4" s="11" t="s">
        <v>27</v>
      </c>
      <c r="O4" s="9" t="s">
        <v>0</v>
      </c>
      <c r="P4" s="10">
        <f>$D$72+P3*$F$72</f>
        <v>51600321600</v>
      </c>
      <c r="Q4" s="10">
        <f>$D$72+Q3*$F$72</f>
        <v>101700643200</v>
      </c>
      <c r="R4" s="10">
        <f>$D$72+R3*$F$72</f>
        <v>151800964800</v>
      </c>
      <c r="S4" s="10">
        <f>$D$72+S3*$F$72</f>
        <v>201901286400</v>
      </c>
      <c r="T4" s="11">
        <f>$D$72+T3*$F$72</f>
        <v>252001608000</v>
      </c>
      <c r="U4" t="s">
        <v>0</v>
      </c>
    </row>
    <row r="5" spans="1:21" ht="17.25" thickBot="1" x14ac:dyDescent="0.35">
      <c r="A5" s="9">
        <v>4</v>
      </c>
      <c r="B5" s="10" t="s">
        <v>28</v>
      </c>
      <c r="C5" s="10">
        <v>1500000000</v>
      </c>
      <c r="D5" s="10">
        <v>1</v>
      </c>
      <c r="E5" s="10">
        <v>21501608</v>
      </c>
      <c r="F5" s="10">
        <v>5000</v>
      </c>
      <c r="G5" s="10" t="s">
        <v>29</v>
      </c>
      <c r="H5" s="10">
        <f>5000/2*(C5+5000*E5)</f>
        <v>272520100000000</v>
      </c>
      <c r="I5" s="10" t="s">
        <v>30</v>
      </c>
      <c r="J5" s="11" t="s">
        <v>31</v>
      </c>
      <c r="O5" s="9" t="s">
        <v>32</v>
      </c>
      <c r="P5" s="10" t="s">
        <v>33</v>
      </c>
      <c r="Q5" s="10" t="s">
        <v>34</v>
      </c>
      <c r="R5" s="10" t="s">
        <v>35</v>
      </c>
      <c r="S5" s="10" t="s">
        <v>36</v>
      </c>
      <c r="T5" s="11" t="s">
        <v>37</v>
      </c>
    </row>
    <row r="6" spans="1:21" x14ac:dyDescent="0.3">
      <c r="A6" s="9">
        <v>5</v>
      </c>
      <c r="B6" s="10" t="s">
        <v>38</v>
      </c>
      <c r="C6">
        <v>251751106392</v>
      </c>
      <c r="D6" s="10">
        <v>100</v>
      </c>
      <c r="E6">
        <v>800000000</v>
      </c>
      <c r="F6" s="10">
        <v>1000</v>
      </c>
      <c r="G6" s="10" t="s">
        <v>39</v>
      </c>
      <c r="H6" s="10">
        <f>1000/2*(C6+999*E6)</f>
        <v>525475553196000</v>
      </c>
      <c r="I6" s="10" t="s">
        <v>40</v>
      </c>
      <c r="J6" s="11" t="s">
        <v>41</v>
      </c>
      <c r="N6" t="s">
        <v>42</v>
      </c>
      <c r="O6" s="6" t="s">
        <v>21</v>
      </c>
      <c r="P6" s="12">
        <v>0.2</v>
      </c>
      <c r="Q6" s="12">
        <v>0.4</v>
      </c>
      <c r="R6" s="12">
        <v>0.6</v>
      </c>
      <c r="S6" s="12">
        <v>0.8</v>
      </c>
      <c r="T6" s="13">
        <v>1</v>
      </c>
    </row>
    <row r="7" spans="1:21" x14ac:dyDescent="0.3">
      <c r="A7" s="9">
        <v>6</v>
      </c>
      <c r="B7" s="10" t="s">
        <v>43</v>
      </c>
      <c r="C7">
        <v>108986538392</v>
      </c>
      <c r="D7" s="10">
        <v>100</v>
      </c>
      <c r="E7">
        <v>420000000</v>
      </c>
      <c r="F7" s="10">
        <v>5000</v>
      </c>
      <c r="G7" s="10" t="s">
        <v>44</v>
      </c>
      <c r="H7" s="10">
        <f>5000/2*(C7+5000*E7)</f>
        <v>5522466345980000</v>
      </c>
      <c r="I7" s="10" t="s">
        <v>45</v>
      </c>
      <c r="J7" s="11" t="s">
        <v>46</v>
      </c>
      <c r="O7" s="9">
        <v>5000</v>
      </c>
      <c r="P7" s="10">
        <f>$O7*P$2</f>
        <v>1000</v>
      </c>
      <c r="Q7" s="10">
        <f>$O7*Q$2</f>
        <v>2000</v>
      </c>
      <c r="R7" s="10">
        <f>$O7*R$2</f>
        <v>3000</v>
      </c>
      <c r="S7" s="10">
        <f>$O7*S$2</f>
        <v>4000</v>
      </c>
      <c r="T7" s="11">
        <f>$O7*T$2</f>
        <v>5000</v>
      </c>
      <c r="U7" t="s">
        <v>0</v>
      </c>
    </row>
    <row r="8" spans="1:21" ht="17.25" thickBot="1" x14ac:dyDescent="0.35">
      <c r="A8" s="14"/>
      <c r="B8" s="15"/>
      <c r="C8" s="15"/>
      <c r="D8" s="15"/>
      <c r="E8" s="15"/>
      <c r="F8" s="15"/>
      <c r="G8" s="15"/>
      <c r="H8" s="15"/>
      <c r="I8" s="15"/>
      <c r="J8" s="16"/>
      <c r="O8" s="9" t="s">
        <v>0</v>
      </c>
      <c r="P8" s="10">
        <f>$D$72+P7*$F$73</f>
        <v>23001608000</v>
      </c>
      <c r="Q8" s="10">
        <f>$D$72+Q7*$F$73</f>
        <v>44503216000</v>
      </c>
      <c r="R8" s="10">
        <f>$D$72+R7*$F$73</f>
        <v>66004824000</v>
      </c>
      <c r="S8" s="10">
        <f>$D$72+S7*$F$73</f>
        <v>87506432000</v>
      </c>
      <c r="T8" s="11">
        <f>$D$72+T7*$F$73</f>
        <v>109008040000</v>
      </c>
    </row>
    <row r="9" spans="1:21" ht="17.25" thickBot="1" x14ac:dyDescent="0.35">
      <c r="C9" t="s">
        <v>0</v>
      </c>
      <c r="O9" s="9" t="s">
        <v>32</v>
      </c>
      <c r="P9" s="15" t="s">
        <v>47</v>
      </c>
      <c r="Q9" s="15" t="s">
        <v>48</v>
      </c>
      <c r="R9" s="15" t="s">
        <v>49</v>
      </c>
      <c r="S9" s="15" t="s">
        <v>50</v>
      </c>
      <c r="T9" s="16" t="s">
        <v>51</v>
      </c>
    </row>
    <row r="11" spans="1:21" ht="17.25" thickBot="1" x14ac:dyDescent="0.35">
      <c r="N11" s="39" t="s">
        <v>52</v>
      </c>
      <c r="O11" s="39"/>
      <c r="P11" s="39"/>
      <c r="Q11" s="39"/>
      <c r="R11" s="39"/>
      <c r="S11" s="39"/>
      <c r="T11" s="39"/>
    </row>
    <row r="12" spans="1:21" x14ac:dyDescent="0.3">
      <c r="N12" t="s">
        <v>23</v>
      </c>
      <c r="O12" s="6" t="s">
        <v>21</v>
      </c>
      <c r="P12" s="12">
        <v>0.2</v>
      </c>
      <c r="Q12" s="12">
        <v>0.4</v>
      </c>
      <c r="R12" s="12">
        <v>0.6</v>
      </c>
      <c r="S12" s="12">
        <v>0.8</v>
      </c>
      <c r="T12" s="13">
        <v>1</v>
      </c>
    </row>
    <row r="13" spans="1:21" x14ac:dyDescent="0.3">
      <c r="G13" s="39" t="s">
        <v>53</v>
      </c>
      <c r="H13" s="39"/>
      <c r="I13">
        <v>1000</v>
      </c>
      <c r="O13" s="9">
        <v>1000</v>
      </c>
      <c r="P13" s="10">
        <f>$O13*P$2</f>
        <v>200</v>
      </c>
      <c r="Q13" s="10">
        <f>$O13*Q$2</f>
        <v>400</v>
      </c>
      <c r="R13" s="10">
        <f>$O13*R$2</f>
        <v>600</v>
      </c>
      <c r="S13" s="10">
        <f>$O13*S$2</f>
        <v>800</v>
      </c>
      <c r="T13" s="11">
        <f>$O13*T$2</f>
        <v>1000</v>
      </c>
    </row>
    <row r="14" spans="1:21" x14ac:dyDescent="0.3">
      <c r="G14" s="39" t="s">
        <v>24</v>
      </c>
      <c r="H14" s="39"/>
      <c r="I14">
        <f>D72+I$13*F72</f>
        <v>252001608000</v>
      </c>
      <c r="J14" t="s">
        <v>37</v>
      </c>
      <c r="O14" s="9"/>
      <c r="P14" s="10">
        <f>$D$74+P13*$F$74</f>
        <v>411751106392</v>
      </c>
      <c r="Q14" s="10">
        <f>$D$74+Q13*$F$74</f>
        <v>571751106392</v>
      </c>
      <c r="R14" s="10">
        <f>$D$74+R13*$F$74</f>
        <v>731751106392</v>
      </c>
      <c r="S14" s="10">
        <f>$D$74+S13*$F$74</f>
        <v>891751106392</v>
      </c>
      <c r="T14" s="11">
        <f>$D$74+T13*$F$74</f>
        <v>1051751106392</v>
      </c>
    </row>
    <row r="15" spans="1:21" ht="17.25" thickBot="1" x14ac:dyDescent="0.35">
      <c r="G15" s="39" t="s">
        <v>28</v>
      </c>
      <c r="H15" s="39"/>
      <c r="I15">
        <f>D72+I$13*F73</f>
        <v>23001608000</v>
      </c>
      <c r="J15" t="s">
        <v>34</v>
      </c>
      <c r="O15" s="14" t="s">
        <v>32</v>
      </c>
      <c r="P15" s="15" t="s">
        <v>54</v>
      </c>
      <c r="Q15" s="15" t="s">
        <v>55</v>
      </c>
      <c r="R15" s="15" t="s">
        <v>56</v>
      </c>
      <c r="S15" s="15" t="s">
        <v>57</v>
      </c>
      <c r="T15" s="16" t="s">
        <v>58</v>
      </c>
    </row>
    <row r="16" spans="1:21" ht="17.25" thickBot="1" x14ac:dyDescent="0.35">
      <c r="N16" t="s">
        <v>42</v>
      </c>
      <c r="O16" s="6" t="s">
        <v>21</v>
      </c>
      <c r="P16" s="12">
        <v>0.2</v>
      </c>
      <c r="Q16" s="12">
        <v>0.4</v>
      </c>
      <c r="R16" s="12">
        <v>0.6</v>
      </c>
      <c r="S16" s="12">
        <v>0.8</v>
      </c>
      <c r="T16" s="13">
        <v>1</v>
      </c>
    </row>
    <row r="17" spans="3:37" x14ac:dyDescent="0.3">
      <c r="C17" s="6" t="s">
        <v>59</v>
      </c>
      <c r="D17" s="8">
        <v>1000000</v>
      </c>
      <c r="I17">
        <v>5000</v>
      </c>
      <c r="O17" s="9">
        <v>5000</v>
      </c>
      <c r="P17" s="10">
        <f>$O17*P$2</f>
        <v>1000</v>
      </c>
      <c r="Q17" s="10">
        <f>$O17*Q$2</f>
        <v>2000</v>
      </c>
      <c r="R17" s="10">
        <f>$O17*R$2</f>
        <v>3000</v>
      </c>
      <c r="S17" s="10">
        <f>$O17*S$2</f>
        <v>4000</v>
      </c>
      <c r="T17" s="11">
        <f>$O17*T$2</f>
        <v>5000</v>
      </c>
    </row>
    <row r="18" spans="3:37" x14ac:dyDescent="0.3">
      <c r="C18" s="9" t="s">
        <v>60</v>
      </c>
      <c r="D18" s="11">
        <v>10000000</v>
      </c>
      <c r="H18" t="s">
        <v>131</v>
      </c>
      <c r="O18" s="9"/>
      <c r="P18" s="10">
        <f>$D$75+P17*$F$75</f>
        <v>528986538392</v>
      </c>
      <c r="Q18" s="10">
        <f>$D$75+Q17*$F$75</f>
        <v>948986538392</v>
      </c>
      <c r="R18" s="10">
        <f>$D$75+R17*$F$75</f>
        <v>1368986538392</v>
      </c>
      <c r="S18" s="10">
        <f>$D$75+S17*$F$75</f>
        <v>1788986538392</v>
      </c>
      <c r="T18" s="11">
        <f>$D$75+T17*$F$75</f>
        <v>2208986538392</v>
      </c>
    </row>
    <row r="19" spans="3:37" ht="17.25" thickBot="1" x14ac:dyDescent="0.35">
      <c r="C19" s="9" t="s">
        <v>63</v>
      </c>
      <c r="D19" s="11">
        <v>100000000</v>
      </c>
      <c r="G19" s="39" t="s">
        <v>128</v>
      </c>
      <c r="H19" s="39"/>
      <c r="I19">
        <f>C4+(1000)*E4</f>
        <v>252001608000</v>
      </c>
      <c r="O19" s="14" t="s">
        <v>32</v>
      </c>
      <c r="P19" s="15" t="s">
        <v>64</v>
      </c>
      <c r="Q19" s="15" t="s">
        <v>65</v>
      </c>
      <c r="R19" s="15" t="s">
        <v>66</v>
      </c>
      <c r="S19" s="15" t="s">
        <v>67</v>
      </c>
      <c r="T19" s="16" t="s">
        <v>68</v>
      </c>
    </row>
    <row r="20" spans="3:37" x14ac:dyDescent="0.3">
      <c r="C20" s="9" t="s">
        <v>69</v>
      </c>
      <c r="D20" s="11">
        <v>1000000000</v>
      </c>
      <c r="G20" s="39" t="s">
        <v>129</v>
      </c>
      <c r="H20" s="39"/>
      <c r="I20">
        <f>C5+(5000)*E5</f>
        <v>109008040000</v>
      </c>
    </row>
    <row r="21" spans="3:37" x14ac:dyDescent="0.3">
      <c r="C21" s="9" t="s">
        <v>70</v>
      </c>
      <c r="D21" s="11">
        <v>10000000000</v>
      </c>
      <c r="S21" s="2"/>
      <c r="T21" s="3"/>
      <c r="U21" s="18"/>
    </row>
    <row r="22" spans="3:37" x14ac:dyDescent="0.3">
      <c r="C22" s="9" t="s">
        <v>71</v>
      </c>
      <c r="D22" s="11">
        <v>100000000000</v>
      </c>
    </row>
    <row r="23" spans="3:37" x14ac:dyDescent="0.3">
      <c r="C23" s="9" t="s">
        <v>72</v>
      </c>
      <c r="D23" s="11">
        <v>1000000000000</v>
      </c>
      <c r="G23" t="s">
        <v>61</v>
      </c>
      <c r="H23" t="s">
        <v>62</v>
      </c>
      <c r="I23">
        <v>1000</v>
      </c>
      <c r="K23" s="17">
        <v>0.5</v>
      </c>
    </row>
    <row r="24" spans="3:37" x14ac:dyDescent="0.3">
      <c r="C24" s="9" t="s">
        <v>73</v>
      </c>
      <c r="D24" s="11">
        <v>10000000000000</v>
      </c>
      <c r="G24" s="39" t="s">
        <v>128</v>
      </c>
      <c r="H24" s="39"/>
      <c r="I24">
        <f>I$23/2*((2*C6)+(I$23-1)*E6)</f>
        <v>651351106392000</v>
      </c>
      <c r="J24">
        <f>I24/I24</f>
        <v>1</v>
      </c>
      <c r="K24">
        <f>I24*0.4</f>
        <v>260540442556800</v>
      </c>
    </row>
    <row r="25" spans="3:37" ht="17.25" thickBot="1" x14ac:dyDescent="0.35">
      <c r="C25" s="14" t="s">
        <v>74</v>
      </c>
      <c r="D25" s="16">
        <v>100000000000000</v>
      </c>
      <c r="G25" s="39" t="s">
        <v>129</v>
      </c>
      <c r="H25" s="39"/>
      <c r="I25">
        <f>I17/2*((2*C7)+(I17-1)*E7)</f>
        <v>5793882691960000</v>
      </c>
      <c r="J25">
        <f>I25/I24</f>
        <v>8.8951759429008952</v>
      </c>
      <c r="K25">
        <f>I25*0.4</f>
        <v>2317553076784000</v>
      </c>
      <c r="Z25">
        <v>1000000000</v>
      </c>
    </row>
    <row r="28" spans="3:37" x14ac:dyDescent="0.3">
      <c r="AC28" s="3"/>
    </row>
    <row r="29" spans="3:37" x14ac:dyDescent="0.3">
      <c r="AC29" s="3"/>
    </row>
    <row r="30" spans="3:37" ht="17.25" thickBot="1" x14ac:dyDescent="0.35">
      <c r="AA30" s="3"/>
    </row>
    <row r="31" spans="3:37" x14ac:dyDescent="0.3">
      <c r="Y31" s="6" t="s">
        <v>75</v>
      </c>
      <c r="Z31" s="7" t="s">
        <v>76</v>
      </c>
      <c r="AA31" s="7" t="s">
        <v>77</v>
      </c>
      <c r="AB31" s="7" t="s">
        <v>78</v>
      </c>
      <c r="AC31" s="7"/>
      <c r="AD31" s="7" t="s">
        <v>79</v>
      </c>
      <c r="AE31" s="8" t="s">
        <v>80</v>
      </c>
      <c r="AI31" s="6" t="s">
        <v>81</v>
      </c>
      <c r="AJ31" s="7" t="s">
        <v>77</v>
      </c>
      <c r="AK31" s="8" t="s">
        <v>82</v>
      </c>
    </row>
    <row r="32" spans="3:37" x14ac:dyDescent="0.3">
      <c r="Y32" s="20">
        <v>1</v>
      </c>
      <c r="Z32" s="21"/>
      <c r="AA32" s="10"/>
      <c r="AB32" s="10"/>
      <c r="AC32" s="10"/>
      <c r="AD32" s="10"/>
      <c r="AE32" s="11"/>
      <c r="AI32" s="9" t="s">
        <v>0</v>
      </c>
      <c r="AJ32" s="10"/>
      <c r="AK32" s="11"/>
    </row>
    <row r="33" spans="8:37" x14ac:dyDescent="0.3">
      <c r="Y33" s="22">
        <v>2</v>
      </c>
      <c r="Z33" s="23">
        <v>1055</v>
      </c>
      <c r="AA33" s="23" t="s">
        <v>83</v>
      </c>
      <c r="AB33" s="23" t="s">
        <v>84</v>
      </c>
      <c r="AC33" s="23">
        <f>67*5</f>
        <v>335</v>
      </c>
      <c r="AD33" s="23">
        <f>950+335</f>
        <v>1285</v>
      </c>
      <c r="AE33" s="24">
        <v>12.37</v>
      </c>
      <c r="AI33" s="22" t="s">
        <v>85</v>
      </c>
      <c r="AJ33" s="23">
        <f ca="1">SUM(AJ33:AJ34)</f>
        <v>68</v>
      </c>
      <c r="AK33" s="24">
        <v>11.08</v>
      </c>
    </row>
    <row r="34" spans="8:37" x14ac:dyDescent="0.3">
      <c r="Y34" s="22">
        <v>10</v>
      </c>
      <c r="Z34" s="23">
        <v>855</v>
      </c>
      <c r="AA34" s="23">
        <v>590</v>
      </c>
      <c r="AB34" s="23">
        <v>40</v>
      </c>
      <c r="AC34" s="23">
        <f>AB34*5</f>
        <v>200</v>
      </c>
      <c r="AD34" s="23">
        <f>AC34+AA34</f>
        <v>790</v>
      </c>
      <c r="AE34" s="24">
        <v>8.8699999999999992</v>
      </c>
      <c r="AI34" s="22">
        <v>5</v>
      </c>
      <c r="AJ34" s="23">
        <v>38</v>
      </c>
      <c r="AK34" s="24">
        <v>7.54</v>
      </c>
    </row>
    <row r="35" spans="8:37" ht="17.25" thickBot="1" x14ac:dyDescent="0.35">
      <c r="Y35" s="25" t="s">
        <v>86</v>
      </c>
      <c r="Z35" s="26">
        <v>1216</v>
      </c>
      <c r="AA35" s="26">
        <v>1800</v>
      </c>
      <c r="AB35" s="26">
        <v>154</v>
      </c>
      <c r="AC35" s="26">
        <f>AB35*5</f>
        <v>770</v>
      </c>
      <c r="AD35" s="26">
        <f>AC35+AA35</f>
        <v>2570</v>
      </c>
      <c r="AE35" s="27">
        <v>20</v>
      </c>
      <c r="AI35" s="25">
        <v>34</v>
      </c>
      <c r="AJ35" s="26">
        <v>167</v>
      </c>
      <c r="AK35" s="27">
        <v>20</v>
      </c>
    </row>
    <row r="41" spans="8:37" x14ac:dyDescent="0.3">
      <c r="AD41">
        <v>10</v>
      </c>
      <c r="AE41">
        <v>300</v>
      </c>
      <c r="AF41">
        <f>AE41/AD41</f>
        <v>30</v>
      </c>
    </row>
    <row r="42" spans="8:37" x14ac:dyDescent="0.3">
      <c r="AD42">
        <v>72</v>
      </c>
      <c r="AE42">
        <v>300</v>
      </c>
      <c r="AF42">
        <f>AE42/AD42</f>
        <v>4.166666666666667</v>
      </c>
    </row>
    <row r="43" spans="8:37" x14ac:dyDescent="0.3">
      <c r="AA43" t="s">
        <v>87</v>
      </c>
      <c r="AB43" t="s">
        <v>88</v>
      </c>
    </row>
    <row r="44" spans="8:37" x14ac:dyDescent="0.3">
      <c r="X44" t="s">
        <v>89</v>
      </c>
      <c r="Y44" s="28">
        <v>0.4</v>
      </c>
      <c r="Z44" s="28">
        <v>0.2</v>
      </c>
    </row>
    <row r="46" spans="8:37" x14ac:dyDescent="0.3">
      <c r="H46">
        <f t="shared" ref="H46" si="0">G45</f>
        <v>0</v>
      </c>
      <c r="J46">
        <f>INT(I46*(1-I$55/100))</f>
        <v>0</v>
      </c>
      <c r="X46" t="s">
        <v>90</v>
      </c>
      <c r="Y46" s="28">
        <f>Y$44*6</f>
        <v>2.4000000000000004</v>
      </c>
      <c r="Z46" s="28">
        <f>Z$44*6</f>
        <v>1.2000000000000002</v>
      </c>
    </row>
    <row r="47" spans="8:37" x14ac:dyDescent="0.3">
      <c r="X47" t="s">
        <v>91</v>
      </c>
      <c r="Y47" s="28">
        <f>Y$44*6+Y46</f>
        <v>4.8000000000000007</v>
      </c>
      <c r="Z47" s="28">
        <f>Z$44*6+Z46</f>
        <v>2.4000000000000004</v>
      </c>
    </row>
    <row r="48" spans="8:37" x14ac:dyDescent="0.3">
      <c r="X48" t="s">
        <v>92</v>
      </c>
      <c r="Y48" s="28">
        <f>Y$44*6+Y47</f>
        <v>7.2000000000000011</v>
      </c>
      <c r="Z48" s="28">
        <f>Z$44*6+Z47</f>
        <v>3.6000000000000005</v>
      </c>
    </row>
    <row r="53" spans="4:21" x14ac:dyDescent="0.3">
      <c r="F53" s="38" t="s">
        <v>121</v>
      </c>
      <c r="G53" s="38"/>
      <c r="H53" s="38"/>
      <c r="I53" s="38"/>
      <c r="M53" s="38" t="s">
        <v>122</v>
      </c>
      <c r="N53" s="38"/>
      <c r="O53" s="38"/>
      <c r="P53" s="38"/>
      <c r="Q53" s="38"/>
    </row>
    <row r="55" spans="4:21" x14ac:dyDescent="0.3">
      <c r="I55" s="37">
        <v>60</v>
      </c>
      <c r="Q55" s="35">
        <v>60</v>
      </c>
    </row>
    <row r="56" spans="4:21" x14ac:dyDescent="0.3">
      <c r="H56" s="17" t="s">
        <v>119</v>
      </c>
      <c r="I56" t="s">
        <v>120</v>
      </c>
      <c r="J56">
        <v>100</v>
      </c>
      <c r="K56">
        <f>0</f>
        <v>0</v>
      </c>
      <c r="P56" s="17" t="s">
        <v>119</v>
      </c>
      <c r="Q56" t="s">
        <v>120</v>
      </c>
    </row>
    <row r="57" spans="4:21" x14ac:dyDescent="0.3">
      <c r="D57">
        <v>1000</v>
      </c>
      <c r="E57" s="19">
        <v>0.1</v>
      </c>
      <c r="F57">
        <v>100</v>
      </c>
      <c r="H57" s="32">
        <f>F57/2*((2*D$72)+(F57-1)*F$72)</f>
        <v>1389982959600</v>
      </c>
      <c r="I57" s="33">
        <f t="shared" ref="I57:I66" si="1">INT(H57*(1-I$55/100))</f>
        <v>555993183840</v>
      </c>
      <c r="J57">
        <f>I57*0.6</f>
        <v>333595910304</v>
      </c>
      <c r="K57" s="36">
        <f>J57/(10^9)</f>
        <v>333.59591030399997</v>
      </c>
      <c r="M57">
        <v>5000</v>
      </c>
      <c r="N57">
        <v>0.05</v>
      </c>
      <c r="O57">
        <f>N57*M57</f>
        <v>250</v>
      </c>
      <c r="Q57" s="32">
        <f>O57/2*((2*D$73)+(O57-1)*F$73)</f>
        <v>1044237549000</v>
      </c>
      <c r="R57" s="33">
        <f>INT(Q57*(1-Q$55/100))</f>
        <v>417695019600</v>
      </c>
      <c r="S57">
        <f>R57*1</f>
        <v>417695019600</v>
      </c>
      <c r="T57" s="36">
        <f>S57/(10^9)</f>
        <v>417.69501960000002</v>
      </c>
    </row>
    <row r="58" spans="4:21" x14ac:dyDescent="0.3">
      <c r="D58">
        <v>1000</v>
      </c>
      <c r="E58" s="19">
        <v>0.2</v>
      </c>
      <c r="F58">
        <v>200</v>
      </c>
      <c r="G58">
        <f t="shared" ref="G58:G66" si="2">F57</f>
        <v>100</v>
      </c>
      <c r="H58" s="32">
        <f t="shared" ref="H58:H66" si="3">F58/2*((2*D$72)+(F58-1)*F$72)-G58/2*((2*D$72)+(G58-1)*F$72)</f>
        <v>3894999039600</v>
      </c>
      <c r="I58" s="33">
        <f t="shared" si="1"/>
        <v>1557999615840</v>
      </c>
      <c r="J58">
        <f t="shared" ref="J58:J66" si="4">I58*0.6</f>
        <v>934799769504</v>
      </c>
      <c r="K58" s="36">
        <f t="shared" ref="K58:K66" si="5">J58/(10^9)</f>
        <v>934.79976950399998</v>
      </c>
      <c r="M58">
        <v>5000</v>
      </c>
      <c r="N58" s="19">
        <v>0.1</v>
      </c>
      <c r="O58">
        <f t="shared" ref="O58:O76" si="6">N58*M58</f>
        <v>500</v>
      </c>
      <c r="P58">
        <f>O57</f>
        <v>250</v>
      </c>
      <c r="Q58" s="32">
        <f t="shared" ref="Q58:Q76" si="7">O58/2*((2*D$73)+(O58-1)*F$73)-P58/2*((2*D$73)+(P58-1)*F$73)</f>
        <v>2388088049000</v>
      </c>
      <c r="R58" s="34">
        <f t="shared" ref="R58:R76" si="8">Q58*0.33</f>
        <v>788069056170</v>
      </c>
      <c r="S58">
        <f t="shared" ref="S58:S76" si="9">R58*1</f>
        <v>788069056170</v>
      </c>
      <c r="T58" s="36">
        <f t="shared" ref="T58:T76" si="10">S58/(10^9)</f>
        <v>788.06905616999995</v>
      </c>
    </row>
    <row r="59" spans="4:21" x14ac:dyDescent="0.3">
      <c r="D59">
        <v>1000</v>
      </c>
      <c r="E59" s="19">
        <v>0.3</v>
      </c>
      <c r="F59">
        <v>300</v>
      </c>
      <c r="G59">
        <f t="shared" si="2"/>
        <v>200</v>
      </c>
      <c r="H59" s="32">
        <f t="shared" si="3"/>
        <v>6400015119600</v>
      </c>
      <c r="I59" s="33">
        <f t="shared" si="1"/>
        <v>2560006047840</v>
      </c>
      <c r="J59">
        <f t="shared" si="4"/>
        <v>1536003628704</v>
      </c>
      <c r="K59" s="36">
        <f t="shared" si="5"/>
        <v>1536.003628704</v>
      </c>
      <c r="M59">
        <v>5000</v>
      </c>
      <c r="N59">
        <v>0.15</v>
      </c>
      <c r="O59">
        <f t="shared" si="6"/>
        <v>750</v>
      </c>
      <c r="P59">
        <f t="shared" ref="P59:P76" si="11">O58</f>
        <v>500</v>
      </c>
      <c r="Q59" s="32">
        <f t="shared" si="7"/>
        <v>3731938549000</v>
      </c>
      <c r="R59" s="34">
        <f t="shared" si="8"/>
        <v>1231539721170</v>
      </c>
      <c r="S59">
        <f t="shared" si="9"/>
        <v>1231539721170</v>
      </c>
      <c r="T59" s="36">
        <f t="shared" si="10"/>
        <v>1231.5397211699999</v>
      </c>
    </row>
    <row r="60" spans="4:21" x14ac:dyDescent="0.3">
      <c r="D60">
        <v>1000</v>
      </c>
      <c r="E60" s="19">
        <v>0.4</v>
      </c>
      <c r="F60">
        <v>400</v>
      </c>
      <c r="G60">
        <f t="shared" si="2"/>
        <v>300</v>
      </c>
      <c r="H60" s="32">
        <f t="shared" si="3"/>
        <v>8905031199600</v>
      </c>
      <c r="I60" s="33">
        <f t="shared" si="1"/>
        <v>3562012479840</v>
      </c>
      <c r="J60">
        <f t="shared" si="4"/>
        <v>2137207487904</v>
      </c>
      <c r="K60" s="36">
        <f t="shared" si="5"/>
        <v>2137.2074879040001</v>
      </c>
      <c r="M60">
        <v>5000</v>
      </c>
      <c r="N60" s="19">
        <v>0.2</v>
      </c>
      <c r="O60">
        <f t="shared" si="6"/>
        <v>1000</v>
      </c>
      <c r="P60">
        <f t="shared" si="11"/>
        <v>750</v>
      </c>
      <c r="Q60" s="32">
        <f t="shared" si="7"/>
        <v>5075789049000</v>
      </c>
      <c r="R60" s="34">
        <f t="shared" si="8"/>
        <v>1675010386170</v>
      </c>
      <c r="S60">
        <f t="shared" si="9"/>
        <v>1675010386170</v>
      </c>
      <c r="T60" s="36">
        <f t="shared" si="10"/>
        <v>1675.0103861699999</v>
      </c>
      <c r="U60" t="s">
        <v>130</v>
      </c>
    </row>
    <row r="61" spans="4:21" x14ac:dyDescent="0.3">
      <c r="D61">
        <v>1000</v>
      </c>
      <c r="E61" s="19">
        <v>0.5</v>
      </c>
      <c r="F61">
        <v>500</v>
      </c>
      <c r="G61">
        <f t="shared" si="2"/>
        <v>400</v>
      </c>
      <c r="H61" s="32">
        <f t="shared" si="3"/>
        <v>11410047279600</v>
      </c>
      <c r="I61" s="33">
        <f t="shared" si="1"/>
        <v>4564018911840</v>
      </c>
      <c r="J61">
        <f t="shared" si="4"/>
        <v>2738411347104</v>
      </c>
      <c r="K61" s="36">
        <f t="shared" si="5"/>
        <v>2738.411347104</v>
      </c>
      <c r="M61">
        <v>5000</v>
      </c>
      <c r="N61">
        <v>0.25</v>
      </c>
      <c r="O61">
        <f t="shared" si="6"/>
        <v>1250</v>
      </c>
      <c r="P61">
        <f t="shared" si="11"/>
        <v>1000</v>
      </c>
      <c r="Q61" s="32">
        <f t="shared" si="7"/>
        <v>6419639549000</v>
      </c>
      <c r="R61" s="34">
        <f t="shared" si="8"/>
        <v>2118481051170</v>
      </c>
      <c r="S61">
        <f t="shared" si="9"/>
        <v>2118481051170</v>
      </c>
      <c r="T61" s="36">
        <f t="shared" si="10"/>
        <v>2118.4810511699998</v>
      </c>
      <c r="U61" s="36">
        <f>T60/(10^9)</f>
        <v>1.67501038617E-6</v>
      </c>
    </row>
    <row r="62" spans="4:21" x14ac:dyDescent="0.3">
      <c r="D62">
        <v>1000</v>
      </c>
      <c r="E62" s="19">
        <v>0.6</v>
      </c>
      <c r="F62">
        <v>600</v>
      </c>
      <c r="G62">
        <f t="shared" si="2"/>
        <v>500</v>
      </c>
      <c r="H62" s="32">
        <f t="shared" si="3"/>
        <v>13915063359600</v>
      </c>
      <c r="I62" s="33">
        <f t="shared" si="1"/>
        <v>5566025343840</v>
      </c>
      <c r="J62">
        <f t="shared" si="4"/>
        <v>3339615206304</v>
      </c>
      <c r="K62" s="36">
        <f t="shared" si="5"/>
        <v>3339.6152063039999</v>
      </c>
      <c r="M62">
        <v>5000</v>
      </c>
      <c r="N62" s="19">
        <v>0.3</v>
      </c>
      <c r="O62">
        <f t="shared" si="6"/>
        <v>1500</v>
      </c>
      <c r="P62">
        <f t="shared" si="11"/>
        <v>1250</v>
      </c>
      <c r="Q62" s="32">
        <f t="shared" si="7"/>
        <v>7763490049000</v>
      </c>
      <c r="R62" s="34">
        <f t="shared" si="8"/>
        <v>2561951716170</v>
      </c>
      <c r="S62">
        <f t="shared" si="9"/>
        <v>2561951716170</v>
      </c>
      <c r="T62" s="36">
        <f t="shared" si="10"/>
        <v>2561.9517161700001</v>
      </c>
    </row>
    <row r="63" spans="4:21" x14ac:dyDescent="0.3">
      <c r="D63">
        <v>1000</v>
      </c>
      <c r="E63" s="19">
        <v>0.7</v>
      </c>
      <c r="F63">
        <v>700</v>
      </c>
      <c r="G63">
        <f t="shared" si="2"/>
        <v>600</v>
      </c>
      <c r="H63" s="32">
        <f t="shared" si="3"/>
        <v>16420079439600</v>
      </c>
      <c r="I63" s="33">
        <f t="shared" si="1"/>
        <v>6568031775840</v>
      </c>
      <c r="J63">
        <f t="shared" si="4"/>
        <v>3940819065504</v>
      </c>
      <c r="K63" s="36">
        <f t="shared" si="5"/>
        <v>3940.8190655039998</v>
      </c>
      <c r="M63">
        <v>5000</v>
      </c>
      <c r="N63">
        <v>0.35</v>
      </c>
      <c r="O63">
        <f t="shared" si="6"/>
        <v>1750</v>
      </c>
      <c r="P63">
        <f t="shared" si="11"/>
        <v>1500</v>
      </c>
      <c r="Q63" s="32">
        <f t="shared" si="7"/>
        <v>9107340549000</v>
      </c>
      <c r="R63" s="34">
        <f t="shared" si="8"/>
        <v>3005422381170</v>
      </c>
      <c r="S63">
        <f t="shared" si="9"/>
        <v>3005422381170</v>
      </c>
      <c r="T63" s="36">
        <f t="shared" si="10"/>
        <v>3005.4223811699999</v>
      </c>
    </row>
    <row r="64" spans="4:21" x14ac:dyDescent="0.3">
      <c r="D64">
        <v>1000</v>
      </c>
      <c r="E64" s="19">
        <v>0.8</v>
      </c>
      <c r="F64">
        <v>800</v>
      </c>
      <c r="G64">
        <f t="shared" si="2"/>
        <v>700</v>
      </c>
      <c r="H64" s="32">
        <f t="shared" si="3"/>
        <v>18925095519600</v>
      </c>
      <c r="I64" s="33">
        <f t="shared" si="1"/>
        <v>7570038207840</v>
      </c>
      <c r="J64">
        <f t="shared" si="4"/>
        <v>4542022924704</v>
      </c>
      <c r="K64" s="36">
        <f t="shared" si="5"/>
        <v>4542.0229247039997</v>
      </c>
      <c r="M64">
        <v>5000</v>
      </c>
      <c r="N64" s="19">
        <v>0.4</v>
      </c>
      <c r="O64">
        <f t="shared" si="6"/>
        <v>2000</v>
      </c>
      <c r="P64">
        <f t="shared" si="11"/>
        <v>1750</v>
      </c>
      <c r="Q64" s="32">
        <f t="shared" si="7"/>
        <v>10451191049000</v>
      </c>
      <c r="R64" s="34">
        <f t="shared" si="8"/>
        <v>3448893046170</v>
      </c>
      <c r="S64">
        <f t="shared" si="9"/>
        <v>3448893046170</v>
      </c>
      <c r="T64" s="36">
        <f t="shared" si="10"/>
        <v>3448.8930461700002</v>
      </c>
      <c r="U64" t="s">
        <v>130</v>
      </c>
    </row>
    <row r="65" spans="2:21" x14ac:dyDescent="0.3">
      <c r="D65">
        <v>1000</v>
      </c>
      <c r="E65" s="19">
        <v>0.9</v>
      </c>
      <c r="F65">
        <v>900</v>
      </c>
      <c r="G65">
        <f t="shared" si="2"/>
        <v>800</v>
      </c>
      <c r="H65" s="32">
        <f t="shared" si="3"/>
        <v>21430111599600</v>
      </c>
      <c r="I65" s="33">
        <f t="shared" si="1"/>
        <v>8572044639840</v>
      </c>
      <c r="J65">
        <f t="shared" si="4"/>
        <v>5143226783904</v>
      </c>
      <c r="K65" s="36">
        <f t="shared" si="5"/>
        <v>5143.2267839039996</v>
      </c>
      <c r="M65">
        <v>5000</v>
      </c>
      <c r="N65">
        <v>0.45</v>
      </c>
      <c r="O65">
        <f t="shared" si="6"/>
        <v>2250</v>
      </c>
      <c r="P65">
        <f t="shared" si="11"/>
        <v>2000</v>
      </c>
      <c r="Q65" s="32">
        <f t="shared" si="7"/>
        <v>11795041549000</v>
      </c>
      <c r="R65" s="34">
        <f t="shared" si="8"/>
        <v>3892363711170</v>
      </c>
      <c r="S65">
        <f t="shared" si="9"/>
        <v>3892363711170</v>
      </c>
      <c r="T65" s="36">
        <f t="shared" si="10"/>
        <v>3892.36371117</v>
      </c>
    </row>
    <row r="66" spans="2:21" x14ac:dyDescent="0.3">
      <c r="D66">
        <v>1000</v>
      </c>
      <c r="E66" s="19">
        <v>1</v>
      </c>
      <c r="F66">
        <v>1000</v>
      </c>
      <c r="G66">
        <f t="shared" si="2"/>
        <v>900</v>
      </c>
      <c r="H66" s="32">
        <f t="shared" si="3"/>
        <v>23935127679600</v>
      </c>
      <c r="I66" s="33">
        <f t="shared" si="1"/>
        <v>9574051071840</v>
      </c>
      <c r="J66">
        <f t="shared" si="4"/>
        <v>5744430643104</v>
      </c>
      <c r="K66" s="36">
        <f t="shared" si="5"/>
        <v>5744.4306431040004</v>
      </c>
      <c r="M66">
        <v>5000</v>
      </c>
      <c r="N66" s="19">
        <v>0.5</v>
      </c>
      <c r="O66">
        <f t="shared" si="6"/>
        <v>2500</v>
      </c>
      <c r="P66">
        <f t="shared" si="11"/>
        <v>2250</v>
      </c>
      <c r="Q66" s="32">
        <f t="shared" si="7"/>
        <v>13138892049000</v>
      </c>
      <c r="R66" s="34">
        <f t="shared" si="8"/>
        <v>4335834376170</v>
      </c>
      <c r="S66">
        <f t="shared" si="9"/>
        <v>4335834376170</v>
      </c>
      <c r="T66" s="36">
        <f t="shared" si="10"/>
        <v>4335.8343761699998</v>
      </c>
    </row>
    <row r="67" spans="2:21" x14ac:dyDescent="0.3">
      <c r="K67" s="1"/>
      <c r="M67">
        <v>5000</v>
      </c>
      <c r="N67">
        <v>0.55000000000000004</v>
      </c>
      <c r="O67">
        <f t="shared" si="6"/>
        <v>2750</v>
      </c>
      <c r="P67">
        <f t="shared" si="11"/>
        <v>2500</v>
      </c>
      <c r="Q67" s="32">
        <f t="shared" si="7"/>
        <v>14482742549000</v>
      </c>
      <c r="R67" s="34">
        <f t="shared" si="8"/>
        <v>4779305041170</v>
      </c>
      <c r="S67">
        <f t="shared" si="9"/>
        <v>4779305041170</v>
      </c>
      <c r="T67" s="36">
        <f t="shared" si="10"/>
        <v>4779.3050411699996</v>
      </c>
    </row>
    <row r="68" spans="2:21" ht="17.25" thickBot="1" x14ac:dyDescent="0.35">
      <c r="E68" s="19"/>
      <c r="K68" s="1"/>
      <c r="M68">
        <v>5000</v>
      </c>
      <c r="N68" s="19">
        <v>0.6</v>
      </c>
      <c r="O68">
        <f t="shared" si="6"/>
        <v>3000</v>
      </c>
      <c r="P68">
        <f t="shared" si="11"/>
        <v>2750</v>
      </c>
      <c r="Q68" s="32">
        <f t="shared" si="7"/>
        <v>15826593049000</v>
      </c>
      <c r="R68" s="34">
        <f t="shared" si="8"/>
        <v>5222775706170</v>
      </c>
      <c r="S68">
        <f t="shared" si="9"/>
        <v>5222775706170</v>
      </c>
      <c r="T68" s="36">
        <f t="shared" si="10"/>
        <v>5222.7757061700004</v>
      </c>
      <c r="U68" t="s">
        <v>130</v>
      </c>
    </row>
    <row r="69" spans="2:21" x14ac:dyDescent="0.3">
      <c r="B69" s="6" t="s">
        <v>9</v>
      </c>
      <c r="C69" s="7" t="s">
        <v>10</v>
      </c>
      <c r="D69" s="7" t="s">
        <v>11</v>
      </c>
      <c r="E69" s="7" t="s">
        <v>12</v>
      </c>
      <c r="F69" s="7" t="s">
        <v>13</v>
      </c>
      <c r="G69" s="7" t="s">
        <v>14</v>
      </c>
      <c r="H69" s="7" t="s">
        <v>15</v>
      </c>
      <c r="I69" s="7" t="s">
        <v>16</v>
      </c>
      <c r="J69" s="7"/>
      <c r="K69" s="8" t="s">
        <v>17</v>
      </c>
      <c r="M69">
        <v>5000</v>
      </c>
      <c r="N69">
        <v>0.65</v>
      </c>
      <c r="O69">
        <f t="shared" si="6"/>
        <v>3250</v>
      </c>
      <c r="P69">
        <f t="shared" si="11"/>
        <v>3000</v>
      </c>
      <c r="Q69" s="32">
        <f t="shared" si="7"/>
        <v>17170443549000</v>
      </c>
      <c r="R69" s="34">
        <f t="shared" si="8"/>
        <v>5666246371170</v>
      </c>
      <c r="S69">
        <f t="shared" si="9"/>
        <v>5666246371170</v>
      </c>
      <c r="T69" s="36">
        <f t="shared" si="10"/>
        <v>5666.2463711700002</v>
      </c>
    </row>
    <row r="70" spans="2:21" x14ac:dyDescent="0.3">
      <c r="B70" s="9">
        <v>1</v>
      </c>
      <c r="C70" s="10" t="s">
        <v>19</v>
      </c>
      <c r="D70" s="10">
        <v>1000000000</v>
      </c>
      <c r="E70" s="10">
        <v>1</v>
      </c>
      <c r="F70" s="10">
        <v>113608</v>
      </c>
      <c r="G70" s="10">
        <v>0</v>
      </c>
      <c r="H70" s="10" t="s">
        <v>20</v>
      </c>
      <c r="I70" s="10"/>
      <c r="J70" s="10"/>
      <c r="K70" s="11"/>
      <c r="M70">
        <v>5000</v>
      </c>
      <c r="N70" s="19">
        <v>0.7</v>
      </c>
      <c r="O70">
        <f t="shared" si="6"/>
        <v>3500</v>
      </c>
      <c r="P70">
        <f t="shared" si="11"/>
        <v>3250</v>
      </c>
      <c r="Q70" s="32">
        <f t="shared" si="7"/>
        <v>18514294049000</v>
      </c>
      <c r="R70" s="34">
        <f t="shared" si="8"/>
        <v>6109717036170</v>
      </c>
      <c r="S70">
        <f t="shared" si="9"/>
        <v>6109717036170</v>
      </c>
      <c r="T70" s="36">
        <f t="shared" si="10"/>
        <v>6109.71703617</v>
      </c>
    </row>
    <row r="71" spans="2:21" x14ac:dyDescent="0.3">
      <c r="B71" s="9">
        <v>2</v>
      </c>
      <c r="C71" s="10" t="s">
        <v>22</v>
      </c>
      <c r="D71" s="10">
        <v>1000000000</v>
      </c>
      <c r="E71" s="10">
        <v>1</v>
      </c>
      <c r="F71" s="10">
        <v>113608</v>
      </c>
      <c r="G71" s="10">
        <v>0</v>
      </c>
      <c r="H71" s="10" t="s">
        <v>20</v>
      </c>
      <c r="I71" s="10"/>
      <c r="J71" s="10"/>
      <c r="K71" s="11"/>
      <c r="M71">
        <v>5000</v>
      </c>
      <c r="N71">
        <v>0.75</v>
      </c>
      <c r="O71">
        <f t="shared" si="6"/>
        <v>3750</v>
      </c>
      <c r="P71">
        <f t="shared" si="11"/>
        <v>3500</v>
      </c>
      <c r="Q71" s="32">
        <f t="shared" si="7"/>
        <v>19858144549000</v>
      </c>
      <c r="R71" s="34">
        <f t="shared" si="8"/>
        <v>6553187701170</v>
      </c>
      <c r="S71">
        <f t="shared" si="9"/>
        <v>6553187701170</v>
      </c>
      <c r="T71" s="36">
        <f t="shared" si="10"/>
        <v>6553.1877011699999</v>
      </c>
    </row>
    <row r="72" spans="2:21" x14ac:dyDescent="0.3">
      <c r="B72" s="9">
        <v>3</v>
      </c>
      <c r="C72" s="10" t="s">
        <v>24</v>
      </c>
      <c r="D72" s="10">
        <v>1500000000</v>
      </c>
      <c r="E72" s="10">
        <v>1</v>
      </c>
      <c r="F72" s="10">
        <v>250501608</v>
      </c>
      <c r="G72" s="10">
        <v>1000</v>
      </c>
      <c r="H72" s="10" t="s">
        <v>25</v>
      </c>
      <c r="I72" s="10">
        <f>1000/2*(D72+999*F72)</f>
        <v>125875553196000</v>
      </c>
      <c r="J72" s="10" t="s">
        <v>26</v>
      </c>
      <c r="K72" s="11" t="s">
        <v>27</v>
      </c>
      <c r="M72">
        <v>5000</v>
      </c>
      <c r="N72" s="19">
        <v>0.8</v>
      </c>
      <c r="O72">
        <f t="shared" si="6"/>
        <v>4000</v>
      </c>
      <c r="P72">
        <f t="shared" si="11"/>
        <v>3750</v>
      </c>
      <c r="Q72" s="32">
        <f t="shared" si="7"/>
        <v>21201995049000</v>
      </c>
      <c r="R72" s="34">
        <f t="shared" si="8"/>
        <v>6996658366170</v>
      </c>
      <c r="S72">
        <f t="shared" si="9"/>
        <v>6996658366170</v>
      </c>
      <c r="T72" s="36">
        <f t="shared" si="10"/>
        <v>6996.6583661699997</v>
      </c>
      <c r="U72" t="s">
        <v>130</v>
      </c>
    </row>
    <row r="73" spans="2:21" x14ac:dyDescent="0.3">
      <c r="B73" s="9">
        <v>4</v>
      </c>
      <c r="C73" s="10" t="s">
        <v>28</v>
      </c>
      <c r="D73" s="10">
        <v>1500000000</v>
      </c>
      <c r="E73" s="10">
        <v>1</v>
      </c>
      <c r="F73" s="10">
        <v>21501608</v>
      </c>
      <c r="G73" s="10">
        <v>5000</v>
      </c>
      <c r="H73" s="10" t="s">
        <v>29</v>
      </c>
      <c r="I73" s="10">
        <f>5000/2*(D73+5000*F73)</f>
        <v>272520100000000</v>
      </c>
      <c r="J73" s="10" t="s">
        <v>30</v>
      </c>
      <c r="K73" s="11" t="s">
        <v>31</v>
      </c>
      <c r="M73">
        <v>5000</v>
      </c>
      <c r="N73">
        <v>0.85</v>
      </c>
      <c r="O73">
        <f t="shared" si="6"/>
        <v>4250</v>
      </c>
      <c r="P73">
        <f t="shared" si="11"/>
        <v>4000</v>
      </c>
      <c r="Q73" s="32">
        <f t="shared" si="7"/>
        <v>22545845549000</v>
      </c>
      <c r="R73" s="34">
        <f t="shared" si="8"/>
        <v>7440129031170</v>
      </c>
      <c r="S73">
        <f t="shared" si="9"/>
        <v>7440129031170</v>
      </c>
      <c r="T73" s="36">
        <f t="shared" si="10"/>
        <v>7440.1290311700004</v>
      </c>
    </row>
    <row r="74" spans="2:21" x14ac:dyDescent="0.3">
      <c r="B74" s="9">
        <v>5</v>
      </c>
      <c r="C74" s="10" t="s">
        <v>38</v>
      </c>
      <c r="D74">
        <v>251751106392</v>
      </c>
      <c r="E74" s="10">
        <v>100</v>
      </c>
      <c r="F74">
        <v>800000000</v>
      </c>
      <c r="G74" s="10">
        <v>1000</v>
      </c>
      <c r="H74" s="10" t="s">
        <v>39</v>
      </c>
      <c r="I74" s="10">
        <f>1000/2*(D74+999*F74)</f>
        <v>525475553196000</v>
      </c>
      <c r="J74" s="10" t="s">
        <v>40</v>
      </c>
      <c r="K74" s="11" t="s">
        <v>41</v>
      </c>
      <c r="M74">
        <v>5000</v>
      </c>
      <c r="N74" s="19">
        <v>0.9</v>
      </c>
      <c r="O74">
        <f t="shared" si="6"/>
        <v>4500</v>
      </c>
      <c r="P74">
        <f t="shared" si="11"/>
        <v>4250</v>
      </c>
      <c r="Q74" s="32">
        <f t="shared" si="7"/>
        <v>23889696049000</v>
      </c>
      <c r="R74" s="34">
        <f t="shared" si="8"/>
        <v>7883599696170</v>
      </c>
      <c r="S74">
        <f t="shared" si="9"/>
        <v>7883599696170</v>
      </c>
      <c r="T74" s="36">
        <f t="shared" si="10"/>
        <v>7883.5996961700002</v>
      </c>
    </row>
    <row r="75" spans="2:21" x14ac:dyDescent="0.3">
      <c r="B75" s="9">
        <v>6</v>
      </c>
      <c r="C75" s="10" t="s">
        <v>43</v>
      </c>
      <c r="D75">
        <v>108986538392</v>
      </c>
      <c r="E75" s="10">
        <v>100</v>
      </c>
      <c r="F75">
        <v>420000000</v>
      </c>
      <c r="G75" s="10">
        <v>5000</v>
      </c>
      <c r="H75" s="10" t="s">
        <v>44</v>
      </c>
      <c r="I75" s="10">
        <f>5000/2*(D75+5000*F75)</f>
        <v>5522466345980000</v>
      </c>
      <c r="J75" s="10" t="s">
        <v>45</v>
      </c>
      <c r="K75" s="11" t="s">
        <v>46</v>
      </c>
      <c r="M75">
        <v>5000</v>
      </c>
      <c r="N75">
        <v>0.95</v>
      </c>
      <c r="O75">
        <f t="shared" si="6"/>
        <v>4750</v>
      </c>
      <c r="P75">
        <f t="shared" si="11"/>
        <v>4500</v>
      </c>
      <c r="Q75" s="32">
        <f t="shared" si="7"/>
        <v>25233546549000</v>
      </c>
      <c r="R75" s="34">
        <f t="shared" si="8"/>
        <v>8327070361170</v>
      </c>
      <c r="S75">
        <f t="shared" si="9"/>
        <v>8327070361170</v>
      </c>
      <c r="T75" s="36">
        <f t="shared" si="10"/>
        <v>8327.0703611699992</v>
      </c>
    </row>
    <row r="76" spans="2:21" ht="17.25" thickBot="1" x14ac:dyDescent="0.35">
      <c r="B76" s="14"/>
      <c r="C76" s="15"/>
      <c r="D76" s="15"/>
      <c r="E76" s="15"/>
      <c r="F76" s="15"/>
      <c r="G76" s="15"/>
      <c r="H76" s="15"/>
      <c r="I76" s="15"/>
      <c r="J76" s="15"/>
      <c r="K76" s="16"/>
      <c r="M76">
        <v>5000</v>
      </c>
      <c r="N76" s="19">
        <v>1</v>
      </c>
      <c r="O76">
        <f t="shared" si="6"/>
        <v>5000</v>
      </c>
      <c r="P76">
        <f t="shared" si="11"/>
        <v>4750</v>
      </c>
      <c r="Q76" s="32">
        <f t="shared" si="7"/>
        <v>26577397049000</v>
      </c>
      <c r="R76" s="34">
        <f t="shared" si="8"/>
        <v>8770541026170</v>
      </c>
      <c r="S76">
        <f t="shared" si="9"/>
        <v>8770541026170</v>
      </c>
      <c r="T76" s="36">
        <f t="shared" si="10"/>
        <v>8770.5410261699999</v>
      </c>
    </row>
    <row r="80" spans="2:21" x14ac:dyDescent="0.3">
      <c r="F80" s="38" t="s">
        <v>128</v>
      </c>
      <c r="G80" s="38"/>
      <c r="H80" s="38"/>
      <c r="I80" s="38"/>
      <c r="M80" s="38" t="s">
        <v>129</v>
      </c>
      <c r="N80" s="38"/>
      <c r="O80" s="38"/>
      <c r="P80" s="38"/>
      <c r="Q80" s="38"/>
    </row>
    <row r="82" spans="4:22" x14ac:dyDescent="0.3">
      <c r="I82" s="37">
        <v>60</v>
      </c>
      <c r="K82">
        <v>9</v>
      </c>
      <c r="Q82" s="35">
        <v>60</v>
      </c>
    </row>
    <row r="83" spans="4:22" x14ac:dyDescent="0.3">
      <c r="H83" s="17" t="s">
        <v>119</v>
      </c>
      <c r="I83" t="s">
        <v>120</v>
      </c>
      <c r="J83">
        <v>100</v>
      </c>
      <c r="K83">
        <f>0</f>
        <v>0</v>
      </c>
      <c r="P83" s="17" t="s">
        <v>119</v>
      </c>
      <c r="Q83" t="s">
        <v>120</v>
      </c>
    </row>
    <row r="84" spans="4:22" x14ac:dyDescent="0.3">
      <c r="D84">
        <v>1000</v>
      </c>
      <c r="E84" s="19">
        <v>0.1</v>
      </c>
      <c r="F84">
        <v>50</v>
      </c>
      <c r="H84" s="32">
        <f>F84/2*((2*D$74)+(F84-1)*F$74)</f>
        <v>13567555319600</v>
      </c>
      <c r="I84" s="33">
        <f>H84*0.4</f>
        <v>5427022127840</v>
      </c>
      <c r="J84">
        <f>I84*1</f>
        <v>5427022127840</v>
      </c>
      <c r="K84" s="36">
        <f>J84/(10^9)</f>
        <v>5427.0221278400004</v>
      </c>
      <c r="M84">
        <v>5000</v>
      </c>
      <c r="N84">
        <v>0.05</v>
      </c>
      <c r="O84">
        <f>N84*M84</f>
        <v>250</v>
      </c>
      <c r="Q84" s="32">
        <f>O84/2*((2*D$75)+(O84-1)*F$75)</f>
        <v>40319134598000</v>
      </c>
      <c r="R84" s="33">
        <f t="shared" ref="R84:R87" si="12">Q84*0.4</f>
        <v>16127653839200</v>
      </c>
      <c r="S84">
        <f>R84*1</f>
        <v>16127653839200</v>
      </c>
      <c r="T84" s="36">
        <f>S84/(10^10)</f>
        <v>1612.76538392</v>
      </c>
      <c r="V84">
        <v>250</v>
      </c>
    </row>
    <row r="85" spans="4:22" x14ac:dyDescent="0.3">
      <c r="D85">
        <v>1000</v>
      </c>
      <c r="E85" s="19">
        <v>0.2</v>
      </c>
      <c r="F85">
        <v>150</v>
      </c>
      <c r="G85">
        <v>100</v>
      </c>
      <c r="H85" s="32">
        <f>F85/2*((2*D$74)+(F85-1)*F$74)-G85/2*((2*D$74)+(G85-1)*F$74)</f>
        <v>17567555319600</v>
      </c>
      <c r="I85" s="33">
        <f t="shared" ref="I85:I93" si="13">H85*0.4</f>
        <v>7027022127840</v>
      </c>
      <c r="J85">
        <f t="shared" ref="J85:J93" si="14">I85*1</f>
        <v>7027022127840</v>
      </c>
      <c r="K85" s="36">
        <f t="shared" ref="K85:K93" si="15">J85/(10^9)</f>
        <v>7027.0221278400004</v>
      </c>
      <c r="M85">
        <v>5000</v>
      </c>
      <c r="N85" s="19">
        <v>0.1</v>
      </c>
      <c r="O85">
        <f t="shared" ref="O85:O103" si="16">N85*M85</f>
        <v>500</v>
      </c>
      <c r="P85">
        <f>O84</f>
        <v>250</v>
      </c>
      <c r="Q85" s="32">
        <f>O85/2*((2*D$75)+(O85-1)*F$75)-P85/2*((2*D$75)+(P85-1)*F$75)</f>
        <v>66569134598000</v>
      </c>
      <c r="R85" s="33">
        <f t="shared" si="12"/>
        <v>26627653839200</v>
      </c>
      <c r="S85">
        <f t="shared" ref="S85:S103" si="17">R85*1</f>
        <v>26627653839200</v>
      </c>
      <c r="T85" s="36">
        <f t="shared" ref="T85:T103" si="18">S85/(10^10)</f>
        <v>2662.7653839200002</v>
      </c>
      <c r="V85">
        <v>500</v>
      </c>
    </row>
    <row r="86" spans="4:22" x14ac:dyDescent="0.3">
      <c r="D86">
        <v>1000</v>
      </c>
      <c r="E86" s="19">
        <v>0.3</v>
      </c>
      <c r="F86">
        <v>250</v>
      </c>
      <c r="G86">
        <v>200</v>
      </c>
      <c r="H86" s="32">
        <f t="shared" ref="H86:H93" si="19">F86/2*((2*D$74)+(F86-1)*F$74)-G86/2*((2*D$74)+(G86-1)*F$74)</f>
        <v>21567555319600</v>
      </c>
      <c r="I86" s="33">
        <f t="shared" si="13"/>
        <v>8627022127840</v>
      </c>
      <c r="J86">
        <f t="shared" si="14"/>
        <v>8627022127840</v>
      </c>
      <c r="K86" s="36">
        <f t="shared" si="15"/>
        <v>8627.0221278400004</v>
      </c>
      <c r="M86">
        <v>5000</v>
      </c>
      <c r="N86">
        <v>0.15</v>
      </c>
      <c r="O86">
        <f t="shared" si="16"/>
        <v>750</v>
      </c>
      <c r="P86">
        <f t="shared" ref="P86:P103" si="20">O85</f>
        <v>500</v>
      </c>
      <c r="Q86" s="32">
        <f t="shared" ref="Q86:Q103" si="21">O86/2*((2*D$75)+(O86-1)*F$75)-P86/2*((2*D$75)+(P86-1)*F$75)</f>
        <v>92819134598000</v>
      </c>
      <c r="R86" s="33">
        <f t="shared" si="12"/>
        <v>37127653839200</v>
      </c>
      <c r="S86">
        <f t="shared" si="17"/>
        <v>37127653839200</v>
      </c>
      <c r="T86" s="36">
        <f t="shared" si="18"/>
        <v>3712.7653839200002</v>
      </c>
      <c r="V86">
        <v>750</v>
      </c>
    </row>
    <row r="87" spans="4:22" x14ac:dyDescent="0.3">
      <c r="D87">
        <v>1000</v>
      </c>
      <c r="E87" s="19">
        <v>0.4</v>
      </c>
      <c r="F87">
        <v>350</v>
      </c>
      <c r="G87">
        <v>300</v>
      </c>
      <c r="H87" s="32">
        <f t="shared" si="19"/>
        <v>25567555319600</v>
      </c>
      <c r="I87" s="33">
        <f t="shared" si="13"/>
        <v>10227022127840</v>
      </c>
      <c r="J87">
        <f t="shared" si="14"/>
        <v>10227022127840</v>
      </c>
      <c r="K87" s="36">
        <f t="shared" si="15"/>
        <v>10227.02212784</v>
      </c>
      <c r="M87">
        <v>5000</v>
      </c>
      <c r="N87" s="19">
        <v>0.2</v>
      </c>
      <c r="O87">
        <f t="shared" si="16"/>
        <v>1000</v>
      </c>
      <c r="P87">
        <f t="shared" si="20"/>
        <v>750</v>
      </c>
      <c r="Q87" s="32">
        <f t="shared" si="21"/>
        <v>119069134598000</v>
      </c>
      <c r="R87" s="33">
        <f t="shared" si="12"/>
        <v>47627653839200</v>
      </c>
      <c r="S87">
        <f t="shared" si="17"/>
        <v>47627653839200</v>
      </c>
      <c r="T87" s="36">
        <f t="shared" si="18"/>
        <v>4762.7653839200002</v>
      </c>
      <c r="U87" t="s">
        <v>130</v>
      </c>
      <c r="V87">
        <v>1000</v>
      </c>
    </row>
    <row r="88" spans="4:22" x14ac:dyDescent="0.3">
      <c r="D88">
        <v>1000</v>
      </c>
      <c r="E88" s="19">
        <v>0.5</v>
      </c>
      <c r="F88">
        <v>450</v>
      </c>
      <c r="G88">
        <v>400</v>
      </c>
      <c r="H88" s="32">
        <f t="shared" si="19"/>
        <v>29567555319600</v>
      </c>
      <c r="I88" s="33">
        <f t="shared" si="13"/>
        <v>11827022127840</v>
      </c>
      <c r="J88">
        <f t="shared" si="14"/>
        <v>11827022127840</v>
      </c>
      <c r="K88" s="36">
        <f t="shared" si="15"/>
        <v>11827.02212784</v>
      </c>
      <c r="M88">
        <v>5000</v>
      </c>
      <c r="N88">
        <v>0.25</v>
      </c>
      <c r="O88">
        <f t="shared" si="16"/>
        <v>1250</v>
      </c>
      <c r="P88">
        <f t="shared" si="20"/>
        <v>1000</v>
      </c>
      <c r="Q88" s="32">
        <f t="shared" si="21"/>
        <v>145319134598000</v>
      </c>
      <c r="R88" s="33">
        <f>Q88*0.4</f>
        <v>58127653839200</v>
      </c>
      <c r="S88">
        <f t="shared" si="17"/>
        <v>58127653839200</v>
      </c>
      <c r="T88" s="36">
        <f t="shared" si="18"/>
        <v>5812.7653839200002</v>
      </c>
      <c r="V88">
        <v>1250</v>
      </c>
    </row>
    <row r="89" spans="4:22" x14ac:dyDescent="0.3">
      <c r="D89">
        <v>1000</v>
      </c>
      <c r="E89" s="19">
        <v>0.6</v>
      </c>
      <c r="F89">
        <v>550</v>
      </c>
      <c r="G89">
        <v>500</v>
      </c>
      <c r="H89" s="32">
        <f t="shared" si="19"/>
        <v>33567555319600</v>
      </c>
      <c r="I89" s="33">
        <f t="shared" si="13"/>
        <v>13427022127840</v>
      </c>
      <c r="J89">
        <f t="shared" si="14"/>
        <v>13427022127840</v>
      </c>
      <c r="K89" s="36">
        <f t="shared" si="15"/>
        <v>13427.02212784</v>
      </c>
      <c r="M89">
        <v>5000</v>
      </c>
      <c r="N89" s="19">
        <v>0.3</v>
      </c>
      <c r="O89">
        <f t="shared" si="16"/>
        <v>1500</v>
      </c>
      <c r="P89">
        <f t="shared" si="20"/>
        <v>1250</v>
      </c>
      <c r="Q89" s="32">
        <f t="shared" si="21"/>
        <v>171569134598000</v>
      </c>
      <c r="R89" s="33">
        <f t="shared" ref="R89:R103" si="22">Q89*0.4</f>
        <v>68627653839200</v>
      </c>
      <c r="S89">
        <f t="shared" si="17"/>
        <v>68627653839200</v>
      </c>
      <c r="T89" s="36">
        <f t="shared" si="18"/>
        <v>6862.7653839200002</v>
      </c>
      <c r="V89">
        <v>1500</v>
      </c>
    </row>
    <row r="90" spans="4:22" x14ac:dyDescent="0.3">
      <c r="D90">
        <v>1000</v>
      </c>
      <c r="E90" s="19">
        <v>0.7</v>
      </c>
      <c r="F90">
        <v>650</v>
      </c>
      <c r="G90">
        <v>600</v>
      </c>
      <c r="H90" s="32">
        <f t="shared" si="19"/>
        <v>37567555319600</v>
      </c>
      <c r="I90" s="33">
        <f t="shared" si="13"/>
        <v>15027022127840</v>
      </c>
      <c r="J90">
        <f t="shared" si="14"/>
        <v>15027022127840</v>
      </c>
      <c r="K90" s="36">
        <f t="shared" si="15"/>
        <v>15027.02212784</v>
      </c>
      <c r="M90">
        <v>5000</v>
      </c>
      <c r="N90">
        <v>0.35</v>
      </c>
      <c r="O90">
        <f t="shared" si="16"/>
        <v>1750</v>
      </c>
      <c r="P90">
        <f t="shared" si="20"/>
        <v>1500</v>
      </c>
      <c r="Q90" s="32">
        <f t="shared" si="21"/>
        <v>197819134598000</v>
      </c>
      <c r="R90" s="33">
        <f t="shared" si="22"/>
        <v>79127653839200</v>
      </c>
      <c r="S90">
        <f t="shared" si="17"/>
        <v>79127653839200</v>
      </c>
      <c r="T90" s="36">
        <f t="shared" si="18"/>
        <v>7912.7653839200002</v>
      </c>
      <c r="V90">
        <v>1750</v>
      </c>
    </row>
    <row r="91" spans="4:22" x14ac:dyDescent="0.3">
      <c r="D91">
        <v>1000</v>
      </c>
      <c r="E91" s="19">
        <v>0.8</v>
      </c>
      <c r="F91">
        <v>750</v>
      </c>
      <c r="G91">
        <v>700</v>
      </c>
      <c r="H91" s="32">
        <f t="shared" si="19"/>
        <v>41567555319600</v>
      </c>
      <c r="I91" s="33">
        <f t="shared" si="13"/>
        <v>16627022127840</v>
      </c>
      <c r="J91">
        <f t="shared" si="14"/>
        <v>16627022127840</v>
      </c>
      <c r="K91" s="36">
        <f t="shared" si="15"/>
        <v>16627.022127839999</v>
      </c>
      <c r="M91">
        <v>5000</v>
      </c>
      <c r="N91" s="19">
        <v>0.4</v>
      </c>
      <c r="O91">
        <f t="shared" si="16"/>
        <v>2000</v>
      </c>
      <c r="P91">
        <f t="shared" si="20"/>
        <v>1750</v>
      </c>
      <c r="Q91" s="32">
        <f t="shared" si="21"/>
        <v>224069134598000</v>
      </c>
      <c r="R91" s="33">
        <f t="shared" si="22"/>
        <v>89627653839200</v>
      </c>
      <c r="S91">
        <f t="shared" si="17"/>
        <v>89627653839200</v>
      </c>
      <c r="T91" s="36">
        <f t="shared" si="18"/>
        <v>8962.7653839199993</v>
      </c>
      <c r="U91" t="s">
        <v>130</v>
      </c>
      <c r="V91">
        <v>2000</v>
      </c>
    </row>
    <row r="92" spans="4:22" x14ac:dyDescent="0.3">
      <c r="D92">
        <v>1000</v>
      </c>
      <c r="E92" s="19">
        <v>0.9</v>
      </c>
      <c r="F92">
        <v>850</v>
      </c>
      <c r="G92">
        <v>800</v>
      </c>
      <c r="H92" s="32">
        <f t="shared" si="19"/>
        <v>45567555319600</v>
      </c>
      <c r="I92" s="33">
        <f t="shared" si="13"/>
        <v>18227022127840</v>
      </c>
      <c r="J92">
        <f t="shared" si="14"/>
        <v>18227022127840</v>
      </c>
      <c r="K92" s="36">
        <f t="shared" si="15"/>
        <v>18227.022127839999</v>
      </c>
      <c r="M92">
        <v>5000</v>
      </c>
      <c r="N92">
        <v>0.45</v>
      </c>
      <c r="O92">
        <f t="shared" si="16"/>
        <v>2250</v>
      </c>
      <c r="P92">
        <f t="shared" si="20"/>
        <v>2000</v>
      </c>
      <c r="Q92" s="32">
        <f t="shared" si="21"/>
        <v>250319134598000</v>
      </c>
      <c r="R92" s="33">
        <f t="shared" si="22"/>
        <v>100127653839200</v>
      </c>
      <c r="S92">
        <f t="shared" si="17"/>
        <v>100127653839200</v>
      </c>
      <c r="T92" s="36">
        <f t="shared" si="18"/>
        <v>10012.765383919999</v>
      </c>
      <c r="V92">
        <v>2250</v>
      </c>
    </row>
    <row r="93" spans="4:22" x14ac:dyDescent="0.3">
      <c r="D93">
        <v>1000</v>
      </c>
      <c r="E93" s="19">
        <v>1</v>
      </c>
      <c r="F93">
        <v>950</v>
      </c>
      <c r="G93">
        <v>900</v>
      </c>
      <c r="H93" s="32">
        <f t="shared" si="19"/>
        <v>49567555319600</v>
      </c>
      <c r="I93" s="33">
        <f t="shared" si="13"/>
        <v>19827022127840</v>
      </c>
      <c r="J93">
        <f t="shared" si="14"/>
        <v>19827022127840</v>
      </c>
      <c r="K93" s="36">
        <f t="shared" si="15"/>
        <v>19827.022127839999</v>
      </c>
      <c r="M93">
        <v>5000</v>
      </c>
      <c r="N93" s="19">
        <v>0.5</v>
      </c>
      <c r="O93">
        <f t="shared" si="16"/>
        <v>2500</v>
      </c>
      <c r="P93">
        <f t="shared" si="20"/>
        <v>2250</v>
      </c>
      <c r="Q93" s="32">
        <f t="shared" si="21"/>
        <v>276569134598000</v>
      </c>
      <c r="R93" s="33">
        <f t="shared" si="22"/>
        <v>110627653839200</v>
      </c>
      <c r="S93">
        <f t="shared" si="17"/>
        <v>110627653839200</v>
      </c>
      <c r="T93" s="36">
        <f t="shared" si="18"/>
        <v>11062.765383919999</v>
      </c>
      <c r="V93">
        <v>2500</v>
      </c>
    </row>
    <row r="94" spans="4:22" x14ac:dyDescent="0.3">
      <c r="K94" s="1"/>
      <c r="M94">
        <v>5000</v>
      </c>
      <c r="N94">
        <v>0.55000000000000004</v>
      </c>
      <c r="O94">
        <f t="shared" si="16"/>
        <v>2750</v>
      </c>
      <c r="P94">
        <f t="shared" si="20"/>
        <v>2500</v>
      </c>
      <c r="Q94" s="32">
        <f t="shared" si="21"/>
        <v>302819134598000</v>
      </c>
      <c r="R94" s="33">
        <f t="shared" si="22"/>
        <v>121127653839200</v>
      </c>
      <c r="S94">
        <f t="shared" si="17"/>
        <v>121127653839200</v>
      </c>
      <c r="T94" s="36">
        <f t="shared" si="18"/>
        <v>12112.765383919999</v>
      </c>
      <c r="V94">
        <v>2750</v>
      </c>
    </row>
    <row r="95" spans="4:22" x14ac:dyDescent="0.3">
      <c r="E95" s="19"/>
      <c r="K95" s="1"/>
      <c r="M95">
        <v>5000</v>
      </c>
      <c r="N95" s="19">
        <v>0.6</v>
      </c>
      <c r="O95">
        <f t="shared" si="16"/>
        <v>3000</v>
      </c>
      <c r="P95">
        <f t="shared" si="20"/>
        <v>2750</v>
      </c>
      <c r="Q95" s="32">
        <f t="shared" si="21"/>
        <v>329069134598000</v>
      </c>
      <c r="R95" s="33">
        <f t="shared" si="22"/>
        <v>131627653839200</v>
      </c>
      <c r="S95">
        <f t="shared" si="17"/>
        <v>131627653839200</v>
      </c>
      <c r="T95" s="36">
        <f t="shared" si="18"/>
        <v>13162.765383919999</v>
      </c>
      <c r="U95" t="s">
        <v>130</v>
      </c>
      <c r="V95">
        <v>3000</v>
      </c>
    </row>
    <row r="96" spans="4:22" x14ac:dyDescent="0.3">
      <c r="K96" s="1"/>
      <c r="M96">
        <v>5000</v>
      </c>
      <c r="N96">
        <v>0.65</v>
      </c>
      <c r="O96">
        <f t="shared" si="16"/>
        <v>3250</v>
      </c>
      <c r="P96">
        <f t="shared" si="20"/>
        <v>3000</v>
      </c>
      <c r="Q96" s="32">
        <f t="shared" si="21"/>
        <v>355319134598000</v>
      </c>
      <c r="R96" s="33">
        <f t="shared" si="22"/>
        <v>142127653839200</v>
      </c>
      <c r="S96">
        <f t="shared" si="17"/>
        <v>142127653839200</v>
      </c>
      <c r="T96" s="36">
        <f t="shared" si="18"/>
        <v>14212.765383919999</v>
      </c>
      <c r="V96">
        <v>3250</v>
      </c>
    </row>
    <row r="97" spans="5:22" x14ac:dyDescent="0.3">
      <c r="E97" s="19"/>
      <c r="K97" s="1"/>
      <c r="M97">
        <v>5000</v>
      </c>
      <c r="N97" s="19">
        <v>0.7</v>
      </c>
      <c r="O97">
        <f t="shared" si="16"/>
        <v>3500</v>
      </c>
      <c r="P97">
        <f t="shared" si="20"/>
        <v>3250</v>
      </c>
      <c r="Q97" s="32">
        <f t="shared" si="21"/>
        <v>381569134598000</v>
      </c>
      <c r="R97" s="33">
        <f t="shared" si="22"/>
        <v>152627653839200</v>
      </c>
      <c r="S97">
        <f t="shared" si="17"/>
        <v>152627653839200</v>
      </c>
      <c r="T97" s="36">
        <f t="shared" si="18"/>
        <v>15262.765383919999</v>
      </c>
      <c r="V97">
        <v>3500</v>
      </c>
    </row>
    <row r="98" spans="5:22" x14ac:dyDescent="0.3">
      <c r="K98" s="1"/>
      <c r="M98">
        <v>5000</v>
      </c>
      <c r="N98">
        <v>0.75</v>
      </c>
      <c r="O98">
        <f t="shared" si="16"/>
        <v>3750</v>
      </c>
      <c r="P98">
        <f t="shared" si="20"/>
        <v>3500</v>
      </c>
      <c r="Q98" s="32">
        <f t="shared" si="21"/>
        <v>407819134598000</v>
      </c>
      <c r="R98" s="33">
        <f t="shared" si="22"/>
        <v>163127653839200</v>
      </c>
      <c r="S98">
        <f t="shared" si="17"/>
        <v>163127653839200</v>
      </c>
      <c r="T98" s="36">
        <f t="shared" si="18"/>
        <v>16312.765383919999</v>
      </c>
      <c r="V98">
        <v>3750</v>
      </c>
    </row>
    <row r="99" spans="5:22" x14ac:dyDescent="0.3">
      <c r="E99" s="19"/>
      <c r="K99" s="1"/>
      <c r="M99">
        <v>5000</v>
      </c>
      <c r="N99" s="19">
        <v>0.8</v>
      </c>
      <c r="O99">
        <f t="shared" si="16"/>
        <v>4000</v>
      </c>
      <c r="P99">
        <f t="shared" si="20"/>
        <v>3750</v>
      </c>
      <c r="Q99" s="32">
        <f t="shared" si="21"/>
        <v>434069134598000</v>
      </c>
      <c r="R99" s="33">
        <f t="shared" si="22"/>
        <v>173627653839200</v>
      </c>
      <c r="S99">
        <f t="shared" si="17"/>
        <v>173627653839200</v>
      </c>
      <c r="T99" s="36">
        <f t="shared" si="18"/>
        <v>17362.765383919999</v>
      </c>
      <c r="U99" t="s">
        <v>130</v>
      </c>
      <c r="V99">
        <v>4000</v>
      </c>
    </row>
    <row r="100" spans="5:22" x14ac:dyDescent="0.3">
      <c r="K100" s="1"/>
      <c r="M100">
        <v>5000</v>
      </c>
      <c r="N100">
        <v>0.85</v>
      </c>
      <c r="O100">
        <f t="shared" si="16"/>
        <v>4250</v>
      </c>
      <c r="P100">
        <f t="shared" si="20"/>
        <v>4000</v>
      </c>
      <c r="Q100" s="32">
        <f t="shared" si="21"/>
        <v>460319134598000</v>
      </c>
      <c r="R100" s="33">
        <f t="shared" si="22"/>
        <v>184127653839200</v>
      </c>
      <c r="S100">
        <f t="shared" si="17"/>
        <v>184127653839200</v>
      </c>
      <c r="T100" s="36">
        <f t="shared" si="18"/>
        <v>18412.765383919999</v>
      </c>
      <c r="V100">
        <v>4250</v>
      </c>
    </row>
    <row r="101" spans="5:22" x14ac:dyDescent="0.3">
      <c r="E101" s="19"/>
      <c r="K101" s="1"/>
      <c r="M101">
        <v>5000</v>
      </c>
      <c r="N101" s="19">
        <v>0.9</v>
      </c>
      <c r="O101">
        <f t="shared" si="16"/>
        <v>4500</v>
      </c>
      <c r="P101">
        <f t="shared" si="20"/>
        <v>4250</v>
      </c>
      <c r="Q101" s="32">
        <f t="shared" si="21"/>
        <v>486569134598000</v>
      </c>
      <c r="R101" s="33">
        <f t="shared" si="22"/>
        <v>194627653839200</v>
      </c>
      <c r="S101">
        <f t="shared" si="17"/>
        <v>194627653839200</v>
      </c>
      <c r="T101" s="36">
        <f t="shared" si="18"/>
        <v>19462.765383919999</v>
      </c>
      <c r="V101">
        <v>4500</v>
      </c>
    </row>
    <row r="102" spans="5:22" x14ac:dyDescent="0.3">
      <c r="K102" s="1"/>
      <c r="M102">
        <v>5000</v>
      </c>
      <c r="N102">
        <v>0.95</v>
      </c>
      <c r="O102">
        <f t="shared" si="16"/>
        <v>4750</v>
      </c>
      <c r="P102">
        <f t="shared" si="20"/>
        <v>4500</v>
      </c>
      <c r="Q102" s="32">
        <f t="shared" si="21"/>
        <v>512819134598000</v>
      </c>
      <c r="R102" s="33">
        <f t="shared" si="22"/>
        <v>205127653839200</v>
      </c>
      <c r="S102">
        <f t="shared" si="17"/>
        <v>205127653839200</v>
      </c>
      <c r="T102" s="36">
        <f t="shared" si="18"/>
        <v>20512.765383919999</v>
      </c>
      <c r="V102">
        <v>4750</v>
      </c>
    </row>
    <row r="103" spans="5:22" x14ac:dyDescent="0.3">
      <c r="E103" s="19"/>
      <c r="K103" s="1"/>
      <c r="M103">
        <v>5000</v>
      </c>
      <c r="N103" s="19">
        <v>1</v>
      </c>
      <c r="O103">
        <f t="shared" si="16"/>
        <v>5000</v>
      </c>
      <c r="P103">
        <f t="shared" si="20"/>
        <v>4750</v>
      </c>
      <c r="Q103" s="32">
        <f t="shared" si="21"/>
        <v>539069134598000</v>
      </c>
      <c r="R103" s="33">
        <f t="shared" si="22"/>
        <v>215627653839200</v>
      </c>
      <c r="S103">
        <f t="shared" si="17"/>
        <v>215627653839200</v>
      </c>
      <c r="T103" s="36">
        <f t="shared" si="18"/>
        <v>21562.765383919999</v>
      </c>
      <c r="V103">
        <v>5000</v>
      </c>
    </row>
  </sheetData>
  <mergeCells count="13">
    <mergeCell ref="G24:H24"/>
    <mergeCell ref="N1:T1"/>
    <mergeCell ref="N11:T11"/>
    <mergeCell ref="G13:H13"/>
    <mergeCell ref="G14:H14"/>
    <mergeCell ref="G15:H15"/>
    <mergeCell ref="G19:H19"/>
    <mergeCell ref="G20:H20"/>
    <mergeCell ref="F80:I80"/>
    <mergeCell ref="M80:Q80"/>
    <mergeCell ref="F53:I53"/>
    <mergeCell ref="M53:Q53"/>
    <mergeCell ref="G25:H2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육성1 골드</vt:lpstr>
      <vt:lpstr>묘묙석</vt:lpstr>
      <vt:lpstr>나무계산</vt:lpstr>
      <vt:lpstr>Sheet2</vt:lpstr>
      <vt:lpstr>회심타절멸타 골드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2025-09-23T01:15:51Z</dcterms:created>
  <dcterms:modified xsi:type="dcterms:W3CDTF">2025-10-17T09:06:20Z</dcterms:modified>
</cp:coreProperties>
</file>