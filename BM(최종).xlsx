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ksru\Desktop\NanseExcel\"/>
    </mc:Choice>
  </mc:AlternateContent>
  <xr:revisionPtr revIDLastSave="0" documentId="13_ncr:1_{1A1BEC61-2D6C-411B-947B-A3D22D20E7D2}" xr6:coauthVersionLast="47" xr6:coauthVersionMax="47" xr10:uidLastSave="{00000000-0000-0000-0000-000000000000}"/>
  <bookViews>
    <workbookView xWindow="28680" yWindow="-120" windowWidth="29040" windowHeight="15720" activeTab="1" xr2:uid="{392C83F7-62C7-494A-8A61-050AF5CF3C50}"/>
  </bookViews>
  <sheets>
    <sheet name="재화 기준" sheetId="2" r:id="rId1"/>
    <sheet name="상품 구성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2" i="1" l="1"/>
  <c r="G297" i="1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I293" i="1"/>
  <c r="G293" i="1"/>
  <c r="K293" i="1" s="1"/>
  <c r="I292" i="1"/>
  <c r="G292" i="1"/>
  <c r="K292" i="1" s="1"/>
  <c r="I291" i="1"/>
  <c r="G291" i="1"/>
  <c r="J291" i="1" s="1"/>
  <c r="I290" i="1"/>
  <c r="G290" i="1"/>
  <c r="J290" i="1" s="1"/>
  <c r="I289" i="1"/>
  <c r="G289" i="1"/>
  <c r="J289" i="1" s="1"/>
  <c r="I288" i="1"/>
  <c r="G288" i="1"/>
  <c r="K288" i="1" s="1"/>
  <c r="I287" i="1"/>
  <c r="G287" i="1"/>
  <c r="K287" i="1" s="1"/>
  <c r="I286" i="1"/>
  <c r="G286" i="1"/>
  <c r="K286" i="1" s="1"/>
  <c r="I285" i="1"/>
  <c r="G285" i="1"/>
  <c r="K285" i="1" s="1"/>
  <c r="I195" i="1"/>
  <c r="I199" i="1"/>
  <c r="I207" i="1"/>
  <c r="I203" i="1"/>
  <c r="I191" i="1"/>
  <c r="H74" i="1"/>
  <c r="H123" i="1"/>
  <c r="H216" i="1"/>
  <c r="F216" i="1"/>
  <c r="F223" i="1"/>
  <c r="H2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H307" i="1"/>
  <c r="P298" i="1"/>
  <c r="P299" i="1" s="1"/>
  <c r="P300" i="1" s="1"/>
  <c r="P301" i="1" s="1"/>
  <c r="P302" i="1" s="1"/>
  <c r="P303" i="1" s="1"/>
  <c r="P304" i="1" s="1"/>
  <c r="P305" i="1" s="1"/>
  <c r="P306" i="1" s="1"/>
  <c r="Q306" i="1" s="1"/>
  <c r="H283" i="1"/>
  <c r="H294" i="1"/>
  <c r="G298" i="1"/>
  <c r="K298" i="1" s="1"/>
  <c r="G299" i="1"/>
  <c r="K299" i="1" s="1"/>
  <c r="G300" i="1"/>
  <c r="J300" i="1" s="1"/>
  <c r="G301" i="1"/>
  <c r="K301" i="1" s="1"/>
  <c r="G302" i="1"/>
  <c r="J302" i="1" s="1"/>
  <c r="G303" i="1"/>
  <c r="J303" i="1" s="1"/>
  <c r="G304" i="1"/>
  <c r="K304" i="1" s="1"/>
  <c r="G305" i="1"/>
  <c r="J305" i="1" s="1"/>
  <c r="G306" i="1"/>
  <c r="J306" i="1" s="1"/>
  <c r="K297" i="1"/>
  <c r="I305" i="1"/>
  <c r="I306" i="1"/>
  <c r="I304" i="1"/>
  <c r="I303" i="1"/>
  <c r="I302" i="1"/>
  <c r="I301" i="1"/>
  <c r="I300" i="1"/>
  <c r="I299" i="1"/>
  <c r="I298" i="1"/>
  <c r="I297" i="1"/>
  <c r="G86" i="1"/>
  <c r="G87" i="1"/>
  <c r="G85" i="1"/>
  <c r="G64" i="1"/>
  <c r="G65" i="1"/>
  <c r="K13" i="1" l="1"/>
  <c r="K4" i="1"/>
  <c r="J11" i="1"/>
  <c r="K5" i="1"/>
  <c r="J14" i="1"/>
  <c r="K8" i="1"/>
  <c r="K289" i="1"/>
  <c r="K6" i="1"/>
  <c r="J12" i="1"/>
  <c r="K10" i="1"/>
  <c r="J15" i="1"/>
  <c r="J7" i="1"/>
  <c r="K291" i="1"/>
  <c r="J287" i="1"/>
  <c r="J292" i="1"/>
  <c r="K290" i="1"/>
  <c r="J285" i="1"/>
  <c r="J288" i="1"/>
  <c r="J293" i="1"/>
  <c r="J286" i="1"/>
  <c r="K72" i="1"/>
  <c r="J73" i="1"/>
  <c r="K71" i="1"/>
  <c r="Q300" i="1"/>
  <c r="Q299" i="1"/>
  <c r="Q301" i="1"/>
  <c r="Q305" i="1"/>
  <c r="Q304" i="1"/>
  <c r="Q303" i="1"/>
  <c r="Q298" i="1"/>
  <c r="Q302" i="1"/>
  <c r="K306" i="1"/>
  <c r="K305" i="1"/>
  <c r="K300" i="1"/>
  <c r="K302" i="1"/>
  <c r="J298" i="1"/>
  <c r="K303" i="1"/>
  <c r="J301" i="1"/>
  <c r="J299" i="1"/>
  <c r="J304" i="1"/>
  <c r="J297" i="1"/>
  <c r="G53" i="1"/>
  <c r="I242" i="1" l="1"/>
  <c r="I243" i="1"/>
  <c r="I244" i="1"/>
  <c r="I245" i="1"/>
  <c r="I246" i="1"/>
  <c r="I247" i="1"/>
  <c r="I248" i="1"/>
  <c r="I249" i="1"/>
  <c r="I250" i="1"/>
  <c r="I251" i="1"/>
  <c r="I210" i="1"/>
  <c r="I211" i="1"/>
  <c r="I212" i="1"/>
  <c r="I213" i="1"/>
  <c r="I214" i="1"/>
  <c r="I215" i="1"/>
  <c r="I189" i="1"/>
  <c r="I190" i="1"/>
  <c r="I192" i="1"/>
  <c r="I193" i="1"/>
  <c r="I194" i="1"/>
  <c r="I196" i="1"/>
  <c r="I197" i="1"/>
  <c r="I198" i="1"/>
  <c r="I200" i="1"/>
  <c r="I201" i="1"/>
  <c r="I202" i="1"/>
  <c r="I204" i="1"/>
  <c r="I205" i="1"/>
  <c r="I206" i="1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281" i="1"/>
  <c r="I282" i="1"/>
  <c r="I280" i="1"/>
  <c r="I279" i="1"/>
  <c r="I278" i="1"/>
  <c r="I277" i="1"/>
  <c r="I276" i="1"/>
  <c r="I275" i="1"/>
  <c r="I274" i="1"/>
  <c r="I273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39" i="1"/>
  <c r="I238" i="1"/>
  <c r="I237" i="1"/>
  <c r="I236" i="1"/>
  <c r="I235" i="1"/>
  <c r="I234" i="1"/>
  <c r="I233" i="1"/>
  <c r="I231" i="1"/>
  <c r="I230" i="1"/>
  <c r="I229" i="1"/>
  <c r="I228" i="1"/>
  <c r="I227" i="1"/>
  <c r="I226" i="1"/>
  <c r="I225" i="1"/>
  <c r="I222" i="1"/>
  <c r="I221" i="1"/>
  <c r="I220" i="1"/>
  <c r="I219" i="1"/>
  <c r="I218" i="1"/>
  <c r="I217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K253" i="1"/>
  <c r="J256" i="1"/>
  <c r="K261" i="1"/>
  <c r="J259" i="1"/>
  <c r="G198" i="1"/>
  <c r="G196" i="1"/>
  <c r="J196" i="1" s="1"/>
  <c r="G190" i="1"/>
  <c r="J190" i="1" s="1"/>
  <c r="G189" i="1"/>
  <c r="K189" i="1" s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G191" i="1"/>
  <c r="J191" i="1" s="1"/>
  <c r="G192" i="1"/>
  <c r="J192" i="1" s="1"/>
  <c r="G193" i="1"/>
  <c r="J193" i="1" s="1"/>
  <c r="G194" i="1"/>
  <c r="J194" i="1" s="1"/>
  <c r="G195" i="1"/>
  <c r="J195" i="1" s="1"/>
  <c r="G197" i="1"/>
  <c r="J197" i="1" s="1"/>
  <c r="G199" i="1"/>
  <c r="J199" i="1" s="1"/>
  <c r="G200" i="1"/>
  <c r="J200" i="1" s="1"/>
  <c r="G201" i="1"/>
  <c r="J201" i="1" s="1"/>
  <c r="G202" i="1"/>
  <c r="J202" i="1" s="1"/>
  <c r="G203" i="1"/>
  <c r="J203" i="1" s="1"/>
  <c r="G204" i="1"/>
  <c r="J204" i="1" s="1"/>
  <c r="G205" i="1"/>
  <c r="J205" i="1" s="1"/>
  <c r="G206" i="1"/>
  <c r="J206" i="1" s="1"/>
  <c r="G207" i="1"/>
  <c r="J207" i="1" s="1"/>
  <c r="G210" i="1"/>
  <c r="G211" i="1"/>
  <c r="J211" i="1" s="1"/>
  <c r="G212" i="1"/>
  <c r="J212" i="1" s="1"/>
  <c r="G213" i="1"/>
  <c r="J213" i="1" s="1"/>
  <c r="G214" i="1"/>
  <c r="K214" i="1" s="1"/>
  <c r="G215" i="1"/>
  <c r="J215" i="1" s="1"/>
  <c r="G217" i="1"/>
  <c r="G218" i="1"/>
  <c r="J218" i="1" s="1"/>
  <c r="G219" i="1"/>
  <c r="G220" i="1"/>
  <c r="J220" i="1" s="1"/>
  <c r="G221" i="1"/>
  <c r="J221" i="1" s="1"/>
  <c r="G222" i="1"/>
  <c r="G225" i="1"/>
  <c r="G226" i="1"/>
  <c r="K226" i="1" s="1"/>
  <c r="G227" i="1"/>
  <c r="K227" i="1" s="1"/>
  <c r="G228" i="1"/>
  <c r="G229" i="1"/>
  <c r="J229" i="1" s="1"/>
  <c r="G230" i="1"/>
  <c r="K230" i="1" s="1"/>
  <c r="G231" i="1"/>
  <c r="G233" i="1"/>
  <c r="K233" i="1" s="1"/>
  <c r="G234" i="1"/>
  <c r="G235" i="1"/>
  <c r="K235" i="1" s="1"/>
  <c r="G236" i="1"/>
  <c r="K236" i="1" s="1"/>
  <c r="G237" i="1"/>
  <c r="G238" i="1"/>
  <c r="K238" i="1" s="1"/>
  <c r="G239" i="1"/>
  <c r="K239" i="1" s="1"/>
  <c r="K242" i="1"/>
  <c r="G243" i="1"/>
  <c r="J243" i="1" s="1"/>
  <c r="G244" i="1"/>
  <c r="G245" i="1"/>
  <c r="K245" i="1" s="1"/>
  <c r="G246" i="1"/>
  <c r="J246" i="1" s="1"/>
  <c r="G247" i="1"/>
  <c r="G248" i="1"/>
  <c r="K248" i="1" s="1"/>
  <c r="G249" i="1"/>
  <c r="J249" i="1" s="1"/>
  <c r="G250" i="1"/>
  <c r="G251" i="1"/>
  <c r="K251" i="1" s="1"/>
  <c r="K255" i="1"/>
  <c r="K258" i="1"/>
  <c r="J262" i="1"/>
  <c r="K264" i="1"/>
  <c r="J265" i="1"/>
  <c r="K267" i="1"/>
  <c r="J268" i="1"/>
  <c r="J269" i="1"/>
  <c r="J270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K210" i="1" l="1"/>
  <c r="G216" i="1"/>
  <c r="J217" i="1"/>
  <c r="G223" i="1"/>
  <c r="J103" i="1"/>
  <c r="G123" i="1"/>
  <c r="J22" i="1"/>
  <c r="K22" i="1"/>
  <c r="J141" i="1"/>
  <c r="J139" i="1"/>
  <c r="K159" i="1"/>
  <c r="J99" i="1"/>
  <c r="J138" i="1"/>
  <c r="K147" i="1"/>
  <c r="K2" i="1"/>
  <c r="J96" i="1"/>
  <c r="K191" i="1"/>
  <c r="J173" i="1"/>
  <c r="J253" i="1"/>
  <c r="J267" i="1"/>
  <c r="K262" i="1"/>
  <c r="J258" i="1"/>
  <c r="K269" i="1"/>
  <c r="K256" i="1"/>
  <c r="J264" i="1"/>
  <c r="K202" i="1"/>
  <c r="K207" i="1"/>
  <c r="J198" i="1"/>
  <c r="K198" i="1"/>
  <c r="K197" i="1"/>
  <c r="K182" i="1"/>
  <c r="K156" i="1"/>
  <c r="K153" i="1"/>
  <c r="J132" i="1"/>
  <c r="K130" i="1"/>
  <c r="K133" i="1"/>
  <c r="J129" i="1"/>
  <c r="K135" i="1"/>
  <c r="K122" i="1"/>
  <c r="K192" i="1"/>
  <c r="K166" i="1"/>
  <c r="L166" i="1" s="1"/>
  <c r="K203" i="1"/>
  <c r="K177" i="1"/>
  <c r="J140" i="1"/>
  <c r="K196" i="1"/>
  <c r="J163" i="1"/>
  <c r="J116" i="1"/>
  <c r="K201" i="1"/>
  <c r="K70" i="1"/>
  <c r="K195" i="1"/>
  <c r="J189" i="1"/>
  <c r="J169" i="1"/>
  <c r="K206" i="1"/>
  <c r="K199" i="1"/>
  <c r="K142" i="1"/>
  <c r="J136" i="1"/>
  <c r="J131" i="1"/>
  <c r="J100" i="1"/>
  <c r="K69" i="1"/>
  <c r="K127" i="1"/>
  <c r="K150" i="1"/>
  <c r="J137" i="1"/>
  <c r="K119" i="1"/>
  <c r="J91" i="1"/>
  <c r="J255" i="1"/>
  <c r="K126" i="1"/>
  <c r="K268" i="1"/>
  <c r="J261" i="1"/>
  <c r="K204" i="1"/>
  <c r="K193" i="1"/>
  <c r="K107" i="1"/>
  <c r="J97" i="1"/>
  <c r="K205" i="1"/>
  <c r="K113" i="1"/>
  <c r="K259" i="1"/>
  <c r="K194" i="1"/>
  <c r="K190" i="1"/>
  <c r="J143" i="1"/>
  <c r="J134" i="1"/>
  <c r="K124" i="1"/>
  <c r="K104" i="1"/>
  <c r="K265" i="1"/>
  <c r="G144" i="1"/>
  <c r="K110" i="1"/>
  <c r="K24" i="1"/>
  <c r="K58" i="1"/>
  <c r="J239" i="1"/>
  <c r="J210" i="1"/>
  <c r="K249" i="1"/>
  <c r="K43" i="1"/>
  <c r="K54" i="1"/>
  <c r="K47" i="1"/>
  <c r="J230" i="1"/>
  <c r="K221" i="1"/>
  <c r="K246" i="1"/>
  <c r="K33" i="1"/>
  <c r="K211" i="1"/>
  <c r="J245" i="1"/>
  <c r="J235" i="1"/>
  <c r="J248" i="1"/>
  <c r="K49" i="1"/>
  <c r="J21" i="1"/>
  <c r="J214" i="1"/>
  <c r="K66" i="1"/>
  <c r="K57" i="1"/>
  <c r="J227" i="1"/>
  <c r="J29" i="1"/>
  <c r="K212" i="1"/>
  <c r="K55" i="1"/>
  <c r="K45" i="1"/>
  <c r="K36" i="1"/>
  <c r="K243" i="1"/>
  <c r="J79" i="1"/>
  <c r="K60" i="1"/>
  <c r="J251" i="1"/>
  <c r="J238" i="1"/>
  <c r="K213" i="1"/>
  <c r="K46" i="1"/>
  <c r="K28" i="1"/>
  <c r="J85" i="1"/>
  <c r="J76" i="1"/>
  <c r="K64" i="1"/>
  <c r="K67" i="1"/>
  <c r="K63" i="1"/>
  <c r="K35" i="1"/>
  <c r="K30" i="1"/>
  <c r="J242" i="1"/>
  <c r="J226" i="1"/>
  <c r="K215" i="1"/>
  <c r="J82" i="1"/>
  <c r="K37" i="1"/>
  <c r="J233" i="1"/>
  <c r="K48" i="1"/>
  <c r="K40" i="1"/>
  <c r="K218" i="1"/>
  <c r="K61" i="1"/>
  <c r="J114" i="1"/>
  <c r="K114" i="1"/>
  <c r="J108" i="1"/>
  <c r="K108" i="1"/>
  <c r="K234" i="1"/>
  <c r="J234" i="1"/>
  <c r="J167" i="1"/>
  <c r="K167" i="1"/>
  <c r="K92" i="1"/>
  <c r="J92" i="1"/>
  <c r="K83" i="1"/>
  <c r="J83" i="1"/>
  <c r="J161" i="1"/>
  <c r="K161" i="1"/>
  <c r="J219" i="1"/>
  <c r="K219" i="1"/>
  <c r="K98" i="1"/>
  <c r="J98" i="1"/>
  <c r="J31" i="1"/>
  <c r="K31" i="1"/>
  <c r="J20" i="1"/>
  <c r="K20" i="1"/>
  <c r="K244" i="1"/>
  <c r="J244" i="1"/>
  <c r="K89" i="1"/>
  <c r="J89" i="1"/>
  <c r="K80" i="1"/>
  <c r="J80" i="1"/>
  <c r="K225" i="1"/>
  <c r="J225" i="1"/>
  <c r="J117" i="1"/>
  <c r="K117" i="1"/>
  <c r="J111" i="1"/>
  <c r="K111" i="1"/>
  <c r="J105" i="1"/>
  <c r="K105" i="1"/>
  <c r="J88" i="1"/>
  <c r="J170" i="1"/>
  <c r="K170" i="1"/>
  <c r="K263" i="1"/>
  <c r="J263" i="1"/>
  <c r="K237" i="1"/>
  <c r="J237" i="1"/>
  <c r="J164" i="1"/>
  <c r="K164" i="1"/>
  <c r="J41" i="1"/>
  <c r="K41" i="1"/>
  <c r="K257" i="1"/>
  <c r="J257" i="1"/>
  <c r="J148" i="1"/>
  <c r="K148" i="1"/>
  <c r="J236" i="1"/>
  <c r="K228" i="1"/>
  <c r="J228" i="1"/>
  <c r="J222" i="1"/>
  <c r="K222" i="1"/>
  <c r="J95" i="1"/>
  <c r="K86" i="1"/>
  <c r="J86" i="1"/>
  <c r="K77" i="1"/>
  <c r="J77" i="1"/>
  <c r="J154" i="1"/>
  <c r="K154" i="1"/>
  <c r="J157" i="1"/>
  <c r="K157" i="1"/>
  <c r="J94" i="1"/>
  <c r="K250" i="1"/>
  <c r="J250" i="1"/>
  <c r="K231" i="1"/>
  <c r="J231" i="1"/>
  <c r="K266" i="1"/>
  <c r="J266" i="1"/>
  <c r="K260" i="1"/>
  <c r="J260" i="1"/>
  <c r="K254" i="1"/>
  <c r="J254" i="1"/>
  <c r="K247" i="1"/>
  <c r="J247" i="1"/>
  <c r="J151" i="1"/>
  <c r="K151" i="1"/>
  <c r="J145" i="1"/>
  <c r="K145" i="1"/>
  <c r="J120" i="1"/>
  <c r="K120" i="1"/>
  <c r="J23" i="1"/>
  <c r="K270" i="1"/>
  <c r="K229" i="1"/>
  <c r="K93" i="1"/>
  <c r="K90" i="1"/>
  <c r="K87" i="1"/>
  <c r="K84" i="1"/>
  <c r="K81" i="1"/>
  <c r="K78" i="1"/>
  <c r="K128" i="1"/>
  <c r="K125" i="1"/>
  <c r="K68" i="1"/>
  <c r="K34" i="1"/>
  <c r="K200" i="1"/>
  <c r="K65" i="1"/>
  <c r="K62" i="1"/>
  <c r="K59" i="1"/>
  <c r="K56" i="1"/>
  <c r="K220" i="1"/>
  <c r="K217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L6" i="1" l="1"/>
  <c r="L5" i="1"/>
  <c r="L13" i="1"/>
  <c r="L11" i="1"/>
  <c r="L12" i="1"/>
  <c r="L7" i="1"/>
  <c r="L15" i="1"/>
  <c r="L14" i="1"/>
  <c r="L8" i="1"/>
  <c r="L10" i="1"/>
  <c r="L4" i="1"/>
  <c r="L55" i="1"/>
  <c r="L221" i="1"/>
  <c r="L285" i="1"/>
  <c r="L287" i="1"/>
  <c r="L292" i="1"/>
  <c r="L288" i="1"/>
  <c r="L289" i="1"/>
  <c r="L286" i="1"/>
  <c r="L293" i="1"/>
  <c r="L291" i="1"/>
  <c r="L290" i="1"/>
  <c r="L73" i="1"/>
  <c r="L71" i="1"/>
  <c r="L72" i="1"/>
  <c r="L199" i="1"/>
  <c r="L119" i="1"/>
  <c r="L305" i="1"/>
  <c r="L306" i="1"/>
  <c r="L301" i="1"/>
  <c r="L297" i="1"/>
  <c r="L300" i="1"/>
  <c r="L298" i="1"/>
  <c r="L299" i="1"/>
  <c r="L304" i="1"/>
  <c r="L302" i="1"/>
  <c r="L303" i="1"/>
  <c r="L87" i="1"/>
  <c r="L250" i="1"/>
  <c r="L167" i="1"/>
  <c r="L27" i="1"/>
  <c r="L158" i="1"/>
  <c r="L34" i="1"/>
  <c r="L22" i="1"/>
  <c r="L197" i="1"/>
  <c r="L165" i="1"/>
  <c r="L93" i="1"/>
  <c r="L170" i="1"/>
  <c r="L2" i="1"/>
  <c r="L106" i="1"/>
  <c r="L109" i="1"/>
  <c r="L168" i="1"/>
  <c r="L229" i="1"/>
  <c r="L254" i="1"/>
  <c r="L225" i="1"/>
  <c r="L219" i="1"/>
  <c r="L48" i="1"/>
  <c r="L63" i="1"/>
  <c r="L132" i="1"/>
  <c r="L134" i="1"/>
  <c r="L159" i="1"/>
  <c r="L96" i="1"/>
  <c r="L193" i="1"/>
  <c r="L142" i="1"/>
  <c r="L201" i="1"/>
  <c r="L203" i="1"/>
  <c r="L156" i="1"/>
  <c r="L226" i="1"/>
  <c r="L194" i="1"/>
  <c r="L79" i="1"/>
  <c r="L47" i="1"/>
  <c r="L234" i="1"/>
  <c r="L60" i="1"/>
  <c r="L163" i="1"/>
  <c r="L210" i="1"/>
  <c r="L239" i="1"/>
  <c r="L103" i="1"/>
  <c r="L162" i="1"/>
  <c r="L90" i="1"/>
  <c r="L247" i="1"/>
  <c r="L95" i="1"/>
  <c r="L257" i="1"/>
  <c r="L263" i="1"/>
  <c r="L244" i="1"/>
  <c r="L98" i="1"/>
  <c r="L40" i="1"/>
  <c r="L35" i="1"/>
  <c r="L212" i="1"/>
  <c r="L23" i="1"/>
  <c r="L190" i="1"/>
  <c r="L204" i="1"/>
  <c r="L182" i="1"/>
  <c r="L253" i="1"/>
  <c r="L282" i="1"/>
  <c r="L140" i="1"/>
  <c r="L227" i="1"/>
  <c r="L264" i="1"/>
  <c r="L169" i="1"/>
  <c r="L150" i="1"/>
  <c r="L206" i="1"/>
  <c r="L191" i="1"/>
  <c r="L258" i="1"/>
  <c r="L275" i="1"/>
  <c r="L88" i="1"/>
  <c r="L173" i="1"/>
  <c r="L67" i="1"/>
  <c r="L91" i="1"/>
  <c r="L161" i="1"/>
  <c r="L43" i="1"/>
  <c r="L260" i="1"/>
  <c r="L64" i="1"/>
  <c r="L57" i="1"/>
  <c r="L211" i="1"/>
  <c r="L249" i="1"/>
  <c r="L205" i="1"/>
  <c r="L127" i="1"/>
  <c r="L122" i="1"/>
  <c r="L207" i="1"/>
  <c r="L21" i="1"/>
  <c r="L280" i="1"/>
  <c r="L99" i="1"/>
  <c r="L214" i="1"/>
  <c r="L235" i="1"/>
  <c r="L242" i="1"/>
  <c r="L20" i="1"/>
  <c r="L31" i="1"/>
  <c r="L114" i="1"/>
  <c r="L215" i="1"/>
  <c r="L66" i="1"/>
  <c r="L268" i="1"/>
  <c r="L196" i="1"/>
  <c r="L135" i="1"/>
  <c r="L202" i="1"/>
  <c r="L255" i="1"/>
  <c r="L276" i="1"/>
  <c r="L230" i="1"/>
  <c r="L100" i="1"/>
  <c r="L233" i="1"/>
  <c r="L238" i="1"/>
  <c r="L217" i="1"/>
  <c r="L41" i="1"/>
  <c r="L42" i="1"/>
  <c r="L243" i="1"/>
  <c r="L33" i="1"/>
  <c r="L195" i="1"/>
  <c r="L139" i="1"/>
  <c r="L274" i="1"/>
  <c r="L131" i="1"/>
  <c r="L147" i="1"/>
  <c r="L129" i="1"/>
  <c r="L273" i="1"/>
  <c r="L54" i="1"/>
  <c r="L138" i="1"/>
  <c r="L120" i="1"/>
  <c r="L118" i="1"/>
  <c r="L145" i="1"/>
  <c r="L270" i="1"/>
  <c r="L265" i="1"/>
  <c r="L146" i="1"/>
  <c r="L59" i="1"/>
  <c r="L151" i="1"/>
  <c r="L228" i="1"/>
  <c r="L164" i="1"/>
  <c r="L80" i="1"/>
  <c r="L61" i="1"/>
  <c r="L246" i="1"/>
  <c r="L58" i="1"/>
  <c r="L29" i="1"/>
  <c r="L69" i="1"/>
  <c r="L133" i="1"/>
  <c r="L256" i="1"/>
  <c r="L261" i="1"/>
  <c r="L143" i="1"/>
  <c r="L245" i="1"/>
  <c r="L248" i="1"/>
  <c r="L281" i="1"/>
  <c r="L68" i="1"/>
  <c r="L110" i="1"/>
  <c r="L125" i="1"/>
  <c r="L39" i="1"/>
  <c r="L121" i="1"/>
  <c r="L28" i="1"/>
  <c r="L104" i="1"/>
  <c r="L126" i="1"/>
  <c r="L130" i="1"/>
  <c r="L269" i="1"/>
  <c r="L85" i="1"/>
  <c r="L267" i="1"/>
  <c r="L251" i="1"/>
  <c r="L137" i="1"/>
  <c r="L279" i="1"/>
  <c r="L259" i="1"/>
  <c r="L192" i="1"/>
  <c r="L76" i="1"/>
  <c r="L37" i="1"/>
  <c r="L220" i="1"/>
  <c r="L222" i="1"/>
  <c r="L154" i="1"/>
  <c r="L111" i="1"/>
  <c r="L149" i="1"/>
  <c r="L78" i="1"/>
  <c r="L117" i="1"/>
  <c r="L218" i="1"/>
  <c r="L152" i="1"/>
  <c r="L65" i="1"/>
  <c r="L81" i="1"/>
  <c r="L231" i="1"/>
  <c r="L148" i="1"/>
  <c r="L89" i="1"/>
  <c r="L46" i="1"/>
  <c r="L36" i="1"/>
  <c r="L124" i="1"/>
  <c r="L82" i="1"/>
  <c r="L278" i="1"/>
  <c r="L116" i="1"/>
  <c r="L198" i="1"/>
  <c r="L112" i="1"/>
  <c r="L108" i="1"/>
  <c r="L113" i="1"/>
  <c r="L115" i="1"/>
  <c r="L105" i="1"/>
  <c r="L128" i="1"/>
  <c r="L157" i="1"/>
  <c r="L56" i="1"/>
  <c r="L266" i="1"/>
  <c r="L62" i="1"/>
  <c r="L77" i="1"/>
  <c r="L83" i="1"/>
  <c r="L24" i="1"/>
  <c r="L155" i="1"/>
  <c r="L200" i="1"/>
  <c r="L84" i="1"/>
  <c r="L86" i="1"/>
  <c r="L237" i="1"/>
  <c r="L92" i="1"/>
  <c r="L30" i="1"/>
  <c r="L213" i="1"/>
  <c r="L45" i="1"/>
  <c r="L49" i="1"/>
  <c r="L107" i="1"/>
  <c r="L70" i="1"/>
  <c r="L177" i="1"/>
  <c r="L153" i="1"/>
  <c r="L262" i="1"/>
  <c r="L94" i="1"/>
  <c r="L141" i="1"/>
  <c r="L97" i="1"/>
  <c r="L189" i="1"/>
  <c r="L136" i="1"/>
  <c r="L236" i="1"/>
  <c r="L277" i="1"/>
</calcChain>
</file>

<file path=xl/sharedStrings.xml><?xml version="1.0" encoding="utf-8"?>
<sst xmlns="http://schemas.openxmlformats.org/spreadsheetml/2006/main" count="1041" uniqueCount="448">
  <si>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</si>
  <si>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</si>
  <si>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</si>
  <si>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</si>
  <si>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</si>
  <si>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</si>
  <si>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</si>
  <si>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</si>
  <si>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</si>
  <si>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</si>
  <si>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</si>
  <si>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</si>
  <si>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</si>
  <si>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</si>
  <si>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</si>
  <si>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</si>
  <si>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</si>
  <si>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</si>
  <si>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</si>
  <si>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</si>
  <si>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</si>
  <si>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</si>
  <si>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</si>
  <si>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</si>
  <si>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</si>
  <si>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</si>
  <si>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</si>
  <si>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</si>
  <si>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</si>
  <si>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</si>
  <si>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</si>
  <si>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</si>
  <si>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</si>
  <si>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</si>
  <si>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</si>
  <si>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</si>
  <si>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</si>
  <si>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</si>
  <si>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</si>
  <si>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</si>
  <si>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</si>
  <si>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</si>
  <si>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</si>
  <si>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</si>
  <si>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</si>
  <si>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</si>
  <si>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</si>
  <si>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</si>
  <si>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</si>
  <si>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</si>
  <si>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</si>
  <si>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</si>
  <si>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</si>
  <si>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</si>
  <si>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</si>
  <si>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</si>
  <si>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</si>
  <si>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</si>
  <si>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</si>
  <si>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</si>
  <si>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</si>
  <si>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</si>
  <si>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</si>
  <si>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</si>
  <si>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</si>
  <si>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</si>
  <si>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</si>
  <si>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</si>
  <si>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</si>
  <si>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</si>
  <si>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</si>
  <si>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</si>
  <si>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</si>
  <si>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</si>
  <si>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</si>
  <si>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</si>
  <si>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</si>
  <si>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</si>
  <si>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</si>
  <si>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</si>
  <si>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</si>
  <si>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</si>
  <si>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</si>
  <si>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</si>
  <si>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</si>
  <si>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</si>
  <si>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</si>
  <si>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</si>
  <si>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</si>
  <si>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</si>
  <si>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</si>
  <si>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</si>
  <si>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</si>
  <si>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</si>
  <si>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</si>
  <si>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스테이지 클리어 패키지 1</t>
    <phoneticPr fontId="1" type="noConversion"/>
  </si>
  <si>
    <t>스테이지 클리어 패키지 4</t>
  </si>
  <si>
    <t>스테이지 클리어 패키지 5</t>
  </si>
  <si>
    <t>스테이지 클리어 패키지 6</t>
  </si>
  <si>
    <t>스테이지 클리어 패키지 7</t>
  </si>
  <si>
    <t>스테이지 클리어 패키지 8</t>
  </si>
  <si>
    <t>스테이지 클리어 패키지 9</t>
  </si>
  <si>
    <t>스테이지 클리어 패키지 10</t>
  </si>
  <si>
    <t>스테이지 클리어 패키지 11</t>
  </si>
  <si>
    <t>스테이지 클리어 패키지 12</t>
  </si>
  <si>
    <t>스테이지 클리어 패키지 13</t>
  </si>
  <si>
    <t>스테이지 클리어 패키지 14</t>
  </si>
  <si>
    <t>스테이지 클리어 패키지 15</t>
  </si>
  <si>
    <t>스테이지 클리어 패키지 16</t>
  </si>
  <si>
    <t>스테이지 클리어 패키지 17</t>
  </si>
  <si>
    <t>스테이지 클리어 패키지 18</t>
  </si>
  <si>
    <t>스테이지 클리어 패키지 19</t>
  </si>
  <si>
    <t>해금 조건</t>
    <phoneticPr fontId="1" type="noConversion"/>
  </si>
  <si>
    <t>150 Stage</t>
  </si>
  <si>
    <t>200 Stage</t>
  </si>
  <si>
    <t>250 Stage</t>
  </si>
  <si>
    <t>300 Stage</t>
  </si>
  <si>
    <t>350 Stage</t>
  </si>
  <si>
    <t>400 Stage</t>
  </si>
  <si>
    <t>450 Stage</t>
  </si>
  <si>
    <t>550 Stage</t>
  </si>
  <si>
    <t>600 Stage</t>
  </si>
  <si>
    <t>650 Stage</t>
  </si>
  <si>
    <t>700 Stage</t>
  </si>
  <si>
    <t>750 Stage</t>
  </si>
  <si>
    <t>800 Stage</t>
  </si>
  <si>
    <t>850 Stage</t>
  </si>
  <si>
    <t>900 Stage</t>
  </si>
  <si>
    <t>950 Stage</t>
  </si>
  <si>
    <t>1000 Stage</t>
  </si>
  <si>
    <t>100 Stage</t>
    <phoneticPr fontId="1" type="noConversion"/>
  </si>
  <si>
    <t>500 Stage</t>
    <phoneticPr fontId="1" type="noConversion"/>
  </si>
  <si>
    <t>무기 소환 레벨 달성 패키지 1</t>
    <phoneticPr fontId="1" type="noConversion"/>
  </si>
  <si>
    <t>무기 소환 레벨 달성 패키지 2</t>
  </si>
  <si>
    <t>무기 소환 레벨 달성 패키지 3</t>
  </si>
  <si>
    <t>무기 소환 레벨 달성 패키지 4</t>
  </si>
  <si>
    <t>무기 소환 레벨 달성 패키지 5</t>
  </si>
  <si>
    <t>무기 소환 레벨 달성 패키지 6</t>
  </si>
  <si>
    <t>고려 영웅 소환 레벨 달성 패키지 1</t>
    <phoneticPr fontId="1" type="noConversion"/>
  </si>
  <si>
    <t>고려 영웅 소환 레벨 달성 패키지 2</t>
  </si>
  <si>
    <t>고려 영웅 소환 레벨 달성 패키지 3</t>
  </si>
  <si>
    <t>고려 영웅 소환 레벨 달성 패키지 4</t>
  </si>
  <si>
    <t>고려 영웅 소환 레벨 달성 패키지 5</t>
  </si>
  <si>
    <t>고려 영웅 소환 레벨 달성 패키지 6</t>
  </si>
  <si>
    <t>고려 영웅 소환 레벨 달성 패키지 7</t>
  </si>
  <si>
    <t>조선 영웅 소환 레벨 달성 패키지 1</t>
    <phoneticPr fontId="1" type="noConversion"/>
  </si>
  <si>
    <t>조선 영웅 소환 레벨 달성 패키지 2</t>
  </si>
  <si>
    <t>조선 영웅 소환 레벨 달성 패키지 3</t>
  </si>
  <si>
    <t>조선 영웅 소환 레벨 달성 패키지 4</t>
  </si>
  <si>
    <t>조선 영웅 소환 레벨 달성 패키지 5</t>
  </si>
  <si>
    <t>조선 영웅 소환 레벨 달성 패키지 6</t>
  </si>
  <si>
    <t>조선 영웅 소환 레벨 달성 패키지 7</t>
  </si>
  <si>
    <t>가속 소환 횟수 달성 패키지 1</t>
    <phoneticPr fontId="1" type="noConversion"/>
  </si>
  <si>
    <t>가속 소환 횟수 달성 패키지 2</t>
  </si>
  <si>
    <t>가속 소환 횟수 달성 패키지 3</t>
  </si>
  <si>
    <t>가속 소환 횟수 달성 패키지 4</t>
  </si>
  <si>
    <t>가속 소환 횟수 달성 패키지 5</t>
  </si>
  <si>
    <t>가속 소환 횟수 달성 패키지 6</t>
  </si>
  <si>
    <t>가속 소환 횟수 달성 패키지 7</t>
  </si>
  <si>
    <t>가속 소환 횟수 달성 패키지 8</t>
  </si>
  <si>
    <t>가속 소환 횟수 달성 패키지 9</t>
  </si>
  <si>
    <t>가속 소환 횟수 달성 패키지 10</t>
  </si>
  <si>
    <t>10000회</t>
    <phoneticPr fontId="1" type="noConversion"/>
  </si>
  <si>
    <t>20000회</t>
    <phoneticPr fontId="1" type="noConversion"/>
  </si>
  <si>
    <t>30000회</t>
  </si>
  <si>
    <t>40000회</t>
  </si>
  <si>
    <t>50000회</t>
  </si>
  <si>
    <t>60000회</t>
  </si>
  <si>
    <t>70000회</t>
  </si>
  <si>
    <t>80000회</t>
  </si>
  <si>
    <t>90000회</t>
  </si>
  <si>
    <t>100000회</t>
  </si>
  <si>
    <t>성균관 연구 달성 패키지 1</t>
    <phoneticPr fontId="1" type="noConversion"/>
  </si>
  <si>
    <t>성균관 연구 달성 패키지 2</t>
  </si>
  <si>
    <t>성균관 연구 달성 패키지 3</t>
  </si>
  <si>
    <t>성균관 연구 달성 패키지 4</t>
  </si>
  <si>
    <t>성균관 연구 달성 패키지 5</t>
  </si>
  <si>
    <t>성균관 연구 달성 패키지 6</t>
  </si>
  <si>
    <t>성균관 연구 달성 패키지 7</t>
  </si>
  <si>
    <t>성균관 연구 달성 패키지 8</t>
  </si>
  <si>
    <t>성균관 연구 달성 패키지 9</t>
  </si>
  <si>
    <t>성균관 연구 달성 패키지 10</t>
  </si>
  <si>
    <t>고대1</t>
    <phoneticPr fontId="1" type="noConversion"/>
  </si>
  <si>
    <t>고대2</t>
    <phoneticPr fontId="1" type="noConversion"/>
  </si>
  <si>
    <t>고대3</t>
    <phoneticPr fontId="1" type="noConversion"/>
  </si>
  <si>
    <t>중세1</t>
    <phoneticPr fontId="1" type="noConversion"/>
  </si>
  <si>
    <t>중세2</t>
    <phoneticPr fontId="1" type="noConversion"/>
  </si>
  <si>
    <t>중세3</t>
    <phoneticPr fontId="1" type="noConversion"/>
  </si>
  <si>
    <t>근세1</t>
    <phoneticPr fontId="1" type="noConversion"/>
  </si>
  <si>
    <t>근세2</t>
    <phoneticPr fontId="1" type="noConversion"/>
  </si>
  <si>
    <t>근세3</t>
    <phoneticPr fontId="1" type="noConversion"/>
  </si>
  <si>
    <t>성균관 연구 달성 패키지 11</t>
  </si>
  <si>
    <t>성균관 연구 달성 패키지 12</t>
  </si>
  <si>
    <t>성균관 연구 달성 패키지 13</t>
  </si>
  <si>
    <t>성균관 연구 달성 패키지 14</t>
  </si>
  <si>
    <t>성균관 연구 달성 패키지 15</t>
  </si>
  <si>
    <t>성균관 연구 달성 패키지 16</t>
  </si>
  <si>
    <t>성균관 연구 달성 패키지 17</t>
  </si>
  <si>
    <t>성균관 연구 달성 패키지 18</t>
  </si>
  <si>
    <t>스테이지 돌발</t>
    <phoneticPr fontId="1" type="noConversion"/>
  </si>
  <si>
    <t>장비 돌발</t>
    <phoneticPr fontId="1" type="noConversion"/>
  </si>
  <si>
    <t>연구 돌발</t>
    <phoneticPr fontId="1" type="noConversion"/>
  </si>
  <si>
    <t>성장 돌발</t>
    <phoneticPr fontId="1" type="noConversion"/>
  </si>
  <si>
    <t>육성 달성 패키지 1</t>
    <phoneticPr fontId="1" type="noConversion"/>
  </si>
  <si>
    <t>육성 달성 패키지 2</t>
  </si>
  <si>
    <t>육성 달성 패키지 3</t>
  </si>
  <si>
    <t>육성 달성 패키지 4</t>
  </si>
  <si>
    <t>육성 달성 패키지 5</t>
  </si>
  <si>
    <t>육성 달성 패키지 6</t>
  </si>
  <si>
    <t>육성 달성 패키지 7</t>
  </si>
  <si>
    <t>육성 달성 패키지 8</t>
  </si>
  <si>
    <t>육성 달성 패키지 9</t>
  </si>
  <si>
    <t>육성 달성 패키지 10</t>
  </si>
  <si>
    <t>승급 달성 패키지 1</t>
    <phoneticPr fontId="1" type="noConversion"/>
  </si>
  <si>
    <t>승급 달성 패키지 2</t>
  </si>
  <si>
    <t>승급 달성 패키지 3</t>
  </si>
  <si>
    <t>승급 달성 패키지 4</t>
  </si>
  <si>
    <t>승급 달성 패키지 5</t>
  </si>
  <si>
    <t>승급 달성 패키지 6</t>
  </si>
  <si>
    <t>승급 달성 패키지 7</t>
  </si>
  <si>
    <t>승급 달성 패키지 8</t>
  </si>
  <si>
    <t>승급 달성 패키지 9</t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</si>
  <si>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</si>
  <si>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</si>
  <si>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</si>
  <si>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</si>
  <si>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</si>
  <si>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</si>
  <si>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</si>
  <si>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</si>
  <si>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</si>
  <si>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영웅&amp;유물 돌발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</si>
  <si>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</si>
  <si>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</si>
  <si>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</si>
  <si>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</si>
  <si>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</si>
  <si>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</si>
  <si>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</si>
  <si>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</si>
  <si>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</si>
  <si>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</si>
  <si>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</si>
  <si>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</si>
  <si>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</si>
  <si>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</si>
  <si>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</si>
  <si>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</si>
  <si>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</si>
  <si>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</si>
  <si>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</si>
  <si>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</si>
  <si>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</si>
  <si>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</si>
  <si>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</si>
  <si>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</si>
  <si>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</si>
  <si>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</si>
  <si>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</si>
  <si>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</si>
  <si>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</si>
  <si>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</si>
  <si>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</si>
  <si>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</si>
  <si>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</si>
  <si>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</si>
  <si>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</si>
  <si>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</si>
  <si>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</si>
  <si>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</si>
  <si>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</si>
  <si>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</si>
  <si>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</si>
  <si>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</si>
  <si>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</si>
  <si>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</si>
  <si>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</si>
  <si>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</si>
  <si>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</si>
  <si>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</si>
  <si>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</si>
  <si>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</si>
  <si>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</si>
  <si>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</si>
  <si>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</si>
  <si>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</si>
  <si>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</si>
  <si>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</si>
  <si>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</si>
  <si>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</si>
  <si>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</si>
  <si>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</si>
  <si>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</si>
  <si>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</si>
  <si>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</si>
  <si>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</si>
  <si>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</si>
  <si>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</si>
  <si>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</si>
  <si>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</si>
  <si>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</si>
  <si>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</si>
  <si>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</si>
  <si>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</si>
  <si>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</si>
  <si>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</si>
  <si>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</si>
  <si>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</si>
  <si>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</si>
  <si>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</si>
  <si>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</si>
  <si>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</si>
  <si>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</si>
  <si>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</si>
  <si>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</si>
  <si>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</si>
  <si>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</si>
  <si>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</si>
  <si>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</si>
  <si>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</si>
  <si>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</si>
  <si>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</si>
  <si>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</si>
  <si>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</si>
  <si>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</si>
  <si>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</si>
  <si>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</si>
  <si>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</si>
  <si>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</si>
  <si>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</si>
  <si>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</si>
  <si>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</si>
  <si>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</si>
  <si>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</si>
  <si>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</si>
  <si>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</si>
  <si>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</si>
  <si>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</si>
  <si>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</si>
  <si>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</si>
  <si>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</si>
  <si>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</si>
  <si>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</si>
  <si>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</si>
  <si>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</si>
  <si>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</si>
  <si>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</si>
  <si>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</si>
  <si>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</si>
  <si>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</si>
  <si>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</si>
  <si>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</si>
  <si>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</si>
  <si>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</si>
  <si>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</si>
  <si>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</si>
  <si>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갑옷 소환 레벨 달성 패키지 1</t>
    <phoneticPr fontId="1" type="noConversion"/>
  </si>
  <si>
    <t>갑옷 소환 레벨 달성 패키지 2</t>
  </si>
  <si>
    <t>갑옷 소환 레벨 달성 패키지 3</t>
  </si>
  <si>
    <t>갑옷 소환 레벨 달성 패키지 4</t>
  </si>
  <si>
    <t>갑옷 소환 레벨 달성 패키지 5</t>
  </si>
  <si>
    <t>갑옷 소환 레벨 달성 패키지 6</t>
  </si>
  <si>
    <t>다이아(즉시 지급) : 15000개
다이아(매일 지급) : 1000개
무기 소환권 : 30장
갑옷 소환권 : 30장
고려 소환권 : 30장</t>
  </si>
  <si>
    <t>2H</t>
  </si>
  <si>
    <t>3H</t>
  </si>
  <si>
    <t>5H</t>
  </si>
  <si>
    <t>12H</t>
  </si>
  <si>
    <t>9H</t>
  </si>
  <si>
    <t>16H</t>
  </si>
  <si>
    <t>1H</t>
    <phoneticPr fontId="1" type="noConversion"/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</si>
  <si>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</si>
  <si>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</si>
  <si>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</si>
  <si>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</si>
  <si>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</si>
  <si>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</si>
  <si>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</si>
  <si>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</si>
  <si>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</si>
  <si>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</si>
  <si>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</si>
  <si>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</si>
  <si>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</si>
  <si>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</si>
  <si>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</si>
  <si>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</si>
  <si>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</si>
  <si>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</si>
  <si>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</si>
  <si>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</si>
  <si>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</si>
  <si>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</si>
  <si>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</si>
  <si>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</si>
  <si>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</si>
  <si>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</si>
  <si>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</si>
  <si>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</si>
  <si>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</si>
  <si>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</si>
  <si>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</si>
  <si>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</si>
  <si>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</si>
  <si>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</si>
  <si>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</si>
  <si>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</si>
  <si>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</si>
  <si>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</si>
  <si>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</si>
  <si>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</si>
  <si>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</si>
  <si>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</si>
  <si>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</si>
  <si>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</si>
  <si>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확인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</si>
  <si>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</si>
  <si>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</si>
  <si>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</si>
  <si>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패기 돌발</t>
    <phoneticPr fontId="1" type="noConversion"/>
  </si>
  <si>
    <t>패기 소환 횟수 달성 패키지 1</t>
    <phoneticPr fontId="1" type="noConversion"/>
  </si>
  <si>
    <t>패기 소환 횟수 달성 패키지 2</t>
  </si>
  <si>
    <t>패기 소환 횟수 달성 패키지 3</t>
  </si>
  <si>
    <t>패기 소환 횟수 달성 패키지 4</t>
  </si>
  <si>
    <t>패기 소환 횟수 달성 패키지 5</t>
  </si>
  <si>
    <t>패기 소환 횟수 달성 패키지 6</t>
  </si>
  <si>
    <t>패기 소환 횟수 달성 패키지 7</t>
  </si>
  <si>
    <t>패기 소환 횟수 달성 패키지 8</t>
  </si>
  <si>
    <t>패기 소환 횟수 달성 패키지 9</t>
  </si>
  <si>
    <t>패기 소환 횟수 달성 패키지 10</t>
  </si>
  <si>
    <t>다이아+패기 소환권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</si>
  <si>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</si>
  <si>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</si>
  <si>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</si>
  <si>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</si>
  <si>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</si>
  <si>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</si>
  <si>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</si>
  <si>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</si>
  <si>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</si>
  <si>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</si>
  <si>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</si>
  <si>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</si>
  <si>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스테이지 클리어 패키지 2</t>
  </si>
  <si>
    <t>스테이지 클리어 패키지 3</t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</si>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</sst>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51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0" fillId="8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1" fontId="10" fillId="0" borderId="1" xfId="3" applyFont="1" applyBorder="1" applyAlignment="1">
      <alignment horizontal="right" vertical="center"/>
    </xf>
    <xf numFmtId="0" fontId="10" fillId="0" borderId="1" xfId="0" applyFont="1" applyBorder="1">
      <alignment vertical="center"/>
    </xf>
    <xf numFmtId="0" fontId="14" fillId="0" borderId="1" xfId="0" applyFont="1" applyBorder="1">
      <alignment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6" borderId="1" xfId="3" applyFont="1" applyFill="1" applyBorder="1" applyAlignment="1">
      <alignment horizontal="right" vertical="center"/>
    </xf>
    <xf numFmtId="42" fontId="3" fillId="6" borderId="1" xfId="0" applyNumberFormat="1" applyFont="1" applyFill="1" applyBorder="1">
      <alignment vertical="center"/>
    </xf>
    <xf numFmtId="176" fontId="3" fillId="6" borderId="1" xfId="0" applyNumberFormat="1" applyFont="1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41" fontId="3" fillId="10" borderId="1" xfId="3" applyFont="1" applyFill="1" applyBorder="1" applyAlignment="1">
      <alignment horizontal="right" vertical="center"/>
    </xf>
    <xf numFmtId="42" fontId="3" fillId="10" borderId="1" xfId="0" applyNumberFormat="1" applyFont="1" applyFill="1" applyBorder="1">
      <alignment vertical="center"/>
    </xf>
    <xf numFmtId="176" fontId="3" fillId="10" borderId="1" xfId="0" applyNumberFormat="1" applyFont="1" applyFill="1" applyBorder="1">
      <alignment vertical="center"/>
    </xf>
    <xf numFmtId="41" fontId="3" fillId="11" borderId="1" xfId="3" applyFont="1" applyFill="1" applyBorder="1" applyAlignment="1">
      <alignment horizontal="right" vertical="center"/>
    </xf>
    <xf numFmtId="42" fontId="3" fillId="11" borderId="1" xfId="0" applyNumberFormat="1" applyFont="1" applyFill="1" applyBorder="1">
      <alignment vertical="center"/>
    </xf>
    <xf numFmtId="176" fontId="3" fillId="11" borderId="1" xfId="0" applyNumberFormat="1" applyFont="1" applyFill="1" applyBorder="1">
      <alignment vertical="center"/>
    </xf>
    <xf numFmtId="41" fontId="3" fillId="12" borderId="1" xfId="3" applyFont="1" applyFill="1" applyBorder="1" applyAlignment="1">
      <alignment horizontal="right" vertical="center"/>
    </xf>
    <xf numFmtId="42" fontId="3" fillId="12" borderId="1" xfId="0" applyNumberFormat="1" applyFont="1" applyFill="1" applyBorder="1">
      <alignment vertical="center"/>
    </xf>
    <xf numFmtId="176" fontId="3" fillId="12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42" fontId="13" fillId="0" borderId="1" xfId="0" applyNumberFormat="1" applyFont="1" applyBorder="1">
      <alignment vertical="center"/>
    </xf>
    <xf numFmtId="41" fontId="13" fillId="0" borderId="1" xfId="3" applyFont="1" applyBorder="1" applyAlignment="1">
      <alignment horizontal="right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5" borderId="1" xfId="0" applyFill="1" applyBorder="1">
      <alignment vertical="center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0" fontId="0" fillId="16" borderId="1" xfId="0" applyFill="1" applyBorder="1" applyAlignment="1">
      <alignment horizontal="lef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2" fontId="10" fillId="0" borderId="1" xfId="0" applyNumberFormat="1" applyFont="1" applyBorder="1">
      <alignment vertical="center"/>
    </xf>
    <xf numFmtId="0" fontId="0" fillId="17" borderId="1" xfId="0" applyFill="1" applyBorder="1">
      <alignment vertical="center"/>
    </xf>
    <xf numFmtId="0" fontId="0" fillId="17" borderId="1" xfId="0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0" fillId="16" borderId="1" xfId="0" applyFill="1" applyBorder="1" applyAlignment="1">
      <alignment horizontal="center" vertical="center"/>
    </xf>
    <xf numFmtId="178" fontId="0" fillId="16" borderId="1" xfId="3" applyNumberFormat="1" applyFont="1" applyFill="1" applyBorder="1" applyAlignment="1">
      <alignment horizontal="left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179" fontId="3" fillId="6" borderId="1" xfId="0" applyNumberFormat="1" applyFont="1" applyFill="1" applyBorder="1">
      <alignment vertical="center"/>
    </xf>
    <xf numFmtId="179" fontId="3" fillId="10" borderId="1" xfId="0" applyNumberFormat="1" applyFont="1" applyFill="1" applyBorder="1">
      <alignment vertical="center"/>
    </xf>
    <xf numFmtId="179" fontId="3" fillId="11" borderId="1" xfId="0" applyNumberFormat="1" applyFont="1" applyFill="1" applyBorder="1">
      <alignment vertical="center"/>
    </xf>
    <xf numFmtId="179" fontId="3" fillId="12" borderId="1" xfId="0" applyNumberFormat="1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2" borderId="1" xfId="3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right" vertical="center"/>
    </xf>
    <xf numFmtId="0" fontId="13" fillId="0" borderId="1" xfId="3" applyNumberFormat="1" applyFont="1" applyBorder="1" applyAlignment="1">
      <alignment horizontal="right" vertical="center"/>
    </xf>
    <xf numFmtId="0" fontId="14" fillId="0" borderId="1" xfId="3" applyNumberFormat="1" applyFont="1" applyBorder="1" applyAlignment="1">
      <alignment horizontal="right" vertical="center"/>
    </xf>
    <xf numFmtId="41" fontId="0" fillId="2" borderId="1" xfId="3" applyFont="1" applyFill="1" applyBorder="1" applyAlignment="1">
      <alignment horizontal="right" vertical="center"/>
    </xf>
    <xf numFmtId="0" fontId="3" fillId="0" borderId="1" xfId="3" applyNumberFormat="1" applyFont="1" applyBorder="1" applyAlignment="1">
      <alignment horizontal="right" vertical="center"/>
    </xf>
    <xf numFmtId="0" fontId="0" fillId="13" borderId="1" xfId="0" applyFill="1" applyBorder="1" applyAlignment="1">
      <alignment horizontal="right" vertical="center"/>
    </xf>
    <xf numFmtId="0" fontId="0" fillId="13" borderId="1" xfId="3" applyNumberFormat="1" applyFont="1" applyFill="1" applyBorder="1" applyAlignment="1">
      <alignment horizontal="right" vertical="center"/>
    </xf>
    <xf numFmtId="0" fontId="3" fillId="9" borderId="1" xfId="3" applyNumberFormat="1" applyFont="1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8" borderId="1" xfId="0" applyFill="1" applyBorder="1" applyAlignment="1">
      <alignment horizontal="left" vertical="center"/>
    </xf>
    <xf numFmtId="0" fontId="0" fillId="18" borderId="1" xfId="0" applyFill="1" applyBorder="1">
      <alignment vertical="center"/>
    </xf>
    <xf numFmtId="0" fontId="0" fillId="18" borderId="1" xfId="3" applyNumberFormat="1" applyFont="1" applyFill="1" applyBorder="1" applyAlignment="1">
      <alignment horizontal="righ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9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42" fontId="3" fillId="0" borderId="1" xfId="0" applyNumberFormat="1" applyFont="1" applyBorder="1">
      <alignment vertical="center"/>
    </xf>
    <xf numFmtId="179" fontId="3" fillId="0" borderId="1" xfId="0" applyNumberFormat="1" applyFont="1" applyBorder="1">
      <alignment vertical="center"/>
    </xf>
    <xf numFmtId="9" fontId="0" fillId="0" borderId="1" xfId="0" applyNumberFormat="1" applyBorder="1">
      <alignment vertical="center"/>
    </xf>
    <xf numFmtId="0" fontId="0" fillId="2" borderId="1" xfId="3" applyNumberFormat="1" applyFont="1" applyFill="1" applyBorder="1" applyAlignment="1">
      <alignment horizontal="center" vertical="center"/>
    </xf>
    <xf numFmtId="41" fontId="3" fillId="0" borderId="1" xfId="3" applyFont="1" applyFill="1" applyBorder="1" applyAlignment="1">
      <alignment horizontal="right" vertical="center"/>
    </xf>
    <xf numFmtId="176" fontId="3" fillId="0" borderId="1" xfId="0" applyNumberFormat="1" applyFon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9" borderId="1" xfId="0" applyFill="1" applyBorder="1" applyAlignment="1">
      <alignment horizontal="right" vertical="center"/>
    </xf>
    <xf numFmtId="0" fontId="0" fillId="20" borderId="1" xfId="0" applyFill="1" applyBorder="1" applyAlignment="1">
      <alignment horizontal="right" vertical="center"/>
    </xf>
    <xf numFmtId="41" fontId="3" fillId="20" borderId="1" xfId="3" applyFont="1" applyFill="1" applyBorder="1" applyAlignment="1">
      <alignment horizontal="right" vertical="center"/>
    </xf>
    <xf numFmtId="42" fontId="0" fillId="20" borderId="1" xfId="0" applyNumberFormat="1" applyFill="1" applyBorder="1">
      <alignment vertical="center"/>
    </xf>
    <xf numFmtId="179" fontId="0" fillId="20" borderId="1" xfId="0" applyNumberFormat="1" applyFill="1" applyBorder="1">
      <alignment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12" fillId="9" borderId="1" xfId="0" applyFont="1" applyFill="1" applyBorder="1" applyAlignment="1">
      <alignment horizontal="center" vertical="center" wrapText="1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41" sqref="A41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Q307"/>
  <sheetViews>
    <sheetView tabSelected="1" zoomScaleNormal="100" workbookViewId="0">
      <pane ySplit="1" topLeftCell="A285" activePane="bottomLeft" state="frozen"/>
      <selection pane="bottomLeft" activeCell="B293" sqref="B293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100" bestFit="1" customWidth="1"/>
    <col min="6" max="6" width="13.125" style="101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43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49" customFormat="1">
      <c r="A1" s="96" t="s">
        <v>55</v>
      </c>
      <c r="B1" s="96" t="s">
        <v>42</v>
      </c>
      <c r="C1" s="96" t="s">
        <v>112</v>
      </c>
      <c r="D1" s="96" t="s">
        <v>43</v>
      </c>
      <c r="E1" s="96" t="s">
        <v>48</v>
      </c>
      <c r="F1" s="138" t="s">
        <v>0</v>
      </c>
      <c r="G1" s="97" t="s">
        <v>44</v>
      </c>
      <c r="H1" s="96" t="s">
        <v>45</v>
      </c>
      <c r="I1" s="96" t="s">
        <v>375</v>
      </c>
      <c r="J1" s="96" t="s">
        <v>59</v>
      </c>
      <c r="K1" s="96" t="s">
        <v>60</v>
      </c>
      <c r="L1" s="96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43">
        <f>K2/K$2</f>
        <v>1</v>
      </c>
    </row>
    <row r="3" spans="1:12">
      <c r="K3" s="6"/>
    </row>
    <row r="4" spans="1:12">
      <c r="A4" s="1" t="s">
        <v>81</v>
      </c>
      <c r="B4" s="71" t="s">
        <v>49</v>
      </c>
      <c r="C4" s="71"/>
      <c r="D4" s="69" t="s">
        <v>48</v>
      </c>
      <c r="E4" s="108">
        <v>5000</v>
      </c>
      <c r="F4" s="108"/>
      <c r="G4" s="70">
        <f>E4</f>
        <v>5000</v>
      </c>
      <c r="H4" s="72">
        <v>3300</v>
      </c>
      <c r="I4" s="89">
        <f>H4/10</f>
        <v>330</v>
      </c>
      <c r="J4" s="73">
        <f>H4/G4</f>
        <v>0.66</v>
      </c>
      <c r="K4" s="73">
        <f>G4/H4</f>
        <v>1.5151515151515151</v>
      </c>
      <c r="L4" s="43">
        <f>K4/K$2</f>
        <v>0.71515151515151509</v>
      </c>
    </row>
    <row r="5" spans="1:12">
      <c r="A5" s="1" t="s">
        <v>81</v>
      </c>
      <c r="B5" s="71" t="s">
        <v>50</v>
      </c>
      <c r="C5" s="71"/>
      <c r="D5" s="69" t="s">
        <v>48</v>
      </c>
      <c r="E5" s="108">
        <v>9000</v>
      </c>
      <c r="F5" s="108"/>
      <c r="G5" s="70">
        <f>E5</f>
        <v>9000</v>
      </c>
      <c r="H5" s="72">
        <v>5500</v>
      </c>
      <c r="I5" s="89">
        <f t="shared" ref="I5:I8" si="0">H5/10</f>
        <v>550</v>
      </c>
      <c r="J5" s="73">
        <f>H5/G5</f>
        <v>0.61111111111111116</v>
      </c>
      <c r="K5" s="73">
        <f>G5/H5</f>
        <v>1.6363636363636365</v>
      </c>
      <c r="L5" s="43">
        <f>K5/K$2</f>
        <v>0.77236363636363636</v>
      </c>
    </row>
    <row r="6" spans="1:12">
      <c r="A6" s="1" t="s">
        <v>81</v>
      </c>
      <c r="B6" s="71" t="s">
        <v>51</v>
      </c>
      <c r="C6" s="71"/>
      <c r="D6" s="69" t="s">
        <v>48</v>
      </c>
      <c r="E6" s="108">
        <v>17000</v>
      </c>
      <c r="F6" s="108"/>
      <c r="G6" s="70">
        <f>E6</f>
        <v>17000</v>
      </c>
      <c r="H6" s="72">
        <v>9900</v>
      </c>
      <c r="I6" s="89">
        <f t="shared" si="0"/>
        <v>990</v>
      </c>
      <c r="J6" s="73">
        <f>H6/G6</f>
        <v>0.58235294117647063</v>
      </c>
      <c r="K6" s="73">
        <f>G6/H6</f>
        <v>1.7171717171717171</v>
      </c>
      <c r="L6" s="43">
        <f>K6/K$2</f>
        <v>0.8105050505050504</v>
      </c>
    </row>
    <row r="7" spans="1:12">
      <c r="A7" s="1" t="s">
        <v>81</v>
      </c>
      <c r="B7" s="71" t="s">
        <v>52</v>
      </c>
      <c r="C7" s="71"/>
      <c r="D7" s="69" t="s">
        <v>48</v>
      </c>
      <c r="E7" s="108">
        <v>170000</v>
      </c>
      <c r="F7" s="108"/>
      <c r="G7" s="70">
        <f>E7</f>
        <v>170000</v>
      </c>
      <c r="H7" s="72">
        <v>33000</v>
      </c>
      <c r="I7" s="89">
        <f t="shared" si="0"/>
        <v>3300</v>
      </c>
      <c r="J7" s="73">
        <f>H7/G7</f>
        <v>0.19411764705882353</v>
      </c>
      <c r="K7" s="73">
        <f>G7/H7</f>
        <v>5.1515151515151514</v>
      </c>
      <c r="L7" s="43">
        <f>K7/K$2</f>
        <v>2.4315151515151512</v>
      </c>
    </row>
    <row r="8" spans="1:12">
      <c r="A8" s="1" t="s">
        <v>81</v>
      </c>
      <c r="B8" s="71" t="s">
        <v>47</v>
      </c>
      <c r="C8" s="71"/>
      <c r="D8" s="69" t="s">
        <v>48</v>
      </c>
      <c r="E8" s="108">
        <v>330000</v>
      </c>
      <c r="F8" s="108"/>
      <c r="G8" s="70">
        <f>E8</f>
        <v>330000</v>
      </c>
      <c r="H8" s="72">
        <v>59000</v>
      </c>
      <c r="I8" s="89">
        <f t="shared" si="0"/>
        <v>5900</v>
      </c>
      <c r="J8" s="73">
        <f>H8/G8</f>
        <v>0.1787878787878788</v>
      </c>
      <c r="K8" s="73">
        <f>G8/H8</f>
        <v>5.593220338983051</v>
      </c>
      <c r="L8" s="43">
        <f>K8/K$2</f>
        <v>2.64</v>
      </c>
    </row>
    <row r="9" spans="1:12">
      <c r="B9" s="11"/>
      <c r="E9" s="134" t="s">
        <v>408</v>
      </c>
      <c r="F9" s="102"/>
      <c r="G9" s="16"/>
      <c r="H9" s="9"/>
      <c r="I9" s="126"/>
      <c r="J9" s="6"/>
      <c r="K9" s="6"/>
    </row>
    <row r="10" spans="1:12">
      <c r="A10" s="1" t="s">
        <v>81</v>
      </c>
      <c r="B10" s="127" t="s">
        <v>407</v>
      </c>
      <c r="C10" s="127"/>
      <c r="D10" s="128" t="s">
        <v>408</v>
      </c>
      <c r="E10" s="129">
        <v>110</v>
      </c>
      <c r="F10" s="129"/>
      <c r="G10" s="130">
        <f t="shared" ref="G10:G14" si="1">E10*100</f>
        <v>11000</v>
      </c>
      <c r="H10" s="131">
        <v>1100</v>
      </c>
      <c r="I10" s="132">
        <f>H10/10</f>
        <v>110</v>
      </c>
      <c r="J10" s="133">
        <f>H10/G10</f>
        <v>0.1</v>
      </c>
      <c r="K10" s="133">
        <f>G10/H10</f>
        <v>10</v>
      </c>
      <c r="L10" s="43">
        <f>K10/K$2</f>
        <v>4.72</v>
      </c>
    </row>
    <row r="11" spans="1:12">
      <c r="A11" s="1" t="s">
        <v>81</v>
      </c>
      <c r="B11" s="127" t="s">
        <v>409</v>
      </c>
      <c r="C11" s="127"/>
      <c r="D11" s="128" t="s">
        <v>408</v>
      </c>
      <c r="E11" s="129">
        <v>660</v>
      </c>
      <c r="F11" s="129"/>
      <c r="G11" s="130">
        <f t="shared" si="1"/>
        <v>66000</v>
      </c>
      <c r="H11" s="131">
        <v>6600</v>
      </c>
      <c r="I11" s="132">
        <f t="shared" ref="I11:I15" si="2">H11/10</f>
        <v>660</v>
      </c>
      <c r="J11" s="133">
        <f t="shared" ref="J11:J15" si="3">H11/G11</f>
        <v>0.1</v>
      </c>
      <c r="K11" s="133">
        <f t="shared" ref="K11:K15" si="4">G11/H11</f>
        <v>10</v>
      </c>
      <c r="L11" s="43">
        <f t="shared" ref="L11:L15" si="5">K11/K$2</f>
        <v>4.72</v>
      </c>
    </row>
    <row r="12" spans="1:12">
      <c r="A12" s="1" t="s">
        <v>81</v>
      </c>
      <c r="B12" s="127" t="s">
        <v>410</v>
      </c>
      <c r="C12" s="127"/>
      <c r="D12" s="128" t="s">
        <v>408</v>
      </c>
      <c r="E12" s="129">
        <v>1100</v>
      </c>
      <c r="F12" s="129"/>
      <c r="G12" s="130">
        <f t="shared" si="1"/>
        <v>110000</v>
      </c>
      <c r="H12" s="131">
        <v>11000</v>
      </c>
      <c r="I12" s="132">
        <f t="shared" si="2"/>
        <v>1100</v>
      </c>
      <c r="J12" s="133">
        <f t="shared" si="3"/>
        <v>0.1</v>
      </c>
      <c r="K12" s="133">
        <f t="shared" si="4"/>
        <v>10</v>
      </c>
      <c r="L12" s="43">
        <f t="shared" si="5"/>
        <v>4.72</v>
      </c>
    </row>
    <row r="13" spans="1:12">
      <c r="A13" s="1" t="s">
        <v>81</v>
      </c>
      <c r="B13" s="127" t="s">
        <v>411</v>
      </c>
      <c r="C13" s="127"/>
      <c r="D13" s="128" t="s">
        <v>408</v>
      </c>
      <c r="E13" s="129">
        <v>3300</v>
      </c>
      <c r="F13" s="129"/>
      <c r="G13" s="130">
        <f t="shared" si="1"/>
        <v>330000</v>
      </c>
      <c r="H13" s="131">
        <v>33000</v>
      </c>
      <c r="I13" s="132">
        <f t="shared" si="2"/>
        <v>3300</v>
      </c>
      <c r="J13" s="133">
        <f t="shared" si="3"/>
        <v>0.1</v>
      </c>
      <c r="K13" s="133">
        <f t="shared" si="4"/>
        <v>10</v>
      </c>
      <c r="L13" s="43">
        <f t="shared" si="5"/>
        <v>4.72</v>
      </c>
    </row>
    <row r="14" spans="1:12">
      <c r="A14" s="1" t="s">
        <v>81</v>
      </c>
      <c r="B14" s="127" t="s">
        <v>412</v>
      </c>
      <c r="C14" s="127"/>
      <c r="D14" s="128" t="s">
        <v>408</v>
      </c>
      <c r="E14" s="129">
        <v>5500</v>
      </c>
      <c r="F14" s="129"/>
      <c r="G14" s="130">
        <f t="shared" si="1"/>
        <v>550000</v>
      </c>
      <c r="H14" s="131">
        <v>55000</v>
      </c>
      <c r="I14" s="132">
        <f t="shared" si="2"/>
        <v>5500</v>
      </c>
      <c r="J14" s="133">
        <f t="shared" si="3"/>
        <v>0.1</v>
      </c>
      <c r="K14" s="133">
        <f t="shared" si="4"/>
        <v>10</v>
      </c>
      <c r="L14" s="43">
        <f t="shared" si="5"/>
        <v>4.72</v>
      </c>
    </row>
    <row r="15" spans="1:12">
      <c r="A15" s="1" t="s">
        <v>81</v>
      </c>
      <c r="B15" s="127" t="s">
        <v>413</v>
      </c>
      <c r="C15" s="127"/>
      <c r="D15" s="128" t="s">
        <v>408</v>
      </c>
      <c r="E15" s="129">
        <v>11000</v>
      </c>
      <c r="F15" s="129"/>
      <c r="G15" s="130">
        <f>E15*100</f>
        <v>1100000</v>
      </c>
      <c r="H15" s="131">
        <v>110000</v>
      </c>
      <c r="I15" s="132">
        <f t="shared" si="2"/>
        <v>11000</v>
      </c>
      <c r="J15" s="133">
        <f t="shared" si="3"/>
        <v>0.1</v>
      </c>
      <c r="K15" s="133">
        <f t="shared" si="4"/>
        <v>10</v>
      </c>
      <c r="L15" s="43">
        <f t="shared" si="5"/>
        <v>4.72</v>
      </c>
    </row>
    <row r="16" spans="1:12" customFormat="1"/>
    <row r="17" spans="1:12" customFormat="1"/>
    <row r="18" spans="1:12" s="53" customFormat="1">
      <c r="B18" s="54" t="s">
        <v>444</v>
      </c>
      <c r="C18" s="55"/>
      <c r="E18" s="103"/>
      <c r="F18" s="104"/>
      <c r="G18" s="19"/>
      <c r="L18" s="44"/>
    </row>
    <row r="19" spans="1:12">
      <c r="A19" s="1" t="s">
        <v>54</v>
      </c>
      <c r="B19" s="26" t="s">
        <v>336</v>
      </c>
      <c r="C19" s="10"/>
      <c r="D19" s="66" t="s">
        <v>376</v>
      </c>
      <c r="E19" s="98">
        <v>1000</v>
      </c>
      <c r="F19" s="105">
        <v>30</v>
      </c>
      <c r="G19" s="46">
        <f>F19*100+E19</f>
        <v>4000</v>
      </c>
      <c r="H19" s="47">
        <v>0</v>
      </c>
      <c r="I19" s="87"/>
      <c r="J19" s="48">
        <f t="shared" ref="J19:J24" si="6">H19/G19</f>
        <v>0</v>
      </c>
      <c r="K19" s="48"/>
    </row>
    <row r="20" spans="1:12">
      <c r="A20" s="1" t="s">
        <v>54</v>
      </c>
      <c r="B20" s="26" t="s">
        <v>331</v>
      </c>
      <c r="D20" s="66" t="s">
        <v>376</v>
      </c>
      <c r="E20" s="63">
        <v>1000</v>
      </c>
      <c r="F20" s="105">
        <v>190</v>
      </c>
      <c r="G20" s="46">
        <f>F20*100+E20</f>
        <v>20000</v>
      </c>
      <c r="H20" s="47">
        <v>1100</v>
      </c>
      <c r="I20" s="87">
        <f>H20/10</f>
        <v>110</v>
      </c>
      <c r="J20" s="48">
        <f t="shared" si="6"/>
        <v>5.5E-2</v>
      </c>
      <c r="K20" s="48">
        <f>G20/H20</f>
        <v>18.181818181818183</v>
      </c>
      <c r="L20" s="43">
        <f>K20/K$2</f>
        <v>8.581818181818182</v>
      </c>
    </row>
    <row r="21" spans="1:12">
      <c r="A21" s="1" t="s">
        <v>54</v>
      </c>
      <c r="B21" s="26" t="s">
        <v>332</v>
      </c>
      <c r="D21" s="66" t="s">
        <v>376</v>
      </c>
      <c r="E21" s="63">
        <v>3000</v>
      </c>
      <c r="F21" s="105">
        <v>960</v>
      </c>
      <c r="G21" s="46">
        <f t="shared" ref="G21:G24" si="7">F21*100+E21</f>
        <v>99000</v>
      </c>
      <c r="H21" s="47">
        <v>5500</v>
      </c>
      <c r="I21" s="87">
        <f t="shared" ref="I21:I24" si="8">H21/10</f>
        <v>550</v>
      </c>
      <c r="J21" s="48">
        <f t="shared" si="6"/>
        <v>5.5555555555555552E-2</v>
      </c>
      <c r="K21" s="48">
        <f>G21/H21</f>
        <v>18</v>
      </c>
      <c r="L21" s="43">
        <f>K21/K$2</f>
        <v>8.4959999999999987</v>
      </c>
    </row>
    <row r="22" spans="1:12">
      <c r="A22" s="1" t="s">
        <v>54</v>
      </c>
      <c r="B22" s="26" t="s">
        <v>333</v>
      </c>
      <c r="D22" s="66" t="s">
        <v>376</v>
      </c>
      <c r="E22" s="63">
        <v>5000</v>
      </c>
      <c r="F22" s="105">
        <v>1930</v>
      </c>
      <c r="G22" s="46">
        <f t="shared" si="7"/>
        <v>198000</v>
      </c>
      <c r="H22" s="47">
        <v>11000</v>
      </c>
      <c r="I22" s="87">
        <f t="shared" si="8"/>
        <v>1100</v>
      </c>
      <c r="J22" s="48">
        <f t="shared" si="6"/>
        <v>5.5555555555555552E-2</v>
      </c>
      <c r="K22" s="48">
        <f>G22/H22</f>
        <v>18</v>
      </c>
      <c r="L22" s="43">
        <f>K22/K$2</f>
        <v>8.4959999999999987</v>
      </c>
    </row>
    <row r="23" spans="1:12">
      <c r="A23" s="1" t="s">
        <v>54</v>
      </c>
      <c r="B23" s="26" t="s">
        <v>334</v>
      </c>
      <c r="D23" s="66" t="s">
        <v>376</v>
      </c>
      <c r="E23" s="63">
        <v>10000</v>
      </c>
      <c r="F23" s="105">
        <v>5850</v>
      </c>
      <c r="G23" s="46">
        <f t="shared" si="7"/>
        <v>595000</v>
      </c>
      <c r="H23" s="47">
        <v>33000</v>
      </c>
      <c r="I23" s="87">
        <f t="shared" si="8"/>
        <v>3300</v>
      </c>
      <c r="J23" s="48">
        <f t="shared" si="6"/>
        <v>5.5462184873949577E-2</v>
      </c>
      <c r="K23" s="48">
        <f>G23/H23</f>
        <v>18.030303030303031</v>
      </c>
      <c r="L23" s="43">
        <f>K23/K$2</f>
        <v>8.5103030303030298</v>
      </c>
    </row>
    <row r="24" spans="1:12">
      <c r="A24" s="1" t="s">
        <v>54</v>
      </c>
      <c r="B24" s="26" t="s">
        <v>335</v>
      </c>
      <c r="D24" s="66" t="s">
        <v>376</v>
      </c>
      <c r="E24" s="63">
        <v>20000</v>
      </c>
      <c r="F24" s="105">
        <v>9720</v>
      </c>
      <c r="G24" s="46">
        <f t="shared" si="7"/>
        <v>992000</v>
      </c>
      <c r="H24" s="47">
        <v>55000</v>
      </c>
      <c r="I24" s="87">
        <f t="shared" si="8"/>
        <v>5500</v>
      </c>
      <c r="J24" s="48">
        <f t="shared" si="6"/>
        <v>5.5443548387096774E-2</v>
      </c>
      <c r="K24" s="48">
        <f>G24/H24</f>
        <v>18.036363636363635</v>
      </c>
      <c r="L24" s="43">
        <f>K24/K$2</f>
        <v>8.513163636363636</v>
      </c>
    </row>
    <row r="25" spans="1:12">
      <c r="D25" s="8"/>
      <c r="E25" s="64"/>
      <c r="H25" s="9"/>
      <c r="I25" s="9"/>
      <c r="J25" s="6"/>
      <c r="K25" s="6"/>
    </row>
    <row r="26" spans="1:12">
      <c r="A26" s="1" t="s">
        <v>54</v>
      </c>
      <c r="B26" s="26" t="s">
        <v>342</v>
      </c>
      <c r="D26" s="66" t="s">
        <v>379</v>
      </c>
      <c r="E26" s="98">
        <v>1000</v>
      </c>
      <c r="F26" s="105">
        <v>30</v>
      </c>
      <c r="G26" s="46">
        <f>F26*100+E26</f>
        <v>4000</v>
      </c>
      <c r="H26" s="47">
        <v>0</v>
      </c>
      <c r="I26" s="87"/>
      <c r="J26" s="48">
        <f t="shared" ref="J26:J31" si="9">H26/G26</f>
        <v>0</v>
      </c>
      <c r="K26" s="48"/>
    </row>
    <row r="27" spans="1:12">
      <c r="A27" s="1" t="s">
        <v>54</v>
      </c>
      <c r="B27" s="26" t="s">
        <v>337</v>
      </c>
      <c r="D27" s="66" t="s">
        <v>379</v>
      </c>
      <c r="E27" s="63">
        <v>1000</v>
      </c>
      <c r="F27" s="105">
        <v>190</v>
      </c>
      <c r="G27" s="46">
        <f>F27*100+E27</f>
        <v>20000</v>
      </c>
      <c r="H27" s="47">
        <v>1100</v>
      </c>
      <c r="I27" s="87">
        <f>H27/10</f>
        <v>110</v>
      </c>
      <c r="J27" s="48">
        <f t="shared" si="9"/>
        <v>5.5E-2</v>
      </c>
      <c r="K27" s="48">
        <f>G27/H27</f>
        <v>18.181818181818183</v>
      </c>
      <c r="L27" s="43">
        <f>K27/K$2</f>
        <v>8.581818181818182</v>
      </c>
    </row>
    <row r="28" spans="1:12">
      <c r="A28" s="1" t="s">
        <v>54</v>
      </c>
      <c r="B28" s="26" t="s">
        <v>338</v>
      </c>
      <c r="D28" s="66" t="s">
        <v>379</v>
      </c>
      <c r="E28" s="63">
        <v>3000</v>
      </c>
      <c r="F28" s="105">
        <v>960</v>
      </c>
      <c r="G28" s="46">
        <f t="shared" ref="G28:G31" si="10">F28*100+E28</f>
        <v>99000</v>
      </c>
      <c r="H28" s="47">
        <v>5500</v>
      </c>
      <c r="I28" s="87">
        <f t="shared" ref="I28:I31" si="11">H28/10</f>
        <v>550</v>
      </c>
      <c r="J28" s="48">
        <f t="shared" si="9"/>
        <v>5.5555555555555552E-2</v>
      </c>
      <c r="K28" s="48">
        <f>G28/H28</f>
        <v>18</v>
      </c>
      <c r="L28" s="43">
        <f>K28/K$2</f>
        <v>8.4959999999999987</v>
      </c>
    </row>
    <row r="29" spans="1:12">
      <c r="A29" s="1" t="s">
        <v>54</v>
      </c>
      <c r="B29" s="26" t="s">
        <v>339</v>
      </c>
      <c r="D29" s="66" t="s">
        <v>379</v>
      </c>
      <c r="E29" s="63">
        <v>5000</v>
      </c>
      <c r="F29" s="105">
        <v>1930</v>
      </c>
      <c r="G29" s="46">
        <f t="shared" si="10"/>
        <v>198000</v>
      </c>
      <c r="H29" s="47">
        <v>11000</v>
      </c>
      <c r="I29" s="87">
        <f t="shared" si="11"/>
        <v>1100</v>
      </c>
      <c r="J29" s="48">
        <f t="shared" si="9"/>
        <v>5.5555555555555552E-2</v>
      </c>
      <c r="K29" s="48">
        <f>G29/H29</f>
        <v>18</v>
      </c>
      <c r="L29" s="43">
        <f>K29/K$2</f>
        <v>8.4959999999999987</v>
      </c>
    </row>
    <row r="30" spans="1:12">
      <c r="A30" s="1" t="s">
        <v>54</v>
      </c>
      <c r="B30" s="26" t="s">
        <v>340</v>
      </c>
      <c r="D30" s="66" t="s">
        <v>379</v>
      </c>
      <c r="E30" s="63">
        <v>10000</v>
      </c>
      <c r="F30" s="105">
        <v>5850</v>
      </c>
      <c r="G30" s="46">
        <f t="shared" si="10"/>
        <v>595000</v>
      </c>
      <c r="H30" s="47">
        <v>33000</v>
      </c>
      <c r="I30" s="87">
        <f t="shared" si="11"/>
        <v>3300</v>
      </c>
      <c r="J30" s="48">
        <f t="shared" si="9"/>
        <v>5.5462184873949577E-2</v>
      </c>
      <c r="K30" s="48">
        <f>G30/H30</f>
        <v>18.030303030303031</v>
      </c>
      <c r="L30" s="43">
        <f>K30/K$2</f>
        <v>8.5103030303030298</v>
      </c>
    </row>
    <row r="31" spans="1:12">
      <c r="A31" s="1" t="s">
        <v>54</v>
      </c>
      <c r="B31" s="26" t="s">
        <v>341</v>
      </c>
      <c r="D31" s="66" t="s">
        <v>379</v>
      </c>
      <c r="E31" s="63">
        <v>20000</v>
      </c>
      <c r="F31" s="105">
        <v>9720</v>
      </c>
      <c r="G31" s="46">
        <f t="shared" si="10"/>
        <v>992000</v>
      </c>
      <c r="H31" s="47">
        <v>55000</v>
      </c>
      <c r="I31" s="87">
        <f t="shared" si="11"/>
        <v>5500</v>
      </c>
      <c r="J31" s="48">
        <f t="shared" si="9"/>
        <v>5.5443548387096774E-2</v>
      </c>
      <c r="K31" s="48">
        <f>G31/H31</f>
        <v>18.036363636363635</v>
      </c>
      <c r="L31" s="43">
        <f>K31/K$2</f>
        <v>8.513163636363636</v>
      </c>
    </row>
    <row r="32" spans="1:12">
      <c r="D32" s="7"/>
      <c r="E32" s="64"/>
      <c r="H32" s="9"/>
      <c r="I32" s="9"/>
      <c r="J32" s="6"/>
      <c r="K32" s="6"/>
    </row>
    <row r="33" spans="1:13">
      <c r="A33" s="1" t="s">
        <v>54</v>
      </c>
      <c r="B33" s="26" t="s">
        <v>446</v>
      </c>
      <c r="C33" s="42"/>
      <c r="D33" s="66" t="s">
        <v>377</v>
      </c>
      <c r="E33" s="98">
        <v>2000</v>
      </c>
      <c r="F33" s="105">
        <v>120</v>
      </c>
      <c r="G33" s="46">
        <f>F33*150+E33</f>
        <v>20000</v>
      </c>
      <c r="H33" s="47">
        <v>1100</v>
      </c>
      <c r="I33" s="87">
        <f>H33/10</f>
        <v>110</v>
      </c>
      <c r="J33" s="48">
        <f>H33/G33</f>
        <v>5.5E-2</v>
      </c>
      <c r="K33" s="48">
        <f>G33/H33</f>
        <v>18.181818181818183</v>
      </c>
      <c r="L33" s="43">
        <f>K33/K$2</f>
        <v>8.581818181818182</v>
      </c>
    </row>
    <row r="34" spans="1:13">
      <c r="A34" s="1" t="s">
        <v>54</v>
      </c>
      <c r="B34" s="26" t="s">
        <v>343</v>
      </c>
      <c r="C34" s="42"/>
      <c r="D34" s="66" t="s">
        <v>377</v>
      </c>
      <c r="E34" s="98">
        <v>3000</v>
      </c>
      <c r="F34" s="105">
        <v>640</v>
      </c>
      <c r="G34" s="46">
        <f>F34*150+E34</f>
        <v>99000</v>
      </c>
      <c r="H34" s="47">
        <v>5500</v>
      </c>
      <c r="I34" s="87">
        <f>H34/10</f>
        <v>550</v>
      </c>
      <c r="J34" s="48">
        <f>H34/G34</f>
        <v>5.5555555555555552E-2</v>
      </c>
      <c r="K34" s="48">
        <f>G34/H34</f>
        <v>18</v>
      </c>
      <c r="L34" s="43">
        <f>K34/K$2</f>
        <v>8.4959999999999987</v>
      </c>
    </row>
    <row r="35" spans="1:13">
      <c r="A35" s="1" t="s">
        <v>54</v>
      </c>
      <c r="B35" s="26" t="s">
        <v>344</v>
      </c>
      <c r="C35" s="42"/>
      <c r="D35" s="66" t="s">
        <v>377</v>
      </c>
      <c r="E35" s="98">
        <v>5000</v>
      </c>
      <c r="F35" s="105">
        <v>1290</v>
      </c>
      <c r="G35" s="46">
        <f>F35*150+E35</f>
        <v>198500</v>
      </c>
      <c r="H35" s="47">
        <v>11000</v>
      </c>
      <c r="I35" s="87">
        <f>H35/10</f>
        <v>1100</v>
      </c>
      <c r="J35" s="48">
        <f>H35/G35</f>
        <v>5.5415617128463476E-2</v>
      </c>
      <c r="K35" s="48">
        <f>G35/H35</f>
        <v>18.045454545454547</v>
      </c>
      <c r="L35" s="43">
        <f>K35/K$2</f>
        <v>8.5174545454545463</v>
      </c>
    </row>
    <row r="36" spans="1:13">
      <c r="A36" s="1" t="s">
        <v>54</v>
      </c>
      <c r="B36" s="26" t="s">
        <v>345</v>
      </c>
      <c r="C36" s="42"/>
      <c r="D36" s="66" t="s">
        <v>377</v>
      </c>
      <c r="E36" s="98">
        <v>10000</v>
      </c>
      <c r="F36" s="105">
        <v>3900</v>
      </c>
      <c r="G36" s="46">
        <f>F36*150+E36</f>
        <v>595000</v>
      </c>
      <c r="H36" s="47">
        <v>33000</v>
      </c>
      <c r="I36" s="87">
        <f>H36/10</f>
        <v>3300</v>
      </c>
      <c r="J36" s="48">
        <f>H36/G36</f>
        <v>5.5462184873949577E-2</v>
      </c>
      <c r="K36" s="48">
        <f>G36/H36</f>
        <v>18.030303030303031</v>
      </c>
      <c r="L36" s="43">
        <f>K36/K$2</f>
        <v>8.5103030303030298</v>
      </c>
    </row>
    <row r="37" spans="1:13">
      <c r="A37" s="1" t="s">
        <v>54</v>
      </c>
      <c r="B37" s="26" t="s">
        <v>346</v>
      </c>
      <c r="C37" s="42"/>
      <c r="D37" s="66" t="s">
        <v>377</v>
      </c>
      <c r="E37" s="98">
        <v>20000</v>
      </c>
      <c r="F37" s="105">
        <v>6500</v>
      </c>
      <c r="G37" s="46">
        <f>F37*150+E37</f>
        <v>995000</v>
      </c>
      <c r="H37" s="47">
        <v>55000</v>
      </c>
      <c r="I37" s="87">
        <f>H37/10</f>
        <v>5500</v>
      </c>
      <c r="J37" s="48">
        <f>H37/G37</f>
        <v>5.5276381909547742E-2</v>
      </c>
      <c r="K37" s="48">
        <f>G37/H37</f>
        <v>18.09090909090909</v>
      </c>
      <c r="L37" s="43">
        <f>K37/K$2</f>
        <v>8.5389090909090903</v>
      </c>
    </row>
    <row r="38" spans="1:13">
      <c r="F38" s="106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6" t="s">
        <v>447</v>
      </c>
      <c r="C39" s="42"/>
      <c r="D39" s="66" t="s">
        <v>378</v>
      </c>
      <c r="E39" s="98">
        <v>2000</v>
      </c>
      <c r="F39" s="105">
        <v>120</v>
      </c>
      <c r="G39" s="46">
        <f>F39*150+E39</f>
        <v>20000</v>
      </c>
      <c r="H39" s="47">
        <v>1100</v>
      </c>
      <c r="I39" s="87">
        <f>H39/10</f>
        <v>110</v>
      </c>
      <c r="J39" s="48">
        <f>H39/G39</f>
        <v>5.5E-2</v>
      </c>
      <c r="K39" s="48">
        <f>G39/H39</f>
        <v>18.181818181818183</v>
      </c>
      <c r="L39" s="43">
        <f>K39/K$2</f>
        <v>8.581818181818182</v>
      </c>
    </row>
    <row r="40" spans="1:13">
      <c r="A40" s="1" t="s">
        <v>54</v>
      </c>
      <c r="B40" s="26" t="s">
        <v>347</v>
      </c>
      <c r="C40" s="42"/>
      <c r="D40" s="66" t="s">
        <v>378</v>
      </c>
      <c r="E40" s="98">
        <v>3000</v>
      </c>
      <c r="F40" s="105">
        <v>640</v>
      </c>
      <c r="G40" s="46">
        <f>F40*150+E40</f>
        <v>99000</v>
      </c>
      <c r="H40" s="47">
        <v>5500</v>
      </c>
      <c r="I40" s="87">
        <f>H40/10</f>
        <v>550</v>
      </c>
      <c r="J40" s="48">
        <f>H40/G40</f>
        <v>5.5555555555555552E-2</v>
      </c>
      <c r="K40" s="48">
        <f>G40/H40</f>
        <v>18</v>
      </c>
      <c r="L40" s="43">
        <f>K40/K$2</f>
        <v>8.4959999999999987</v>
      </c>
    </row>
    <row r="41" spans="1:13">
      <c r="A41" s="1" t="s">
        <v>54</v>
      </c>
      <c r="B41" s="26" t="s">
        <v>348</v>
      </c>
      <c r="C41" s="42"/>
      <c r="D41" s="66" t="s">
        <v>378</v>
      </c>
      <c r="E41" s="98">
        <v>5000</v>
      </c>
      <c r="F41" s="105">
        <v>1290</v>
      </c>
      <c r="G41" s="46">
        <f>F41*150+E41</f>
        <v>198500</v>
      </c>
      <c r="H41" s="47">
        <v>11000</v>
      </c>
      <c r="I41" s="87">
        <f>H41/10</f>
        <v>1100</v>
      </c>
      <c r="J41" s="48">
        <f>H41/G41</f>
        <v>5.5415617128463476E-2</v>
      </c>
      <c r="K41" s="48">
        <f>G41/H41</f>
        <v>18.045454545454547</v>
      </c>
      <c r="L41" s="43">
        <f>K41/K$2</f>
        <v>8.5174545454545463</v>
      </c>
    </row>
    <row r="42" spans="1:13">
      <c r="A42" s="1" t="s">
        <v>54</v>
      </c>
      <c r="B42" s="26" t="s">
        <v>349</v>
      </c>
      <c r="C42" s="42"/>
      <c r="D42" s="66" t="s">
        <v>378</v>
      </c>
      <c r="E42" s="98">
        <v>10000</v>
      </c>
      <c r="F42" s="105">
        <v>3900</v>
      </c>
      <c r="G42" s="46">
        <f>F42*150+E42</f>
        <v>595000</v>
      </c>
      <c r="H42" s="47">
        <v>33000</v>
      </c>
      <c r="I42" s="87">
        <f>H42/10</f>
        <v>3300</v>
      </c>
      <c r="J42" s="48">
        <f>H42/G42</f>
        <v>5.5462184873949577E-2</v>
      </c>
      <c r="K42" s="48">
        <f>G42/H42</f>
        <v>18.030303030303031</v>
      </c>
      <c r="L42" s="43">
        <f>K42/K$2</f>
        <v>8.5103030303030298</v>
      </c>
    </row>
    <row r="43" spans="1:13">
      <c r="A43" s="1" t="s">
        <v>54</v>
      </c>
      <c r="B43" s="26" t="s">
        <v>350</v>
      </c>
      <c r="C43" s="42"/>
      <c r="D43" s="66" t="s">
        <v>378</v>
      </c>
      <c r="E43" s="98">
        <v>20000</v>
      </c>
      <c r="F43" s="105">
        <v>6500</v>
      </c>
      <c r="G43" s="46">
        <f>F43*150+E43</f>
        <v>995000</v>
      </c>
      <c r="H43" s="47">
        <v>55000</v>
      </c>
      <c r="I43" s="87">
        <f>H43/10</f>
        <v>5500</v>
      </c>
      <c r="J43" s="48">
        <f>H43/G43</f>
        <v>5.5276381909547742E-2</v>
      </c>
      <c r="K43" s="48">
        <f>G43/H43</f>
        <v>18.09090909090909</v>
      </c>
      <c r="L43" s="43">
        <f>K43/K$2</f>
        <v>8.5389090909090903</v>
      </c>
    </row>
    <row r="44" spans="1:13">
      <c r="A44" s="149"/>
      <c r="B44" s="149"/>
      <c r="C44" s="149"/>
      <c r="D44" s="149"/>
      <c r="E44" s="149"/>
      <c r="F44" s="149"/>
      <c r="G44" s="149"/>
      <c r="H44" s="149"/>
      <c r="I44" s="149"/>
      <c r="J44" s="149"/>
      <c r="K44" s="149"/>
      <c r="L44" s="149"/>
      <c r="M44" s="149"/>
    </row>
    <row r="45" spans="1:13">
      <c r="A45" s="1" t="s">
        <v>54</v>
      </c>
      <c r="B45" s="62" t="s">
        <v>351</v>
      </c>
      <c r="C45" s="67"/>
      <c r="D45" s="68" t="s">
        <v>328</v>
      </c>
      <c r="E45" s="98">
        <v>2000</v>
      </c>
      <c r="F45" s="107">
        <v>90</v>
      </c>
      <c r="G45" s="30">
        <f>F45*200+E45</f>
        <v>20000</v>
      </c>
      <c r="H45" s="31">
        <v>1100</v>
      </c>
      <c r="I45" s="88">
        <f>H45/10</f>
        <v>110</v>
      </c>
      <c r="J45" s="32">
        <f>H45/G45</f>
        <v>5.5E-2</v>
      </c>
      <c r="K45" s="32">
        <f>G45/H45</f>
        <v>18.181818181818183</v>
      </c>
      <c r="L45" s="78">
        <f>K45/K$2</f>
        <v>8.581818181818182</v>
      </c>
    </row>
    <row r="46" spans="1:13">
      <c r="A46" s="1" t="s">
        <v>54</v>
      </c>
      <c r="B46" s="62" t="s">
        <v>352</v>
      </c>
      <c r="C46" s="67"/>
      <c r="D46" s="68" t="s">
        <v>328</v>
      </c>
      <c r="E46" s="98">
        <v>3000</v>
      </c>
      <c r="F46" s="107">
        <v>480</v>
      </c>
      <c r="G46" s="30">
        <f>F46*200+E46</f>
        <v>99000</v>
      </c>
      <c r="H46" s="31">
        <v>5500</v>
      </c>
      <c r="I46" s="88">
        <f>H46/10</f>
        <v>550</v>
      </c>
      <c r="J46" s="32">
        <f>H46/G46</f>
        <v>5.5555555555555552E-2</v>
      </c>
      <c r="K46" s="32">
        <f>G46/H46</f>
        <v>18</v>
      </c>
      <c r="L46" s="78">
        <f>K46/K$2</f>
        <v>8.4959999999999987</v>
      </c>
    </row>
    <row r="47" spans="1:13">
      <c r="A47" s="1" t="s">
        <v>54</v>
      </c>
      <c r="B47" s="62" t="s">
        <v>353</v>
      </c>
      <c r="C47" s="67"/>
      <c r="D47" s="68" t="s">
        <v>328</v>
      </c>
      <c r="E47" s="98">
        <v>5000</v>
      </c>
      <c r="F47" s="107">
        <v>960</v>
      </c>
      <c r="G47" s="30">
        <f>F47*200+E47</f>
        <v>197000</v>
      </c>
      <c r="H47" s="31">
        <v>11000</v>
      </c>
      <c r="I47" s="88">
        <f>H47/10</f>
        <v>1100</v>
      </c>
      <c r="J47" s="32">
        <f>H47/G47</f>
        <v>5.5837563451776651E-2</v>
      </c>
      <c r="K47" s="32">
        <f>G47/H47</f>
        <v>17.90909090909091</v>
      </c>
      <c r="L47" s="78">
        <f>K47/K$2</f>
        <v>8.4530909090909088</v>
      </c>
    </row>
    <row r="48" spans="1:13">
      <c r="A48" s="1" t="s">
        <v>54</v>
      </c>
      <c r="B48" s="62" t="s">
        <v>354</v>
      </c>
      <c r="C48" s="67"/>
      <c r="D48" s="68" t="s">
        <v>328</v>
      </c>
      <c r="E48" s="98">
        <v>10000</v>
      </c>
      <c r="F48" s="107">
        <v>2930</v>
      </c>
      <c r="G48" s="30">
        <f>F48*200+E48</f>
        <v>596000</v>
      </c>
      <c r="H48" s="31">
        <v>33000</v>
      </c>
      <c r="I48" s="88">
        <f>H48/10</f>
        <v>3300</v>
      </c>
      <c r="J48" s="32">
        <f>H48/G48</f>
        <v>5.5369127516778527E-2</v>
      </c>
      <c r="K48" s="32">
        <f>G48/H48</f>
        <v>18.060606060606062</v>
      </c>
      <c r="L48" s="78">
        <f>K48/K$2</f>
        <v>8.524606060606061</v>
      </c>
    </row>
    <row r="49" spans="1:12">
      <c r="A49" s="1" t="s">
        <v>54</v>
      </c>
      <c r="B49" s="62" t="s">
        <v>355</v>
      </c>
      <c r="C49" s="67"/>
      <c r="D49" s="68" t="s">
        <v>328</v>
      </c>
      <c r="E49" s="98">
        <v>20000</v>
      </c>
      <c r="F49" s="107">
        <v>4900</v>
      </c>
      <c r="G49" s="30">
        <f>F49*200+E49</f>
        <v>1000000</v>
      </c>
      <c r="H49" s="31">
        <v>55000</v>
      </c>
      <c r="I49" s="88">
        <f>H49/10</f>
        <v>5500</v>
      </c>
      <c r="J49" s="32">
        <f>H49/G49</f>
        <v>5.5E-2</v>
      </c>
      <c r="K49" s="32">
        <f>G49/H49</f>
        <v>18.181818181818183</v>
      </c>
      <c r="L49" s="78">
        <f>K49/K$2</f>
        <v>8.581818181818182</v>
      </c>
    </row>
    <row r="50" spans="1:12">
      <c r="B50" s="21"/>
      <c r="C50" s="10"/>
      <c r="F50" s="102"/>
      <c r="G50" s="25"/>
    </row>
    <row r="51" spans="1:12">
      <c r="H51" s="9"/>
      <c r="I51" s="9"/>
      <c r="J51" s="6"/>
      <c r="K51" s="6"/>
    </row>
    <row r="52" spans="1:12" s="53" customFormat="1">
      <c r="B52" s="54" t="s">
        <v>445</v>
      </c>
      <c r="C52" s="55"/>
      <c r="E52" s="103"/>
      <c r="F52" s="104"/>
      <c r="G52" s="19"/>
      <c r="L52" s="44"/>
    </row>
    <row r="53" spans="1:12">
      <c r="A53" s="1" t="s">
        <v>56</v>
      </c>
      <c r="B53" s="26" t="s">
        <v>380</v>
      </c>
      <c r="C53" s="42"/>
      <c r="D53" s="26" t="s">
        <v>239</v>
      </c>
      <c r="E53" s="123">
        <v>1000</v>
      </c>
      <c r="F53" s="105"/>
      <c r="G53" s="46">
        <f>F53+E53</f>
        <v>1000</v>
      </c>
      <c r="H53" s="47"/>
      <c r="I53" s="47"/>
      <c r="J53" s="48"/>
      <c r="K53" s="48"/>
    </row>
    <row r="54" spans="1:12">
      <c r="A54" s="1" t="s">
        <v>56</v>
      </c>
      <c r="B54" s="56" t="s">
        <v>381</v>
      </c>
      <c r="C54" s="75"/>
      <c r="D54" s="57" t="s">
        <v>326</v>
      </c>
      <c r="E54" s="109">
        <v>4500</v>
      </c>
      <c r="F54" s="115">
        <v>120</v>
      </c>
      <c r="G54" s="58">
        <f>100*F54+E54</f>
        <v>16500</v>
      </c>
      <c r="H54" s="59">
        <v>1100</v>
      </c>
      <c r="I54" s="90">
        <f>H54/10</f>
        <v>110</v>
      </c>
      <c r="J54" s="60">
        <f t="shared" ref="J54:J70" si="12">H54/G54</f>
        <v>6.6666666666666666E-2</v>
      </c>
      <c r="K54" s="60">
        <f t="shared" ref="K54:K70" si="13">G54/H54</f>
        <v>15</v>
      </c>
      <c r="L54" s="43">
        <f t="shared" ref="L54:L69" si="14">K54/K$2</f>
        <v>7.0799999999999992</v>
      </c>
    </row>
    <row r="55" spans="1:12">
      <c r="A55" s="1" t="s">
        <v>56</v>
      </c>
      <c r="B55" s="56" t="s">
        <v>382</v>
      </c>
      <c r="C55" s="75"/>
      <c r="D55" s="57" t="s">
        <v>326</v>
      </c>
      <c r="E55" s="109">
        <v>10000</v>
      </c>
      <c r="F55" s="115">
        <v>720</v>
      </c>
      <c r="G55" s="58">
        <f t="shared" ref="G55:G56" si="15">100*F55+E55</f>
        <v>82000</v>
      </c>
      <c r="H55" s="59">
        <v>5500</v>
      </c>
      <c r="I55" s="90">
        <f t="shared" ref="I55:I70" si="16">H55/10</f>
        <v>550</v>
      </c>
      <c r="J55" s="60">
        <f t="shared" si="12"/>
        <v>6.7073170731707321E-2</v>
      </c>
      <c r="K55" s="60">
        <f t="shared" si="13"/>
        <v>14.909090909090908</v>
      </c>
      <c r="L55" s="43">
        <f t="shared" ref="L55:L56" si="17">K55/K$2</f>
        <v>7.0370909090909084</v>
      </c>
    </row>
    <row r="56" spans="1:12">
      <c r="A56" s="1" t="s">
        <v>56</v>
      </c>
      <c r="B56" s="56" t="s">
        <v>383</v>
      </c>
      <c r="C56" s="75"/>
      <c r="D56" s="57" t="s">
        <v>326</v>
      </c>
      <c r="E56" s="109">
        <v>15000</v>
      </c>
      <c r="F56" s="115">
        <v>1500</v>
      </c>
      <c r="G56" s="58">
        <f t="shared" si="15"/>
        <v>165000</v>
      </c>
      <c r="H56" s="59">
        <v>11000</v>
      </c>
      <c r="I56" s="90">
        <f t="shared" si="16"/>
        <v>1100</v>
      </c>
      <c r="J56" s="60">
        <f t="shared" si="12"/>
        <v>6.6666666666666666E-2</v>
      </c>
      <c r="K56" s="60">
        <f t="shared" si="13"/>
        <v>15</v>
      </c>
      <c r="L56" s="43">
        <f t="shared" si="17"/>
        <v>7.0799999999999992</v>
      </c>
    </row>
    <row r="57" spans="1:12">
      <c r="A57" s="1" t="s">
        <v>56</v>
      </c>
      <c r="B57" s="45" t="s">
        <v>384</v>
      </c>
      <c r="C57" s="74"/>
      <c r="D57" s="26" t="s">
        <v>327</v>
      </c>
      <c r="E57" s="123">
        <v>4500</v>
      </c>
      <c r="F57" s="107">
        <v>80</v>
      </c>
      <c r="G57" s="46">
        <f>150*F57+E57</f>
        <v>16500</v>
      </c>
      <c r="H57" s="47">
        <v>1100</v>
      </c>
      <c r="I57" s="87">
        <f t="shared" si="16"/>
        <v>110</v>
      </c>
      <c r="J57" s="48">
        <f t="shared" si="12"/>
        <v>6.6666666666666666E-2</v>
      </c>
      <c r="K57" s="48">
        <f t="shared" si="13"/>
        <v>15</v>
      </c>
      <c r="L57" s="43">
        <f t="shared" ref="L57" si="18">K57/K$2</f>
        <v>7.0799999999999992</v>
      </c>
    </row>
    <row r="58" spans="1:12">
      <c r="A58" s="1" t="s">
        <v>56</v>
      </c>
      <c r="B58" s="45" t="s">
        <v>385</v>
      </c>
      <c r="C58" s="74"/>
      <c r="D58" s="26" t="s">
        <v>327</v>
      </c>
      <c r="E58" s="123">
        <v>10000</v>
      </c>
      <c r="F58" s="107">
        <v>480</v>
      </c>
      <c r="G58" s="46">
        <f t="shared" ref="G58:G59" si="19">150*F58+E58</f>
        <v>82000</v>
      </c>
      <c r="H58" s="47">
        <v>5500</v>
      </c>
      <c r="I58" s="87">
        <f t="shared" si="16"/>
        <v>550</v>
      </c>
      <c r="J58" s="48">
        <f t="shared" si="12"/>
        <v>6.7073170731707321E-2</v>
      </c>
      <c r="K58" s="48">
        <f t="shared" si="13"/>
        <v>14.909090909090908</v>
      </c>
      <c r="L58" s="43">
        <f t="shared" ref="L58:L59" si="20">K58/K$2</f>
        <v>7.0370909090909084</v>
      </c>
    </row>
    <row r="59" spans="1:12">
      <c r="A59" s="1" t="s">
        <v>56</v>
      </c>
      <c r="B59" s="45" t="s">
        <v>386</v>
      </c>
      <c r="C59" s="74"/>
      <c r="D59" s="26" t="s">
        <v>327</v>
      </c>
      <c r="E59" s="123">
        <v>15000</v>
      </c>
      <c r="F59" s="107">
        <v>1000</v>
      </c>
      <c r="G59" s="46">
        <f t="shared" si="19"/>
        <v>165000</v>
      </c>
      <c r="H59" s="47">
        <v>11000</v>
      </c>
      <c r="I59" s="87">
        <f>H59/10</f>
        <v>1100</v>
      </c>
      <c r="J59" s="48">
        <f t="shared" si="12"/>
        <v>6.6666666666666666E-2</v>
      </c>
      <c r="K59" s="48">
        <f t="shared" si="13"/>
        <v>15</v>
      </c>
      <c r="L59" s="43">
        <f t="shared" si="20"/>
        <v>7.0799999999999992</v>
      </c>
    </row>
    <row r="60" spans="1:12">
      <c r="A60" s="1" t="s">
        <v>56</v>
      </c>
      <c r="B60" s="56" t="s">
        <v>387</v>
      </c>
      <c r="C60" s="76"/>
      <c r="D60" s="57" t="s">
        <v>328</v>
      </c>
      <c r="E60" s="109">
        <v>4500</v>
      </c>
      <c r="F60" s="115">
        <v>60</v>
      </c>
      <c r="G60" s="58">
        <f>200*F60+E60</f>
        <v>16500</v>
      </c>
      <c r="H60" s="59">
        <v>1100</v>
      </c>
      <c r="I60" s="90">
        <f t="shared" si="16"/>
        <v>110</v>
      </c>
      <c r="J60" s="60">
        <f t="shared" si="12"/>
        <v>6.6666666666666666E-2</v>
      </c>
      <c r="K60" s="60">
        <f t="shared" si="13"/>
        <v>15</v>
      </c>
      <c r="L60" s="43">
        <f t="shared" ref="L60" si="21">K60/K$2</f>
        <v>7.0799999999999992</v>
      </c>
    </row>
    <row r="61" spans="1:12">
      <c r="A61" s="1" t="s">
        <v>56</v>
      </c>
      <c r="B61" s="56" t="s">
        <v>388</v>
      </c>
      <c r="C61" s="76"/>
      <c r="D61" s="57" t="s">
        <v>328</v>
      </c>
      <c r="E61" s="109">
        <v>10000</v>
      </c>
      <c r="F61" s="115">
        <v>360</v>
      </c>
      <c r="G61" s="58">
        <f t="shared" ref="G61:G62" si="22">200*F61+E61</f>
        <v>82000</v>
      </c>
      <c r="H61" s="59">
        <v>5500</v>
      </c>
      <c r="I61" s="90">
        <f t="shared" si="16"/>
        <v>550</v>
      </c>
      <c r="J61" s="60">
        <f t="shared" si="12"/>
        <v>6.7073170731707321E-2</v>
      </c>
      <c r="K61" s="60">
        <f t="shared" si="13"/>
        <v>14.909090909090908</v>
      </c>
      <c r="L61" s="43">
        <f t="shared" ref="L61:L62" si="23">K61/K$2</f>
        <v>7.0370909090909084</v>
      </c>
    </row>
    <row r="62" spans="1:12">
      <c r="A62" s="1" t="s">
        <v>56</v>
      </c>
      <c r="B62" s="56" t="s">
        <v>389</v>
      </c>
      <c r="C62" s="76"/>
      <c r="D62" s="57" t="s">
        <v>328</v>
      </c>
      <c r="E62" s="109">
        <v>15000</v>
      </c>
      <c r="F62" s="115">
        <v>750</v>
      </c>
      <c r="G62" s="58">
        <f t="shared" si="22"/>
        <v>165000</v>
      </c>
      <c r="H62" s="59">
        <v>11000</v>
      </c>
      <c r="I62" s="90">
        <f t="shared" si="16"/>
        <v>1100</v>
      </c>
      <c r="J62" s="60">
        <f t="shared" si="12"/>
        <v>6.6666666666666666E-2</v>
      </c>
      <c r="K62" s="60">
        <f t="shared" si="13"/>
        <v>15</v>
      </c>
      <c r="L62" s="43">
        <f t="shared" si="23"/>
        <v>7.0799999999999992</v>
      </c>
    </row>
    <row r="63" spans="1:12">
      <c r="A63" s="1" t="s">
        <v>56</v>
      </c>
      <c r="B63" s="45" t="s">
        <v>390</v>
      </c>
      <c r="C63" s="74"/>
      <c r="D63" s="26" t="s">
        <v>329</v>
      </c>
      <c r="E63" s="123">
        <v>5000</v>
      </c>
      <c r="F63" s="107">
        <v>34000</v>
      </c>
      <c r="G63" s="46">
        <f>(F63/7500*2500)+E63</f>
        <v>16333.333333333334</v>
      </c>
      <c r="H63" s="47">
        <v>1100</v>
      </c>
      <c r="I63" s="87">
        <f t="shared" si="16"/>
        <v>110</v>
      </c>
      <c r="J63" s="48">
        <f t="shared" si="12"/>
        <v>6.7346938775510207E-2</v>
      </c>
      <c r="K63" s="48">
        <f t="shared" si="13"/>
        <v>14.84848484848485</v>
      </c>
      <c r="L63" s="43">
        <f t="shared" si="14"/>
        <v>7.0084848484848488</v>
      </c>
    </row>
    <row r="64" spans="1:12">
      <c r="A64" s="1" t="s">
        <v>56</v>
      </c>
      <c r="B64" s="45" t="s">
        <v>391</v>
      </c>
      <c r="C64" s="74"/>
      <c r="D64" s="26" t="s">
        <v>329</v>
      </c>
      <c r="E64" s="123">
        <v>10000</v>
      </c>
      <c r="F64" s="107">
        <v>215000</v>
      </c>
      <c r="G64" s="46">
        <f t="shared" ref="G64:G65" si="24">(F64/7500*2500)+E64</f>
        <v>81666.666666666672</v>
      </c>
      <c r="H64" s="47">
        <v>5500</v>
      </c>
      <c r="I64" s="87">
        <f>H64/10</f>
        <v>550</v>
      </c>
      <c r="J64" s="48">
        <f t="shared" si="12"/>
        <v>6.7346938775510207E-2</v>
      </c>
      <c r="K64" s="48">
        <f t="shared" si="13"/>
        <v>14.84848484848485</v>
      </c>
      <c r="L64" s="43">
        <f t="shared" ref="L64" si="25">K64/K$2</f>
        <v>7.0084848484848488</v>
      </c>
    </row>
    <row r="65" spans="1:12">
      <c r="A65" s="1" t="s">
        <v>56</v>
      </c>
      <c r="B65" s="45" t="s">
        <v>392</v>
      </c>
      <c r="C65" s="74"/>
      <c r="D65" s="26" t="s">
        <v>329</v>
      </c>
      <c r="E65" s="123">
        <v>30000</v>
      </c>
      <c r="F65" s="107">
        <v>400000</v>
      </c>
      <c r="G65" s="46">
        <f t="shared" si="24"/>
        <v>163333.33333333334</v>
      </c>
      <c r="H65" s="47">
        <v>11000</v>
      </c>
      <c r="I65" s="87">
        <f t="shared" si="16"/>
        <v>1100</v>
      </c>
      <c r="J65" s="48">
        <f t="shared" si="12"/>
        <v>6.7346938775510207E-2</v>
      </c>
      <c r="K65" s="48">
        <f t="shared" si="13"/>
        <v>14.84848484848485</v>
      </c>
      <c r="L65" s="43">
        <f t="shared" ref="L65" si="26">K65/K$2</f>
        <v>7.0084848484848488</v>
      </c>
    </row>
    <row r="66" spans="1:12">
      <c r="A66" s="1" t="s">
        <v>56</v>
      </c>
      <c r="B66" s="56" t="s">
        <v>393</v>
      </c>
      <c r="C66" s="76"/>
      <c r="D66" s="57" t="s">
        <v>330</v>
      </c>
      <c r="E66" s="109">
        <v>5000</v>
      </c>
      <c r="F66" s="112">
        <v>46000</v>
      </c>
      <c r="G66" s="58">
        <f>(F66/10000*2500)+E66</f>
        <v>16500</v>
      </c>
      <c r="H66" s="59">
        <v>1100</v>
      </c>
      <c r="I66" s="90">
        <f t="shared" si="16"/>
        <v>110</v>
      </c>
      <c r="J66" s="60">
        <f t="shared" si="12"/>
        <v>6.6666666666666666E-2</v>
      </c>
      <c r="K66" s="60">
        <f t="shared" si="13"/>
        <v>15</v>
      </c>
      <c r="L66" s="43">
        <f t="shared" ref="L66" si="27">K66/K$2</f>
        <v>7.0799999999999992</v>
      </c>
    </row>
    <row r="67" spans="1:12">
      <c r="A67" s="1" t="s">
        <v>56</v>
      </c>
      <c r="B67" s="56" t="s">
        <v>394</v>
      </c>
      <c r="C67" s="76"/>
      <c r="D67" s="57" t="s">
        <v>330</v>
      </c>
      <c r="E67" s="109">
        <v>10000</v>
      </c>
      <c r="F67" s="112">
        <v>290000</v>
      </c>
      <c r="G67" s="58">
        <f t="shared" ref="G67:G68" si="28">(F67/10000*2500)+E67</f>
        <v>82500</v>
      </c>
      <c r="H67" s="59">
        <v>5500</v>
      </c>
      <c r="I67" s="90">
        <f t="shared" si="16"/>
        <v>550</v>
      </c>
      <c r="J67" s="60">
        <f t="shared" si="12"/>
        <v>6.6666666666666666E-2</v>
      </c>
      <c r="K67" s="60">
        <f t="shared" si="13"/>
        <v>15</v>
      </c>
      <c r="L67" s="43">
        <f t="shared" ref="L67" si="29">K67/K$2</f>
        <v>7.0799999999999992</v>
      </c>
    </row>
    <row r="68" spans="1:12">
      <c r="A68" s="1" t="s">
        <v>56</v>
      </c>
      <c r="B68" s="56" t="s">
        <v>395</v>
      </c>
      <c r="C68" s="76"/>
      <c r="D68" s="57" t="s">
        <v>330</v>
      </c>
      <c r="E68" s="109">
        <v>30000</v>
      </c>
      <c r="F68" s="112">
        <v>540000</v>
      </c>
      <c r="G68" s="58">
        <f t="shared" si="28"/>
        <v>165000</v>
      </c>
      <c r="H68" s="59">
        <v>11000</v>
      </c>
      <c r="I68" s="90">
        <f t="shared" si="16"/>
        <v>1100</v>
      </c>
      <c r="J68" s="60">
        <f t="shared" si="12"/>
        <v>6.6666666666666666E-2</v>
      </c>
      <c r="K68" s="60">
        <f t="shared" si="13"/>
        <v>15</v>
      </c>
      <c r="L68" s="43">
        <f>K68/K$2</f>
        <v>7.0799999999999992</v>
      </c>
    </row>
    <row r="69" spans="1:12">
      <c r="A69" s="1" t="s">
        <v>56</v>
      </c>
      <c r="B69" s="26" t="s">
        <v>396</v>
      </c>
      <c r="C69" s="42"/>
      <c r="D69" s="52" t="s">
        <v>53</v>
      </c>
      <c r="E69" s="110"/>
      <c r="F69" s="105">
        <v>1</v>
      </c>
      <c r="G69" s="46">
        <f>3*10000*F69</f>
        <v>30000</v>
      </c>
      <c r="H69" s="47">
        <v>1100</v>
      </c>
      <c r="I69" s="87">
        <f t="shared" si="16"/>
        <v>110</v>
      </c>
      <c r="J69" s="48">
        <f t="shared" si="12"/>
        <v>3.6666666666666667E-2</v>
      </c>
      <c r="K69" s="48">
        <f t="shared" si="13"/>
        <v>27.272727272727273</v>
      </c>
      <c r="L69" s="43">
        <f t="shared" si="14"/>
        <v>12.872727272727273</v>
      </c>
    </row>
    <row r="70" spans="1:12">
      <c r="A70" s="1" t="s">
        <v>56</v>
      </c>
      <c r="B70" s="57" t="s">
        <v>397</v>
      </c>
      <c r="C70" s="77"/>
      <c r="D70" s="61" t="s">
        <v>240</v>
      </c>
      <c r="E70" s="111"/>
      <c r="F70" s="112">
        <v>1</v>
      </c>
      <c r="G70" s="58">
        <f>2*10000*F70</f>
        <v>20000</v>
      </c>
      <c r="H70" s="59">
        <v>1100</v>
      </c>
      <c r="I70" s="90">
        <f t="shared" si="16"/>
        <v>110</v>
      </c>
      <c r="J70" s="60">
        <f t="shared" si="12"/>
        <v>5.5E-2</v>
      </c>
      <c r="K70" s="60">
        <f t="shared" si="13"/>
        <v>18.181818181818183</v>
      </c>
      <c r="L70" s="43">
        <f t="shared" ref="L70" si="30">K70/K$2</f>
        <v>8.581818181818182</v>
      </c>
    </row>
    <row r="71" spans="1:12">
      <c r="A71" s="1" t="s">
        <v>56</v>
      </c>
      <c r="B71" s="69" t="s">
        <v>402</v>
      </c>
      <c r="C71" s="71"/>
      <c r="D71" s="69" t="s">
        <v>48</v>
      </c>
      <c r="E71" s="109"/>
      <c r="F71" s="108">
        <v>16500</v>
      </c>
      <c r="G71" s="70">
        <f>F71</f>
        <v>16500</v>
      </c>
      <c r="H71" s="72">
        <v>1100</v>
      </c>
      <c r="I71" s="89">
        <f>H71/10</f>
        <v>110</v>
      </c>
      <c r="J71" s="73">
        <f t="shared" ref="J71:J73" si="31">H71/G71</f>
        <v>6.6666666666666666E-2</v>
      </c>
      <c r="K71" s="73">
        <f t="shared" ref="K71:K73" si="32">G71/H71</f>
        <v>15</v>
      </c>
      <c r="L71" s="43">
        <f>K71/K$2</f>
        <v>7.0799999999999992</v>
      </c>
    </row>
    <row r="72" spans="1:12">
      <c r="A72" s="1" t="s">
        <v>56</v>
      </c>
      <c r="B72" s="69" t="s">
        <v>403</v>
      </c>
      <c r="C72" s="71"/>
      <c r="D72" s="69" t="s">
        <v>48</v>
      </c>
      <c r="E72" s="109"/>
      <c r="F72" s="108">
        <v>82000</v>
      </c>
      <c r="G72" s="70">
        <f>F72</f>
        <v>82000</v>
      </c>
      <c r="H72" s="72">
        <v>5500</v>
      </c>
      <c r="I72" s="89">
        <f>H72/10</f>
        <v>550</v>
      </c>
      <c r="J72" s="73">
        <f t="shared" si="31"/>
        <v>6.7073170731707321E-2</v>
      </c>
      <c r="K72" s="73">
        <f t="shared" si="32"/>
        <v>14.909090909090908</v>
      </c>
      <c r="L72" s="43">
        <f>K72/K$2</f>
        <v>7.0370909090909084</v>
      </c>
    </row>
    <row r="73" spans="1:12">
      <c r="A73" s="1" t="s">
        <v>56</v>
      </c>
      <c r="B73" s="69" t="s">
        <v>404</v>
      </c>
      <c r="C73" s="71"/>
      <c r="D73" s="69" t="s">
        <v>48</v>
      </c>
      <c r="E73" s="109"/>
      <c r="F73" s="108">
        <v>165000</v>
      </c>
      <c r="G73" s="70">
        <f>F73</f>
        <v>165000</v>
      </c>
      <c r="H73" s="72">
        <v>11000</v>
      </c>
      <c r="I73" s="89">
        <f>H73/10</f>
        <v>1100</v>
      </c>
      <c r="J73" s="73">
        <f t="shared" si="31"/>
        <v>6.6666666666666666E-2</v>
      </c>
      <c r="K73" s="73">
        <f t="shared" si="32"/>
        <v>15</v>
      </c>
      <c r="L73" s="43">
        <f>K73/K$2</f>
        <v>7.0799999999999992</v>
      </c>
    </row>
    <row r="74" spans="1:12">
      <c r="D74" s="7"/>
      <c r="E74" s="64"/>
      <c r="H74" s="147">
        <f>SUM(H54:H73)</f>
        <v>107800</v>
      </c>
      <c r="I74" s="91"/>
      <c r="J74" s="6"/>
      <c r="K74" s="6"/>
    </row>
    <row r="75" spans="1:12">
      <c r="A75" s="1" t="s">
        <v>57</v>
      </c>
      <c r="B75" s="26" t="s">
        <v>401</v>
      </c>
      <c r="C75" s="42"/>
      <c r="D75" s="26" t="s">
        <v>48</v>
      </c>
      <c r="E75" s="123">
        <v>3000</v>
      </c>
      <c r="F75" s="105"/>
      <c r="G75" s="46"/>
      <c r="H75" s="26"/>
      <c r="I75" s="26"/>
      <c r="J75" s="26"/>
      <c r="K75" s="26"/>
    </row>
    <row r="76" spans="1:12">
      <c r="A76" s="1" t="s">
        <v>57</v>
      </c>
      <c r="B76" s="56" t="s">
        <v>381</v>
      </c>
      <c r="C76" s="75"/>
      <c r="D76" s="57" t="s">
        <v>326</v>
      </c>
      <c r="E76" s="109">
        <v>10000</v>
      </c>
      <c r="F76" s="115">
        <v>1540</v>
      </c>
      <c r="G76" s="58">
        <f>100*F76+E76</f>
        <v>164000</v>
      </c>
      <c r="H76" s="59">
        <v>11000</v>
      </c>
      <c r="I76" s="90">
        <f t="shared" ref="I76:I100" si="33">H76/10</f>
        <v>1100</v>
      </c>
      <c r="J76" s="60">
        <f t="shared" ref="J76:J100" si="34">H76/G76</f>
        <v>6.7073170731707321E-2</v>
      </c>
      <c r="K76" s="60">
        <f t="shared" ref="K76:K100" si="35">G76/H76</f>
        <v>14.909090909090908</v>
      </c>
      <c r="L76" s="43">
        <f>K76/K$2</f>
        <v>7.0370909090909084</v>
      </c>
    </row>
    <row r="77" spans="1:12">
      <c r="A77" s="1" t="s">
        <v>57</v>
      </c>
      <c r="B77" s="56" t="s">
        <v>382</v>
      </c>
      <c r="C77" s="75"/>
      <c r="D77" s="57" t="s">
        <v>326</v>
      </c>
      <c r="E77" s="109">
        <v>30000</v>
      </c>
      <c r="F77" s="115">
        <v>4600</v>
      </c>
      <c r="G77" s="58">
        <f t="shared" ref="G77:G78" si="36">100*F77+E77</f>
        <v>490000</v>
      </c>
      <c r="H77" s="59">
        <v>33000</v>
      </c>
      <c r="I77" s="90">
        <f t="shared" si="33"/>
        <v>3300</v>
      </c>
      <c r="J77" s="60">
        <f t="shared" si="34"/>
        <v>6.7346938775510207E-2</v>
      </c>
      <c r="K77" s="60">
        <f t="shared" si="35"/>
        <v>14.848484848484848</v>
      </c>
      <c r="L77" s="43">
        <f t="shared" ref="L77:L78" si="37">K77/K$2</f>
        <v>7.0084848484848479</v>
      </c>
    </row>
    <row r="78" spans="1:12">
      <c r="A78" s="1" t="s">
        <v>57</v>
      </c>
      <c r="B78" s="56" t="s">
        <v>383</v>
      </c>
      <c r="C78" s="75"/>
      <c r="D78" s="57" t="s">
        <v>326</v>
      </c>
      <c r="E78" s="109">
        <v>50000</v>
      </c>
      <c r="F78" s="115">
        <v>7700</v>
      </c>
      <c r="G78" s="58">
        <f t="shared" si="36"/>
        <v>820000</v>
      </c>
      <c r="H78" s="59">
        <v>55000</v>
      </c>
      <c r="I78" s="90">
        <f t="shared" si="33"/>
        <v>5500</v>
      </c>
      <c r="J78" s="60">
        <f t="shared" si="34"/>
        <v>6.7073170731707321E-2</v>
      </c>
      <c r="K78" s="60">
        <f t="shared" si="35"/>
        <v>14.909090909090908</v>
      </c>
      <c r="L78" s="43">
        <f t="shared" si="37"/>
        <v>7.0370909090909084</v>
      </c>
    </row>
    <row r="79" spans="1:12">
      <c r="A79" s="1" t="s">
        <v>57</v>
      </c>
      <c r="B79" s="45" t="s">
        <v>384</v>
      </c>
      <c r="C79" s="74"/>
      <c r="D79" s="26" t="s">
        <v>327</v>
      </c>
      <c r="E79" s="123">
        <v>10000</v>
      </c>
      <c r="F79" s="107">
        <v>1020</v>
      </c>
      <c r="G79" s="46">
        <f>150*F79+E79</f>
        <v>163000</v>
      </c>
      <c r="H79" s="47">
        <v>11000</v>
      </c>
      <c r="I79" s="87">
        <f t="shared" si="33"/>
        <v>1100</v>
      </c>
      <c r="J79" s="48">
        <f t="shared" si="34"/>
        <v>6.7484662576687116E-2</v>
      </c>
      <c r="K79" s="48">
        <f t="shared" si="35"/>
        <v>14.818181818181818</v>
      </c>
      <c r="L79" s="43">
        <f>K79/K$2</f>
        <v>6.9941818181818176</v>
      </c>
    </row>
    <row r="80" spans="1:12">
      <c r="A80" s="1" t="s">
        <v>57</v>
      </c>
      <c r="B80" s="45" t="s">
        <v>385</v>
      </c>
      <c r="C80" s="74"/>
      <c r="D80" s="26" t="s">
        <v>327</v>
      </c>
      <c r="E80" s="123">
        <v>30000</v>
      </c>
      <c r="F80" s="107">
        <v>3100</v>
      </c>
      <c r="G80" s="46">
        <f t="shared" ref="G80:G81" si="38">150*F80+E80</f>
        <v>495000</v>
      </c>
      <c r="H80" s="47">
        <v>33000</v>
      </c>
      <c r="I80" s="87">
        <f t="shared" si="33"/>
        <v>3300</v>
      </c>
      <c r="J80" s="48">
        <f t="shared" si="34"/>
        <v>6.6666666666666666E-2</v>
      </c>
      <c r="K80" s="48">
        <f t="shared" si="35"/>
        <v>15</v>
      </c>
      <c r="L80" s="43">
        <f t="shared" ref="L80:L81" si="39">K80/K$2</f>
        <v>7.0799999999999992</v>
      </c>
    </row>
    <row r="81" spans="1:12">
      <c r="A81" s="1" t="s">
        <v>57</v>
      </c>
      <c r="B81" s="45" t="s">
        <v>386</v>
      </c>
      <c r="C81" s="74"/>
      <c r="D81" s="26" t="s">
        <v>327</v>
      </c>
      <c r="E81" s="123">
        <v>50000</v>
      </c>
      <c r="F81" s="107">
        <v>5120</v>
      </c>
      <c r="G81" s="46">
        <f t="shared" si="38"/>
        <v>818000</v>
      </c>
      <c r="H81" s="47">
        <v>55000</v>
      </c>
      <c r="I81" s="87">
        <f t="shared" si="33"/>
        <v>5500</v>
      </c>
      <c r="J81" s="48">
        <f t="shared" si="34"/>
        <v>6.7237163814180934E-2</v>
      </c>
      <c r="K81" s="48">
        <f t="shared" si="35"/>
        <v>14.872727272727273</v>
      </c>
      <c r="L81" s="43">
        <f t="shared" si="39"/>
        <v>7.0199272727272728</v>
      </c>
    </row>
    <row r="82" spans="1:12">
      <c r="A82" s="1" t="s">
        <v>57</v>
      </c>
      <c r="B82" s="56" t="s">
        <v>387</v>
      </c>
      <c r="C82" s="76"/>
      <c r="D82" s="57" t="s">
        <v>328</v>
      </c>
      <c r="E82" s="109">
        <v>10000</v>
      </c>
      <c r="F82" s="115">
        <v>770</v>
      </c>
      <c r="G82" s="58">
        <f>200*F82+E82</f>
        <v>164000</v>
      </c>
      <c r="H82" s="59">
        <v>11000</v>
      </c>
      <c r="I82" s="90">
        <f t="shared" si="33"/>
        <v>1100</v>
      </c>
      <c r="J82" s="60">
        <f t="shared" si="34"/>
        <v>6.7073170731707321E-2</v>
      </c>
      <c r="K82" s="60">
        <f t="shared" si="35"/>
        <v>14.909090909090908</v>
      </c>
      <c r="L82" s="43">
        <f>K82/K$2</f>
        <v>7.0370909090909084</v>
      </c>
    </row>
    <row r="83" spans="1:12">
      <c r="A83" s="1" t="s">
        <v>57</v>
      </c>
      <c r="B83" s="56" t="s">
        <v>388</v>
      </c>
      <c r="C83" s="76"/>
      <c r="D83" s="57" t="s">
        <v>328</v>
      </c>
      <c r="E83" s="109">
        <v>30000</v>
      </c>
      <c r="F83" s="115">
        <v>2300</v>
      </c>
      <c r="G83" s="58">
        <f t="shared" ref="G83:G84" si="40">200*F83+E83</f>
        <v>490000</v>
      </c>
      <c r="H83" s="59">
        <v>33000</v>
      </c>
      <c r="I83" s="90">
        <f t="shared" si="33"/>
        <v>3300</v>
      </c>
      <c r="J83" s="60">
        <f t="shared" si="34"/>
        <v>6.7346938775510207E-2</v>
      </c>
      <c r="K83" s="60">
        <f t="shared" si="35"/>
        <v>14.848484848484848</v>
      </c>
      <c r="L83" s="43">
        <f t="shared" ref="L83:L84" si="41">K83/K$2</f>
        <v>7.0084848484848479</v>
      </c>
    </row>
    <row r="84" spans="1:12">
      <c r="A84" s="1" t="s">
        <v>57</v>
      </c>
      <c r="B84" s="56" t="s">
        <v>389</v>
      </c>
      <c r="C84" s="76"/>
      <c r="D84" s="57" t="s">
        <v>328</v>
      </c>
      <c r="E84" s="109">
        <v>50000</v>
      </c>
      <c r="F84" s="115">
        <v>3850</v>
      </c>
      <c r="G84" s="58">
        <f t="shared" si="40"/>
        <v>820000</v>
      </c>
      <c r="H84" s="59">
        <v>55000</v>
      </c>
      <c r="I84" s="90">
        <f t="shared" si="33"/>
        <v>5500</v>
      </c>
      <c r="J84" s="60">
        <f t="shared" si="34"/>
        <v>6.7073170731707321E-2</v>
      </c>
      <c r="K84" s="60">
        <f t="shared" si="35"/>
        <v>14.909090909090908</v>
      </c>
      <c r="L84" s="43">
        <f t="shared" si="41"/>
        <v>7.0370909090909084</v>
      </c>
    </row>
    <row r="85" spans="1:12">
      <c r="A85" s="1" t="s">
        <v>57</v>
      </c>
      <c r="B85" s="45" t="s">
        <v>390</v>
      </c>
      <c r="C85" s="74"/>
      <c r="D85" s="26" t="s">
        <v>329</v>
      </c>
      <c r="E85" s="123">
        <v>10000</v>
      </c>
      <c r="F85" s="107">
        <v>460000</v>
      </c>
      <c r="G85" s="46">
        <f>(F85/7500*2500)+E85</f>
        <v>163333.33333333334</v>
      </c>
      <c r="H85" s="47">
        <v>11000</v>
      </c>
      <c r="I85" s="87">
        <f t="shared" si="33"/>
        <v>1100</v>
      </c>
      <c r="J85" s="48">
        <f t="shared" si="34"/>
        <v>6.7346938775510207E-2</v>
      </c>
      <c r="K85" s="48">
        <f t="shared" si="35"/>
        <v>14.84848484848485</v>
      </c>
      <c r="L85" s="43">
        <f t="shared" ref="L85:L91" si="42">K85/K$2</f>
        <v>7.0084848484848488</v>
      </c>
    </row>
    <row r="86" spans="1:12">
      <c r="A86" s="1" t="s">
        <v>57</v>
      </c>
      <c r="B86" s="45" t="s">
        <v>391</v>
      </c>
      <c r="C86" s="74"/>
      <c r="D86" s="26" t="s">
        <v>329</v>
      </c>
      <c r="E86" s="123">
        <v>30000</v>
      </c>
      <c r="F86" s="107">
        <v>1380000</v>
      </c>
      <c r="G86" s="46">
        <f t="shared" ref="G86:G87" si="43">(F86/7500*2500)+E86</f>
        <v>490000</v>
      </c>
      <c r="H86" s="47">
        <v>33000</v>
      </c>
      <c r="I86" s="87">
        <f t="shared" si="33"/>
        <v>3300</v>
      </c>
      <c r="J86" s="48">
        <f t="shared" si="34"/>
        <v>6.7346938775510207E-2</v>
      </c>
      <c r="K86" s="48">
        <f t="shared" si="35"/>
        <v>14.848484848484848</v>
      </c>
      <c r="L86" s="43">
        <f t="shared" si="42"/>
        <v>7.0084848484848479</v>
      </c>
    </row>
    <row r="87" spans="1:12">
      <c r="A87" s="1" t="s">
        <v>57</v>
      </c>
      <c r="B87" s="45" t="s">
        <v>392</v>
      </c>
      <c r="C87" s="74"/>
      <c r="D87" s="26" t="s">
        <v>329</v>
      </c>
      <c r="E87" s="123">
        <v>50000</v>
      </c>
      <c r="F87" s="107">
        <v>2300000</v>
      </c>
      <c r="G87" s="46">
        <f t="shared" si="43"/>
        <v>816666.66666666674</v>
      </c>
      <c r="H87" s="47">
        <v>55000</v>
      </c>
      <c r="I87" s="87">
        <f t="shared" si="33"/>
        <v>5500</v>
      </c>
      <c r="J87" s="48">
        <f t="shared" si="34"/>
        <v>6.7346938775510193E-2</v>
      </c>
      <c r="K87" s="48">
        <f t="shared" si="35"/>
        <v>14.84848484848485</v>
      </c>
      <c r="L87" s="43">
        <f t="shared" si="42"/>
        <v>7.0084848484848488</v>
      </c>
    </row>
    <row r="88" spans="1:12">
      <c r="A88" s="1" t="s">
        <v>57</v>
      </c>
      <c r="B88" s="56" t="s">
        <v>393</v>
      </c>
      <c r="C88" s="76"/>
      <c r="D88" s="57" t="s">
        <v>330</v>
      </c>
      <c r="E88" s="109">
        <v>10000</v>
      </c>
      <c r="F88" s="115">
        <v>620000</v>
      </c>
      <c r="G88" s="58">
        <f>(F88/10000*2500)+E88</f>
        <v>165000</v>
      </c>
      <c r="H88" s="59">
        <v>11000</v>
      </c>
      <c r="I88" s="90">
        <f t="shared" si="33"/>
        <v>1100</v>
      </c>
      <c r="J88" s="60">
        <f t="shared" si="34"/>
        <v>6.6666666666666666E-2</v>
      </c>
      <c r="K88" s="60">
        <f t="shared" si="35"/>
        <v>15</v>
      </c>
      <c r="L88" s="43">
        <f t="shared" si="42"/>
        <v>7.0799999999999992</v>
      </c>
    </row>
    <row r="89" spans="1:12">
      <c r="A89" s="1" t="s">
        <v>57</v>
      </c>
      <c r="B89" s="56" t="s">
        <v>394</v>
      </c>
      <c r="C89" s="76"/>
      <c r="D89" s="57" t="s">
        <v>330</v>
      </c>
      <c r="E89" s="109">
        <v>30000</v>
      </c>
      <c r="F89" s="115">
        <v>1850000</v>
      </c>
      <c r="G89" s="58">
        <f>(F89/10000*2500)+E89</f>
        <v>492500</v>
      </c>
      <c r="H89" s="59">
        <v>33000</v>
      </c>
      <c r="I89" s="90">
        <f t="shared" si="33"/>
        <v>3300</v>
      </c>
      <c r="J89" s="60">
        <f t="shared" si="34"/>
        <v>6.7005076142131983E-2</v>
      </c>
      <c r="K89" s="60">
        <f t="shared" si="35"/>
        <v>14.924242424242424</v>
      </c>
      <c r="L89" s="43">
        <f t="shared" si="42"/>
        <v>7.044242424242424</v>
      </c>
    </row>
    <row r="90" spans="1:12">
      <c r="A90" s="1" t="s">
        <v>57</v>
      </c>
      <c r="B90" s="56" t="s">
        <v>395</v>
      </c>
      <c r="C90" s="76"/>
      <c r="D90" s="57" t="s">
        <v>330</v>
      </c>
      <c r="E90" s="109">
        <v>50000</v>
      </c>
      <c r="F90" s="115">
        <v>3100000</v>
      </c>
      <c r="G90" s="58">
        <f>(F90/10000*2500)+E90</f>
        <v>825000</v>
      </c>
      <c r="H90" s="59">
        <v>55000</v>
      </c>
      <c r="I90" s="90">
        <f t="shared" si="33"/>
        <v>5500</v>
      </c>
      <c r="J90" s="60">
        <f t="shared" si="34"/>
        <v>6.6666666666666666E-2</v>
      </c>
      <c r="K90" s="60">
        <f t="shared" si="35"/>
        <v>15</v>
      </c>
      <c r="L90" s="43">
        <f t="shared" si="42"/>
        <v>7.0799999999999992</v>
      </c>
    </row>
    <row r="91" spans="1:12">
      <c r="A91" s="1" t="s">
        <v>57</v>
      </c>
      <c r="B91" s="26" t="s">
        <v>396</v>
      </c>
      <c r="C91" s="42"/>
      <c r="D91" s="52" t="s">
        <v>241</v>
      </c>
      <c r="E91" s="110"/>
      <c r="F91" s="105">
        <v>3</v>
      </c>
      <c r="G91" s="46">
        <f>4*10000*F91</f>
        <v>120000</v>
      </c>
      <c r="H91" s="47">
        <v>5500</v>
      </c>
      <c r="I91" s="87">
        <f t="shared" si="33"/>
        <v>550</v>
      </c>
      <c r="J91" s="48">
        <f t="shared" si="34"/>
        <v>4.583333333333333E-2</v>
      </c>
      <c r="K91" s="48">
        <f t="shared" si="35"/>
        <v>21.818181818181817</v>
      </c>
      <c r="L91" s="43">
        <f t="shared" si="42"/>
        <v>10.298181818181817</v>
      </c>
    </row>
    <row r="92" spans="1:12">
      <c r="A92" s="1" t="s">
        <v>57</v>
      </c>
      <c r="B92" s="26" t="s">
        <v>397</v>
      </c>
      <c r="C92" s="42"/>
      <c r="D92" s="52" t="s">
        <v>241</v>
      </c>
      <c r="E92" s="110"/>
      <c r="F92" s="105">
        <v>6</v>
      </c>
      <c r="G92" s="46">
        <f>4*10000*F92</f>
        <v>240000</v>
      </c>
      <c r="H92" s="47">
        <v>11000</v>
      </c>
      <c r="I92" s="87">
        <f t="shared" si="33"/>
        <v>1100</v>
      </c>
      <c r="J92" s="48">
        <f t="shared" si="34"/>
        <v>4.583333333333333E-2</v>
      </c>
      <c r="K92" s="48">
        <f t="shared" si="35"/>
        <v>21.818181818181817</v>
      </c>
      <c r="L92" s="43">
        <f t="shared" ref="L92" si="44">K92/K$2</f>
        <v>10.298181818181817</v>
      </c>
    </row>
    <row r="93" spans="1:12">
      <c r="A93" s="1" t="s">
        <v>57</v>
      </c>
      <c r="B93" s="69" t="s">
        <v>402</v>
      </c>
      <c r="C93" s="71"/>
      <c r="D93" s="69" t="s">
        <v>48</v>
      </c>
      <c r="E93" s="109"/>
      <c r="F93" s="108">
        <v>165000</v>
      </c>
      <c r="G93" s="70">
        <f>F93</f>
        <v>165000</v>
      </c>
      <c r="H93" s="72">
        <v>11000</v>
      </c>
      <c r="I93" s="89">
        <f t="shared" si="33"/>
        <v>1100</v>
      </c>
      <c r="J93" s="73">
        <f t="shared" si="34"/>
        <v>6.6666666666666666E-2</v>
      </c>
      <c r="K93" s="73">
        <f t="shared" si="35"/>
        <v>15</v>
      </c>
      <c r="L93" s="43">
        <f>K93/K$2</f>
        <v>7.0799999999999992</v>
      </c>
    </row>
    <row r="94" spans="1:12">
      <c r="A94" s="1" t="s">
        <v>57</v>
      </c>
      <c r="B94" s="69" t="s">
        <v>403</v>
      </c>
      <c r="C94" s="71"/>
      <c r="D94" s="69" t="s">
        <v>48</v>
      </c>
      <c r="E94" s="109"/>
      <c r="F94" s="108">
        <v>490000</v>
      </c>
      <c r="G94" s="70">
        <f>F94</f>
        <v>490000</v>
      </c>
      <c r="H94" s="72">
        <v>33000</v>
      </c>
      <c r="I94" s="89">
        <f t="shared" si="33"/>
        <v>3300</v>
      </c>
      <c r="J94" s="73">
        <f t="shared" si="34"/>
        <v>6.7346938775510207E-2</v>
      </c>
      <c r="K94" s="73">
        <f t="shared" si="35"/>
        <v>14.848484848484848</v>
      </c>
      <c r="L94" s="43">
        <f t="shared" ref="L94" si="45">K94/K$2</f>
        <v>7.0084848484848479</v>
      </c>
    </row>
    <row r="95" spans="1:12">
      <c r="A95" s="1" t="s">
        <v>57</v>
      </c>
      <c r="B95" s="69" t="s">
        <v>404</v>
      </c>
      <c r="C95" s="71"/>
      <c r="D95" s="69" t="s">
        <v>48</v>
      </c>
      <c r="E95" s="109"/>
      <c r="F95" s="108">
        <v>820000</v>
      </c>
      <c r="G95" s="70">
        <f>F95</f>
        <v>820000</v>
      </c>
      <c r="H95" s="72">
        <v>55000</v>
      </c>
      <c r="I95" s="89">
        <f t="shared" si="33"/>
        <v>5500</v>
      </c>
      <c r="J95" s="73">
        <f t="shared" si="34"/>
        <v>6.7073170731707321E-2</v>
      </c>
      <c r="K95" s="73">
        <f t="shared" si="35"/>
        <v>14.909090909090908</v>
      </c>
      <c r="L95" s="43">
        <f>K95/K$2</f>
        <v>7.0370909090909084</v>
      </c>
    </row>
    <row r="96" spans="1:12">
      <c r="A96" s="1" t="s">
        <v>57</v>
      </c>
      <c r="B96" s="69" t="s">
        <v>405</v>
      </c>
      <c r="C96" s="71"/>
      <c r="D96" s="69" t="s">
        <v>48</v>
      </c>
      <c r="E96" s="109"/>
      <c r="F96" s="108">
        <v>1650000</v>
      </c>
      <c r="G96" s="70">
        <f>F96</f>
        <v>1650000</v>
      </c>
      <c r="H96" s="72">
        <v>110000</v>
      </c>
      <c r="I96" s="89">
        <f t="shared" si="33"/>
        <v>11000</v>
      </c>
      <c r="J96" s="73">
        <f t="shared" si="34"/>
        <v>6.6666666666666666E-2</v>
      </c>
      <c r="K96" s="73">
        <f t="shared" si="35"/>
        <v>15</v>
      </c>
      <c r="L96" s="43">
        <f t="shared" ref="L96" si="46">K96/K$2</f>
        <v>7.0799999999999992</v>
      </c>
    </row>
    <row r="97" spans="1:12">
      <c r="A97" s="1" t="s">
        <v>57</v>
      </c>
      <c r="B97" s="26" t="s">
        <v>406</v>
      </c>
      <c r="C97" s="42"/>
      <c r="D97" s="26" t="s">
        <v>34</v>
      </c>
      <c r="E97" s="107"/>
      <c r="F97" s="105">
        <v>1000</v>
      </c>
      <c r="G97" s="46">
        <f>F97*150</f>
        <v>150000</v>
      </c>
      <c r="H97" s="47">
        <v>11000</v>
      </c>
      <c r="I97" s="87">
        <f t="shared" si="33"/>
        <v>1100</v>
      </c>
      <c r="J97" s="48">
        <f t="shared" si="34"/>
        <v>7.3333333333333334E-2</v>
      </c>
      <c r="K97" s="48">
        <f t="shared" si="35"/>
        <v>13.636363636363637</v>
      </c>
      <c r="L97" s="43">
        <f>K97/K$2</f>
        <v>6.4363636363636365</v>
      </c>
    </row>
    <row r="98" spans="1:12">
      <c r="A98" s="1" t="s">
        <v>57</v>
      </c>
      <c r="B98" s="26" t="s">
        <v>398</v>
      </c>
      <c r="C98" s="42"/>
      <c r="D98" s="26" t="s">
        <v>34</v>
      </c>
      <c r="E98" s="107"/>
      <c r="F98" s="105">
        <v>3000</v>
      </c>
      <c r="G98" s="46">
        <f>F98*150</f>
        <v>450000</v>
      </c>
      <c r="H98" s="47">
        <v>33000</v>
      </c>
      <c r="I98" s="87">
        <f t="shared" si="33"/>
        <v>3300</v>
      </c>
      <c r="J98" s="48">
        <f t="shared" si="34"/>
        <v>7.3333333333333334E-2</v>
      </c>
      <c r="K98" s="48">
        <f t="shared" si="35"/>
        <v>13.636363636363637</v>
      </c>
      <c r="L98" s="43">
        <f>K98/K$2</f>
        <v>6.4363636363636365</v>
      </c>
    </row>
    <row r="99" spans="1:12">
      <c r="A99" s="1" t="s">
        <v>57</v>
      </c>
      <c r="B99" s="57" t="s">
        <v>399</v>
      </c>
      <c r="C99" s="77"/>
      <c r="D99" s="57" t="s">
        <v>35</v>
      </c>
      <c r="E99" s="115"/>
      <c r="F99" s="112">
        <v>1000</v>
      </c>
      <c r="G99" s="58">
        <f>F99*150</f>
        <v>150000</v>
      </c>
      <c r="H99" s="59">
        <v>11000</v>
      </c>
      <c r="I99" s="90">
        <f>H99/10</f>
        <v>1100</v>
      </c>
      <c r="J99" s="60">
        <f t="shared" si="34"/>
        <v>7.3333333333333334E-2</v>
      </c>
      <c r="K99" s="60">
        <f t="shared" si="35"/>
        <v>13.636363636363637</v>
      </c>
      <c r="L99" s="43">
        <f>K99/K$2</f>
        <v>6.4363636363636365</v>
      </c>
    </row>
    <row r="100" spans="1:12">
      <c r="A100" s="1" t="s">
        <v>57</v>
      </c>
      <c r="B100" s="57" t="s">
        <v>400</v>
      </c>
      <c r="C100" s="77"/>
      <c r="D100" s="57" t="s">
        <v>35</v>
      </c>
      <c r="E100" s="115"/>
      <c r="F100" s="112">
        <v>3000</v>
      </c>
      <c r="G100" s="58">
        <f>F100*150</f>
        <v>450000</v>
      </c>
      <c r="H100" s="59">
        <v>33000</v>
      </c>
      <c r="I100" s="90">
        <f t="shared" si="33"/>
        <v>3300</v>
      </c>
      <c r="J100" s="60">
        <f t="shared" si="34"/>
        <v>7.3333333333333334E-2</v>
      </c>
      <c r="K100" s="60">
        <f t="shared" si="35"/>
        <v>13.636363636363637</v>
      </c>
      <c r="L100" s="43">
        <f>K100/K$2</f>
        <v>6.4363636363636365</v>
      </c>
    </row>
    <row r="101" spans="1:12">
      <c r="H101" s="147">
        <f>SUM(H76:H100)</f>
        <v>808500</v>
      </c>
      <c r="I101" s="12"/>
    </row>
    <row r="102" spans="1:12" s="53" customFormat="1">
      <c r="B102" s="54" t="s">
        <v>61</v>
      </c>
      <c r="C102" s="55"/>
      <c r="E102" s="103"/>
      <c r="F102" s="104"/>
      <c r="G102" s="19"/>
      <c r="L102" s="44"/>
    </row>
    <row r="103" spans="1:12">
      <c r="A103" s="1" t="s">
        <v>54</v>
      </c>
      <c r="B103" s="71" t="s">
        <v>62</v>
      </c>
      <c r="C103" s="71"/>
      <c r="D103" s="69" t="s">
        <v>86</v>
      </c>
      <c r="E103" s="109">
        <v>3750</v>
      </c>
      <c r="F103" s="108"/>
      <c r="G103" s="70">
        <f>E103*25</f>
        <v>93750</v>
      </c>
      <c r="H103" s="72">
        <v>5500</v>
      </c>
      <c r="I103" s="89">
        <f t="shared" ref="I103:I112" si="47">H103/10</f>
        <v>550</v>
      </c>
      <c r="J103" s="73">
        <f t="shared" ref="J103:J122" si="48">H103/G103</f>
        <v>5.8666666666666666E-2</v>
      </c>
      <c r="K103" s="73">
        <f t="shared" ref="K103:K122" si="49">G103/H103</f>
        <v>17.045454545454547</v>
      </c>
      <c r="L103" s="43">
        <f>K103/K$2</f>
        <v>8.045454545454545</v>
      </c>
    </row>
    <row r="104" spans="1:12">
      <c r="A104" s="1" t="s">
        <v>54</v>
      </c>
      <c r="B104" s="71" t="s">
        <v>63</v>
      </c>
      <c r="C104" s="71"/>
      <c r="D104" s="69" t="s">
        <v>87</v>
      </c>
      <c r="E104" s="109">
        <v>5300</v>
      </c>
      <c r="F104" s="108"/>
      <c r="G104" s="70">
        <f t="shared" ref="G104:G122" si="50">E104*25</f>
        <v>132500</v>
      </c>
      <c r="H104" s="72">
        <v>7700</v>
      </c>
      <c r="I104" s="89">
        <f t="shared" si="47"/>
        <v>770</v>
      </c>
      <c r="J104" s="73">
        <f t="shared" si="48"/>
        <v>5.811320754716981E-2</v>
      </c>
      <c r="K104" s="73">
        <f t="shared" si="49"/>
        <v>17.207792207792206</v>
      </c>
      <c r="L104" s="43">
        <f>K104/K$2</f>
        <v>8.1220779220779207</v>
      </c>
    </row>
    <row r="105" spans="1:12">
      <c r="A105" s="1" t="s">
        <v>54</v>
      </c>
      <c r="B105" s="71" t="s">
        <v>64</v>
      </c>
      <c r="C105" s="71"/>
      <c r="D105" s="69" t="s">
        <v>88</v>
      </c>
      <c r="E105" s="109">
        <v>7500</v>
      </c>
      <c r="F105" s="108"/>
      <c r="G105" s="70">
        <f t="shared" si="50"/>
        <v>187500</v>
      </c>
      <c r="H105" s="72">
        <v>11000</v>
      </c>
      <c r="I105" s="89">
        <f t="shared" si="47"/>
        <v>1100</v>
      </c>
      <c r="J105" s="73">
        <f t="shared" si="48"/>
        <v>5.8666666666666666E-2</v>
      </c>
      <c r="K105" s="73">
        <f t="shared" si="49"/>
        <v>17.045454545454547</v>
      </c>
      <c r="L105" s="43">
        <f>K105/K$2</f>
        <v>8.045454545454545</v>
      </c>
    </row>
    <row r="106" spans="1:12">
      <c r="A106" s="1" t="s">
        <v>54</v>
      </c>
      <c r="B106" s="71" t="s">
        <v>65</v>
      </c>
      <c r="C106" s="71"/>
      <c r="D106" s="69" t="s">
        <v>89</v>
      </c>
      <c r="E106" s="109">
        <v>15000</v>
      </c>
      <c r="F106" s="108"/>
      <c r="G106" s="70">
        <f t="shared" si="50"/>
        <v>375000</v>
      </c>
      <c r="H106" s="72">
        <v>22000</v>
      </c>
      <c r="I106" s="89">
        <f t="shared" si="47"/>
        <v>2200</v>
      </c>
      <c r="J106" s="73">
        <f t="shared" si="48"/>
        <v>5.8666666666666666E-2</v>
      </c>
      <c r="K106" s="73">
        <f t="shared" si="49"/>
        <v>17.045454545454547</v>
      </c>
      <c r="L106" s="43">
        <f>K106/K$2</f>
        <v>8.045454545454545</v>
      </c>
    </row>
    <row r="107" spans="1:12">
      <c r="A107" s="1" t="s">
        <v>54</v>
      </c>
      <c r="B107" s="71" t="s">
        <v>66</v>
      </c>
      <c r="C107" s="71"/>
      <c r="D107" s="69" t="s">
        <v>90</v>
      </c>
      <c r="E107" s="109">
        <v>22500</v>
      </c>
      <c r="F107" s="108"/>
      <c r="G107" s="70">
        <f t="shared" si="50"/>
        <v>562500</v>
      </c>
      <c r="H107" s="72">
        <v>33000</v>
      </c>
      <c r="I107" s="89">
        <f t="shared" si="47"/>
        <v>3300</v>
      </c>
      <c r="J107" s="73">
        <f t="shared" si="48"/>
        <v>5.8666666666666666E-2</v>
      </c>
      <c r="K107" s="73">
        <f t="shared" si="49"/>
        <v>17.045454545454547</v>
      </c>
      <c r="L107" s="43">
        <f>K107/K$2</f>
        <v>8.045454545454545</v>
      </c>
    </row>
    <row r="108" spans="1:12">
      <c r="A108" s="1" t="s">
        <v>54</v>
      </c>
      <c r="B108" s="71" t="s">
        <v>82</v>
      </c>
      <c r="C108" s="71"/>
      <c r="D108" s="69" t="s">
        <v>91</v>
      </c>
      <c r="E108" s="109">
        <v>22500</v>
      </c>
      <c r="F108" s="108"/>
      <c r="G108" s="70">
        <f t="shared" si="50"/>
        <v>562500</v>
      </c>
      <c r="H108" s="72">
        <v>33000</v>
      </c>
      <c r="I108" s="89">
        <f t="shared" si="47"/>
        <v>3300</v>
      </c>
      <c r="J108" s="73">
        <f t="shared" si="48"/>
        <v>5.8666666666666666E-2</v>
      </c>
      <c r="K108" s="73">
        <f t="shared" si="49"/>
        <v>17.045454545454547</v>
      </c>
      <c r="L108" s="43">
        <f t="shared" ref="L108:L112" si="51">K108/K$2</f>
        <v>8.045454545454545</v>
      </c>
    </row>
    <row r="109" spans="1:12">
      <c r="A109" s="1" t="s">
        <v>54</v>
      </c>
      <c r="B109" s="71" t="s">
        <v>83</v>
      </c>
      <c r="C109" s="71"/>
      <c r="D109" s="69" t="s">
        <v>92</v>
      </c>
      <c r="E109" s="109">
        <v>22500</v>
      </c>
      <c r="F109" s="108"/>
      <c r="G109" s="70">
        <f t="shared" si="50"/>
        <v>562500</v>
      </c>
      <c r="H109" s="72">
        <v>33000</v>
      </c>
      <c r="I109" s="89">
        <f t="shared" si="47"/>
        <v>3300</v>
      </c>
      <c r="J109" s="73">
        <f t="shared" si="48"/>
        <v>5.8666666666666666E-2</v>
      </c>
      <c r="K109" s="73">
        <f t="shared" si="49"/>
        <v>17.045454545454547</v>
      </c>
      <c r="L109" s="43">
        <f t="shared" si="51"/>
        <v>8.045454545454545</v>
      </c>
    </row>
    <row r="110" spans="1:12">
      <c r="A110" s="1" t="s">
        <v>54</v>
      </c>
      <c r="B110" s="71" t="s">
        <v>84</v>
      </c>
      <c r="C110" s="71"/>
      <c r="D110" s="69" t="s">
        <v>93</v>
      </c>
      <c r="E110" s="109">
        <v>22500</v>
      </c>
      <c r="F110" s="108"/>
      <c r="G110" s="70">
        <f t="shared" si="50"/>
        <v>562500</v>
      </c>
      <c r="H110" s="72">
        <v>33000</v>
      </c>
      <c r="I110" s="89">
        <f t="shared" si="47"/>
        <v>3300</v>
      </c>
      <c r="J110" s="73">
        <f t="shared" si="48"/>
        <v>5.8666666666666666E-2</v>
      </c>
      <c r="K110" s="73">
        <f t="shared" si="49"/>
        <v>17.045454545454547</v>
      </c>
      <c r="L110" s="43">
        <f t="shared" si="51"/>
        <v>8.045454545454545</v>
      </c>
    </row>
    <row r="111" spans="1:12">
      <c r="A111" s="1" t="s">
        <v>54</v>
      </c>
      <c r="B111" s="71" t="s">
        <v>242</v>
      </c>
      <c r="C111" s="71"/>
      <c r="D111" s="69" t="s">
        <v>243</v>
      </c>
      <c r="E111" s="109">
        <v>22500</v>
      </c>
      <c r="F111" s="108"/>
      <c r="G111" s="70">
        <f t="shared" si="50"/>
        <v>562500</v>
      </c>
      <c r="H111" s="72">
        <v>33000</v>
      </c>
      <c r="I111" s="89">
        <f t="shared" si="47"/>
        <v>3300</v>
      </c>
      <c r="J111" s="73">
        <f t="shared" si="48"/>
        <v>5.8666666666666666E-2</v>
      </c>
      <c r="K111" s="73">
        <f t="shared" si="49"/>
        <v>17.045454545454547</v>
      </c>
      <c r="L111" s="43">
        <f t="shared" si="51"/>
        <v>8.045454545454545</v>
      </c>
    </row>
    <row r="112" spans="1:12">
      <c r="A112" s="1" t="s">
        <v>54</v>
      </c>
      <c r="B112" s="71" t="s">
        <v>245</v>
      </c>
      <c r="C112" s="71"/>
      <c r="D112" s="69" t="s">
        <v>244</v>
      </c>
      <c r="E112" s="109">
        <v>22500</v>
      </c>
      <c r="F112" s="108"/>
      <c r="G112" s="70">
        <f t="shared" si="50"/>
        <v>562500</v>
      </c>
      <c r="H112" s="72">
        <v>33000</v>
      </c>
      <c r="I112" s="89">
        <f t="shared" si="47"/>
        <v>3300</v>
      </c>
      <c r="J112" s="73">
        <f t="shared" si="48"/>
        <v>5.8666666666666666E-2</v>
      </c>
      <c r="K112" s="73">
        <f t="shared" si="49"/>
        <v>17.045454545454547</v>
      </c>
      <c r="L112" s="43">
        <f t="shared" si="51"/>
        <v>8.045454545454545</v>
      </c>
    </row>
    <row r="113" spans="1:12">
      <c r="A113" s="1" t="s">
        <v>54</v>
      </c>
      <c r="B113" s="81" t="s">
        <v>373</v>
      </c>
      <c r="C113" s="81"/>
      <c r="D113" s="80" t="s">
        <v>271</v>
      </c>
      <c r="E113" s="113">
        <v>17000</v>
      </c>
      <c r="F113" s="114"/>
      <c r="G113" s="82">
        <f t="shared" si="50"/>
        <v>425000</v>
      </c>
      <c r="H113" s="83">
        <v>33000</v>
      </c>
      <c r="I113" s="83"/>
      <c r="J113" s="84">
        <f t="shared" si="48"/>
        <v>7.7647058823529416E-2</v>
      </c>
      <c r="K113" s="84">
        <f t="shared" si="49"/>
        <v>12.878787878787879</v>
      </c>
      <c r="L113" s="43">
        <f t="shared" ref="L113:L122" si="52">K113/K$2</f>
        <v>6.0787878787878782</v>
      </c>
    </row>
    <row r="114" spans="1:12">
      <c r="A114" s="1" t="s">
        <v>54</v>
      </c>
      <c r="B114" s="81" t="s">
        <v>272</v>
      </c>
      <c r="C114" s="81"/>
      <c r="D114" s="80" t="s">
        <v>273</v>
      </c>
      <c r="E114" s="113">
        <v>17000</v>
      </c>
      <c r="F114" s="114"/>
      <c r="G114" s="82">
        <f t="shared" si="50"/>
        <v>425000</v>
      </c>
      <c r="H114" s="83">
        <v>33000</v>
      </c>
      <c r="I114" s="83"/>
      <c r="J114" s="84">
        <f t="shared" si="48"/>
        <v>7.7647058823529416E-2</v>
      </c>
      <c r="K114" s="84">
        <f t="shared" si="49"/>
        <v>12.878787878787879</v>
      </c>
      <c r="L114" s="43">
        <f t="shared" si="52"/>
        <v>6.0787878787878782</v>
      </c>
    </row>
    <row r="115" spans="1:12">
      <c r="A115" s="1" t="s">
        <v>54</v>
      </c>
      <c r="B115" s="81" t="s">
        <v>274</v>
      </c>
      <c r="C115" s="81"/>
      <c r="D115" s="80" t="s">
        <v>275</v>
      </c>
      <c r="E115" s="113">
        <v>17000</v>
      </c>
      <c r="F115" s="114"/>
      <c r="G115" s="82">
        <f t="shared" si="50"/>
        <v>425000</v>
      </c>
      <c r="H115" s="83">
        <v>33000</v>
      </c>
      <c r="I115" s="83"/>
      <c r="J115" s="84">
        <f t="shared" si="48"/>
        <v>7.7647058823529416E-2</v>
      </c>
      <c r="K115" s="84">
        <f t="shared" si="49"/>
        <v>12.878787878787879</v>
      </c>
      <c r="L115" s="43">
        <f t="shared" si="52"/>
        <v>6.0787878787878782</v>
      </c>
    </row>
    <row r="116" spans="1:12">
      <c r="A116" s="1" t="s">
        <v>54</v>
      </c>
      <c r="B116" s="81" t="s">
        <v>276</v>
      </c>
      <c r="C116" s="81"/>
      <c r="D116" s="80" t="s">
        <v>277</v>
      </c>
      <c r="E116" s="113">
        <v>17000</v>
      </c>
      <c r="F116" s="114"/>
      <c r="G116" s="82">
        <f t="shared" si="50"/>
        <v>425000</v>
      </c>
      <c r="H116" s="83">
        <v>33000</v>
      </c>
      <c r="I116" s="83"/>
      <c r="J116" s="84">
        <f t="shared" si="48"/>
        <v>7.7647058823529416E-2</v>
      </c>
      <c r="K116" s="84">
        <f t="shared" si="49"/>
        <v>12.878787878787879</v>
      </c>
      <c r="L116" s="43">
        <f t="shared" si="52"/>
        <v>6.0787878787878782</v>
      </c>
    </row>
    <row r="117" spans="1:12">
      <c r="A117" s="1" t="s">
        <v>54</v>
      </c>
      <c r="B117" s="81" t="s">
        <v>278</v>
      </c>
      <c r="C117" s="81"/>
      <c r="D117" s="80" t="s">
        <v>279</v>
      </c>
      <c r="E117" s="113">
        <v>17000</v>
      </c>
      <c r="F117" s="114"/>
      <c r="G117" s="82">
        <f t="shared" si="50"/>
        <v>425000</v>
      </c>
      <c r="H117" s="83">
        <v>33000</v>
      </c>
      <c r="I117" s="83"/>
      <c r="J117" s="84">
        <f t="shared" si="48"/>
        <v>7.7647058823529416E-2</v>
      </c>
      <c r="K117" s="84">
        <f t="shared" si="49"/>
        <v>12.878787878787879</v>
      </c>
      <c r="L117" s="43">
        <f t="shared" si="52"/>
        <v>6.0787878787878782</v>
      </c>
    </row>
    <row r="118" spans="1:12">
      <c r="A118" s="1" t="s">
        <v>54</v>
      </c>
      <c r="B118" s="81" t="s">
        <v>280</v>
      </c>
      <c r="C118" s="81"/>
      <c r="D118" s="80" t="s">
        <v>281</v>
      </c>
      <c r="E118" s="113">
        <v>17000</v>
      </c>
      <c r="F118" s="114"/>
      <c r="G118" s="82">
        <f t="shared" si="50"/>
        <v>425000</v>
      </c>
      <c r="H118" s="83">
        <v>33000</v>
      </c>
      <c r="I118" s="83"/>
      <c r="J118" s="84">
        <f t="shared" si="48"/>
        <v>7.7647058823529416E-2</v>
      </c>
      <c r="K118" s="84">
        <f t="shared" si="49"/>
        <v>12.878787878787879</v>
      </c>
      <c r="L118" s="43">
        <f t="shared" si="52"/>
        <v>6.0787878787878782</v>
      </c>
    </row>
    <row r="119" spans="1:12">
      <c r="A119" s="1" t="s">
        <v>54</v>
      </c>
      <c r="B119" s="81" t="s">
        <v>282</v>
      </c>
      <c r="C119" s="81"/>
      <c r="D119" s="80" t="s">
        <v>283</v>
      </c>
      <c r="E119" s="113">
        <v>17000</v>
      </c>
      <c r="F119" s="114"/>
      <c r="G119" s="82">
        <f t="shared" si="50"/>
        <v>425000</v>
      </c>
      <c r="H119" s="83">
        <v>33000</v>
      </c>
      <c r="I119" s="83"/>
      <c r="J119" s="84">
        <f t="shared" si="48"/>
        <v>7.7647058823529416E-2</v>
      </c>
      <c r="K119" s="84">
        <f t="shared" si="49"/>
        <v>12.878787878787879</v>
      </c>
      <c r="L119" s="43">
        <f t="shared" si="52"/>
        <v>6.0787878787878782</v>
      </c>
    </row>
    <row r="120" spans="1:12">
      <c r="A120" s="1" t="s">
        <v>54</v>
      </c>
      <c r="B120" s="81" t="s">
        <v>284</v>
      </c>
      <c r="C120" s="81"/>
      <c r="D120" s="80" t="s">
        <v>285</v>
      </c>
      <c r="E120" s="113">
        <v>17000</v>
      </c>
      <c r="F120" s="114"/>
      <c r="G120" s="82">
        <f t="shared" si="50"/>
        <v>425000</v>
      </c>
      <c r="H120" s="83">
        <v>33000</v>
      </c>
      <c r="I120" s="83"/>
      <c r="J120" s="84">
        <f t="shared" si="48"/>
        <v>7.7647058823529416E-2</v>
      </c>
      <c r="K120" s="84">
        <f t="shared" si="49"/>
        <v>12.878787878787879</v>
      </c>
      <c r="L120" s="43">
        <f t="shared" si="52"/>
        <v>6.0787878787878782</v>
      </c>
    </row>
    <row r="121" spans="1:12">
      <c r="A121" s="1" t="s">
        <v>54</v>
      </c>
      <c r="B121" s="81" t="s">
        <v>286</v>
      </c>
      <c r="C121" s="81"/>
      <c r="D121" s="80" t="s">
        <v>287</v>
      </c>
      <c r="E121" s="113">
        <v>17000</v>
      </c>
      <c r="F121" s="114"/>
      <c r="G121" s="82">
        <f t="shared" si="50"/>
        <v>425000</v>
      </c>
      <c r="H121" s="83">
        <v>33000</v>
      </c>
      <c r="I121" s="83"/>
      <c r="J121" s="84">
        <f t="shared" si="48"/>
        <v>7.7647058823529416E-2</v>
      </c>
      <c r="K121" s="84">
        <f t="shared" si="49"/>
        <v>12.878787878787879</v>
      </c>
      <c r="L121" s="43">
        <f t="shared" si="52"/>
        <v>6.0787878787878782</v>
      </c>
    </row>
    <row r="122" spans="1:12">
      <c r="A122" s="1" t="s">
        <v>54</v>
      </c>
      <c r="B122" s="81" t="s">
        <v>288</v>
      </c>
      <c r="C122" s="81"/>
      <c r="D122" s="80" t="s">
        <v>289</v>
      </c>
      <c r="E122" s="113">
        <v>17000</v>
      </c>
      <c r="F122" s="114"/>
      <c r="G122" s="82">
        <f t="shared" si="50"/>
        <v>425000</v>
      </c>
      <c r="H122" s="83">
        <v>33000</v>
      </c>
      <c r="I122" s="83"/>
      <c r="J122" s="84">
        <f t="shared" si="48"/>
        <v>7.7647058823529416E-2</v>
      </c>
      <c r="K122" s="84">
        <f t="shared" si="49"/>
        <v>12.878787878787879</v>
      </c>
      <c r="L122" s="43">
        <f t="shared" si="52"/>
        <v>6.0787878787878782</v>
      </c>
    </row>
    <row r="123" spans="1:12">
      <c r="G123" s="148">
        <f>SUM(G103:G112)</f>
        <v>4163750</v>
      </c>
      <c r="H123" s="147">
        <f>SUM(H103:H112)</f>
        <v>244200</v>
      </c>
      <c r="I123" s="12"/>
    </row>
    <row r="124" spans="1:12">
      <c r="A124" s="1" t="s">
        <v>54</v>
      </c>
      <c r="B124" s="71" t="s">
        <v>309</v>
      </c>
      <c r="C124" s="71"/>
      <c r="D124" s="69" t="s">
        <v>72</v>
      </c>
      <c r="E124" s="109">
        <v>3750</v>
      </c>
      <c r="F124" s="108"/>
      <c r="G124" s="70">
        <f>E124*25</f>
        <v>93750</v>
      </c>
      <c r="H124" s="72">
        <v>5500</v>
      </c>
      <c r="I124" s="89">
        <f t="shared" ref="I124:I133" si="53">H124/10</f>
        <v>550</v>
      </c>
      <c r="J124" s="73">
        <f t="shared" ref="J124:J143" si="54">H124/G124</f>
        <v>5.8666666666666666E-2</v>
      </c>
      <c r="K124" s="73">
        <f t="shared" ref="K124:K143" si="55">G124/H124</f>
        <v>17.045454545454547</v>
      </c>
      <c r="L124" s="43">
        <f t="shared" ref="L124:L133" si="56">K124/K$2</f>
        <v>8.045454545454545</v>
      </c>
    </row>
    <row r="125" spans="1:12">
      <c r="A125" s="1" t="s">
        <v>54</v>
      </c>
      <c r="B125" s="71" t="s">
        <v>67</v>
      </c>
      <c r="C125" s="71"/>
      <c r="D125" s="69" t="s">
        <v>71</v>
      </c>
      <c r="E125" s="109">
        <v>5300</v>
      </c>
      <c r="F125" s="108"/>
      <c r="G125" s="70">
        <f t="shared" ref="G125:G143" si="57">E125*25</f>
        <v>132500</v>
      </c>
      <c r="H125" s="72">
        <v>7700</v>
      </c>
      <c r="I125" s="89">
        <f t="shared" si="53"/>
        <v>770</v>
      </c>
      <c r="J125" s="73">
        <f t="shared" si="54"/>
        <v>5.811320754716981E-2</v>
      </c>
      <c r="K125" s="73">
        <f t="shared" si="55"/>
        <v>17.207792207792206</v>
      </c>
      <c r="L125" s="43">
        <f t="shared" si="56"/>
        <v>8.1220779220779207</v>
      </c>
    </row>
    <row r="126" spans="1:12">
      <c r="A126" s="1" t="s">
        <v>54</v>
      </c>
      <c r="B126" s="71" t="s">
        <v>68</v>
      </c>
      <c r="C126" s="71"/>
      <c r="D126" s="69" t="s">
        <v>73</v>
      </c>
      <c r="E126" s="109">
        <v>7500</v>
      </c>
      <c r="F126" s="108"/>
      <c r="G126" s="70">
        <f t="shared" si="57"/>
        <v>187500</v>
      </c>
      <c r="H126" s="72">
        <v>11000</v>
      </c>
      <c r="I126" s="89">
        <f t="shared" si="53"/>
        <v>1100</v>
      </c>
      <c r="J126" s="73">
        <f t="shared" si="54"/>
        <v>5.8666666666666666E-2</v>
      </c>
      <c r="K126" s="73">
        <f t="shared" si="55"/>
        <v>17.045454545454547</v>
      </c>
      <c r="L126" s="43">
        <f t="shared" si="56"/>
        <v>8.045454545454545</v>
      </c>
    </row>
    <row r="127" spans="1:12">
      <c r="A127" s="1" t="s">
        <v>54</v>
      </c>
      <c r="B127" s="71" t="s">
        <v>69</v>
      </c>
      <c r="C127" s="71"/>
      <c r="D127" s="69" t="s">
        <v>74</v>
      </c>
      <c r="E127" s="109">
        <v>15000</v>
      </c>
      <c r="F127" s="108"/>
      <c r="G127" s="70">
        <f t="shared" si="57"/>
        <v>375000</v>
      </c>
      <c r="H127" s="72">
        <v>22000</v>
      </c>
      <c r="I127" s="89">
        <f t="shared" si="53"/>
        <v>2200</v>
      </c>
      <c r="J127" s="73">
        <f t="shared" si="54"/>
        <v>5.8666666666666666E-2</v>
      </c>
      <c r="K127" s="73">
        <f t="shared" si="55"/>
        <v>17.045454545454547</v>
      </c>
      <c r="L127" s="43">
        <f t="shared" si="56"/>
        <v>8.045454545454545</v>
      </c>
    </row>
    <row r="128" spans="1:12">
      <c r="A128" s="1" t="s">
        <v>54</v>
      </c>
      <c r="B128" s="71" t="s">
        <v>70</v>
      </c>
      <c r="C128" s="71"/>
      <c r="D128" s="69" t="s">
        <v>75</v>
      </c>
      <c r="E128" s="109">
        <v>22500</v>
      </c>
      <c r="F128" s="108"/>
      <c r="G128" s="70">
        <f t="shared" si="57"/>
        <v>562500</v>
      </c>
      <c r="H128" s="72">
        <v>33000</v>
      </c>
      <c r="I128" s="89">
        <f t="shared" si="53"/>
        <v>3300</v>
      </c>
      <c r="J128" s="73">
        <f t="shared" si="54"/>
        <v>5.8666666666666666E-2</v>
      </c>
      <c r="K128" s="73">
        <f t="shared" si="55"/>
        <v>17.045454545454547</v>
      </c>
      <c r="L128" s="43">
        <f t="shared" si="56"/>
        <v>8.045454545454545</v>
      </c>
    </row>
    <row r="129" spans="1:12">
      <c r="A129" s="1" t="s">
        <v>54</v>
      </c>
      <c r="B129" s="71" t="s">
        <v>78</v>
      </c>
      <c r="C129" s="71"/>
      <c r="D129" s="69" t="s">
        <v>76</v>
      </c>
      <c r="E129" s="109">
        <v>22500</v>
      </c>
      <c r="F129" s="108"/>
      <c r="G129" s="70">
        <f t="shared" si="57"/>
        <v>562500</v>
      </c>
      <c r="H129" s="72">
        <v>33000</v>
      </c>
      <c r="I129" s="89">
        <f t="shared" si="53"/>
        <v>3300</v>
      </c>
      <c r="J129" s="73">
        <f t="shared" si="54"/>
        <v>5.8666666666666666E-2</v>
      </c>
      <c r="K129" s="73">
        <f t="shared" si="55"/>
        <v>17.045454545454547</v>
      </c>
      <c r="L129" s="43">
        <f t="shared" si="56"/>
        <v>8.045454545454545</v>
      </c>
    </row>
    <row r="130" spans="1:12">
      <c r="A130" s="1" t="s">
        <v>54</v>
      </c>
      <c r="B130" s="71" t="s">
        <v>79</v>
      </c>
      <c r="C130" s="71"/>
      <c r="D130" s="69" t="s">
        <v>77</v>
      </c>
      <c r="E130" s="109">
        <v>22500</v>
      </c>
      <c r="F130" s="108"/>
      <c r="G130" s="70">
        <f t="shared" si="57"/>
        <v>562500</v>
      </c>
      <c r="H130" s="72">
        <v>33000</v>
      </c>
      <c r="I130" s="89">
        <f t="shared" si="53"/>
        <v>3300</v>
      </c>
      <c r="J130" s="73">
        <f t="shared" si="54"/>
        <v>5.8666666666666666E-2</v>
      </c>
      <c r="K130" s="73">
        <f t="shared" si="55"/>
        <v>17.045454545454547</v>
      </c>
      <c r="L130" s="43">
        <f t="shared" si="56"/>
        <v>8.045454545454545</v>
      </c>
    </row>
    <row r="131" spans="1:12">
      <c r="A131" s="1" t="s">
        <v>54</v>
      </c>
      <c r="B131" s="71" t="s">
        <v>80</v>
      </c>
      <c r="C131" s="71"/>
      <c r="D131" s="69" t="s">
        <v>270</v>
      </c>
      <c r="E131" s="109">
        <v>22500</v>
      </c>
      <c r="F131" s="108"/>
      <c r="G131" s="70">
        <f t="shared" si="57"/>
        <v>562500</v>
      </c>
      <c r="H131" s="72">
        <v>33000</v>
      </c>
      <c r="I131" s="89">
        <f t="shared" si="53"/>
        <v>3300</v>
      </c>
      <c r="J131" s="73">
        <f t="shared" si="54"/>
        <v>5.8666666666666666E-2</v>
      </c>
      <c r="K131" s="73">
        <f t="shared" si="55"/>
        <v>17.045454545454547</v>
      </c>
      <c r="L131" s="43">
        <f t="shared" si="56"/>
        <v>8.045454545454545</v>
      </c>
    </row>
    <row r="132" spans="1:12">
      <c r="A132" s="1" t="s">
        <v>54</v>
      </c>
      <c r="B132" s="71" t="s">
        <v>266</v>
      </c>
      <c r="C132" s="71"/>
      <c r="D132" s="69" t="s">
        <v>267</v>
      </c>
      <c r="E132" s="109">
        <v>22500</v>
      </c>
      <c r="F132" s="108"/>
      <c r="G132" s="70">
        <f t="shared" si="57"/>
        <v>562500</v>
      </c>
      <c r="H132" s="72">
        <v>33000</v>
      </c>
      <c r="I132" s="89">
        <f t="shared" si="53"/>
        <v>3300</v>
      </c>
      <c r="J132" s="73">
        <f t="shared" si="54"/>
        <v>5.8666666666666666E-2</v>
      </c>
      <c r="K132" s="73">
        <f t="shared" si="55"/>
        <v>17.045454545454547</v>
      </c>
      <c r="L132" s="43">
        <f t="shared" si="56"/>
        <v>8.045454545454545</v>
      </c>
    </row>
    <row r="133" spans="1:12">
      <c r="A133" s="1" t="s">
        <v>54</v>
      </c>
      <c r="B133" s="71" t="s">
        <v>268</v>
      </c>
      <c r="C133" s="71"/>
      <c r="D133" s="69" t="s">
        <v>269</v>
      </c>
      <c r="E133" s="109">
        <v>22500</v>
      </c>
      <c r="F133" s="108"/>
      <c r="G133" s="70">
        <f t="shared" si="57"/>
        <v>562500</v>
      </c>
      <c r="H133" s="72">
        <v>33000</v>
      </c>
      <c r="I133" s="89">
        <f t="shared" si="53"/>
        <v>3300</v>
      </c>
      <c r="J133" s="73">
        <f t="shared" si="54"/>
        <v>5.8666666666666666E-2</v>
      </c>
      <c r="K133" s="73">
        <f t="shared" si="55"/>
        <v>17.045454545454547</v>
      </c>
      <c r="L133" s="43">
        <f t="shared" si="56"/>
        <v>8.045454545454545</v>
      </c>
    </row>
    <row r="134" spans="1:12">
      <c r="A134" s="1" t="s">
        <v>54</v>
      </c>
      <c r="B134" s="81" t="s">
        <v>374</v>
      </c>
      <c r="C134" s="81"/>
      <c r="D134" s="80" t="s">
        <v>290</v>
      </c>
      <c r="E134" s="113">
        <v>17000</v>
      </c>
      <c r="F134" s="114"/>
      <c r="G134" s="82">
        <f t="shared" si="57"/>
        <v>425000</v>
      </c>
      <c r="H134" s="83">
        <v>33000</v>
      </c>
      <c r="I134" s="83"/>
      <c r="J134" s="84">
        <f t="shared" si="54"/>
        <v>7.7647058823529416E-2</v>
      </c>
      <c r="K134" s="84">
        <f t="shared" si="55"/>
        <v>12.878787878787879</v>
      </c>
      <c r="L134" s="43">
        <f t="shared" ref="L134:L141" si="58">K134/K$2</f>
        <v>6.0787878787878782</v>
      </c>
    </row>
    <row r="135" spans="1:12">
      <c r="A135" s="1" t="s">
        <v>54</v>
      </c>
      <c r="B135" s="81" t="s">
        <v>291</v>
      </c>
      <c r="C135" s="81"/>
      <c r="D135" s="80" t="s">
        <v>292</v>
      </c>
      <c r="E135" s="113">
        <v>17000</v>
      </c>
      <c r="F135" s="114"/>
      <c r="G135" s="82">
        <f t="shared" si="57"/>
        <v>425000</v>
      </c>
      <c r="H135" s="83">
        <v>33000</v>
      </c>
      <c r="I135" s="83"/>
      <c r="J135" s="84">
        <f t="shared" si="54"/>
        <v>7.7647058823529416E-2</v>
      </c>
      <c r="K135" s="84">
        <f t="shared" si="55"/>
        <v>12.878787878787879</v>
      </c>
      <c r="L135" s="43">
        <f t="shared" si="58"/>
        <v>6.0787878787878782</v>
      </c>
    </row>
    <row r="136" spans="1:12">
      <c r="A136" s="1" t="s">
        <v>54</v>
      </c>
      <c r="B136" s="81" t="s">
        <v>293</v>
      </c>
      <c r="C136" s="81"/>
      <c r="D136" s="80" t="s">
        <v>294</v>
      </c>
      <c r="E136" s="113">
        <v>17000</v>
      </c>
      <c r="F136" s="114"/>
      <c r="G136" s="82">
        <f t="shared" si="57"/>
        <v>425000</v>
      </c>
      <c r="H136" s="83">
        <v>33000</v>
      </c>
      <c r="I136" s="83"/>
      <c r="J136" s="84">
        <f t="shared" si="54"/>
        <v>7.7647058823529416E-2</v>
      </c>
      <c r="K136" s="84">
        <f t="shared" si="55"/>
        <v>12.878787878787879</v>
      </c>
      <c r="L136" s="43">
        <f t="shared" si="58"/>
        <v>6.0787878787878782</v>
      </c>
    </row>
    <row r="137" spans="1:12">
      <c r="A137" s="1" t="s">
        <v>54</v>
      </c>
      <c r="B137" s="81" t="s">
        <v>295</v>
      </c>
      <c r="C137" s="81"/>
      <c r="D137" s="80" t="s">
        <v>296</v>
      </c>
      <c r="E137" s="113">
        <v>17000</v>
      </c>
      <c r="F137" s="114"/>
      <c r="G137" s="82">
        <f t="shared" si="57"/>
        <v>425000</v>
      </c>
      <c r="H137" s="83">
        <v>33000</v>
      </c>
      <c r="I137" s="83"/>
      <c r="J137" s="84">
        <f t="shared" si="54"/>
        <v>7.7647058823529416E-2</v>
      </c>
      <c r="K137" s="84">
        <f t="shared" si="55"/>
        <v>12.878787878787879</v>
      </c>
      <c r="L137" s="43">
        <f t="shared" si="58"/>
        <v>6.0787878787878782</v>
      </c>
    </row>
    <row r="138" spans="1:12">
      <c r="A138" s="1" t="s">
        <v>54</v>
      </c>
      <c r="B138" s="81" t="s">
        <v>297</v>
      </c>
      <c r="C138" s="81"/>
      <c r="D138" s="80" t="s">
        <v>298</v>
      </c>
      <c r="E138" s="113">
        <v>17000</v>
      </c>
      <c r="F138" s="114"/>
      <c r="G138" s="82">
        <f t="shared" si="57"/>
        <v>425000</v>
      </c>
      <c r="H138" s="83">
        <v>33000</v>
      </c>
      <c r="I138" s="83"/>
      <c r="J138" s="84">
        <f t="shared" si="54"/>
        <v>7.7647058823529416E-2</v>
      </c>
      <c r="K138" s="84">
        <f t="shared" si="55"/>
        <v>12.878787878787879</v>
      </c>
      <c r="L138" s="43">
        <f t="shared" si="58"/>
        <v>6.0787878787878782</v>
      </c>
    </row>
    <row r="139" spans="1:12">
      <c r="A139" s="1" t="s">
        <v>54</v>
      </c>
      <c r="B139" s="81" t="s">
        <v>299</v>
      </c>
      <c r="C139" s="81"/>
      <c r="D139" s="80" t="s">
        <v>300</v>
      </c>
      <c r="E139" s="113">
        <v>17000</v>
      </c>
      <c r="F139" s="114"/>
      <c r="G139" s="82">
        <f t="shared" si="57"/>
        <v>425000</v>
      </c>
      <c r="H139" s="83">
        <v>33000</v>
      </c>
      <c r="I139" s="83"/>
      <c r="J139" s="84">
        <f t="shared" si="54"/>
        <v>7.7647058823529416E-2</v>
      </c>
      <c r="K139" s="84">
        <f t="shared" si="55"/>
        <v>12.878787878787879</v>
      </c>
      <c r="L139" s="43">
        <f t="shared" si="58"/>
        <v>6.0787878787878782</v>
      </c>
    </row>
    <row r="140" spans="1:12">
      <c r="A140" s="1" t="s">
        <v>54</v>
      </c>
      <c r="B140" s="81" t="s">
        <v>301</v>
      </c>
      <c r="C140" s="81"/>
      <c r="D140" s="80" t="s">
        <v>302</v>
      </c>
      <c r="E140" s="113">
        <v>17000</v>
      </c>
      <c r="F140" s="114"/>
      <c r="G140" s="82">
        <f t="shared" si="57"/>
        <v>425000</v>
      </c>
      <c r="H140" s="83">
        <v>33000</v>
      </c>
      <c r="I140" s="83"/>
      <c r="J140" s="84">
        <f t="shared" si="54"/>
        <v>7.7647058823529416E-2</v>
      </c>
      <c r="K140" s="84">
        <f t="shared" si="55"/>
        <v>12.878787878787879</v>
      </c>
      <c r="L140" s="43">
        <f t="shared" si="58"/>
        <v>6.0787878787878782</v>
      </c>
    </row>
    <row r="141" spans="1:12">
      <c r="A141" s="1" t="s">
        <v>54</v>
      </c>
      <c r="B141" s="81" t="s">
        <v>303</v>
      </c>
      <c r="C141" s="81"/>
      <c r="D141" s="80" t="s">
        <v>304</v>
      </c>
      <c r="E141" s="113">
        <v>17000</v>
      </c>
      <c r="F141" s="114"/>
      <c r="G141" s="82">
        <f t="shared" si="57"/>
        <v>425000</v>
      </c>
      <c r="H141" s="83">
        <v>33000</v>
      </c>
      <c r="I141" s="83"/>
      <c r="J141" s="84">
        <f t="shared" si="54"/>
        <v>7.7647058823529416E-2</v>
      </c>
      <c r="K141" s="84">
        <f t="shared" si="55"/>
        <v>12.878787878787879</v>
      </c>
      <c r="L141" s="43">
        <f t="shared" si="58"/>
        <v>6.0787878787878782</v>
      </c>
    </row>
    <row r="142" spans="1:12">
      <c r="A142" s="1" t="s">
        <v>54</v>
      </c>
      <c r="B142" s="81" t="s">
        <v>305</v>
      </c>
      <c r="C142" s="81"/>
      <c r="D142" s="80" t="s">
        <v>306</v>
      </c>
      <c r="E142" s="113">
        <v>17000</v>
      </c>
      <c r="F142" s="114"/>
      <c r="G142" s="82">
        <f t="shared" si="57"/>
        <v>425000</v>
      </c>
      <c r="H142" s="83">
        <v>33000</v>
      </c>
      <c r="I142" s="83"/>
      <c r="J142" s="84">
        <f t="shared" si="54"/>
        <v>7.7647058823529416E-2</v>
      </c>
      <c r="K142" s="84">
        <f t="shared" si="55"/>
        <v>12.878787878787879</v>
      </c>
      <c r="L142" s="43">
        <f>K142/K$2</f>
        <v>6.0787878787878782</v>
      </c>
    </row>
    <row r="143" spans="1:12">
      <c r="A143" s="1" t="s">
        <v>54</v>
      </c>
      <c r="B143" s="81" t="s">
        <v>307</v>
      </c>
      <c r="C143" s="81"/>
      <c r="D143" s="80" t="s">
        <v>308</v>
      </c>
      <c r="E143" s="113">
        <v>17000</v>
      </c>
      <c r="F143" s="114"/>
      <c r="G143" s="82">
        <f t="shared" si="57"/>
        <v>425000</v>
      </c>
      <c r="H143" s="83">
        <v>33000</v>
      </c>
      <c r="I143" s="83"/>
      <c r="J143" s="84">
        <f t="shared" si="54"/>
        <v>7.7647058823529416E-2</v>
      </c>
      <c r="K143" s="84">
        <f t="shared" si="55"/>
        <v>12.878787878787879</v>
      </c>
      <c r="L143" s="43">
        <f>K143/K$2</f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71" t="s">
        <v>256</v>
      </c>
      <c r="C145" s="69">
        <v>1250</v>
      </c>
      <c r="D145" s="69" t="s">
        <v>311</v>
      </c>
      <c r="E145" s="109">
        <v>3750</v>
      </c>
      <c r="F145" s="108"/>
      <c r="G145" s="70">
        <f>E145*25</f>
        <v>93750</v>
      </c>
      <c r="H145" s="72">
        <v>5500</v>
      </c>
      <c r="I145" s="89">
        <f t="shared" ref="I145:I177" si="59">H145/10</f>
        <v>550</v>
      </c>
      <c r="J145" s="73">
        <f t="shared" ref="J145:J159" si="60">H145/G145</f>
        <v>5.8666666666666666E-2</v>
      </c>
      <c r="K145" s="73">
        <f t="shared" ref="K145:K159" si="61">G145/H145</f>
        <v>17.045454545454547</v>
      </c>
      <c r="L145" s="43">
        <f t="shared" ref="L145:L159" si="62">K145/K$2</f>
        <v>8.045454545454545</v>
      </c>
    </row>
    <row r="146" spans="1:12">
      <c r="A146" s="1" t="s">
        <v>54</v>
      </c>
      <c r="B146" s="71" t="s">
        <v>257</v>
      </c>
      <c r="C146" s="69">
        <f>C145+1250</f>
        <v>2500</v>
      </c>
      <c r="D146" s="69" t="s">
        <v>311</v>
      </c>
      <c r="E146" s="109">
        <v>5300</v>
      </c>
      <c r="F146" s="108"/>
      <c r="G146" s="70">
        <f t="shared" ref="G146:G159" si="63">E146*25</f>
        <v>132500</v>
      </c>
      <c r="H146" s="72">
        <v>7700</v>
      </c>
      <c r="I146" s="89">
        <f t="shared" si="59"/>
        <v>770</v>
      </c>
      <c r="J146" s="73">
        <f t="shared" si="60"/>
        <v>5.811320754716981E-2</v>
      </c>
      <c r="K146" s="73">
        <f t="shared" si="61"/>
        <v>17.207792207792206</v>
      </c>
      <c r="L146" s="43">
        <f t="shared" si="62"/>
        <v>8.1220779220779207</v>
      </c>
    </row>
    <row r="147" spans="1:12">
      <c r="A147" s="1" t="s">
        <v>54</v>
      </c>
      <c r="B147" s="71" t="s">
        <v>258</v>
      </c>
      <c r="C147" s="69">
        <f t="shared" ref="C147:C159" si="64">C146+1250</f>
        <v>3750</v>
      </c>
      <c r="D147" s="69" t="s">
        <v>310</v>
      </c>
      <c r="E147" s="109">
        <v>7500</v>
      </c>
      <c r="F147" s="108"/>
      <c r="G147" s="70">
        <f t="shared" si="63"/>
        <v>187500</v>
      </c>
      <c r="H147" s="72">
        <v>11000</v>
      </c>
      <c r="I147" s="89">
        <f t="shared" si="59"/>
        <v>1100</v>
      </c>
      <c r="J147" s="73">
        <f t="shared" si="60"/>
        <v>5.8666666666666666E-2</v>
      </c>
      <c r="K147" s="73">
        <f t="shared" si="61"/>
        <v>17.045454545454547</v>
      </c>
      <c r="L147" s="43">
        <f t="shared" si="62"/>
        <v>8.045454545454545</v>
      </c>
    </row>
    <row r="148" spans="1:12">
      <c r="A148" s="1" t="s">
        <v>54</v>
      </c>
      <c r="B148" s="71" t="s">
        <v>259</v>
      </c>
      <c r="C148" s="69">
        <f t="shared" si="64"/>
        <v>5000</v>
      </c>
      <c r="D148" s="69" t="s">
        <v>310</v>
      </c>
      <c r="E148" s="109">
        <v>15000</v>
      </c>
      <c r="F148" s="108"/>
      <c r="G148" s="70">
        <f t="shared" si="63"/>
        <v>375000</v>
      </c>
      <c r="H148" s="72">
        <v>22000</v>
      </c>
      <c r="I148" s="89">
        <f t="shared" si="59"/>
        <v>2200</v>
      </c>
      <c r="J148" s="73">
        <f t="shared" si="60"/>
        <v>5.8666666666666666E-2</v>
      </c>
      <c r="K148" s="73">
        <f t="shared" si="61"/>
        <v>17.045454545454547</v>
      </c>
      <c r="L148" s="43">
        <f t="shared" si="62"/>
        <v>8.045454545454545</v>
      </c>
    </row>
    <row r="149" spans="1:12">
      <c r="A149" s="1" t="s">
        <v>54</v>
      </c>
      <c r="B149" s="71" t="s">
        <v>260</v>
      </c>
      <c r="C149" s="69">
        <f t="shared" si="64"/>
        <v>6250</v>
      </c>
      <c r="D149" s="69" t="s">
        <v>310</v>
      </c>
      <c r="E149" s="109">
        <v>22500</v>
      </c>
      <c r="F149" s="108"/>
      <c r="G149" s="70">
        <f t="shared" si="63"/>
        <v>562500</v>
      </c>
      <c r="H149" s="72">
        <v>33000</v>
      </c>
      <c r="I149" s="89">
        <f t="shared" si="59"/>
        <v>3300</v>
      </c>
      <c r="J149" s="73">
        <f t="shared" si="60"/>
        <v>5.8666666666666666E-2</v>
      </c>
      <c r="K149" s="73">
        <f t="shared" si="61"/>
        <v>17.045454545454547</v>
      </c>
      <c r="L149" s="43">
        <f t="shared" si="62"/>
        <v>8.045454545454545</v>
      </c>
    </row>
    <row r="150" spans="1:12">
      <c r="A150" s="1" t="s">
        <v>54</v>
      </c>
      <c r="B150" s="71" t="s">
        <v>261</v>
      </c>
      <c r="C150" s="69">
        <f t="shared" si="64"/>
        <v>7500</v>
      </c>
      <c r="D150" s="69" t="s">
        <v>310</v>
      </c>
      <c r="E150" s="109">
        <v>22500</v>
      </c>
      <c r="F150" s="108"/>
      <c r="G150" s="70">
        <f t="shared" si="63"/>
        <v>562500</v>
      </c>
      <c r="H150" s="72">
        <v>33000</v>
      </c>
      <c r="I150" s="89">
        <f t="shared" si="59"/>
        <v>3300</v>
      </c>
      <c r="J150" s="73">
        <f t="shared" si="60"/>
        <v>5.8666666666666666E-2</v>
      </c>
      <c r="K150" s="73">
        <f t="shared" si="61"/>
        <v>17.045454545454547</v>
      </c>
      <c r="L150" s="43">
        <f t="shared" si="62"/>
        <v>8.045454545454545</v>
      </c>
    </row>
    <row r="151" spans="1:12">
      <c r="A151" s="1" t="s">
        <v>54</v>
      </c>
      <c r="B151" s="71" t="s">
        <v>262</v>
      </c>
      <c r="C151" s="69">
        <f t="shared" si="64"/>
        <v>8750</v>
      </c>
      <c r="D151" s="69" t="s">
        <v>310</v>
      </c>
      <c r="E151" s="109">
        <v>22500</v>
      </c>
      <c r="F151" s="108"/>
      <c r="G151" s="70">
        <f t="shared" si="63"/>
        <v>562500</v>
      </c>
      <c r="H151" s="72">
        <v>33000</v>
      </c>
      <c r="I151" s="89">
        <f t="shared" si="59"/>
        <v>3300</v>
      </c>
      <c r="J151" s="73">
        <f t="shared" si="60"/>
        <v>5.8666666666666666E-2</v>
      </c>
      <c r="K151" s="73">
        <f t="shared" si="61"/>
        <v>17.045454545454547</v>
      </c>
      <c r="L151" s="43">
        <f t="shared" si="62"/>
        <v>8.045454545454545</v>
      </c>
    </row>
    <row r="152" spans="1:12">
      <c r="A152" s="1" t="s">
        <v>54</v>
      </c>
      <c r="B152" s="71" t="s">
        <v>263</v>
      </c>
      <c r="C152" s="69">
        <f t="shared" si="64"/>
        <v>10000</v>
      </c>
      <c r="D152" s="69" t="s">
        <v>310</v>
      </c>
      <c r="E152" s="109">
        <v>22500</v>
      </c>
      <c r="F152" s="108"/>
      <c r="G152" s="70">
        <f t="shared" si="63"/>
        <v>562500</v>
      </c>
      <c r="H152" s="72">
        <v>33000</v>
      </c>
      <c r="I152" s="89">
        <f t="shared" si="59"/>
        <v>3300</v>
      </c>
      <c r="J152" s="73">
        <f t="shared" si="60"/>
        <v>5.8666666666666666E-2</v>
      </c>
      <c r="K152" s="73">
        <f t="shared" si="61"/>
        <v>17.045454545454547</v>
      </c>
      <c r="L152" s="43">
        <f t="shared" si="62"/>
        <v>8.045454545454545</v>
      </c>
    </row>
    <row r="153" spans="1:12">
      <c r="A153" s="1" t="s">
        <v>54</v>
      </c>
      <c r="B153" s="71" t="s">
        <v>264</v>
      </c>
      <c r="C153" s="69">
        <f t="shared" si="64"/>
        <v>11250</v>
      </c>
      <c r="D153" s="69" t="s">
        <v>310</v>
      </c>
      <c r="E153" s="109">
        <v>22500</v>
      </c>
      <c r="F153" s="108"/>
      <c r="G153" s="70">
        <f t="shared" si="63"/>
        <v>562500</v>
      </c>
      <c r="H153" s="72">
        <v>33000</v>
      </c>
      <c r="I153" s="89">
        <f t="shared" si="59"/>
        <v>3300</v>
      </c>
      <c r="J153" s="73">
        <f t="shared" si="60"/>
        <v>5.8666666666666666E-2</v>
      </c>
      <c r="K153" s="73">
        <f t="shared" si="61"/>
        <v>17.045454545454547</v>
      </c>
      <c r="L153" s="43">
        <f t="shared" si="62"/>
        <v>8.045454545454545</v>
      </c>
    </row>
    <row r="154" spans="1:12">
      <c r="A154" s="1" t="s">
        <v>54</v>
      </c>
      <c r="B154" s="71" t="s">
        <v>265</v>
      </c>
      <c r="C154" s="69">
        <f t="shared" si="64"/>
        <v>12500</v>
      </c>
      <c r="D154" s="69" t="s">
        <v>310</v>
      </c>
      <c r="E154" s="109">
        <v>22500</v>
      </c>
      <c r="F154" s="108"/>
      <c r="G154" s="70">
        <f t="shared" si="63"/>
        <v>562500</v>
      </c>
      <c r="H154" s="72">
        <v>33000</v>
      </c>
      <c r="I154" s="89">
        <f t="shared" si="59"/>
        <v>3300</v>
      </c>
      <c r="J154" s="73">
        <f t="shared" si="60"/>
        <v>5.8666666666666666E-2</v>
      </c>
      <c r="K154" s="73">
        <f t="shared" si="61"/>
        <v>17.045454545454547</v>
      </c>
      <c r="L154" s="43">
        <f t="shared" si="62"/>
        <v>8.045454545454545</v>
      </c>
    </row>
    <row r="155" spans="1:12">
      <c r="A155" s="1" t="s">
        <v>54</v>
      </c>
      <c r="B155" s="71" t="s">
        <v>312</v>
      </c>
      <c r="C155" s="69">
        <f t="shared" si="64"/>
        <v>13750</v>
      </c>
      <c r="D155" s="69" t="s">
        <v>310</v>
      </c>
      <c r="E155" s="109">
        <v>22500</v>
      </c>
      <c r="F155" s="108"/>
      <c r="G155" s="70">
        <f t="shared" si="63"/>
        <v>562500</v>
      </c>
      <c r="H155" s="72">
        <v>33000</v>
      </c>
      <c r="I155" s="89">
        <f t="shared" si="59"/>
        <v>3300</v>
      </c>
      <c r="J155" s="73">
        <f t="shared" si="60"/>
        <v>5.8666666666666666E-2</v>
      </c>
      <c r="K155" s="73">
        <f t="shared" si="61"/>
        <v>17.045454545454547</v>
      </c>
      <c r="L155" s="43">
        <f t="shared" si="62"/>
        <v>8.045454545454545</v>
      </c>
    </row>
    <row r="156" spans="1:12">
      <c r="A156" s="1" t="s">
        <v>54</v>
      </c>
      <c r="B156" s="71" t="s">
        <v>313</v>
      </c>
      <c r="C156" s="69">
        <f t="shared" si="64"/>
        <v>15000</v>
      </c>
      <c r="D156" s="69" t="s">
        <v>310</v>
      </c>
      <c r="E156" s="109">
        <v>22500</v>
      </c>
      <c r="F156" s="108"/>
      <c r="G156" s="70">
        <f t="shared" si="63"/>
        <v>562500</v>
      </c>
      <c r="H156" s="72">
        <v>33000</v>
      </c>
      <c r="I156" s="89">
        <f t="shared" si="59"/>
        <v>3300</v>
      </c>
      <c r="J156" s="73">
        <f t="shared" si="60"/>
        <v>5.8666666666666666E-2</v>
      </c>
      <c r="K156" s="73">
        <f t="shared" si="61"/>
        <v>17.045454545454547</v>
      </c>
      <c r="L156" s="43">
        <f t="shared" si="62"/>
        <v>8.045454545454545</v>
      </c>
    </row>
    <row r="157" spans="1:12">
      <c r="A157" s="1" t="s">
        <v>54</v>
      </c>
      <c r="B157" s="71" t="s">
        <v>314</v>
      </c>
      <c r="C157" s="69">
        <f t="shared" si="64"/>
        <v>16250</v>
      </c>
      <c r="D157" s="69" t="s">
        <v>310</v>
      </c>
      <c r="E157" s="109">
        <v>22500</v>
      </c>
      <c r="F157" s="108"/>
      <c r="G157" s="70">
        <f t="shared" si="63"/>
        <v>562500</v>
      </c>
      <c r="H157" s="72">
        <v>33000</v>
      </c>
      <c r="I157" s="89">
        <f t="shared" si="59"/>
        <v>3300</v>
      </c>
      <c r="J157" s="73">
        <f t="shared" si="60"/>
        <v>5.8666666666666666E-2</v>
      </c>
      <c r="K157" s="73">
        <f t="shared" si="61"/>
        <v>17.045454545454547</v>
      </c>
      <c r="L157" s="43">
        <f t="shared" si="62"/>
        <v>8.045454545454545</v>
      </c>
    </row>
    <row r="158" spans="1:12">
      <c r="A158" s="1" t="s">
        <v>54</v>
      </c>
      <c r="B158" s="71" t="s">
        <v>315</v>
      </c>
      <c r="C158" s="69">
        <f t="shared" si="64"/>
        <v>17500</v>
      </c>
      <c r="D158" s="69" t="s">
        <v>310</v>
      </c>
      <c r="E158" s="109">
        <v>22500</v>
      </c>
      <c r="F158" s="108"/>
      <c r="G158" s="70">
        <f t="shared" si="63"/>
        <v>562500</v>
      </c>
      <c r="H158" s="72">
        <v>33000</v>
      </c>
      <c r="I158" s="89">
        <f t="shared" si="59"/>
        <v>3300</v>
      </c>
      <c r="J158" s="73">
        <f t="shared" si="60"/>
        <v>5.8666666666666666E-2</v>
      </c>
      <c r="K158" s="73">
        <f t="shared" si="61"/>
        <v>17.045454545454547</v>
      </c>
      <c r="L158" s="43">
        <f t="shared" si="62"/>
        <v>8.045454545454545</v>
      </c>
    </row>
    <row r="159" spans="1:12">
      <c r="A159" s="1" t="s">
        <v>54</v>
      </c>
      <c r="B159" s="71" t="s">
        <v>316</v>
      </c>
      <c r="C159" s="69">
        <f t="shared" si="64"/>
        <v>18750</v>
      </c>
      <c r="D159" s="69" t="s">
        <v>310</v>
      </c>
      <c r="E159" s="109">
        <v>22500</v>
      </c>
      <c r="F159" s="108"/>
      <c r="G159" s="70">
        <f t="shared" si="63"/>
        <v>562500</v>
      </c>
      <c r="H159" s="72">
        <v>33000</v>
      </c>
      <c r="I159" s="89">
        <f t="shared" si="59"/>
        <v>3300</v>
      </c>
      <c r="J159" s="73">
        <f t="shared" si="60"/>
        <v>5.8666666666666666E-2</v>
      </c>
      <c r="K159" s="73">
        <f t="shared" si="61"/>
        <v>17.045454545454547</v>
      </c>
      <c r="L159" s="43">
        <f t="shared" si="62"/>
        <v>8.045454545454545</v>
      </c>
    </row>
    <row r="160" spans="1:12">
      <c r="B160" s="11"/>
      <c r="F160" s="102"/>
      <c r="G160" s="16"/>
      <c r="H160" s="9"/>
      <c r="I160" s="9"/>
      <c r="J160" s="6"/>
      <c r="K160" s="6"/>
    </row>
    <row r="161" spans="1:12">
      <c r="A161" s="1" t="s">
        <v>58</v>
      </c>
      <c r="B161" s="71" t="s">
        <v>246</v>
      </c>
      <c r="C161" s="85" t="s">
        <v>318</v>
      </c>
      <c r="D161" s="69" t="s">
        <v>317</v>
      </c>
      <c r="E161" s="109">
        <v>3750</v>
      </c>
      <c r="F161" s="108"/>
      <c r="G161" s="70">
        <f>E161*25</f>
        <v>93750</v>
      </c>
      <c r="H161" s="72">
        <v>5500</v>
      </c>
      <c r="I161" s="89">
        <f t="shared" si="59"/>
        <v>550</v>
      </c>
      <c r="J161" s="73">
        <f t="shared" ref="J161:J170" si="65">H161/G161</f>
        <v>5.8666666666666666E-2</v>
      </c>
      <c r="K161" s="73">
        <f t="shared" ref="K161:K170" si="66">G161/H161</f>
        <v>17.045454545454547</v>
      </c>
      <c r="L161" s="43">
        <f t="shared" ref="L161:L170" si="67">K161/K$2</f>
        <v>8.045454545454545</v>
      </c>
    </row>
    <row r="162" spans="1:12">
      <c r="A162" s="1" t="s">
        <v>58</v>
      </c>
      <c r="B162" s="71" t="s">
        <v>247</v>
      </c>
      <c r="C162" s="85" t="s">
        <v>318</v>
      </c>
      <c r="D162" s="69" t="s">
        <v>317</v>
      </c>
      <c r="E162" s="109">
        <v>5300</v>
      </c>
      <c r="F162" s="108"/>
      <c r="G162" s="70">
        <f t="shared" ref="G162:G170" si="68">E162*25</f>
        <v>132500</v>
      </c>
      <c r="H162" s="72">
        <v>7700</v>
      </c>
      <c r="I162" s="89">
        <f t="shared" si="59"/>
        <v>770</v>
      </c>
      <c r="J162" s="73">
        <f t="shared" si="65"/>
        <v>5.811320754716981E-2</v>
      </c>
      <c r="K162" s="73">
        <f t="shared" si="66"/>
        <v>17.207792207792206</v>
      </c>
      <c r="L162" s="43">
        <f t="shared" si="67"/>
        <v>8.1220779220779207</v>
      </c>
    </row>
    <row r="163" spans="1:12">
      <c r="A163" s="1" t="s">
        <v>58</v>
      </c>
      <c r="B163" s="71" t="s">
        <v>248</v>
      </c>
      <c r="C163" s="85" t="s">
        <v>318</v>
      </c>
      <c r="D163" s="69" t="s">
        <v>317</v>
      </c>
      <c r="E163" s="109">
        <v>7500</v>
      </c>
      <c r="F163" s="108"/>
      <c r="G163" s="70">
        <f t="shared" si="68"/>
        <v>187500</v>
      </c>
      <c r="H163" s="72">
        <v>11000</v>
      </c>
      <c r="I163" s="89">
        <f t="shared" si="59"/>
        <v>1100</v>
      </c>
      <c r="J163" s="73">
        <f t="shared" si="65"/>
        <v>5.8666666666666666E-2</v>
      </c>
      <c r="K163" s="73">
        <f t="shared" si="66"/>
        <v>17.045454545454547</v>
      </c>
      <c r="L163" s="43">
        <f t="shared" si="67"/>
        <v>8.045454545454545</v>
      </c>
    </row>
    <row r="164" spans="1:12">
      <c r="A164" s="1" t="s">
        <v>58</v>
      </c>
      <c r="B164" s="71" t="s">
        <v>249</v>
      </c>
      <c r="C164" s="85" t="s">
        <v>318</v>
      </c>
      <c r="D164" s="69" t="s">
        <v>317</v>
      </c>
      <c r="E164" s="109">
        <v>15000</v>
      </c>
      <c r="F164" s="108"/>
      <c r="G164" s="70">
        <f t="shared" si="68"/>
        <v>375000</v>
      </c>
      <c r="H164" s="72">
        <v>22000</v>
      </c>
      <c r="I164" s="89">
        <f t="shared" si="59"/>
        <v>2200</v>
      </c>
      <c r="J164" s="73">
        <f t="shared" si="65"/>
        <v>5.8666666666666666E-2</v>
      </c>
      <c r="K164" s="73">
        <f t="shared" si="66"/>
        <v>17.045454545454547</v>
      </c>
      <c r="L164" s="43">
        <f t="shared" si="67"/>
        <v>8.045454545454545</v>
      </c>
    </row>
    <row r="165" spans="1:12">
      <c r="A165" s="1" t="s">
        <v>58</v>
      </c>
      <c r="B165" s="71" t="s">
        <v>250</v>
      </c>
      <c r="C165" s="85" t="s">
        <v>318</v>
      </c>
      <c r="D165" s="69" t="s">
        <v>317</v>
      </c>
      <c r="E165" s="109">
        <v>22500</v>
      </c>
      <c r="F165" s="108"/>
      <c r="G165" s="70">
        <f t="shared" si="68"/>
        <v>562500</v>
      </c>
      <c r="H165" s="72">
        <v>33000</v>
      </c>
      <c r="I165" s="89">
        <f t="shared" si="59"/>
        <v>3300</v>
      </c>
      <c r="J165" s="73">
        <f t="shared" si="65"/>
        <v>5.8666666666666666E-2</v>
      </c>
      <c r="K165" s="73">
        <f t="shared" si="66"/>
        <v>17.045454545454547</v>
      </c>
      <c r="L165" s="43">
        <f t="shared" si="67"/>
        <v>8.045454545454545</v>
      </c>
    </row>
    <row r="166" spans="1:12">
      <c r="A166" s="1" t="s">
        <v>58</v>
      </c>
      <c r="B166" s="71" t="s">
        <v>251</v>
      </c>
      <c r="C166" s="85" t="s">
        <v>318</v>
      </c>
      <c r="D166" s="69" t="s">
        <v>317</v>
      </c>
      <c r="E166" s="109">
        <v>22500</v>
      </c>
      <c r="F166" s="108"/>
      <c r="G166" s="70">
        <f t="shared" si="68"/>
        <v>562500</v>
      </c>
      <c r="H166" s="72">
        <v>33000</v>
      </c>
      <c r="I166" s="89">
        <f t="shared" si="59"/>
        <v>3300</v>
      </c>
      <c r="J166" s="73">
        <f t="shared" si="65"/>
        <v>5.8666666666666666E-2</v>
      </c>
      <c r="K166" s="73">
        <f t="shared" si="66"/>
        <v>17.045454545454547</v>
      </c>
      <c r="L166" s="43">
        <f t="shared" si="67"/>
        <v>8.045454545454545</v>
      </c>
    </row>
    <row r="167" spans="1:12">
      <c r="A167" s="1" t="s">
        <v>58</v>
      </c>
      <c r="B167" s="71" t="s">
        <v>252</v>
      </c>
      <c r="C167" s="85" t="s">
        <v>318</v>
      </c>
      <c r="D167" s="69" t="s">
        <v>317</v>
      </c>
      <c r="E167" s="109">
        <v>22500</v>
      </c>
      <c r="F167" s="108"/>
      <c r="G167" s="70">
        <f t="shared" si="68"/>
        <v>562500</v>
      </c>
      <c r="H167" s="72">
        <v>33000</v>
      </c>
      <c r="I167" s="89">
        <f t="shared" si="59"/>
        <v>3300</v>
      </c>
      <c r="J167" s="73">
        <f t="shared" si="65"/>
        <v>5.8666666666666666E-2</v>
      </c>
      <c r="K167" s="73">
        <f t="shared" si="66"/>
        <v>17.045454545454547</v>
      </c>
      <c r="L167" s="43">
        <f t="shared" si="67"/>
        <v>8.045454545454545</v>
      </c>
    </row>
    <row r="168" spans="1:12">
      <c r="A168" s="1" t="s">
        <v>58</v>
      </c>
      <c r="B168" s="71" t="s">
        <v>255</v>
      </c>
      <c r="C168" s="85" t="s">
        <v>318</v>
      </c>
      <c r="D168" s="69" t="s">
        <v>317</v>
      </c>
      <c r="E168" s="109">
        <v>22500</v>
      </c>
      <c r="F168" s="108"/>
      <c r="G168" s="70">
        <f t="shared" si="68"/>
        <v>562500</v>
      </c>
      <c r="H168" s="72">
        <v>33000</v>
      </c>
      <c r="I168" s="89">
        <f t="shared" si="59"/>
        <v>3300</v>
      </c>
      <c r="J168" s="73">
        <f t="shared" si="65"/>
        <v>5.8666666666666666E-2</v>
      </c>
      <c r="K168" s="73">
        <f t="shared" si="66"/>
        <v>17.045454545454547</v>
      </c>
      <c r="L168" s="43">
        <f t="shared" si="67"/>
        <v>8.045454545454545</v>
      </c>
    </row>
    <row r="169" spans="1:12">
      <c r="A169" s="1" t="s">
        <v>58</v>
      </c>
      <c r="B169" s="71" t="s">
        <v>253</v>
      </c>
      <c r="C169" s="85" t="s">
        <v>318</v>
      </c>
      <c r="D169" s="69" t="s">
        <v>317</v>
      </c>
      <c r="E169" s="109">
        <v>22500</v>
      </c>
      <c r="F169" s="108"/>
      <c r="G169" s="70">
        <f t="shared" si="68"/>
        <v>562500</v>
      </c>
      <c r="H169" s="72">
        <v>33000</v>
      </c>
      <c r="I169" s="89">
        <f t="shared" si="59"/>
        <v>3300</v>
      </c>
      <c r="J169" s="73">
        <f t="shared" si="65"/>
        <v>5.8666666666666666E-2</v>
      </c>
      <c r="K169" s="73">
        <f t="shared" si="66"/>
        <v>17.045454545454547</v>
      </c>
      <c r="L169" s="43">
        <f t="shared" si="67"/>
        <v>8.045454545454545</v>
      </c>
    </row>
    <row r="170" spans="1:12">
      <c r="A170" s="1" t="s">
        <v>58</v>
      </c>
      <c r="B170" s="71" t="s">
        <v>254</v>
      </c>
      <c r="C170" s="85" t="s">
        <v>318</v>
      </c>
      <c r="D170" s="69" t="s">
        <v>317</v>
      </c>
      <c r="E170" s="109">
        <v>22500</v>
      </c>
      <c r="F170" s="108"/>
      <c r="G170" s="70">
        <f t="shared" si="68"/>
        <v>562500</v>
      </c>
      <c r="H170" s="72">
        <v>33000</v>
      </c>
      <c r="I170" s="89">
        <f t="shared" si="59"/>
        <v>3300</v>
      </c>
      <c r="J170" s="73">
        <f t="shared" si="65"/>
        <v>5.8666666666666666E-2</v>
      </c>
      <c r="K170" s="73">
        <f t="shared" si="66"/>
        <v>17.045454545454547</v>
      </c>
      <c r="L170" s="43">
        <f t="shared" si="67"/>
        <v>8.045454545454545</v>
      </c>
    </row>
    <row r="171" spans="1:12">
      <c r="H171" s="147">
        <f>SUM(H161:H170)</f>
        <v>244200</v>
      </c>
      <c r="I171" s="12"/>
    </row>
    <row r="172" spans="1:12" s="53" customFormat="1">
      <c r="B172" s="54" t="s">
        <v>415</v>
      </c>
      <c r="C172" s="55"/>
      <c r="E172" s="103"/>
      <c r="F172" s="104"/>
      <c r="G172" s="19"/>
      <c r="L172" s="44"/>
    </row>
    <row r="173" spans="1:12">
      <c r="A173" s="1" t="s">
        <v>94</v>
      </c>
      <c r="B173" s="26" t="s">
        <v>324</v>
      </c>
      <c r="D173" s="150" t="s">
        <v>320</v>
      </c>
      <c r="E173" s="116"/>
      <c r="F173" s="105">
        <v>1000000</v>
      </c>
      <c r="G173" s="46">
        <f>F173</f>
        <v>1000000</v>
      </c>
      <c r="H173" s="47">
        <v>19800</v>
      </c>
      <c r="I173" s="87">
        <f t="shared" si="59"/>
        <v>1980</v>
      </c>
      <c r="J173" s="48">
        <f>H173/G173</f>
        <v>1.9800000000000002E-2</v>
      </c>
      <c r="K173" s="48">
        <f>G173/H173</f>
        <v>50.505050505050505</v>
      </c>
      <c r="L173" s="43">
        <f>K173/K$2</f>
        <v>23.838383838383837</v>
      </c>
    </row>
    <row r="174" spans="1:12">
      <c r="B174" s="1" t="s">
        <v>325</v>
      </c>
      <c r="D174" s="150"/>
      <c r="F174" s="102"/>
      <c r="G174" s="16"/>
      <c r="H174" s="9"/>
      <c r="I174" s="9"/>
      <c r="J174" s="6"/>
      <c r="K174" s="6"/>
    </row>
    <row r="175" spans="1:12">
      <c r="D175" s="150"/>
      <c r="F175" s="102"/>
      <c r="G175" s="16"/>
      <c r="H175" s="9"/>
      <c r="I175" s="9"/>
      <c r="J175" s="6"/>
      <c r="K175" s="6"/>
    </row>
    <row r="176" spans="1:12">
      <c r="D176" s="49"/>
    </row>
    <row r="177" spans="1:14">
      <c r="A177" s="1" t="s">
        <v>58</v>
      </c>
      <c r="B177" s="26" t="s">
        <v>321</v>
      </c>
      <c r="D177" s="150" t="s">
        <v>362</v>
      </c>
      <c r="E177" s="116"/>
      <c r="F177" s="105">
        <v>360000</v>
      </c>
      <c r="G177" s="46">
        <f>F177</f>
        <v>360000</v>
      </c>
      <c r="H177" s="47">
        <v>6600</v>
      </c>
      <c r="I177" s="87">
        <f t="shared" si="59"/>
        <v>660</v>
      </c>
      <c r="J177" s="48">
        <f>H177/G177</f>
        <v>1.8333333333333333E-2</v>
      </c>
      <c r="K177" s="48">
        <f>G177/H177</f>
        <v>54.545454545454547</v>
      </c>
      <c r="L177" s="43">
        <f>K177/K$2</f>
        <v>25.745454545454546</v>
      </c>
    </row>
    <row r="178" spans="1:14">
      <c r="B178" s="1" t="s">
        <v>323</v>
      </c>
      <c r="D178" s="150"/>
      <c r="E178" s="116"/>
    </row>
    <row r="179" spans="1:14">
      <c r="D179" s="150"/>
      <c r="E179" s="116"/>
    </row>
    <row r="180" spans="1:14" ht="13.5" customHeight="1">
      <c r="D180" s="150"/>
      <c r="E180" s="116"/>
    </row>
    <row r="181" spans="1:14">
      <c r="D181" s="49"/>
    </row>
    <row r="182" spans="1:14" ht="16.5" customHeight="1">
      <c r="A182" s="1" t="s">
        <v>58</v>
      </c>
      <c r="B182" s="26" t="s">
        <v>322</v>
      </c>
      <c r="D182" s="150" t="s">
        <v>319</v>
      </c>
      <c r="E182" s="116"/>
      <c r="F182" s="105">
        <v>400000</v>
      </c>
      <c r="G182" s="46">
        <f>F182</f>
        <v>400000</v>
      </c>
      <c r="H182" s="47">
        <v>6600</v>
      </c>
      <c r="I182" s="87">
        <f t="shared" ref="I182" si="69">H182/10</f>
        <v>660</v>
      </c>
      <c r="J182" s="48">
        <f>H182/G182</f>
        <v>1.6500000000000001E-2</v>
      </c>
      <c r="K182" s="48">
        <f>G182/H182</f>
        <v>60.606060606060609</v>
      </c>
      <c r="L182" s="43">
        <f>K182/K$2</f>
        <v>28.606060606060606</v>
      </c>
    </row>
    <row r="183" spans="1:14">
      <c r="B183" s="1" t="s">
        <v>323</v>
      </c>
      <c r="D183" s="150"/>
      <c r="E183" s="116"/>
    </row>
    <row r="184" spans="1:14">
      <c r="D184" s="150"/>
      <c r="E184" s="116"/>
    </row>
    <row r="185" spans="1:14">
      <c r="D185" s="150"/>
      <c r="E185" s="116"/>
    </row>
    <row r="187" spans="1:14" s="53" customFormat="1">
      <c r="B187" s="54" t="s">
        <v>85</v>
      </c>
      <c r="C187" s="55"/>
      <c r="E187" s="103"/>
      <c r="F187" s="104"/>
      <c r="G187" s="19"/>
      <c r="L187" s="44"/>
    </row>
    <row r="188" spans="1:14">
      <c r="B188" s="20" t="s">
        <v>199</v>
      </c>
      <c r="C188" s="10"/>
      <c r="D188" s="23"/>
      <c r="E188" s="117"/>
      <c r="F188" s="102"/>
      <c r="G188" s="16"/>
    </row>
    <row r="189" spans="1:14">
      <c r="A189" s="1" t="s">
        <v>54</v>
      </c>
      <c r="B189" s="69" t="s">
        <v>95</v>
      </c>
      <c r="C189" s="71" t="s">
        <v>130</v>
      </c>
      <c r="D189" s="86" t="s">
        <v>48</v>
      </c>
      <c r="E189" s="108">
        <v>200000</v>
      </c>
      <c r="F189" s="108"/>
      <c r="G189" s="70">
        <f t="shared" ref="G189:G207" si="70">E189</f>
        <v>200000</v>
      </c>
      <c r="H189" s="72">
        <v>11000</v>
      </c>
      <c r="I189" s="89">
        <f t="shared" ref="I189:I207" si="71">H189/10</f>
        <v>1100</v>
      </c>
      <c r="J189" s="73">
        <f t="shared" ref="J189:J207" si="72">H189/G189</f>
        <v>5.5E-2</v>
      </c>
      <c r="K189" s="73">
        <f t="shared" ref="K189:K207" si="73">G189/H189</f>
        <v>18.181818181818183</v>
      </c>
      <c r="L189" s="43">
        <f t="shared" ref="L189:L191" si="74">K189/K$2</f>
        <v>8.581818181818182</v>
      </c>
      <c r="M189" s="1" t="s">
        <v>414</v>
      </c>
      <c r="N189" s="149"/>
    </row>
    <row r="190" spans="1:14">
      <c r="A190" s="1" t="s">
        <v>54</v>
      </c>
      <c r="B190" s="69" t="s">
        <v>442</v>
      </c>
      <c r="C190" s="71" t="s">
        <v>113</v>
      </c>
      <c r="D190" s="86" t="s">
        <v>48</v>
      </c>
      <c r="E190" s="108">
        <v>600000</v>
      </c>
      <c r="F190" s="108"/>
      <c r="G190" s="70">
        <f t="shared" si="70"/>
        <v>600000</v>
      </c>
      <c r="H190" s="72">
        <v>33000</v>
      </c>
      <c r="I190" s="89">
        <f t="shared" si="71"/>
        <v>3300</v>
      </c>
      <c r="J190" s="73">
        <f t="shared" si="72"/>
        <v>5.5E-2</v>
      </c>
      <c r="K190" s="73">
        <f t="shared" si="73"/>
        <v>18.181818181818183</v>
      </c>
      <c r="L190" s="43">
        <f t="shared" si="74"/>
        <v>8.581818181818182</v>
      </c>
      <c r="M190" s="1" t="s">
        <v>414</v>
      </c>
      <c r="N190" s="149"/>
    </row>
    <row r="191" spans="1:14">
      <c r="A191" s="1" t="s">
        <v>54</v>
      </c>
      <c r="B191" s="69" t="s">
        <v>443</v>
      </c>
      <c r="C191" s="71" t="s">
        <v>114</v>
      </c>
      <c r="D191" s="86" t="s">
        <v>48</v>
      </c>
      <c r="E191" s="108">
        <v>600000</v>
      </c>
      <c r="F191" s="108"/>
      <c r="G191" s="70">
        <f t="shared" si="70"/>
        <v>600000</v>
      </c>
      <c r="H191" s="72">
        <v>33000</v>
      </c>
      <c r="I191" s="89">
        <f t="shared" si="71"/>
        <v>3300</v>
      </c>
      <c r="J191" s="73">
        <f t="shared" si="72"/>
        <v>5.5E-2</v>
      </c>
      <c r="K191" s="73">
        <f t="shared" si="73"/>
        <v>18.181818181818183</v>
      </c>
      <c r="L191" s="43">
        <f t="shared" si="74"/>
        <v>8.581818181818182</v>
      </c>
      <c r="M191" s="1" t="s">
        <v>414</v>
      </c>
      <c r="N191" s="149"/>
    </row>
    <row r="192" spans="1:14">
      <c r="A192" s="1" t="s">
        <v>54</v>
      </c>
      <c r="B192" s="69" t="s">
        <v>96</v>
      </c>
      <c r="C192" s="71" t="s">
        <v>115</v>
      </c>
      <c r="D192" s="86" t="s">
        <v>48</v>
      </c>
      <c r="E192" s="108">
        <v>200000</v>
      </c>
      <c r="F192" s="108"/>
      <c r="G192" s="70">
        <f t="shared" si="70"/>
        <v>200000</v>
      </c>
      <c r="H192" s="72">
        <v>11000</v>
      </c>
      <c r="I192" s="89">
        <f t="shared" si="71"/>
        <v>1100</v>
      </c>
      <c r="J192" s="73">
        <f t="shared" si="72"/>
        <v>5.5E-2</v>
      </c>
      <c r="K192" s="73">
        <f t="shared" si="73"/>
        <v>18.181818181818183</v>
      </c>
      <c r="L192" s="43">
        <f t="shared" ref="L192:L195" si="75">K192/K$2</f>
        <v>8.581818181818182</v>
      </c>
      <c r="M192" s="1" t="s">
        <v>414</v>
      </c>
      <c r="N192" s="149"/>
    </row>
    <row r="193" spans="1:14">
      <c r="A193" s="1" t="s">
        <v>54</v>
      </c>
      <c r="B193" s="69" t="s">
        <v>97</v>
      </c>
      <c r="C193" s="71" t="s">
        <v>116</v>
      </c>
      <c r="D193" s="86" t="s">
        <v>48</v>
      </c>
      <c r="E193" s="108">
        <v>600000</v>
      </c>
      <c r="F193" s="108"/>
      <c r="G193" s="70">
        <f t="shared" si="70"/>
        <v>600000</v>
      </c>
      <c r="H193" s="72">
        <v>33000</v>
      </c>
      <c r="I193" s="89">
        <f t="shared" si="71"/>
        <v>3300</v>
      </c>
      <c r="J193" s="73">
        <f t="shared" si="72"/>
        <v>5.5E-2</v>
      </c>
      <c r="K193" s="73">
        <f t="shared" si="73"/>
        <v>18.181818181818183</v>
      </c>
      <c r="L193" s="43">
        <f t="shared" si="75"/>
        <v>8.581818181818182</v>
      </c>
      <c r="M193" s="1" t="s">
        <v>414</v>
      </c>
      <c r="N193" s="149"/>
    </row>
    <row r="194" spans="1:14">
      <c r="A194" s="1" t="s">
        <v>54</v>
      </c>
      <c r="B194" s="69" t="s">
        <v>98</v>
      </c>
      <c r="C194" s="71" t="s">
        <v>117</v>
      </c>
      <c r="D194" s="86" t="s">
        <v>48</v>
      </c>
      <c r="E194" s="108">
        <v>600000</v>
      </c>
      <c r="F194" s="108"/>
      <c r="G194" s="70">
        <f t="shared" si="70"/>
        <v>600000</v>
      </c>
      <c r="H194" s="72">
        <v>33000</v>
      </c>
      <c r="I194" s="89">
        <f t="shared" si="71"/>
        <v>3300</v>
      </c>
      <c r="J194" s="73">
        <f t="shared" si="72"/>
        <v>5.5E-2</v>
      </c>
      <c r="K194" s="73">
        <f t="shared" si="73"/>
        <v>18.181818181818183</v>
      </c>
      <c r="L194" s="43">
        <f t="shared" si="75"/>
        <v>8.581818181818182</v>
      </c>
      <c r="M194" s="1" t="s">
        <v>414</v>
      </c>
      <c r="N194" s="149"/>
    </row>
    <row r="195" spans="1:14">
      <c r="A195" s="1" t="s">
        <v>54</v>
      </c>
      <c r="B195" s="69" t="s">
        <v>99</v>
      </c>
      <c r="C195" s="71" t="s">
        <v>118</v>
      </c>
      <c r="D195" s="86" t="s">
        <v>48</v>
      </c>
      <c r="E195" s="108">
        <v>600000</v>
      </c>
      <c r="F195" s="108"/>
      <c r="G195" s="70">
        <f t="shared" si="70"/>
        <v>600000</v>
      </c>
      <c r="H195" s="72">
        <v>33000</v>
      </c>
      <c r="I195" s="89">
        <f t="shared" si="71"/>
        <v>3300</v>
      </c>
      <c r="J195" s="73">
        <f t="shared" si="72"/>
        <v>5.5E-2</v>
      </c>
      <c r="K195" s="73">
        <f t="shared" si="73"/>
        <v>18.181818181818183</v>
      </c>
      <c r="L195" s="43">
        <f t="shared" si="75"/>
        <v>8.581818181818182</v>
      </c>
      <c r="M195" s="1" t="s">
        <v>414</v>
      </c>
      <c r="N195" s="149"/>
    </row>
    <row r="196" spans="1:14">
      <c r="A196" s="1" t="s">
        <v>54</v>
      </c>
      <c r="B196" s="69" t="s">
        <v>100</v>
      </c>
      <c r="C196" s="71" t="s">
        <v>119</v>
      </c>
      <c r="D196" s="86" t="s">
        <v>48</v>
      </c>
      <c r="E196" s="108">
        <v>200000</v>
      </c>
      <c r="F196" s="108"/>
      <c r="G196" s="70">
        <f t="shared" si="70"/>
        <v>200000</v>
      </c>
      <c r="H196" s="72">
        <v>11000</v>
      </c>
      <c r="I196" s="89">
        <f t="shared" si="71"/>
        <v>1100</v>
      </c>
      <c r="J196" s="73">
        <f t="shared" si="72"/>
        <v>5.5E-2</v>
      </c>
      <c r="K196" s="73">
        <f t="shared" si="73"/>
        <v>18.181818181818183</v>
      </c>
      <c r="L196" s="43">
        <f>K196/K$2</f>
        <v>8.581818181818182</v>
      </c>
      <c r="M196" s="1" t="s">
        <v>414</v>
      </c>
      <c r="N196" s="149"/>
    </row>
    <row r="197" spans="1:14">
      <c r="A197" s="1" t="s">
        <v>54</v>
      </c>
      <c r="B197" s="69" t="s">
        <v>101</v>
      </c>
      <c r="C197" s="71" t="s">
        <v>131</v>
      </c>
      <c r="D197" s="86" t="s">
        <v>48</v>
      </c>
      <c r="E197" s="108">
        <v>600000</v>
      </c>
      <c r="F197" s="108"/>
      <c r="G197" s="70">
        <f t="shared" si="70"/>
        <v>600000</v>
      </c>
      <c r="H197" s="72">
        <v>33000</v>
      </c>
      <c r="I197" s="89">
        <f t="shared" si="71"/>
        <v>3300</v>
      </c>
      <c r="J197" s="73">
        <f t="shared" si="72"/>
        <v>5.5E-2</v>
      </c>
      <c r="K197" s="73">
        <f t="shared" si="73"/>
        <v>18.181818181818183</v>
      </c>
      <c r="L197" s="43">
        <f t="shared" ref="L197:L199" si="76">K197/K$2</f>
        <v>8.581818181818182</v>
      </c>
      <c r="M197" s="1" t="s">
        <v>414</v>
      </c>
      <c r="N197" s="149"/>
    </row>
    <row r="198" spans="1:14">
      <c r="A198" s="1" t="s">
        <v>54</v>
      </c>
      <c r="B198" s="69" t="s">
        <v>102</v>
      </c>
      <c r="C198" s="71" t="s">
        <v>120</v>
      </c>
      <c r="D198" s="86" t="s">
        <v>48</v>
      </c>
      <c r="E198" s="108">
        <v>600000</v>
      </c>
      <c r="F198" s="108"/>
      <c r="G198" s="70">
        <f t="shared" si="70"/>
        <v>600000</v>
      </c>
      <c r="H198" s="72">
        <v>33000</v>
      </c>
      <c r="I198" s="89">
        <f t="shared" si="71"/>
        <v>3300</v>
      </c>
      <c r="J198" s="73">
        <f t="shared" si="72"/>
        <v>5.5E-2</v>
      </c>
      <c r="K198" s="73">
        <f t="shared" si="73"/>
        <v>18.181818181818183</v>
      </c>
      <c r="L198" s="43">
        <f t="shared" si="76"/>
        <v>8.581818181818182</v>
      </c>
      <c r="M198" s="1" t="s">
        <v>414</v>
      </c>
      <c r="N198" s="149"/>
    </row>
    <row r="199" spans="1:14">
      <c r="A199" s="1" t="s">
        <v>54</v>
      </c>
      <c r="B199" s="69" t="s">
        <v>103</v>
      </c>
      <c r="C199" s="71" t="s">
        <v>121</v>
      </c>
      <c r="D199" s="86" t="s">
        <v>48</v>
      </c>
      <c r="E199" s="108">
        <v>600000</v>
      </c>
      <c r="F199" s="108"/>
      <c r="G199" s="70">
        <f t="shared" si="70"/>
        <v>600000</v>
      </c>
      <c r="H199" s="72">
        <v>33000</v>
      </c>
      <c r="I199" s="89">
        <f t="shared" si="71"/>
        <v>3300</v>
      </c>
      <c r="J199" s="73">
        <f t="shared" si="72"/>
        <v>5.5E-2</v>
      </c>
      <c r="K199" s="73">
        <f t="shared" si="73"/>
        <v>18.181818181818183</v>
      </c>
      <c r="L199" s="43">
        <f t="shared" si="76"/>
        <v>8.581818181818182</v>
      </c>
      <c r="M199" s="1" t="s">
        <v>414</v>
      </c>
      <c r="N199" s="149"/>
    </row>
    <row r="200" spans="1:14">
      <c r="A200" s="1" t="s">
        <v>54</v>
      </c>
      <c r="B200" s="69" t="s">
        <v>104</v>
      </c>
      <c r="C200" s="71" t="s">
        <v>122</v>
      </c>
      <c r="D200" s="86" t="s">
        <v>48</v>
      </c>
      <c r="E200" s="108">
        <v>200000</v>
      </c>
      <c r="F200" s="108"/>
      <c r="G200" s="70">
        <f t="shared" si="70"/>
        <v>200000</v>
      </c>
      <c r="H200" s="72">
        <v>33000</v>
      </c>
      <c r="I200" s="89">
        <f t="shared" si="71"/>
        <v>3300</v>
      </c>
      <c r="J200" s="73">
        <f t="shared" si="72"/>
        <v>0.16500000000000001</v>
      </c>
      <c r="K200" s="73">
        <f t="shared" si="73"/>
        <v>6.0606060606060606</v>
      </c>
      <c r="L200" s="43">
        <f>K200/K$2</f>
        <v>2.8606060606060604</v>
      </c>
      <c r="M200" s="1" t="s">
        <v>414</v>
      </c>
      <c r="N200" s="149"/>
    </row>
    <row r="201" spans="1:14">
      <c r="A201" s="1" t="s">
        <v>54</v>
      </c>
      <c r="B201" s="69" t="s">
        <v>105</v>
      </c>
      <c r="C201" s="71" t="s">
        <v>123</v>
      </c>
      <c r="D201" s="86" t="s">
        <v>48</v>
      </c>
      <c r="E201" s="108">
        <v>600000</v>
      </c>
      <c r="F201" s="108"/>
      <c r="G201" s="70">
        <f t="shared" si="70"/>
        <v>600000</v>
      </c>
      <c r="H201" s="72">
        <v>33000</v>
      </c>
      <c r="I201" s="89">
        <f t="shared" si="71"/>
        <v>3300</v>
      </c>
      <c r="J201" s="73">
        <f t="shared" si="72"/>
        <v>5.5E-2</v>
      </c>
      <c r="K201" s="73">
        <f t="shared" si="73"/>
        <v>18.181818181818183</v>
      </c>
      <c r="L201" s="43">
        <f t="shared" ref="L201:L203" si="77">K201/K$2</f>
        <v>8.581818181818182</v>
      </c>
      <c r="M201" s="1" t="s">
        <v>414</v>
      </c>
      <c r="N201" s="149"/>
    </row>
    <row r="202" spans="1:14">
      <c r="A202" s="1" t="s">
        <v>54</v>
      </c>
      <c r="B202" s="69" t="s">
        <v>106</v>
      </c>
      <c r="C202" s="71" t="s">
        <v>124</v>
      </c>
      <c r="D202" s="86" t="s">
        <v>48</v>
      </c>
      <c r="E202" s="108">
        <v>600000</v>
      </c>
      <c r="F202" s="108"/>
      <c r="G202" s="70">
        <f t="shared" si="70"/>
        <v>600000</v>
      </c>
      <c r="H202" s="72">
        <v>33000</v>
      </c>
      <c r="I202" s="89">
        <f t="shared" si="71"/>
        <v>3300</v>
      </c>
      <c r="J202" s="73">
        <f t="shared" si="72"/>
        <v>5.5E-2</v>
      </c>
      <c r="K202" s="73">
        <f t="shared" si="73"/>
        <v>18.181818181818183</v>
      </c>
      <c r="L202" s="43">
        <f t="shared" si="77"/>
        <v>8.581818181818182</v>
      </c>
      <c r="M202" s="1" t="s">
        <v>414</v>
      </c>
      <c r="N202" s="149"/>
    </row>
    <row r="203" spans="1:14">
      <c r="A203" s="1" t="s">
        <v>54</v>
      </c>
      <c r="B203" s="69" t="s">
        <v>107</v>
      </c>
      <c r="C203" s="71" t="s">
        <v>125</v>
      </c>
      <c r="D203" s="86" t="s">
        <v>48</v>
      </c>
      <c r="E203" s="108">
        <v>600000</v>
      </c>
      <c r="F203" s="108"/>
      <c r="G203" s="70">
        <f t="shared" si="70"/>
        <v>600000</v>
      </c>
      <c r="H203" s="72">
        <v>33000</v>
      </c>
      <c r="I203" s="89">
        <f t="shared" si="71"/>
        <v>3300</v>
      </c>
      <c r="J203" s="73">
        <f t="shared" si="72"/>
        <v>5.5E-2</v>
      </c>
      <c r="K203" s="73">
        <f t="shared" si="73"/>
        <v>18.181818181818183</v>
      </c>
      <c r="L203" s="43">
        <f t="shared" si="77"/>
        <v>8.581818181818182</v>
      </c>
      <c r="M203" s="1" t="s">
        <v>414</v>
      </c>
      <c r="N203" s="149"/>
    </row>
    <row r="204" spans="1:14">
      <c r="A204" s="1" t="s">
        <v>54</v>
      </c>
      <c r="B204" s="69" t="s">
        <v>108</v>
      </c>
      <c r="C204" s="71" t="s">
        <v>126</v>
      </c>
      <c r="D204" s="86" t="s">
        <v>48</v>
      </c>
      <c r="E204" s="108">
        <v>600000</v>
      </c>
      <c r="F204" s="108"/>
      <c r="G204" s="70">
        <f t="shared" si="70"/>
        <v>600000</v>
      </c>
      <c r="H204" s="72">
        <v>33000</v>
      </c>
      <c r="I204" s="89">
        <f t="shared" si="71"/>
        <v>3300</v>
      </c>
      <c r="J204" s="73">
        <f t="shared" si="72"/>
        <v>5.5E-2</v>
      </c>
      <c r="K204" s="73">
        <f t="shared" si="73"/>
        <v>18.181818181818183</v>
      </c>
      <c r="L204" s="43">
        <f>K204/K$2</f>
        <v>8.581818181818182</v>
      </c>
      <c r="M204" s="1" t="s">
        <v>414</v>
      </c>
      <c r="N204" s="149"/>
    </row>
    <row r="205" spans="1:14">
      <c r="A205" s="1" t="s">
        <v>54</v>
      </c>
      <c r="B205" s="69" t="s">
        <v>109</v>
      </c>
      <c r="C205" s="71" t="s">
        <v>127</v>
      </c>
      <c r="D205" s="86" t="s">
        <v>48</v>
      </c>
      <c r="E205" s="108">
        <v>600000</v>
      </c>
      <c r="F205" s="108"/>
      <c r="G205" s="70">
        <f t="shared" si="70"/>
        <v>600000</v>
      </c>
      <c r="H205" s="72">
        <v>33000</v>
      </c>
      <c r="I205" s="89">
        <f t="shared" si="71"/>
        <v>3300</v>
      </c>
      <c r="J205" s="73">
        <f t="shared" si="72"/>
        <v>5.5E-2</v>
      </c>
      <c r="K205" s="73">
        <f t="shared" si="73"/>
        <v>18.181818181818183</v>
      </c>
      <c r="L205" s="43">
        <f t="shared" ref="L205:L207" si="78">K205/K$2</f>
        <v>8.581818181818182</v>
      </c>
      <c r="M205" s="1" t="s">
        <v>414</v>
      </c>
      <c r="N205" s="149"/>
    </row>
    <row r="206" spans="1:14">
      <c r="A206" s="1" t="s">
        <v>54</v>
      </c>
      <c r="B206" s="69" t="s">
        <v>110</v>
      </c>
      <c r="C206" s="71" t="s">
        <v>128</v>
      </c>
      <c r="D206" s="86" t="s">
        <v>48</v>
      </c>
      <c r="E206" s="108">
        <v>600000</v>
      </c>
      <c r="F206" s="108"/>
      <c r="G206" s="70">
        <f t="shared" si="70"/>
        <v>600000</v>
      </c>
      <c r="H206" s="72">
        <v>33000</v>
      </c>
      <c r="I206" s="89">
        <f t="shared" si="71"/>
        <v>3300</v>
      </c>
      <c r="J206" s="73">
        <f t="shared" si="72"/>
        <v>5.5E-2</v>
      </c>
      <c r="K206" s="73">
        <f t="shared" si="73"/>
        <v>18.181818181818183</v>
      </c>
      <c r="L206" s="43">
        <f t="shared" si="78"/>
        <v>8.581818181818182</v>
      </c>
      <c r="M206" s="1" t="s">
        <v>414</v>
      </c>
      <c r="N206" s="149"/>
    </row>
    <row r="207" spans="1:14">
      <c r="A207" s="1" t="s">
        <v>54</v>
      </c>
      <c r="B207" s="69" t="s">
        <v>111</v>
      </c>
      <c r="C207" s="71" t="s">
        <v>129</v>
      </c>
      <c r="D207" s="86" t="s">
        <v>48</v>
      </c>
      <c r="E207" s="108">
        <v>600000</v>
      </c>
      <c r="F207" s="108"/>
      <c r="G207" s="70">
        <f t="shared" si="70"/>
        <v>600000</v>
      </c>
      <c r="H207" s="72">
        <v>33000</v>
      </c>
      <c r="I207" s="89">
        <f t="shared" si="71"/>
        <v>3300</v>
      </c>
      <c r="J207" s="73">
        <f t="shared" si="72"/>
        <v>5.5E-2</v>
      </c>
      <c r="K207" s="73">
        <f t="shared" si="73"/>
        <v>18.181818181818183</v>
      </c>
      <c r="L207" s="43">
        <f t="shared" si="78"/>
        <v>8.581818181818182</v>
      </c>
      <c r="M207" s="1" t="s">
        <v>414</v>
      </c>
      <c r="N207" s="149"/>
    </row>
    <row r="209" spans="1:13">
      <c r="B209" s="20" t="s">
        <v>200</v>
      </c>
      <c r="D209" s="23"/>
      <c r="E209" s="117"/>
    </row>
    <row r="210" spans="1:13">
      <c r="A210" s="1" t="s">
        <v>54</v>
      </c>
      <c r="B210" s="26" t="s">
        <v>132</v>
      </c>
      <c r="C210" s="42" t="s">
        <v>232</v>
      </c>
      <c r="D210" s="66" t="s">
        <v>376</v>
      </c>
      <c r="E210" s="123">
        <v>1000</v>
      </c>
      <c r="F210" s="107">
        <v>590</v>
      </c>
      <c r="G210" s="46">
        <f t="shared" ref="G210:G215" si="79">F210*100+E210</f>
        <v>60000</v>
      </c>
      <c r="H210" s="47">
        <v>3300</v>
      </c>
      <c r="I210" s="87">
        <f t="shared" ref="I210:I222" si="80">H210/10</f>
        <v>330</v>
      </c>
      <c r="J210" s="48">
        <f t="shared" ref="J210:J215" si="81">H210/G210</f>
        <v>5.5E-2</v>
      </c>
      <c r="K210" s="48">
        <f t="shared" ref="K210:K215" si="82">G210/H210</f>
        <v>18.181818181818183</v>
      </c>
      <c r="L210" s="43">
        <f t="shared" ref="L210:L214" si="83">K210/K$2</f>
        <v>8.581818181818182</v>
      </c>
      <c r="M210" s="1" t="s">
        <v>414</v>
      </c>
    </row>
    <row r="211" spans="1:13">
      <c r="A211" s="1" t="s">
        <v>54</v>
      </c>
      <c r="B211" s="26" t="s">
        <v>133</v>
      </c>
      <c r="C211" s="42" t="s">
        <v>233</v>
      </c>
      <c r="D211" s="66" t="s">
        <v>376</v>
      </c>
      <c r="E211" s="123">
        <v>3000</v>
      </c>
      <c r="F211" s="107">
        <v>960</v>
      </c>
      <c r="G211" s="46">
        <f t="shared" si="79"/>
        <v>99000</v>
      </c>
      <c r="H211" s="47">
        <v>5500</v>
      </c>
      <c r="I211" s="87">
        <f t="shared" si="80"/>
        <v>550</v>
      </c>
      <c r="J211" s="48">
        <f t="shared" si="81"/>
        <v>5.5555555555555552E-2</v>
      </c>
      <c r="K211" s="48">
        <f t="shared" si="82"/>
        <v>18</v>
      </c>
      <c r="L211" s="43">
        <f t="shared" si="83"/>
        <v>8.4959999999999987</v>
      </c>
      <c r="M211" s="1" t="s">
        <v>414</v>
      </c>
    </row>
    <row r="212" spans="1:13">
      <c r="A212" s="1" t="s">
        <v>54</v>
      </c>
      <c r="B212" s="26" t="s">
        <v>134</v>
      </c>
      <c r="C212" s="42" t="s">
        <v>234</v>
      </c>
      <c r="D212" s="66" t="s">
        <v>376</v>
      </c>
      <c r="E212" s="123">
        <v>5000</v>
      </c>
      <c r="F212" s="107">
        <v>1950</v>
      </c>
      <c r="G212" s="46">
        <f t="shared" si="79"/>
        <v>200000</v>
      </c>
      <c r="H212" s="47">
        <v>11000</v>
      </c>
      <c r="I212" s="87">
        <f t="shared" si="80"/>
        <v>1100</v>
      </c>
      <c r="J212" s="48">
        <f t="shared" si="81"/>
        <v>5.5E-2</v>
      </c>
      <c r="K212" s="48">
        <f t="shared" si="82"/>
        <v>18.181818181818183</v>
      </c>
      <c r="L212" s="43">
        <f t="shared" si="83"/>
        <v>8.581818181818182</v>
      </c>
      <c r="M212" s="1" t="s">
        <v>414</v>
      </c>
    </row>
    <row r="213" spans="1:13">
      <c r="A213" s="1" t="s">
        <v>54</v>
      </c>
      <c r="B213" s="26" t="s">
        <v>135</v>
      </c>
      <c r="C213" s="42" t="s">
        <v>235</v>
      </c>
      <c r="D213" s="66" t="s">
        <v>376</v>
      </c>
      <c r="E213" s="123">
        <v>10000</v>
      </c>
      <c r="F213" s="107">
        <v>5900</v>
      </c>
      <c r="G213" s="46">
        <f t="shared" si="79"/>
        <v>600000</v>
      </c>
      <c r="H213" s="47">
        <v>33000</v>
      </c>
      <c r="I213" s="87">
        <f t="shared" si="80"/>
        <v>3300</v>
      </c>
      <c r="J213" s="48">
        <f t="shared" si="81"/>
        <v>5.5E-2</v>
      </c>
      <c r="K213" s="48">
        <f t="shared" si="82"/>
        <v>18.181818181818183</v>
      </c>
      <c r="L213" s="43">
        <f t="shared" si="83"/>
        <v>8.581818181818182</v>
      </c>
      <c r="M213" s="1" t="s">
        <v>414</v>
      </c>
    </row>
    <row r="214" spans="1:13">
      <c r="A214" s="1" t="s">
        <v>54</v>
      </c>
      <c r="B214" s="26" t="s">
        <v>136</v>
      </c>
      <c r="C214" s="42" t="s">
        <v>236</v>
      </c>
      <c r="D214" s="66" t="s">
        <v>376</v>
      </c>
      <c r="E214" s="123">
        <v>10000</v>
      </c>
      <c r="F214" s="107">
        <v>5900</v>
      </c>
      <c r="G214" s="46">
        <f t="shared" si="79"/>
        <v>600000</v>
      </c>
      <c r="H214" s="47">
        <v>33000</v>
      </c>
      <c r="I214" s="87">
        <f t="shared" si="80"/>
        <v>3300</v>
      </c>
      <c r="J214" s="48">
        <f t="shared" si="81"/>
        <v>5.5E-2</v>
      </c>
      <c r="K214" s="48">
        <f t="shared" si="82"/>
        <v>18.181818181818183</v>
      </c>
      <c r="L214" s="43">
        <f t="shared" si="83"/>
        <v>8.581818181818182</v>
      </c>
      <c r="M214" s="1" t="s">
        <v>414</v>
      </c>
    </row>
    <row r="215" spans="1:13">
      <c r="A215" s="1" t="s">
        <v>54</v>
      </c>
      <c r="B215" s="26" t="s">
        <v>137</v>
      </c>
      <c r="C215" s="42" t="s">
        <v>237</v>
      </c>
      <c r="D215" s="66" t="s">
        <v>376</v>
      </c>
      <c r="E215" s="123">
        <v>10000</v>
      </c>
      <c r="F215" s="107">
        <v>5900</v>
      </c>
      <c r="G215" s="46">
        <f t="shared" si="79"/>
        <v>600000</v>
      </c>
      <c r="H215" s="47">
        <v>33000</v>
      </c>
      <c r="I215" s="87">
        <f t="shared" si="80"/>
        <v>3300</v>
      </c>
      <c r="J215" s="48">
        <f t="shared" si="81"/>
        <v>5.5E-2</v>
      </c>
      <c r="K215" s="48">
        <f t="shared" si="82"/>
        <v>18.181818181818183</v>
      </c>
      <c r="L215" s="43">
        <f t="shared" ref="L215" si="84">K215/K$2</f>
        <v>8.581818181818182</v>
      </c>
      <c r="M215" s="1" t="s">
        <v>414</v>
      </c>
    </row>
    <row r="216" spans="1:13">
      <c r="D216" s="24"/>
      <c r="E216" s="118"/>
      <c r="F216" s="119">
        <f>SUM(F210:F215)</f>
        <v>21200</v>
      </c>
      <c r="G216" s="51">
        <f>SUM(G210:G215)</f>
        <v>2159000</v>
      </c>
      <c r="H216" s="50">
        <f>SUM(H210:H215)</f>
        <v>118800</v>
      </c>
      <c r="I216" s="50"/>
      <c r="J216" s="23"/>
      <c r="K216" s="23"/>
      <c r="L216" s="79"/>
    </row>
    <row r="217" spans="1:13">
      <c r="A217" s="1" t="s">
        <v>54</v>
      </c>
      <c r="B217" s="26" t="s">
        <v>356</v>
      </c>
      <c r="C217" s="42" t="s">
        <v>232</v>
      </c>
      <c r="D217" s="66" t="s">
        <v>379</v>
      </c>
      <c r="E217" s="123">
        <v>1000</v>
      </c>
      <c r="F217" s="107">
        <v>590</v>
      </c>
      <c r="G217" s="46">
        <f t="shared" ref="G217:G222" si="85">F217*100+E217</f>
        <v>60000</v>
      </c>
      <c r="H217" s="47">
        <v>3300</v>
      </c>
      <c r="I217" s="87">
        <f t="shared" si="80"/>
        <v>330</v>
      </c>
      <c r="J217" s="48">
        <f t="shared" ref="J217:J222" si="86">H217/G217</f>
        <v>5.5E-2</v>
      </c>
      <c r="K217" s="48">
        <f t="shared" ref="K217:K222" si="87">G217/H217</f>
        <v>18.181818181818183</v>
      </c>
      <c r="L217" s="43">
        <f t="shared" ref="L217:L221" si="88">K217/K$2</f>
        <v>8.581818181818182</v>
      </c>
      <c r="M217" s="1" t="s">
        <v>414</v>
      </c>
    </row>
    <row r="218" spans="1:13">
      <c r="A218" s="1" t="s">
        <v>54</v>
      </c>
      <c r="B218" s="26" t="s">
        <v>357</v>
      </c>
      <c r="C218" s="42" t="s">
        <v>233</v>
      </c>
      <c r="D218" s="66" t="s">
        <v>379</v>
      </c>
      <c r="E218" s="123">
        <v>3000</v>
      </c>
      <c r="F218" s="107">
        <v>960</v>
      </c>
      <c r="G218" s="46">
        <f t="shared" si="85"/>
        <v>99000</v>
      </c>
      <c r="H218" s="47">
        <v>5500</v>
      </c>
      <c r="I218" s="87">
        <f t="shared" si="80"/>
        <v>550</v>
      </c>
      <c r="J218" s="48">
        <f t="shared" si="86"/>
        <v>5.5555555555555552E-2</v>
      </c>
      <c r="K218" s="48">
        <f t="shared" si="87"/>
        <v>18</v>
      </c>
      <c r="L218" s="43">
        <f t="shared" si="88"/>
        <v>8.4959999999999987</v>
      </c>
      <c r="M218" s="1" t="s">
        <v>414</v>
      </c>
    </row>
    <row r="219" spans="1:13">
      <c r="A219" s="1" t="s">
        <v>54</v>
      </c>
      <c r="B219" s="26" t="s">
        <v>358</v>
      </c>
      <c r="C219" s="42" t="s">
        <v>234</v>
      </c>
      <c r="D219" s="66" t="s">
        <v>379</v>
      </c>
      <c r="E219" s="123">
        <v>5000</v>
      </c>
      <c r="F219" s="107">
        <v>1950</v>
      </c>
      <c r="G219" s="46">
        <f t="shared" si="85"/>
        <v>200000</v>
      </c>
      <c r="H219" s="47">
        <v>11000</v>
      </c>
      <c r="I219" s="87">
        <f t="shared" si="80"/>
        <v>1100</v>
      </c>
      <c r="J219" s="48">
        <f t="shared" si="86"/>
        <v>5.5E-2</v>
      </c>
      <c r="K219" s="48">
        <f t="shared" si="87"/>
        <v>18.181818181818183</v>
      </c>
      <c r="L219" s="43">
        <f t="shared" si="88"/>
        <v>8.581818181818182</v>
      </c>
      <c r="M219" s="1" t="s">
        <v>414</v>
      </c>
    </row>
    <row r="220" spans="1:13">
      <c r="A220" s="1" t="s">
        <v>54</v>
      </c>
      <c r="B220" s="26" t="s">
        <v>359</v>
      </c>
      <c r="C220" s="42" t="s">
        <v>235</v>
      </c>
      <c r="D220" s="66" t="s">
        <v>379</v>
      </c>
      <c r="E220" s="123">
        <v>10000</v>
      </c>
      <c r="F220" s="107">
        <v>5900</v>
      </c>
      <c r="G220" s="46">
        <f t="shared" si="85"/>
        <v>600000</v>
      </c>
      <c r="H220" s="47">
        <v>33000</v>
      </c>
      <c r="I220" s="87">
        <f t="shared" si="80"/>
        <v>3300</v>
      </c>
      <c r="J220" s="48">
        <f t="shared" si="86"/>
        <v>5.5E-2</v>
      </c>
      <c r="K220" s="48">
        <f t="shared" si="87"/>
        <v>18.181818181818183</v>
      </c>
      <c r="L220" s="43">
        <f t="shared" si="88"/>
        <v>8.581818181818182</v>
      </c>
      <c r="M220" s="1" t="s">
        <v>414</v>
      </c>
    </row>
    <row r="221" spans="1:13">
      <c r="A221" s="1" t="s">
        <v>54</v>
      </c>
      <c r="B221" s="26" t="s">
        <v>360</v>
      </c>
      <c r="C221" s="42" t="s">
        <v>236</v>
      </c>
      <c r="D221" s="66" t="s">
        <v>379</v>
      </c>
      <c r="E221" s="123">
        <v>10000</v>
      </c>
      <c r="F221" s="107">
        <v>5900</v>
      </c>
      <c r="G221" s="46">
        <f t="shared" si="85"/>
        <v>600000</v>
      </c>
      <c r="H221" s="47">
        <v>33000</v>
      </c>
      <c r="I221" s="87">
        <f t="shared" si="80"/>
        <v>3300</v>
      </c>
      <c r="J221" s="48">
        <f t="shared" si="86"/>
        <v>5.5E-2</v>
      </c>
      <c r="K221" s="48">
        <f t="shared" si="87"/>
        <v>18.181818181818183</v>
      </c>
      <c r="L221" s="43">
        <f t="shared" si="88"/>
        <v>8.581818181818182</v>
      </c>
      <c r="M221" s="1" t="s">
        <v>414</v>
      </c>
    </row>
    <row r="222" spans="1:13">
      <c r="A222" s="1" t="s">
        <v>54</v>
      </c>
      <c r="B222" s="26" t="s">
        <v>361</v>
      </c>
      <c r="C222" s="42" t="s">
        <v>237</v>
      </c>
      <c r="D222" s="66" t="s">
        <v>379</v>
      </c>
      <c r="E222" s="123">
        <v>10000</v>
      </c>
      <c r="F222" s="107">
        <v>5900</v>
      </c>
      <c r="G222" s="46">
        <f t="shared" si="85"/>
        <v>600000</v>
      </c>
      <c r="H222" s="47">
        <v>33000</v>
      </c>
      <c r="I222" s="87">
        <f t="shared" si="80"/>
        <v>3300</v>
      </c>
      <c r="J222" s="48">
        <f t="shared" si="86"/>
        <v>5.5E-2</v>
      </c>
      <c r="K222" s="48">
        <f t="shared" si="87"/>
        <v>18.181818181818183</v>
      </c>
      <c r="L222" s="43">
        <f t="shared" ref="L222" si="89">K222/K$2</f>
        <v>8.581818181818182</v>
      </c>
      <c r="M222" s="1" t="s">
        <v>414</v>
      </c>
    </row>
    <row r="223" spans="1:13">
      <c r="D223" s="8"/>
      <c r="E223" s="64"/>
      <c r="F223" s="119">
        <f>SUM(F217:F222)</f>
        <v>21200</v>
      </c>
      <c r="G223" s="51">
        <f>SUM(G217:G222)</f>
        <v>2159000</v>
      </c>
      <c r="H223" s="50">
        <f>SUM(H217:H222)</f>
        <v>118800</v>
      </c>
      <c r="I223" s="50"/>
      <c r="J223" s="23"/>
      <c r="K223" s="23"/>
      <c r="L223" s="79"/>
    </row>
    <row r="224" spans="1:13">
      <c r="B224" s="20" t="s">
        <v>231</v>
      </c>
      <c r="D224" s="24"/>
      <c r="E224" s="118"/>
      <c r="F224" s="120"/>
      <c r="G224" s="22"/>
      <c r="H224" s="23"/>
      <c r="I224" s="23"/>
      <c r="J224" s="23"/>
      <c r="K224" s="23"/>
      <c r="L224" s="79"/>
    </row>
    <row r="225" spans="1:13">
      <c r="A225" s="1" t="s">
        <v>54</v>
      </c>
      <c r="B225" s="26" t="s">
        <v>138</v>
      </c>
      <c r="C225" s="42" t="s">
        <v>232</v>
      </c>
      <c r="D225" s="66" t="s">
        <v>377</v>
      </c>
      <c r="E225" s="123">
        <v>1000</v>
      </c>
      <c r="F225" s="107">
        <v>390</v>
      </c>
      <c r="G225" s="30">
        <f t="shared" ref="G225:G231" si="90">F225*150+E225</f>
        <v>59500</v>
      </c>
      <c r="H225" s="47">
        <v>3300</v>
      </c>
      <c r="I225" s="87">
        <f t="shared" ref="I225:I239" si="91">H225/10</f>
        <v>330</v>
      </c>
      <c r="J225" s="32">
        <f t="shared" ref="J225:J231" si="92">H225/G225</f>
        <v>5.5462184873949577E-2</v>
      </c>
      <c r="K225" s="32">
        <f t="shared" ref="K225:K231" si="93">G225/H225</f>
        <v>18.030303030303031</v>
      </c>
      <c r="L225" s="78">
        <f t="shared" ref="L225:L231" si="94">K225/K$2</f>
        <v>8.5103030303030298</v>
      </c>
      <c r="M225" s="1" t="s">
        <v>414</v>
      </c>
    </row>
    <row r="226" spans="1:13">
      <c r="A226" s="1" t="s">
        <v>54</v>
      </c>
      <c r="B226" s="26" t="s">
        <v>139</v>
      </c>
      <c r="C226" s="42" t="s">
        <v>233</v>
      </c>
      <c r="D226" s="66" t="s">
        <v>377</v>
      </c>
      <c r="E226" s="123">
        <v>3000</v>
      </c>
      <c r="F226" s="107">
        <v>640</v>
      </c>
      <c r="G226" s="30">
        <f t="shared" si="90"/>
        <v>99000</v>
      </c>
      <c r="H226" s="47">
        <v>5500</v>
      </c>
      <c r="I226" s="87">
        <f t="shared" si="91"/>
        <v>550</v>
      </c>
      <c r="J226" s="32">
        <f t="shared" si="92"/>
        <v>5.5555555555555552E-2</v>
      </c>
      <c r="K226" s="32">
        <f t="shared" si="93"/>
        <v>18</v>
      </c>
      <c r="L226" s="78">
        <f t="shared" si="94"/>
        <v>8.4959999999999987</v>
      </c>
      <c r="M226" s="1" t="s">
        <v>414</v>
      </c>
    </row>
    <row r="227" spans="1:13">
      <c r="A227" s="1" t="s">
        <v>54</v>
      </c>
      <c r="B227" s="26" t="s">
        <v>140</v>
      </c>
      <c r="C227" s="42" t="s">
        <v>234</v>
      </c>
      <c r="D227" s="66" t="s">
        <v>377</v>
      </c>
      <c r="E227" s="123">
        <v>5000</v>
      </c>
      <c r="F227" s="107">
        <v>1290</v>
      </c>
      <c r="G227" s="30">
        <f t="shared" si="90"/>
        <v>198500</v>
      </c>
      <c r="H227" s="47">
        <v>11000</v>
      </c>
      <c r="I227" s="87">
        <f t="shared" si="91"/>
        <v>1100</v>
      </c>
      <c r="J227" s="32">
        <f t="shared" si="92"/>
        <v>5.5415617128463476E-2</v>
      </c>
      <c r="K227" s="32">
        <f t="shared" si="93"/>
        <v>18.045454545454547</v>
      </c>
      <c r="L227" s="78">
        <f t="shared" si="94"/>
        <v>8.5174545454545463</v>
      </c>
      <c r="M227" s="1" t="s">
        <v>414</v>
      </c>
    </row>
    <row r="228" spans="1:13">
      <c r="A228" s="1" t="s">
        <v>54</v>
      </c>
      <c r="B228" s="26" t="s">
        <v>141</v>
      </c>
      <c r="C228" s="42" t="s">
        <v>235</v>
      </c>
      <c r="D228" s="66" t="s">
        <v>377</v>
      </c>
      <c r="E228" s="123">
        <v>10000</v>
      </c>
      <c r="F228" s="107">
        <v>3900</v>
      </c>
      <c r="G228" s="30">
        <f t="shared" si="90"/>
        <v>595000</v>
      </c>
      <c r="H228" s="47">
        <v>33000</v>
      </c>
      <c r="I228" s="87">
        <f t="shared" si="91"/>
        <v>3300</v>
      </c>
      <c r="J228" s="32">
        <f t="shared" si="92"/>
        <v>5.5462184873949577E-2</v>
      </c>
      <c r="K228" s="32">
        <f t="shared" si="93"/>
        <v>18.030303030303031</v>
      </c>
      <c r="L228" s="78">
        <f t="shared" si="94"/>
        <v>8.5103030303030298</v>
      </c>
      <c r="M228" s="1" t="s">
        <v>414</v>
      </c>
    </row>
    <row r="229" spans="1:13">
      <c r="A229" s="1" t="s">
        <v>54</v>
      </c>
      <c r="B229" s="26" t="s">
        <v>142</v>
      </c>
      <c r="C229" s="42" t="s">
        <v>236</v>
      </c>
      <c r="D229" s="66" t="s">
        <v>377</v>
      </c>
      <c r="E229" s="123">
        <v>10000</v>
      </c>
      <c r="F229" s="107">
        <v>3900</v>
      </c>
      <c r="G229" s="30">
        <f t="shared" si="90"/>
        <v>595000</v>
      </c>
      <c r="H229" s="47">
        <v>33000</v>
      </c>
      <c r="I229" s="87">
        <f t="shared" si="91"/>
        <v>3300</v>
      </c>
      <c r="J229" s="32">
        <f t="shared" si="92"/>
        <v>5.5462184873949577E-2</v>
      </c>
      <c r="K229" s="32">
        <f t="shared" si="93"/>
        <v>18.030303030303031</v>
      </c>
      <c r="L229" s="78">
        <f t="shared" si="94"/>
        <v>8.5103030303030298</v>
      </c>
      <c r="M229" s="1" t="s">
        <v>414</v>
      </c>
    </row>
    <row r="230" spans="1:13">
      <c r="A230" s="1" t="s">
        <v>54</v>
      </c>
      <c r="B230" s="26" t="s">
        <v>143</v>
      </c>
      <c r="C230" s="42" t="s">
        <v>237</v>
      </c>
      <c r="D230" s="66" t="s">
        <v>377</v>
      </c>
      <c r="E230" s="123">
        <v>10000</v>
      </c>
      <c r="F230" s="107">
        <v>3900</v>
      </c>
      <c r="G230" s="30">
        <f t="shared" si="90"/>
        <v>595000</v>
      </c>
      <c r="H230" s="47">
        <v>33000</v>
      </c>
      <c r="I230" s="87">
        <f t="shared" si="91"/>
        <v>3300</v>
      </c>
      <c r="J230" s="32">
        <f t="shared" si="92"/>
        <v>5.5462184873949577E-2</v>
      </c>
      <c r="K230" s="32">
        <f t="shared" si="93"/>
        <v>18.030303030303031</v>
      </c>
      <c r="L230" s="78">
        <f t="shared" si="94"/>
        <v>8.5103030303030298</v>
      </c>
      <c r="M230" s="1" t="s">
        <v>414</v>
      </c>
    </row>
    <row r="231" spans="1:13">
      <c r="A231" s="1" t="s">
        <v>54</v>
      </c>
      <c r="B231" s="26" t="s">
        <v>144</v>
      </c>
      <c r="C231" s="42" t="s">
        <v>238</v>
      </c>
      <c r="D231" s="66" t="s">
        <v>377</v>
      </c>
      <c r="E231" s="123">
        <v>10000</v>
      </c>
      <c r="F231" s="107">
        <v>3900</v>
      </c>
      <c r="G231" s="30">
        <f t="shared" si="90"/>
        <v>595000</v>
      </c>
      <c r="H231" s="47">
        <v>33000</v>
      </c>
      <c r="I231" s="87">
        <f t="shared" si="91"/>
        <v>3300</v>
      </c>
      <c r="J231" s="32">
        <f t="shared" si="92"/>
        <v>5.5462184873949577E-2</v>
      </c>
      <c r="K231" s="32">
        <f t="shared" si="93"/>
        <v>18.030303030303031</v>
      </c>
      <c r="L231" s="78">
        <f t="shared" si="94"/>
        <v>8.5103030303030298</v>
      </c>
      <c r="M231" s="1" t="s">
        <v>414</v>
      </c>
    </row>
    <row r="232" spans="1:13">
      <c r="D232" s="24"/>
      <c r="E232" s="118"/>
    </row>
    <row r="233" spans="1:13">
      <c r="A233" s="1" t="s">
        <v>54</v>
      </c>
      <c r="B233" s="26" t="s">
        <v>145</v>
      </c>
      <c r="C233" s="42" t="s">
        <v>232</v>
      </c>
      <c r="D233" s="42" t="s">
        <v>378</v>
      </c>
      <c r="E233" s="123">
        <v>1000</v>
      </c>
      <c r="F233" s="107">
        <v>390</v>
      </c>
      <c r="G233" s="30">
        <f t="shared" ref="G233:G239" si="95">F233*150+E233</f>
        <v>59500</v>
      </c>
      <c r="H233" s="47">
        <v>3300</v>
      </c>
      <c r="I233" s="87">
        <f t="shared" si="91"/>
        <v>330</v>
      </c>
      <c r="J233" s="32">
        <f t="shared" ref="J233:J239" si="96">H233/G233</f>
        <v>5.5462184873949577E-2</v>
      </c>
      <c r="K233" s="32">
        <f t="shared" ref="K233:K239" si="97">G233/H233</f>
        <v>18.030303030303031</v>
      </c>
      <c r="L233" s="78">
        <f t="shared" ref="L233:L239" si="98">K233/K$2</f>
        <v>8.5103030303030298</v>
      </c>
      <c r="M233" s="1" t="s">
        <v>414</v>
      </c>
    </row>
    <row r="234" spans="1:13">
      <c r="A234" s="1" t="s">
        <v>54</v>
      </c>
      <c r="B234" s="26" t="s">
        <v>146</v>
      </c>
      <c r="C234" s="42" t="s">
        <v>233</v>
      </c>
      <c r="D234" s="42" t="s">
        <v>378</v>
      </c>
      <c r="E234" s="123">
        <v>3000</v>
      </c>
      <c r="F234" s="107">
        <v>640</v>
      </c>
      <c r="G234" s="30">
        <f t="shared" si="95"/>
        <v>99000</v>
      </c>
      <c r="H234" s="47">
        <v>5500</v>
      </c>
      <c r="I234" s="87">
        <f t="shared" si="91"/>
        <v>550</v>
      </c>
      <c r="J234" s="32">
        <f t="shared" si="96"/>
        <v>5.5555555555555552E-2</v>
      </c>
      <c r="K234" s="32">
        <f t="shared" si="97"/>
        <v>18</v>
      </c>
      <c r="L234" s="78">
        <f t="shared" si="98"/>
        <v>8.4959999999999987</v>
      </c>
      <c r="M234" s="1" t="s">
        <v>414</v>
      </c>
    </row>
    <row r="235" spans="1:13">
      <c r="A235" s="1" t="s">
        <v>54</v>
      </c>
      <c r="B235" s="26" t="s">
        <v>147</v>
      </c>
      <c r="C235" s="42" t="s">
        <v>234</v>
      </c>
      <c r="D235" s="42" t="s">
        <v>378</v>
      </c>
      <c r="E235" s="123">
        <v>5000</v>
      </c>
      <c r="F235" s="107">
        <v>1290</v>
      </c>
      <c r="G235" s="30">
        <f t="shared" si="95"/>
        <v>198500</v>
      </c>
      <c r="H235" s="47">
        <v>11000</v>
      </c>
      <c r="I235" s="87">
        <f t="shared" si="91"/>
        <v>1100</v>
      </c>
      <c r="J235" s="32">
        <f t="shared" si="96"/>
        <v>5.5415617128463476E-2</v>
      </c>
      <c r="K235" s="32">
        <f t="shared" si="97"/>
        <v>18.045454545454547</v>
      </c>
      <c r="L235" s="78">
        <f t="shared" si="98"/>
        <v>8.5174545454545463</v>
      </c>
      <c r="M235" s="1" t="s">
        <v>414</v>
      </c>
    </row>
    <row r="236" spans="1:13">
      <c r="A236" s="1" t="s">
        <v>54</v>
      </c>
      <c r="B236" s="26" t="s">
        <v>148</v>
      </c>
      <c r="C236" s="42" t="s">
        <v>235</v>
      </c>
      <c r="D236" s="42" t="s">
        <v>378</v>
      </c>
      <c r="E236" s="123">
        <v>10000</v>
      </c>
      <c r="F236" s="107">
        <v>3900</v>
      </c>
      <c r="G236" s="30">
        <f t="shared" si="95"/>
        <v>595000</v>
      </c>
      <c r="H236" s="47">
        <v>33000</v>
      </c>
      <c r="I236" s="87">
        <f t="shared" si="91"/>
        <v>3300</v>
      </c>
      <c r="J236" s="32">
        <f t="shared" si="96"/>
        <v>5.5462184873949577E-2</v>
      </c>
      <c r="K236" s="32">
        <f t="shared" si="97"/>
        <v>18.030303030303031</v>
      </c>
      <c r="L236" s="78">
        <f t="shared" si="98"/>
        <v>8.5103030303030298</v>
      </c>
      <c r="M236" s="1" t="s">
        <v>414</v>
      </c>
    </row>
    <row r="237" spans="1:13">
      <c r="A237" s="1" t="s">
        <v>54</v>
      </c>
      <c r="B237" s="26" t="s">
        <v>149</v>
      </c>
      <c r="C237" s="42" t="s">
        <v>236</v>
      </c>
      <c r="D237" s="42" t="s">
        <v>378</v>
      </c>
      <c r="E237" s="123">
        <v>10000</v>
      </c>
      <c r="F237" s="107">
        <v>3900</v>
      </c>
      <c r="G237" s="30">
        <f t="shared" si="95"/>
        <v>595000</v>
      </c>
      <c r="H237" s="47">
        <v>33000</v>
      </c>
      <c r="I237" s="87">
        <f t="shared" si="91"/>
        <v>3300</v>
      </c>
      <c r="J237" s="32">
        <f t="shared" si="96"/>
        <v>5.5462184873949577E-2</v>
      </c>
      <c r="K237" s="32">
        <f t="shared" si="97"/>
        <v>18.030303030303031</v>
      </c>
      <c r="L237" s="78">
        <f t="shared" si="98"/>
        <v>8.5103030303030298</v>
      </c>
      <c r="M237" s="1" t="s">
        <v>414</v>
      </c>
    </row>
    <row r="238" spans="1:13">
      <c r="A238" s="1" t="s">
        <v>54</v>
      </c>
      <c r="B238" s="26" t="s">
        <v>150</v>
      </c>
      <c r="C238" s="42" t="s">
        <v>237</v>
      </c>
      <c r="D238" s="42" t="s">
        <v>378</v>
      </c>
      <c r="E238" s="123">
        <v>10000</v>
      </c>
      <c r="F238" s="107">
        <v>3900</v>
      </c>
      <c r="G238" s="30">
        <f t="shared" si="95"/>
        <v>595000</v>
      </c>
      <c r="H238" s="47">
        <v>33000</v>
      </c>
      <c r="I238" s="87">
        <f t="shared" si="91"/>
        <v>3300</v>
      </c>
      <c r="J238" s="32">
        <f t="shared" si="96"/>
        <v>5.5462184873949577E-2</v>
      </c>
      <c r="K238" s="32">
        <f t="shared" si="97"/>
        <v>18.030303030303031</v>
      </c>
      <c r="L238" s="78">
        <f t="shared" si="98"/>
        <v>8.5103030303030298</v>
      </c>
      <c r="M238" s="1" t="s">
        <v>414</v>
      </c>
    </row>
    <row r="239" spans="1:13">
      <c r="A239" s="1" t="s">
        <v>54</v>
      </c>
      <c r="B239" s="26" t="s">
        <v>151</v>
      </c>
      <c r="C239" s="42" t="s">
        <v>238</v>
      </c>
      <c r="D239" s="42" t="s">
        <v>378</v>
      </c>
      <c r="E239" s="123">
        <v>10000</v>
      </c>
      <c r="F239" s="107">
        <v>3900</v>
      </c>
      <c r="G239" s="30">
        <f t="shared" si="95"/>
        <v>595000</v>
      </c>
      <c r="H239" s="47">
        <v>33000</v>
      </c>
      <c r="I239" s="87">
        <f t="shared" si="91"/>
        <v>3300</v>
      </c>
      <c r="J239" s="32">
        <f t="shared" si="96"/>
        <v>5.5462184873949577E-2</v>
      </c>
      <c r="K239" s="32">
        <f t="shared" si="97"/>
        <v>18.030303030303031</v>
      </c>
      <c r="L239" s="78">
        <f t="shared" si="98"/>
        <v>8.5103030303030298</v>
      </c>
      <c r="M239" s="1" t="s">
        <v>414</v>
      </c>
    </row>
    <row r="240" spans="1:13">
      <c r="D240" s="11"/>
    </row>
    <row r="241" spans="1:14">
      <c r="B241" s="20" t="s">
        <v>201</v>
      </c>
      <c r="D241" s="24"/>
      <c r="E241" s="118"/>
    </row>
    <row r="242" spans="1:14">
      <c r="A242" s="1" t="s">
        <v>54</v>
      </c>
      <c r="B242" s="26" t="s">
        <v>152</v>
      </c>
      <c r="C242" s="42" t="s">
        <v>162</v>
      </c>
      <c r="D242" s="26" t="s">
        <v>328</v>
      </c>
      <c r="E242" s="123">
        <v>1000</v>
      </c>
      <c r="F242" s="107">
        <v>290</v>
      </c>
      <c r="G242" s="30">
        <f>F242*200+E242</f>
        <v>59000</v>
      </c>
      <c r="H242" s="31">
        <v>3300</v>
      </c>
      <c r="I242" s="88">
        <f t="shared" ref="I242:I270" si="99">H242/10</f>
        <v>330</v>
      </c>
      <c r="J242" s="32">
        <f t="shared" ref="J242:J251" si="100">H242/G242</f>
        <v>5.5932203389830508E-2</v>
      </c>
      <c r="K242" s="32">
        <f t="shared" ref="K242:K251" si="101">G242/H242</f>
        <v>17.878787878787879</v>
      </c>
      <c r="L242" s="78">
        <f>K242/K$2</f>
        <v>8.4387878787878776</v>
      </c>
      <c r="N242" s="149"/>
    </row>
    <row r="243" spans="1:14">
      <c r="A243" s="1" t="s">
        <v>54</v>
      </c>
      <c r="B243" s="26" t="s">
        <v>153</v>
      </c>
      <c r="C243" s="42" t="s">
        <v>163</v>
      </c>
      <c r="D243" s="26" t="s">
        <v>328</v>
      </c>
      <c r="E243" s="123">
        <v>3000</v>
      </c>
      <c r="F243" s="107">
        <v>480</v>
      </c>
      <c r="G243" s="30">
        <f t="shared" ref="G243:G251" si="102">F243*200+E243</f>
        <v>99000</v>
      </c>
      <c r="H243" s="31">
        <v>5500</v>
      </c>
      <c r="I243" s="88">
        <f t="shared" si="99"/>
        <v>550</v>
      </c>
      <c r="J243" s="32">
        <f t="shared" si="100"/>
        <v>5.5555555555555552E-2</v>
      </c>
      <c r="K243" s="32">
        <f t="shared" si="101"/>
        <v>18</v>
      </c>
      <c r="L243" s="78">
        <f t="shared" ref="L243:L250" si="103">K243/K$2</f>
        <v>8.4959999999999987</v>
      </c>
      <c r="N243" s="149"/>
    </row>
    <row r="244" spans="1:14">
      <c r="A244" s="1" t="s">
        <v>54</v>
      </c>
      <c r="B244" s="26" t="s">
        <v>154</v>
      </c>
      <c r="C244" s="42" t="s">
        <v>164</v>
      </c>
      <c r="D244" s="26" t="s">
        <v>328</v>
      </c>
      <c r="E244" s="123">
        <v>5000</v>
      </c>
      <c r="F244" s="107">
        <v>970</v>
      </c>
      <c r="G244" s="30">
        <f t="shared" si="102"/>
        <v>199000</v>
      </c>
      <c r="H244" s="31">
        <v>11000</v>
      </c>
      <c r="I244" s="88">
        <f t="shared" si="99"/>
        <v>1100</v>
      </c>
      <c r="J244" s="32">
        <f t="shared" si="100"/>
        <v>5.5276381909547742E-2</v>
      </c>
      <c r="K244" s="32">
        <f t="shared" si="101"/>
        <v>18.09090909090909</v>
      </c>
      <c r="L244" s="78">
        <f t="shared" si="103"/>
        <v>8.5389090909090903</v>
      </c>
      <c r="N244" s="149"/>
    </row>
    <row r="245" spans="1:14">
      <c r="A245" s="1" t="s">
        <v>54</v>
      </c>
      <c r="B245" s="26" t="s">
        <v>155</v>
      </c>
      <c r="C245" s="42" t="s">
        <v>165</v>
      </c>
      <c r="D245" s="26" t="s">
        <v>328</v>
      </c>
      <c r="E245" s="123">
        <v>10000</v>
      </c>
      <c r="F245" s="107">
        <v>2930</v>
      </c>
      <c r="G245" s="30">
        <f t="shared" si="102"/>
        <v>596000</v>
      </c>
      <c r="H245" s="31">
        <v>33000</v>
      </c>
      <c r="I245" s="88">
        <f t="shared" si="99"/>
        <v>3300</v>
      </c>
      <c r="J245" s="32">
        <f t="shared" si="100"/>
        <v>5.5369127516778527E-2</v>
      </c>
      <c r="K245" s="32">
        <f t="shared" si="101"/>
        <v>18.060606060606062</v>
      </c>
      <c r="L245" s="78">
        <f t="shared" si="103"/>
        <v>8.524606060606061</v>
      </c>
      <c r="N245" s="149"/>
    </row>
    <row r="246" spans="1:14">
      <c r="A246" s="1" t="s">
        <v>54</v>
      </c>
      <c r="B246" s="26" t="s">
        <v>156</v>
      </c>
      <c r="C246" s="42" t="s">
        <v>166</v>
      </c>
      <c r="D246" s="26" t="s">
        <v>328</v>
      </c>
      <c r="E246" s="123">
        <v>10000</v>
      </c>
      <c r="F246" s="107">
        <v>2930</v>
      </c>
      <c r="G246" s="30">
        <f t="shared" si="102"/>
        <v>596000</v>
      </c>
      <c r="H246" s="31">
        <v>33000</v>
      </c>
      <c r="I246" s="88">
        <f t="shared" si="99"/>
        <v>3300</v>
      </c>
      <c r="J246" s="32">
        <f t="shared" si="100"/>
        <v>5.5369127516778527E-2</v>
      </c>
      <c r="K246" s="32">
        <f t="shared" si="101"/>
        <v>18.060606060606062</v>
      </c>
      <c r="L246" s="78">
        <f t="shared" si="103"/>
        <v>8.524606060606061</v>
      </c>
      <c r="N246" s="149"/>
    </row>
    <row r="247" spans="1:14">
      <c r="A247" s="1" t="s">
        <v>54</v>
      </c>
      <c r="B247" s="26" t="s">
        <v>157</v>
      </c>
      <c r="C247" s="42" t="s">
        <v>167</v>
      </c>
      <c r="D247" s="26" t="s">
        <v>328</v>
      </c>
      <c r="E247" s="123">
        <v>10000</v>
      </c>
      <c r="F247" s="107">
        <v>2930</v>
      </c>
      <c r="G247" s="30">
        <f t="shared" si="102"/>
        <v>596000</v>
      </c>
      <c r="H247" s="31">
        <v>33000</v>
      </c>
      <c r="I247" s="88">
        <f t="shared" si="99"/>
        <v>3300</v>
      </c>
      <c r="J247" s="32">
        <f t="shared" si="100"/>
        <v>5.5369127516778527E-2</v>
      </c>
      <c r="K247" s="32">
        <f t="shared" si="101"/>
        <v>18.060606060606062</v>
      </c>
      <c r="L247" s="78">
        <f t="shared" si="103"/>
        <v>8.524606060606061</v>
      </c>
      <c r="N247" s="149"/>
    </row>
    <row r="248" spans="1:14">
      <c r="A248" s="1" t="s">
        <v>54</v>
      </c>
      <c r="B248" s="26" t="s">
        <v>158</v>
      </c>
      <c r="C248" s="42" t="s">
        <v>168</v>
      </c>
      <c r="D248" s="26" t="s">
        <v>328</v>
      </c>
      <c r="E248" s="123">
        <v>10000</v>
      </c>
      <c r="F248" s="107">
        <v>2930</v>
      </c>
      <c r="G248" s="30">
        <f t="shared" si="102"/>
        <v>596000</v>
      </c>
      <c r="H248" s="31">
        <v>33000</v>
      </c>
      <c r="I248" s="88">
        <f t="shared" si="99"/>
        <v>3300</v>
      </c>
      <c r="J248" s="32">
        <f t="shared" si="100"/>
        <v>5.5369127516778527E-2</v>
      </c>
      <c r="K248" s="32">
        <f t="shared" si="101"/>
        <v>18.060606060606062</v>
      </c>
      <c r="L248" s="78">
        <f t="shared" si="103"/>
        <v>8.524606060606061</v>
      </c>
      <c r="N248" s="149"/>
    </row>
    <row r="249" spans="1:14">
      <c r="A249" s="1" t="s">
        <v>54</v>
      </c>
      <c r="B249" s="26" t="s">
        <v>159</v>
      </c>
      <c r="C249" s="42" t="s">
        <v>169</v>
      </c>
      <c r="D249" s="26" t="s">
        <v>328</v>
      </c>
      <c r="E249" s="123">
        <v>10000</v>
      </c>
      <c r="F249" s="107">
        <v>2930</v>
      </c>
      <c r="G249" s="30">
        <f t="shared" si="102"/>
        <v>596000</v>
      </c>
      <c r="H249" s="31">
        <v>33000</v>
      </c>
      <c r="I249" s="88">
        <f t="shared" si="99"/>
        <v>3300</v>
      </c>
      <c r="J249" s="32">
        <f t="shared" si="100"/>
        <v>5.5369127516778527E-2</v>
      </c>
      <c r="K249" s="32">
        <f t="shared" si="101"/>
        <v>18.060606060606062</v>
      </c>
      <c r="L249" s="78">
        <f t="shared" si="103"/>
        <v>8.524606060606061</v>
      </c>
      <c r="N249" s="149"/>
    </row>
    <row r="250" spans="1:14">
      <c r="A250" s="1" t="s">
        <v>54</v>
      </c>
      <c r="B250" s="26" t="s">
        <v>160</v>
      </c>
      <c r="C250" s="42" t="s">
        <v>170</v>
      </c>
      <c r="D250" s="26" t="s">
        <v>328</v>
      </c>
      <c r="E250" s="123">
        <v>10000</v>
      </c>
      <c r="F250" s="107">
        <v>2930</v>
      </c>
      <c r="G250" s="30">
        <f t="shared" si="102"/>
        <v>596000</v>
      </c>
      <c r="H250" s="31">
        <v>33000</v>
      </c>
      <c r="I250" s="88">
        <f t="shared" si="99"/>
        <v>3300</v>
      </c>
      <c r="J250" s="32">
        <f t="shared" si="100"/>
        <v>5.5369127516778527E-2</v>
      </c>
      <c r="K250" s="32">
        <f t="shared" si="101"/>
        <v>18.060606060606062</v>
      </c>
      <c r="L250" s="78">
        <f t="shared" si="103"/>
        <v>8.524606060606061</v>
      </c>
      <c r="N250" s="149"/>
    </row>
    <row r="251" spans="1:14">
      <c r="A251" s="1" t="s">
        <v>54</v>
      </c>
      <c r="B251" s="26" t="s">
        <v>161</v>
      </c>
      <c r="C251" s="42" t="s">
        <v>171</v>
      </c>
      <c r="D251" s="26" t="s">
        <v>328</v>
      </c>
      <c r="E251" s="123">
        <v>10000</v>
      </c>
      <c r="F251" s="107">
        <v>2930</v>
      </c>
      <c r="G251" s="30">
        <f t="shared" si="102"/>
        <v>596000</v>
      </c>
      <c r="H251" s="31">
        <v>33000</v>
      </c>
      <c r="I251" s="88">
        <f t="shared" si="99"/>
        <v>3300</v>
      </c>
      <c r="J251" s="32">
        <f t="shared" si="100"/>
        <v>5.5369127516778527E-2</v>
      </c>
      <c r="K251" s="32">
        <f t="shared" si="101"/>
        <v>18.060606060606062</v>
      </c>
      <c r="L251" s="78">
        <f>K251/K$2</f>
        <v>8.524606060606061</v>
      </c>
      <c r="N251" s="149"/>
    </row>
    <row r="252" spans="1:14">
      <c r="E252" s="121" t="s">
        <v>370</v>
      </c>
      <c r="F252" s="99" t="s">
        <v>11</v>
      </c>
    </row>
    <row r="253" spans="1:14">
      <c r="A253" s="1" t="s">
        <v>54</v>
      </c>
      <c r="B253" s="26" t="s">
        <v>172</v>
      </c>
      <c r="C253" s="42" t="s">
        <v>182</v>
      </c>
      <c r="D253" s="26" t="s">
        <v>369</v>
      </c>
      <c r="E253" s="107">
        <v>70</v>
      </c>
      <c r="F253" s="125">
        <v>33000</v>
      </c>
      <c r="G253" s="27">
        <v>72500</v>
      </c>
      <c r="H253" s="28">
        <v>3300</v>
      </c>
      <c r="I253" s="92">
        <f t="shared" si="99"/>
        <v>330</v>
      </c>
      <c r="J253" s="29">
        <f t="shared" ref="J253:J270" si="104">H253/G253</f>
        <v>4.5517241379310347E-2</v>
      </c>
      <c r="K253" s="29">
        <f t="shared" ref="K253:K270" si="105">G253/H253</f>
        <v>21.969696969696969</v>
      </c>
      <c r="L253" s="78">
        <f>K253/K$2</f>
        <v>10.369696969696969</v>
      </c>
      <c r="M253" s="65" t="s">
        <v>371</v>
      </c>
    </row>
    <row r="254" spans="1:14">
      <c r="A254" s="1" t="s">
        <v>54</v>
      </c>
      <c r="B254" s="26" t="s">
        <v>173</v>
      </c>
      <c r="C254" s="42" t="s">
        <v>182</v>
      </c>
      <c r="D254" s="26" t="s">
        <v>363</v>
      </c>
      <c r="E254" s="107">
        <v>57</v>
      </c>
      <c r="F254" s="125">
        <v>57000</v>
      </c>
      <c r="G254" s="27">
        <v>119700</v>
      </c>
      <c r="H254" s="28">
        <v>5500</v>
      </c>
      <c r="I254" s="92">
        <f t="shared" si="99"/>
        <v>550</v>
      </c>
      <c r="J254" s="29">
        <f t="shared" si="104"/>
        <v>4.5948203842940682E-2</v>
      </c>
      <c r="K254" s="29">
        <f t="shared" si="105"/>
        <v>21.763636363636362</v>
      </c>
      <c r="L254" s="78">
        <f t="shared" ref="L254:L270" si="106">K254/K$2</f>
        <v>10.272436363636363</v>
      </c>
      <c r="M254" s="65" t="s">
        <v>371</v>
      </c>
    </row>
    <row r="255" spans="1:14">
      <c r="A255" s="1" t="s">
        <v>54</v>
      </c>
      <c r="B255" s="26" t="s">
        <v>174</v>
      </c>
      <c r="C255" s="42" t="s">
        <v>183</v>
      </c>
      <c r="D255" s="26" t="s">
        <v>364</v>
      </c>
      <c r="E255" s="107">
        <v>77</v>
      </c>
      <c r="F255" s="125">
        <v>110000</v>
      </c>
      <c r="G255" s="27">
        <v>239800</v>
      </c>
      <c r="H255" s="28">
        <v>11000</v>
      </c>
      <c r="I255" s="92">
        <f t="shared" si="99"/>
        <v>1100</v>
      </c>
      <c r="J255" s="29">
        <f t="shared" si="104"/>
        <v>4.5871559633027525E-2</v>
      </c>
      <c r="K255" s="29">
        <f t="shared" si="105"/>
        <v>21.8</v>
      </c>
      <c r="L255" s="78">
        <f t="shared" si="106"/>
        <v>10.2896</v>
      </c>
      <c r="M255" s="65" t="s">
        <v>371</v>
      </c>
    </row>
    <row r="256" spans="1:14">
      <c r="A256" s="1" t="s">
        <v>54</v>
      </c>
      <c r="B256" s="26" t="s">
        <v>175</v>
      </c>
      <c r="C256" s="42" t="s">
        <v>183</v>
      </c>
      <c r="D256" s="26" t="s">
        <v>365</v>
      </c>
      <c r="E256" s="107">
        <v>137</v>
      </c>
      <c r="F256" s="125">
        <v>340000</v>
      </c>
      <c r="G256" s="27">
        <v>718000</v>
      </c>
      <c r="H256" s="28">
        <v>33000</v>
      </c>
      <c r="I256" s="92">
        <f t="shared" si="99"/>
        <v>3300</v>
      </c>
      <c r="J256" s="29">
        <f t="shared" si="104"/>
        <v>4.596100278551532E-2</v>
      </c>
      <c r="K256" s="29">
        <f t="shared" si="105"/>
        <v>21.757575757575758</v>
      </c>
      <c r="L256" s="78">
        <f t="shared" si="106"/>
        <v>10.269575757575756</v>
      </c>
      <c r="M256" s="65" t="s">
        <v>371</v>
      </c>
    </row>
    <row r="257" spans="1:13">
      <c r="A257" s="1" t="s">
        <v>54</v>
      </c>
      <c r="B257" s="26" t="s">
        <v>176</v>
      </c>
      <c r="C257" s="42" t="s">
        <v>184</v>
      </c>
      <c r="D257" s="26" t="s">
        <v>366</v>
      </c>
      <c r="E257" s="107">
        <v>110</v>
      </c>
      <c r="F257" s="125">
        <v>300000</v>
      </c>
      <c r="G257" s="27">
        <v>1206000</v>
      </c>
      <c r="H257" s="28">
        <v>55000</v>
      </c>
      <c r="I257" s="92">
        <f t="shared" si="99"/>
        <v>5500</v>
      </c>
      <c r="J257" s="29">
        <f t="shared" si="104"/>
        <v>4.5605306799336651E-2</v>
      </c>
      <c r="K257" s="29">
        <f t="shared" si="105"/>
        <v>21.927272727272726</v>
      </c>
      <c r="L257" s="78">
        <f t="shared" si="106"/>
        <v>10.349672727272726</v>
      </c>
      <c r="M257" s="65" t="s">
        <v>371</v>
      </c>
    </row>
    <row r="258" spans="1:13">
      <c r="A258" s="1" t="s">
        <v>54</v>
      </c>
      <c r="B258" s="26" t="s">
        <v>177</v>
      </c>
      <c r="C258" s="42" t="s">
        <v>184</v>
      </c>
      <c r="D258" s="26" t="s">
        <v>367</v>
      </c>
      <c r="E258" s="107">
        <v>29</v>
      </c>
      <c r="F258" s="125">
        <v>60000</v>
      </c>
      <c r="G258" s="30">
        <v>238800</v>
      </c>
      <c r="H258" s="31">
        <v>11000</v>
      </c>
      <c r="I258" s="88">
        <f t="shared" si="99"/>
        <v>1100</v>
      </c>
      <c r="J258" s="32">
        <f t="shared" si="104"/>
        <v>4.6063651591289785E-2</v>
      </c>
      <c r="K258" s="32">
        <f t="shared" si="105"/>
        <v>21.709090909090911</v>
      </c>
      <c r="L258" s="78">
        <f t="shared" si="106"/>
        <v>10.246690909090908</v>
      </c>
      <c r="M258" s="65" t="s">
        <v>371</v>
      </c>
    </row>
    <row r="259" spans="1:13">
      <c r="A259" s="1" t="s">
        <v>54</v>
      </c>
      <c r="B259" s="26" t="s">
        <v>178</v>
      </c>
      <c r="C259" s="42" t="s">
        <v>185</v>
      </c>
      <c r="D259" s="26" t="s">
        <v>366</v>
      </c>
      <c r="E259" s="107">
        <v>50</v>
      </c>
      <c r="F259" s="125">
        <v>480000</v>
      </c>
      <c r="G259" s="30">
        <v>720000</v>
      </c>
      <c r="H259" s="31">
        <v>33000</v>
      </c>
      <c r="I259" s="88">
        <f t="shared" si="99"/>
        <v>3300</v>
      </c>
      <c r="J259" s="32">
        <f t="shared" si="104"/>
        <v>4.583333333333333E-2</v>
      </c>
      <c r="K259" s="32">
        <f t="shared" si="105"/>
        <v>21.818181818181817</v>
      </c>
      <c r="L259" s="78">
        <f t="shared" si="106"/>
        <v>10.298181818181817</v>
      </c>
      <c r="M259" s="65" t="s">
        <v>371</v>
      </c>
    </row>
    <row r="260" spans="1:13">
      <c r="A260" s="1" t="s">
        <v>54</v>
      </c>
      <c r="B260" s="26" t="s">
        <v>179</v>
      </c>
      <c r="C260" s="42" t="s">
        <v>185</v>
      </c>
      <c r="D260" s="26" t="s">
        <v>368</v>
      </c>
      <c r="E260" s="107">
        <v>84</v>
      </c>
      <c r="F260" s="125">
        <v>260000</v>
      </c>
      <c r="G260" s="30">
        <v>1205200</v>
      </c>
      <c r="H260" s="31">
        <v>55000</v>
      </c>
      <c r="I260" s="88">
        <f t="shared" si="99"/>
        <v>5500</v>
      </c>
      <c r="J260" s="32">
        <f t="shared" si="104"/>
        <v>4.5635579156986392E-2</v>
      </c>
      <c r="K260" s="32">
        <f t="shared" si="105"/>
        <v>21.912727272727274</v>
      </c>
      <c r="L260" s="78">
        <f t="shared" si="106"/>
        <v>10.342807272727272</v>
      </c>
      <c r="M260" s="65" t="s">
        <v>371</v>
      </c>
    </row>
    <row r="261" spans="1:13">
      <c r="A261" s="1" t="s">
        <v>54</v>
      </c>
      <c r="B261" s="26" t="s">
        <v>180</v>
      </c>
      <c r="C261" s="42" t="s">
        <v>186</v>
      </c>
      <c r="D261" s="26" t="s">
        <v>367</v>
      </c>
      <c r="E261" s="107">
        <v>30</v>
      </c>
      <c r="F261" s="125">
        <v>50000</v>
      </c>
      <c r="G261" s="33">
        <v>241000</v>
      </c>
      <c r="H261" s="34">
        <v>11000</v>
      </c>
      <c r="I261" s="93">
        <f t="shared" si="99"/>
        <v>1100</v>
      </c>
      <c r="J261" s="35">
        <f t="shared" si="104"/>
        <v>4.5643153526970952E-2</v>
      </c>
      <c r="K261" s="35">
        <f t="shared" si="105"/>
        <v>21.90909090909091</v>
      </c>
      <c r="L261" s="78">
        <f t="shared" si="106"/>
        <v>10.341090909090909</v>
      </c>
      <c r="M261" s="65" t="s">
        <v>371</v>
      </c>
    </row>
    <row r="262" spans="1:13">
      <c r="A262" s="1" t="s">
        <v>54</v>
      </c>
      <c r="B262" s="26" t="s">
        <v>181</v>
      </c>
      <c r="C262" s="42" t="s">
        <v>186</v>
      </c>
      <c r="D262" s="26" t="s">
        <v>365</v>
      </c>
      <c r="E262" s="107">
        <v>160</v>
      </c>
      <c r="F262" s="125">
        <v>160000</v>
      </c>
      <c r="G262" s="33">
        <v>720000</v>
      </c>
      <c r="H262" s="34">
        <v>33000</v>
      </c>
      <c r="I262" s="93">
        <f t="shared" si="99"/>
        <v>3300</v>
      </c>
      <c r="J262" s="35">
        <f t="shared" si="104"/>
        <v>4.583333333333333E-2</v>
      </c>
      <c r="K262" s="35">
        <f t="shared" si="105"/>
        <v>21.818181818181817</v>
      </c>
      <c r="L262" s="78">
        <f t="shared" si="106"/>
        <v>10.298181818181817</v>
      </c>
      <c r="M262" s="65" t="s">
        <v>371</v>
      </c>
    </row>
    <row r="263" spans="1:13">
      <c r="A263" s="1" t="s">
        <v>54</v>
      </c>
      <c r="B263" s="26" t="s">
        <v>191</v>
      </c>
      <c r="C263" s="42" t="s">
        <v>187</v>
      </c>
      <c r="D263" s="26" t="s">
        <v>366</v>
      </c>
      <c r="E263" s="107">
        <v>110</v>
      </c>
      <c r="F263" s="125">
        <v>300000</v>
      </c>
      <c r="G263" s="33">
        <v>1206000</v>
      </c>
      <c r="H263" s="34">
        <v>55000</v>
      </c>
      <c r="I263" s="93">
        <f t="shared" si="99"/>
        <v>5500</v>
      </c>
      <c r="J263" s="35">
        <f t="shared" si="104"/>
        <v>4.5605306799336651E-2</v>
      </c>
      <c r="K263" s="35">
        <f t="shared" si="105"/>
        <v>21.927272727272726</v>
      </c>
      <c r="L263" s="78">
        <f t="shared" si="106"/>
        <v>10.349672727272726</v>
      </c>
      <c r="M263" s="65" t="s">
        <v>371</v>
      </c>
    </row>
    <row r="264" spans="1:13">
      <c r="A264" s="1" t="s">
        <v>54</v>
      </c>
      <c r="B264" s="26" t="s">
        <v>192</v>
      </c>
      <c r="C264" s="42" t="s">
        <v>187</v>
      </c>
      <c r="D264" s="26" t="s">
        <v>364</v>
      </c>
      <c r="E264" s="107">
        <v>85</v>
      </c>
      <c r="F264" s="125">
        <v>75000</v>
      </c>
      <c r="G264" s="36">
        <v>241500</v>
      </c>
      <c r="H264" s="37">
        <v>11000</v>
      </c>
      <c r="I264" s="94">
        <f t="shared" si="99"/>
        <v>1100</v>
      </c>
      <c r="J264" s="38">
        <f t="shared" si="104"/>
        <v>4.5548654244306416E-2</v>
      </c>
      <c r="K264" s="38">
        <f t="shared" si="105"/>
        <v>21.954545454545453</v>
      </c>
      <c r="L264" s="78">
        <f t="shared" si="106"/>
        <v>10.362545454545453</v>
      </c>
      <c r="M264" s="65" t="s">
        <v>371</v>
      </c>
    </row>
    <row r="265" spans="1:13">
      <c r="A265" s="1" t="s">
        <v>54</v>
      </c>
      <c r="B265" s="26" t="s">
        <v>193</v>
      </c>
      <c r="C265" s="42" t="s">
        <v>188</v>
      </c>
      <c r="D265" s="26" t="s">
        <v>368</v>
      </c>
      <c r="E265" s="107">
        <v>50</v>
      </c>
      <c r="F265" s="125">
        <v>160000</v>
      </c>
      <c r="G265" s="36">
        <v>720000</v>
      </c>
      <c r="H265" s="37">
        <v>33000</v>
      </c>
      <c r="I265" s="94">
        <f t="shared" si="99"/>
        <v>3300</v>
      </c>
      <c r="J265" s="38">
        <f t="shared" si="104"/>
        <v>4.583333333333333E-2</v>
      </c>
      <c r="K265" s="38">
        <f t="shared" si="105"/>
        <v>21.818181818181817</v>
      </c>
      <c r="L265" s="78">
        <f t="shared" si="106"/>
        <v>10.298181818181817</v>
      </c>
      <c r="M265" s="65" t="s">
        <v>371</v>
      </c>
    </row>
    <row r="266" spans="1:13">
      <c r="A266" s="1" t="s">
        <v>54</v>
      </c>
      <c r="B266" s="26" t="s">
        <v>194</v>
      </c>
      <c r="C266" s="42" t="s">
        <v>188</v>
      </c>
      <c r="D266" s="26" t="s">
        <v>366</v>
      </c>
      <c r="E266" s="107">
        <v>110</v>
      </c>
      <c r="F266" s="125">
        <v>300000</v>
      </c>
      <c r="G266" s="36">
        <v>1201000</v>
      </c>
      <c r="H266" s="37">
        <v>55000</v>
      </c>
      <c r="I266" s="94">
        <f t="shared" si="99"/>
        <v>5500</v>
      </c>
      <c r="J266" s="38">
        <f t="shared" si="104"/>
        <v>4.5795170691090757E-2</v>
      </c>
      <c r="K266" s="38">
        <f t="shared" si="105"/>
        <v>21.836363636363636</v>
      </c>
      <c r="L266" s="78">
        <f t="shared" si="106"/>
        <v>10.306763636363636</v>
      </c>
      <c r="M266" s="65" t="s">
        <v>371</v>
      </c>
    </row>
    <row r="267" spans="1:13">
      <c r="A267" s="1" t="s">
        <v>54</v>
      </c>
      <c r="B267" s="26" t="s">
        <v>195</v>
      </c>
      <c r="C267" s="42" t="s">
        <v>189</v>
      </c>
      <c r="D267" s="26" t="s">
        <v>365</v>
      </c>
      <c r="E267" s="107">
        <v>160</v>
      </c>
      <c r="F267" s="125">
        <v>160000</v>
      </c>
      <c r="G267" s="39">
        <v>720000</v>
      </c>
      <c r="H267" s="40">
        <v>33000</v>
      </c>
      <c r="I267" s="95">
        <f t="shared" si="99"/>
        <v>3300</v>
      </c>
      <c r="J267" s="41">
        <f t="shared" si="104"/>
        <v>4.583333333333333E-2</v>
      </c>
      <c r="K267" s="41">
        <f t="shared" si="105"/>
        <v>21.818181818181817</v>
      </c>
      <c r="L267" s="78">
        <f t="shared" si="106"/>
        <v>10.298181818181817</v>
      </c>
      <c r="M267" s="65" t="s">
        <v>371</v>
      </c>
    </row>
    <row r="268" spans="1:13">
      <c r="A268" s="1" t="s">
        <v>54</v>
      </c>
      <c r="B268" s="26" t="s">
        <v>196</v>
      </c>
      <c r="C268" s="42" t="s">
        <v>189</v>
      </c>
      <c r="D268" s="26" t="s">
        <v>364</v>
      </c>
      <c r="E268" s="107">
        <v>270</v>
      </c>
      <c r="F268" s="125">
        <v>140000</v>
      </c>
      <c r="G268" s="39">
        <v>718000</v>
      </c>
      <c r="H268" s="40">
        <v>33000</v>
      </c>
      <c r="I268" s="95">
        <f t="shared" si="99"/>
        <v>3300</v>
      </c>
      <c r="J268" s="41">
        <f t="shared" si="104"/>
        <v>4.596100278551532E-2</v>
      </c>
      <c r="K268" s="41">
        <f t="shared" si="105"/>
        <v>21.757575757575758</v>
      </c>
      <c r="L268" s="78">
        <f t="shared" si="106"/>
        <v>10.269575757575756</v>
      </c>
      <c r="M268" s="65" t="s">
        <v>371</v>
      </c>
    </row>
    <row r="269" spans="1:13">
      <c r="A269" s="1" t="s">
        <v>54</v>
      </c>
      <c r="B269" s="26" t="s">
        <v>197</v>
      </c>
      <c r="C269" s="42" t="s">
        <v>190</v>
      </c>
      <c r="D269" s="26" t="s">
        <v>366</v>
      </c>
      <c r="E269" s="107">
        <v>110</v>
      </c>
      <c r="F269" s="125">
        <v>300000</v>
      </c>
      <c r="G269" s="39">
        <v>1206000</v>
      </c>
      <c r="H269" s="40">
        <v>55000</v>
      </c>
      <c r="I269" s="95">
        <f t="shared" si="99"/>
        <v>5500</v>
      </c>
      <c r="J269" s="41">
        <f t="shared" si="104"/>
        <v>4.5605306799336651E-2</v>
      </c>
      <c r="K269" s="41">
        <f t="shared" si="105"/>
        <v>21.927272727272726</v>
      </c>
      <c r="L269" s="78">
        <f t="shared" si="106"/>
        <v>10.349672727272726</v>
      </c>
      <c r="M269" s="65" t="s">
        <v>371</v>
      </c>
    </row>
    <row r="270" spans="1:13">
      <c r="A270" s="1" t="s">
        <v>54</v>
      </c>
      <c r="B270" s="26" t="s">
        <v>198</v>
      </c>
      <c r="C270" s="42" t="s">
        <v>190</v>
      </c>
      <c r="D270" s="26" t="s">
        <v>367</v>
      </c>
      <c r="E270" s="107">
        <v>89</v>
      </c>
      <c r="F270" s="125">
        <v>160000</v>
      </c>
      <c r="G270" s="30">
        <v>720800</v>
      </c>
      <c r="H270" s="31">
        <v>33000</v>
      </c>
      <c r="I270" s="88">
        <f t="shared" si="99"/>
        <v>3300</v>
      </c>
      <c r="J270" s="32">
        <f t="shared" si="104"/>
        <v>4.5782463928967815E-2</v>
      </c>
      <c r="K270" s="32">
        <f t="shared" si="105"/>
        <v>21.842424242424244</v>
      </c>
      <c r="L270" s="78">
        <f t="shared" si="106"/>
        <v>10.309624242424242</v>
      </c>
      <c r="M270" s="65" t="s">
        <v>371</v>
      </c>
    </row>
    <row r="271" spans="1:13">
      <c r="F271" s="122"/>
    </row>
    <row r="272" spans="1:13">
      <c r="B272" s="20" t="s">
        <v>202</v>
      </c>
      <c r="F272" s="122" t="s">
        <v>372</v>
      </c>
    </row>
    <row r="273" spans="1:13">
      <c r="A273" s="1" t="s">
        <v>54</v>
      </c>
      <c r="B273" s="26" t="s">
        <v>203</v>
      </c>
      <c r="C273" s="42">
        <v>1000</v>
      </c>
      <c r="D273" s="26" t="s">
        <v>416</v>
      </c>
      <c r="E273" s="123">
        <v>20000</v>
      </c>
      <c r="F273" s="107">
        <v>2744056000</v>
      </c>
      <c r="G273" s="30">
        <v>72000</v>
      </c>
      <c r="H273" s="31">
        <v>5500</v>
      </c>
      <c r="I273" s="88">
        <f t="shared" ref="I273:I282" si="107">H273/10</f>
        <v>550</v>
      </c>
      <c r="J273" s="48">
        <f t="shared" ref="J273:J282" si="108">H273/G273</f>
        <v>7.6388888888888895E-2</v>
      </c>
      <c r="K273" s="48">
        <f t="shared" ref="K273:K282" si="109">G273/H273</f>
        <v>13.090909090909092</v>
      </c>
      <c r="L273" s="43">
        <f t="shared" ref="L273" si="110">K273/K$2</f>
        <v>6.1789090909090909</v>
      </c>
      <c r="M273" s="65" t="s">
        <v>371</v>
      </c>
    </row>
    <row r="274" spans="1:13">
      <c r="A274" s="1" t="s">
        <v>54</v>
      </c>
      <c r="B274" s="26" t="s">
        <v>204</v>
      </c>
      <c r="C274" s="42">
        <v>3000</v>
      </c>
      <c r="D274" s="26" t="s">
        <v>417</v>
      </c>
      <c r="E274" s="123">
        <v>20000</v>
      </c>
      <c r="F274" s="107">
        <v>18341848000</v>
      </c>
      <c r="G274" s="30">
        <v>120000</v>
      </c>
      <c r="H274" s="31">
        <v>5500</v>
      </c>
      <c r="I274" s="88">
        <f t="shared" si="107"/>
        <v>550</v>
      </c>
      <c r="J274" s="48">
        <f t="shared" si="108"/>
        <v>4.583333333333333E-2</v>
      </c>
      <c r="K274" s="48">
        <f t="shared" si="109"/>
        <v>21.818181818181817</v>
      </c>
      <c r="L274" s="43">
        <f t="shared" ref="L274:L282" si="111">K274/K$2</f>
        <v>10.298181818181817</v>
      </c>
      <c r="M274" s="65" t="s">
        <v>371</v>
      </c>
    </row>
    <row r="275" spans="1:13">
      <c r="A275" s="1" t="s">
        <v>54</v>
      </c>
      <c r="B275" s="26" t="s">
        <v>205</v>
      </c>
      <c r="C275" s="42">
        <v>5000</v>
      </c>
      <c r="D275" s="26" t="s">
        <v>417</v>
      </c>
      <c r="E275" s="123">
        <v>40000</v>
      </c>
      <c r="F275" s="107">
        <v>47804344000</v>
      </c>
      <c r="G275" s="30">
        <v>240000</v>
      </c>
      <c r="H275" s="31">
        <v>11000</v>
      </c>
      <c r="I275" s="88">
        <f t="shared" si="107"/>
        <v>1100</v>
      </c>
      <c r="J275" s="48">
        <f t="shared" si="108"/>
        <v>4.583333333333333E-2</v>
      </c>
      <c r="K275" s="48">
        <f t="shared" si="109"/>
        <v>21.818181818181817</v>
      </c>
      <c r="L275" s="43">
        <f t="shared" si="111"/>
        <v>10.298181818181817</v>
      </c>
      <c r="M275" s="65" t="s">
        <v>371</v>
      </c>
    </row>
    <row r="276" spans="1:13">
      <c r="A276" s="1" t="s">
        <v>54</v>
      </c>
      <c r="B276" s="26" t="s">
        <v>206</v>
      </c>
      <c r="C276" s="42">
        <v>7000</v>
      </c>
      <c r="D276" s="26" t="s">
        <v>417</v>
      </c>
      <c r="E276" s="123">
        <v>40000</v>
      </c>
      <c r="F276" s="107">
        <v>79740101000</v>
      </c>
      <c r="G276" s="30">
        <v>240000</v>
      </c>
      <c r="H276" s="31">
        <v>11000</v>
      </c>
      <c r="I276" s="88">
        <f t="shared" si="107"/>
        <v>1100</v>
      </c>
      <c r="J276" s="48">
        <f t="shared" si="108"/>
        <v>4.583333333333333E-2</v>
      </c>
      <c r="K276" s="48">
        <f t="shared" si="109"/>
        <v>21.818181818181817</v>
      </c>
      <c r="L276" s="43">
        <f t="shared" si="111"/>
        <v>10.298181818181817</v>
      </c>
      <c r="M276" s="65" t="s">
        <v>371</v>
      </c>
    </row>
    <row r="277" spans="1:13">
      <c r="A277" s="1" t="s">
        <v>54</v>
      </c>
      <c r="B277" s="26" t="s">
        <v>207</v>
      </c>
      <c r="C277" s="42">
        <v>9000</v>
      </c>
      <c r="D277" s="26" t="s">
        <v>417</v>
      </c>
      <c r="E277" s="123">
        <v>40000</v>
      </c>
      <c r="F277" s="107">
        <v>129783016999.99998</v>
      </c>
      <c r="G277" s="30">
        <v>240000</v>
      </c>
      <c r="H277" s="31">
        <v>11000</v>
      </c>
      <c r="I277" s="88">
        <f t="shared" si="107"/>
        <v>1100</v>
      </c>
      <c r="J277" s="48">
        <f t="shared" si="108"/>
        <v>4.583333333333333E-2</v>
      </c>
      <c r="K277" s="48">
        <f t="shared" si="109"/>
        <v>21.818181818181817</v>
      </c>
      <c r="L277" s="43">
        <f t="shared" si="111"/>
        <v>10.298181818181817</v>
      </c>
      <c r="M277" s="65" t="s">
        <v>371</v>
      </c>
    </row>
    <row r="278" spans="1:13">
      <c r="A278" s="1" t="s">
        <v>54</v>
      </c>
      <c r="B278" s="26" t="s">
        <v>208</v>
      </c>
      <c r="C278" s="42">
        <v>11000</v>
      </c>
      <c r="D278" s="26" t="s">
        <v>417</v>
      </c>
      <c r="E278" s="123">
        <v>40000</v>
      </c>
      <c r="F278" s="107">
        <v>164535042000</v>
      </c>
      <c r="G278" s="30">
        <v>240000</v>
      </c>
      <c r="H278" s="31">
        <v>11000</v>
      </c>
      <c r="I278" s="88">
        <f t="shared" si="107"/>
        <v>1100</v>
      </c>
      <c r="J278" s="48">
        <f t="shared" si="108"/>
        <v>4.583333333333333E-2</v>
      </c>
      <c r="K278" s="48">
        <f t="shared" si="109"/>
        <v>21.818181818181817</v>
      </c>
      <c r="L278" s="43">
        <f t="shared" si="111"/>
        <v>10.298181818181817</v>
      </c>
      <c r="M278" s="65" t="s">
        <v>371</v>
      </c>
    </row>
    <row r="279" spans="1:13">
      <c r="A279" s="1" t="s">
        <v>54</v>
      </c>
      <c r="B279" s="26" t="s">
        <v>209</v>
      </c>
      <c r="C279" s="42">
        <v>13000</v>
      </c>
      <c r="D279" s="26" t="s">
        <v>417</v>
      </c>
      <c r="E279" s="123">
        <v>80000</v>
      </c>
      <c r="F279" s="107">
        <v>190188355000</v>
      </c>
      <c r="G279" s="30">
        <v>240000</v>
      </c>
      <c r="H279" s="31">
        <v>22000</v>
      </c>
      <c r="I279" s="88">
        <f t="shared" si="107"/>
        <v>2200</v>
      </c>
      <c r="J279" s="48">
        <f t="shared" si="108"/>
        <v>9.166666666666666E-2</v>
      </c>
      <c r="K279" s="48">
        <f t="shared" si="109"/>
        <v>10.909090909090908</v>
      </c>
      <c r="L279" s="43">
        <f t="shared" si="111"/>
        <v>5.1490909090909085</v>
      </c>
      <c r="M279" s="65" t="s">
        <v>371</v>
      </c>
    </row>
    <row r="280" spans="1:13">
      <c r="A280" s="1" t="s">
        <v>54</v>
      </c>
      <c r="B280" s="26" t="s">
        <v>210</v>
      </c>
      <c r="C280" s="42">
        <v>15000</v>
      </c>
      <c r="D280" s="26" t="s">
        <v>417</v>
      </c>
      <c r="E280" s="123">
        <v>80000</v>
      </c>
      <c r="F280" s="107">
        <v>201543692000</v>
      </c>
      <c r="G280" s="30">
        <v>240000</v>
      </c>
      <c r="H280" s="31">
        <v>22000</v>
      </c>
      <c r="I280" s="88">
        <f t="shared" si="107"/>
        <v>2200</v>
      </c>
      <c r="J280" s="48">
        <f t="shared" si="108"/>
        <v>9.166666666666666E-2</v>
      </c>
      <c r="K280" s="48">
        <f t="shared" si="109"/>
        <v>10.909090909090908</v>
      </c>
      <c r="L280" s="43">
        <f t="shared" si="111"/>
        <v>5.1490909090909085</v>
      </c>
      <c r="M280" s="65" t="s">
        <v>371</v>
      </c>
    </row>
    <row r="281" spans="1:13">
      <c r="A281" s="1" t="s">
        <v>54</v>
      </c>
      <c r="B281" s="26" t="s">
        <v>211</v>
      </c>
      <c r="C281" s="42">
        <v>17000</v>
      </c>
      <c r="D281" s="26" t="s">
        <v>417</v>
      </c>
      <c r="E281" s="123">
        <v>80000</v>
      </c>
      <c r="F281" s="107">
        <v>257869052000</v>
      </c>
      <c r="G281" s="30">
        <v>240000</v>
      </c>
      <c r="H281" s="31">
        <v>22000</v>
      </c>
      <c r="I281" s="88">
        <f t="shared" si="107"/>
        <v>2200</v>
      </c>
      <c r="J281" s="48">
        <f t="shared" si="108"/>
        <v>9.166666666666666E-2</v>
      </c>
      <c r="K281" s="48">
        <f t="shared" si="109"/>
        <v>10.909090909090908</v>
      </c>
      <c r="L281" s="43">
        <f t="shared" si="111"/>
        <v>5.1490909090909085</v>
      </c>
      <c r="M281" s="65" t="s">
        <v>371</v>
      </c>
    </row>
    <row r="282" spans="1:13">
      <c r="A282" s="1" t="s">
        <v>54</v>
      </c>
      <c r="B282" s="26" t="s">
        <v>212</v>
      </c>
      <c r="C282" s="42">
        <v>19000</v>
      </c>
      <c r="D282" s="26" t="s">
        <v>417</v>
      </c>
      <c r="E282" s="123">
        <v>80000</v>
      </c>
      <c r="F282" s="107">
        <v>321126764000</v>
      </c>
      <c r="G282" s="30">
        <v>240000</v>
      </c>
      <c r="H282" s="31">
        <v>22000</v>
      </c>
      <c r="I282" s="88">
        <f t="shared" si="107"/>
        <v>2200</v>
      </c>
      <c r="J282" s="48">
        <f t="shared" si="108"/>
        <v>9.166666666666666E-2</v>
      </c>
      <c r="K282" s="48">
        <f t="shared" si="109"/>
        <v>10.909090909090908</v>
      </c>
      <c r="L282" s="43">
        <f t="shared" si="111"/>
        <v>5.1490909090909085</v>
      </c>
      <c r="M282" s="65" t="s">
        <v>371</v>
      </c>
    </row>
    <row r="283" spans="1:13">
      <c r="H283" s="12">
        <f>SUM(H273:H282)</f>
        <v>143000</v>
      </c>
    </row>
    <row r="284" spans="1:13">
      <c r="H284" s="12"/>
    </row>
    <row r="285" spans="1:13">
      <c r="A285" s="1" t="s">
        <v>54</v>
      </c>
      <c r="B285" s="26" t="s">
        <v>213</v>
      </c>
      <c r="C285" s="42" t="s">
        <v>222</v>
      </c>
      <c r="D285" s="26" t="s">
        <v>48</v>
      </c>
      <c r="E285" s="124">
        <v>60000</v>
      </c>
      <c r="F285" s="105">
        <v>0</v>
      </c>
      <c r="G285" s="46">
        <f>4*10000*F285+E285</f>
        <v>60000</v>
      </c>
      <c r="H285" s="31">
        <v>3300</v>
      </c>
      <c r="I285" s="88">
        <f t="shared" ref="I285:I293" si="112">H285/10</f>
        <v>330</v>
      </c>
      <c r="J285" s="48">
        <f t="shared" ref="J285:J293" si="113">H285/G285</f>
        <v>5.5E-2</v>
      </c>
      <c r="K285" s="48">
        <f t="shared" ref="K285:K293" si="114">G285/H285</f>
        <v>18.181818181818183</v>
      </c>
      <c r="L285" s="43">
        <f t="shared" ref="L285:L293" si="115">K285/K$2</f>
        <v>8.581818181818182</v>
      </c>
      <c r="M285" s="1" t="s">
        <v>414</v>
      </c>
    </row>
    <row r="286" spans="1:13">
      <c r="A286" s="1" t="s">
        <v>54</v>
      </c>
      <c r="B286" s="26" t="s">
        <v>214</v>
      </c>
      <c r="C286" s="42" t="s">
        <v>223</v>
      </c>
      <c r="D286" s="26" t="s">
        <v>329</v>
      </c>
      <c r="E286" s="124">
        <v>3000</v>
      </c>
      <c r="F286" s="105">
        <v>290000</v>
      </c>
      <c r="G286" s="46">
        <f>E286+(F286*1/3)</f>
        <v>99666.666666666672</v>
      </c>
      <c r="H286" s="31">
        <v>5500</v>
      </c>
      <c r="I286" s="88">
        <f t="shared" si="112"/>
        <v>550</v>
      </c>
      <c r="J286" s="48">
        <f t="shared" si="113"/>
        <v>5.5183946488294312E-2</v>
      </c>
      <c r="K286" s="48">
        <f t="shared" si="114"/>
        <v>18.121212121212121</v>
      </c>
      <c r="L286" s="43">
        <f t="shared" si="115"/>
        <v>8.5532121212121215</v>
      </c>
      <c r="M286" s="1" t="s">
        <v>414</v>
      </c>
    </row>
    <row r="287" spans="1:13">
      <c r="A287" s="1" t="s">
        <v>54</v>
      </c>
      <c r="B287" s="26" t="s">
        <v>215</v>
      </c>
      <c r="C287" s="42" t="s">
        <v>224</v>
      </c>
      <c r="D287" s="26" t="s">
        <v>329</v>
      </c>
      <c r="E287" s="124">
        <v>5000</v>
      </c>
      <c r="F287" s="105">
        <v>580000</v>
      </c>
      <c r="G287" s="46">
        <f t="shared" ref="G287:G293" si="116">E287+(F287*1/3)</f>
        <v>198333.33333333334</v>
      </c>
      <c r="H287" s="31">
        <v>11000</v>
      </c>
      <c r="I287" s="88">
        <f t="shared" si="112"/>
        <v>1100</v>
      </c>
      <c r="J287" s="48">
        <f t="shared" si="113"/>
        <v>5.5462184873949577E-2</v>
      </c>
      <c r="K287" s="48">
        <f t="shared" si="114"/>
        <v>18.030303030303031</v>
      </c>
      <c r="L287" s="43">
        <f t="shared" si="115"/>
        <v>8.5103030303030298</v>
      </c>
      <c r="M287" s="1" t="s">
        <v>414</v>
      </c>
    </row>
    <row r="288" spans="1:13">
      <c r="A288" s="1" t="s">
        <v>54</v>
      </c>
      <c r="B288" s="26" t="s">
        <v>216</v>
      </c>
      <c r="C288" s="42" t="s">
        <v>225</v>
      </c>
      <c r="D288" s="26" t="s">
        <v>329</v>
      </c>
      <c r="E288" s="123">
        <v>10000</v>
      </c>
      <c r="F288" s="105">
        <v>1750000</v>
      </c>
      <c r="G288" s="46">
        <f t="shared" si="116"/>
        <v>593333.33333333337</v>
      </c>
      <c r="H288" s="31">
        <v>33000</v>
      </c>
      <c r="I288" s="88">
        <f t="shared" si="112"/>
        <v>3300</v>
      </c>
      <c r="J288" s="48">
        <f t="shared" si="113"/>
        <v>5.5617977528089883E-2</v>
      </c>
      <c r="K288" s="48">
        <f t="shared" si="114"/>
        <v>17.979797979797979</v>
      </c>
      <c r="L288" s="43">
        <f t="shared" si="115"/>
        <v>8.4864646464646452</v>
      </c>
      <c r="M288" s="1" t="s">
        <v>414</v>
      </c>
    </row>
    <row r="289" spans="1:17">
      <c r="A289" s="1" t="s">
        <v>54</v>
      </c>
      <c r="B289" s="26" t="s">
        <v>217</v>
      </c>
      <c r="C289" s="42" t="s">
        <v>226</v>
      </c>
      <c r="D289" s="26" t="s">
        <v>329</v>
      </c>
      <c r="E289" s="123">
        <v>10000</v>
      </c>
      <c r="F289" s="105">
        <v>1750000</v>
      </c>
      <c r="G289" s="46">
        <f t="shared" si="116"/>
        <v>593333.33333333337</v>
      </c>
      <c r="H289" s="31">
        <v>33000</v>
      </c>
      <c r="I289" s="88">
        <f t="shared" si="112"/>
        <v>3300</v>
      </c>
      <c r="J289" s="48">
        <f t="shared" si="113"/>
        <v>5.5617977528089883E-2</v>
      </c>
      <c r="K289" s="48">
        <f t="shared" si="114"/>
        <v>17.979797979797979</v>
      </c>
      <c r="L289" s="43">
        <f t="shared" si="115"/>
        <v>8.4864646464646452</v>
      </c>
      <c r="M289" s="1" t="s">
        <v>414</v>
      </c>
    </row>
    <row r="290" spans="1:17">
      <c r="A290" s="1" t="s">
        <v>54</v>
      </c>
      <c r="B290" s="26" t="s">
        <v>218</v>
      </c>
      <c r="C290" s="42" t="s">
        <v>227</v>
      </c>
      <c r="D290" s="26" t="s">
        <v>329</v>
      </c>
      <c r="E290" s="123">
        <v>10000</v>
      </c>
      <c r="F290" s="105">
        <v>1750000</v>
      </c>
      <c r="G290" s="46">
        <f t="shared" si="116"/>
        <v>593333.33333333337</v>
      </c>
      <c r="H290" s="31">
        <v>33000</v>
      </c>
      <c r="I290" s="88">
        <f t="shared" si="112"/>
        <v>3300</v>
      </c>
      <c r="J290" s="48">
        <f t="shared" si="113"/>
        <v>5.5617977528089883E-2</v>
      </c>
      <c r="K290" s="48">
        <f t="shared" si="114"/>
        <v>17.979797979797979</v>
      </c>
      <c r="L290" s="43">
        <f t="shared" si="115"/>
        <v>8.4864646464646452</v>
      </c>
      <c r="M290" s="1" t="s">
        <v>414</v>
      </c>
    </row>
    <row r="291" spans="1:17">
      <c r="A291" s="1" t="s">
        <v>54</v>
      </c>
      <c r="B291" s="26" t="s">
        <v>219</v>
      </c>
      <c r="C291" s="42" t="s">
        <v>228</v>
      </c>
      <c r="D291" s="26" t="s">
        <v>329</v>
      </c>
      <c r="E291" s="123">
        <v>10000</v>
      </c>
      <c r="F291" s="105">
        <v>1750000</v>
      </c>
      <c r="G291" s="46">
        <f t="shared" si="116"/>
        <v>593333.33333333337</v>
      </c>
      <c r="H291" s="31">
        <v>33000</v>
      </c>
      <c r="I291" s="88">
        <f t="shared" si="112"/>
        <v>3300</v>
      </c>
      <c r="J291" s="48">
        <f t="shared" si="113"/>
        <v>5.5617977528089883E-2</v>
      </c>
      <c r="K291" s="48">
        <f t="shared" si="114"/>
        <v>17.979797979797979</v>
      </c>
      <c r="L291" s="43">
        <f t="shared" si="115"/>
        <v>8.4864646464646452</v>
      </c>
      <c r="M291" s="1" t="s">
        <v>414</v>
      </c>
    </row>
    <row r="292" spans="1:17">
      <c r="A292" s="1" t="s">
        <v>54</v>
      </c>
      <c r="B292" s="26" t="s">
        <v>220</v>
      </c>
      <c r="C292" s="42" t="s">
        <v>229</v>
      </c>
      <c r="D292" s="26" t="s">
        <v>329</v>
      </c>
      <c r="E292" s="123">
        <v>10000</v>
      </c>
      <c r="F292" s="105">
        <v>1750000</v>
      </c>
      <c r="G292" s="46">
        <f t="shared" si="116"/>
        <v>593333.33333333337</v>
      </c>
      <c r="H292" s="31">
        <v>33000</v>
      </c>
      <c r="I292" s="88">
        <f t="shared" si="112"/>
        <v>3300</v>
      </c>
      <c r="J292" s="48">
        <f t="shared" si="113"/>
        <v>5.5617977528089883E-2</v>
      </c>
      <c r="K292" s="48">
        <f t="shared" si="114"/>
        <v>17.979797979797979</v>
      </c>
      <c r="L292" s="43">
        <f t="shared" si="115"/>
        <v>8.4864646464646452</v>
      </c>
      <c r="M292" s="1" t="s">
        <v>414</v>
      </c>
    </row>
    <row r="293" spans="1:17">
      <c r="A293" s="1" t="s">
        <v>54</v>
      </c>
      <c r="B293" s="26" t="s">
        <v>221</v>
      </c>
      <c r="C293" s="42" t="s">
        <v>230</v>
      </c>
      <c r="D293" s="26" t="s">
        <v>329</v>
      </c>
      <c r="E293" s="123">
        <v>10000</v>
      </c>
      <c r="F293" s="105">
        <v>1750000</v>
      </c>
      <c r="G293" s="46">
        <f t="shared" si="116"/>
        <v>593333.33333333337</v>
      </c>
      <c r="H293" s="31">
        <v>33000</v>
      </c>
      <c r="I293" s="88">
        <f t="shared" si="112"/>
        <v>3300</v>
      </c>
      <c r="J293" s="48">
        <f t="shared" si="113"/>
        <v>5.5617977528089883E-2</v>
      </c>
      <c r="K293" s="48">
        <f t="shared" si="114"/>
        <v>17.979797979797979</v>
      </c>
      <c r="L293" s="43">
        <f t="shared" si="115"/>
        <v>8.4864646464646452</v>
      </c>
      <c r="M293" s="1" t="s">
        <v>414</v>
      </c>
    </row>
    <row r="294" spans="1:17">
      <c r="H294" s="12">
        <f>SUM(H285:H293)</f>
        <v>217800</v>
      </c>
    </row>
    <row r="295" spans="1:17">
      <c r="F295" s="102"/>
      <c r="G295" s="16"/>
      <c r="H295" s="135"/>
      <c r="I295" s="136"/>
      <c r="J295" s="6"/>
      <c r="K295" s="6"/>
    </row>
    <row r="296" spans="1:17">
      <c r="B296" s="20" t="s">
        <v>418</v>
      </c>
      <c r="D296" s="24"/>
      <c r="E296" s="118"/>
      <c r="F296" s="120"/>
      <c r="G296" s="22"/>
      <c r="H296" s="23"/>
      <c r="I296" s="23"/>
      <c r="J296" s="23"/>
      <c r="K296" s="23"/>
      <c r="L296" s="79"/>
      <c r="N296" s="1" t="s">
        <v>441</v>
      </c>
      <c r="O296" s="1" t="s">
        <v>439</v>
      </c>
      <c r="P296" s="1" t="s">
        <v>430</v>
      </c>
    </row>
    <row r="297" spans="1:17">
      <c r="A297" s="1" t="s">
        <v>54</v>
      </c>
      <c r="B297" s="26" t="s">
        <v>419</v>
      </c>
      <c r="C297" s="141">
        <v>200</v>
      </c>
      <c r="D297" s="66" t="s">
        <v>429</v>
      </c>
      <c r="E297" s="123">
        <v>3000</v>
      </c>
      <c r="F297" s="107">
        <v>160</v>
      </c>
      <c r="G297" s="30">
        <f>E297+(F297*600)</f>
        <v>99000</v>
      </c>
      <c r="H297" s="47">
        <v>5500</v>
      </c>
      <c r="I297" s="87">
        <f t="shared" ref="I297:I304" si="117">H297/10</f>
        <v>550</v>
      </c>
      <c r="J297" s="32">
        <f t="shared" ref="J297:J304" si="118">H297/G297</f>
        <v>5.5555555555555552E-2</v>
      </c>
      <c r="K297" s="32">
        <f t="shared" ref="K297:K304" si="119">G297/H297</f>
        <v>18</v>
      </c>
      <c r="L297" s="78">
        <f t="shared" ref="L297:L304" si="120">K297/K$2</f>
        <v>8.4959999999999987</v>
      </c>
      <c r="M297" s="137"/>
      <c r="N297" s="1" t="s">
        <v>440</v>
      </c>
      <c r="O297" s="42">
        <v>200</v>
      </c>
      <c r="P297" s="1">
        <v>200</v>
      </c>
    </row>
    <row r="298" spans="1:17">
      <c r="A298" s="1" t="s">
        <v>54</v>
      </c>
      <c r="B298" s="26" t="s">
        <v>420</v>
      </c>
      <c r="C298" s="141">
        <v>1000</v>
      </c>
      <c r="D298" s="66" t="s">
        <v>429</v>
      </c>
      <c r="E298" s="142">
        <v>5000</v>
      </c>
      <c r="F298" s="143">
        <v>320</v>
      </c>
      <c r="G298" s="144">
        <f t="shared" ref="G298:G306" si="121">E298+(F298*600)</f>
        <v>197000</v>
      </c>
      <c r="H298" s="145">
        <v>11000</v>
      </c>
      <c r="I298" s="146">
        <f t="shared" si="117"/>
        <v>1100</v>
      </c>
      <c r="J298" s="32">
        <f t="shared" si="118"/>
        <v>5.5837563451776651E-2</v>
      </c>
      <c r="K298" s="32">
        <f t="shared" si="119"/>
        <v>17.90909090909091</v>
      </c>
      <c r="L298" s="78">
        <f t="shared" si="120"/>
        <v>8.4530909090909088</v>
      </c>
      <c r="N298" s="1" t="s">
        <v>431</v>
      </c>
      <c r="O298" s="42">
        <v>300</v>
      </c>
      <c r="P298" s="1">
        <f>O297+O298</f>
        <v>500</v>
      </c>
      <c r="Q298" s="1">
        <f>P298*600</f>
        <v>300000</v>
      </c>
    </row>
    <row r="299" spans="1:17">
      <c r="A299" s="1" t="s">
        <v>54</v>
      </c>
      <c r="B299" s="26" t="s">
        <v>421</v>
      </c>
      <c r="C299" s="141">
        <v>2000</v>
      </c>
      <c r="D299" s="66" t="s">
        <v>429</v>
      </c>
      <c r="E299" s="142">
        <v>7500</v>
      </c>
      <c r="F299" s="143">
        <v>650</v>
      </c>
      <c r="G299" s="144">
        <f t="shared" si="121"/>
        <v>397500</v>
      </c>
      <c r="H299" s="145">
        <v>22000</v>
      </c>
      <c r="I299" s="146">
        <f t="shared" si="117"/>
        <v>2200</v>
      </c>
      <c r="J299" s="32">
        <f t="shared" si="118"/>
        <v>5.5345911949685536E-2</v>
      </c>
      <c r="K299" s="32">
        <f t="shared" si="119"/>
        <v>18.068181818181817</v>
      </c>
      <c r="L299" s="78">
        <f t="shared" si="120"/>
        <v>8.5281818181818174</v>
      </c>
      <c r="N299" s="1" t="s">
        <v>432</v>
      </c>
      <c r="O299" s="42">
        <v>500</v>
      </c>
      <c r="P299" s="1">
        <f>P298+O299</f>
        <v>1000</v>
      </c>
      <c r="Q299" s="1">
        <f t="shared" ref="Q299:Q306" si="122">P299*600</f>
        <v>600000</v>
      </c>
    </row>
    <row r="300" spans="1:17">
      <c r="A300" s="1" t="s">
        <v>54</v>
      </c>
      <c r="B300" s="26" t="s">
        <v>422</v>
      </c>
      <c r="C300" s="141">
        <v>3000</v>
      </c>
      <c r="D300" s="66" t="s">
        <v>429</v>
      </c>
      <c r="E300" s="142">
        <v>10000</v>
      </c>
      <c r="F300" s="143">
        <v>980</v>
      </c>
      <c r="G300" s="144">
        <f t="shared" si="121"/>
        <v>598000</v>
      </c>
      <c r="H300" s="145">
        <v>33000</v>
      </c>
      <c r="I300" s="146">
        <f t="shared" si="117"/>
        <v>3300</v>
      </c>
      <c r="J300" s="32">
        <f t="shared" si="118"/>
        <v>5.5183946488294312E-2</v>
      </c>
      <c r="K300" s="32">
        <f t="shared" si="119"/>
        <v>18.121212121212121</v>
      </c>
      <c r="L300" s="78">
        <f t="shared" si="120"/>
        <v>8.5532121212121215</v>
      </c>
      <c r="N300" s="1" t="s">
        <v>433</v>
      </c>
      <c r="O300" s="42">
        <v>700</v>
      </c>
      <c r="P300" s="1">
        <f t="shared" ref="P300:P306" si="123">P299+O300</f>
        <v>1700</v>
      </c>
      <c r="Q300" s="1">
        <f t="shared" si="122"/>
        <v>1020000</v>
      </c>
    </row>
    <row r="301" spans="1:17">
      <c r="A301" s="1" t="s">
        <v>54</v>
      </c>
      <c r="B301" s="26" t="s">
        <v>423</v>
      </c>
      <c r="C301" s="141">
        <v>4000</v>
      </c>
      <c r="D301" s="66" t="s">
        <v>429</v>
      </c>
      <c r="E301" s="142">
        <v>10000</v>
      </c>
      <c r="F301" s="143">
        <v>980</v>
      </c>
      <c r="G301" s="30">
        <f t="shared" si="121"/>
        <v>598000</v>
      </c>
      <c r="H301" s="145">
        <v>33000</v>
      </c>
      <c r="I301" s="87">
        <f t="shared" si="117"/>
        <v>3300</v>
      </c>
      <c r="J301" s="32">
        <f t="shared" si="118"/>
        <v>5.5183946488294312E-2</v>
      </c>
      <c r="K301" s="32">
        <f t="shared" si="119"/>
        <v>18.121212121212121</v>
      </c>
      <c r="L301" s="78">
        <f t="shared" si="120"/>
        <v>8.5532121212121215</v>
      </c>
      <c r="N301" s="1" t="s">
        <v>434</v>
      </c>
      <c r="O301" s="42">
        <v>900</v>
      </c>
      <c r="P301" s="1">
        <f t="shared" si="123"/>
        <v>2600</v>
      </c>
      <c r="Q301" s="1">
        <f t="shared" si="122"/>
        <v>1560000</v>
      </c>
    </row>
    <row r="302" spans="1:17">
      <c r="A302" s="1" t="s">
        <v>54</v>
      </c>
      <c r="B302" s="26" t="s">
        <v>424</v>
      </c>
      <c r="C302" s="141">
        <v>5000</v>
      </c>
      <c r="D302" s="66" t="s">
        <v>429</v>
      </c>
      <c r="E302" s="142">
        <v>10000</v>
      </c>
      <c r="F302" s="143">
        <v>980</v>
      </c>
      <c r="G302" s="30">
        <f t="shared" si="121"/>
        <v>598000</v>
      </c>
      <c r="H302" s="145">
        <v>33000</v>
      </c>
      <c r="I302" s="87">
        <f t="shared" si="117"/>
        <v>3300</v>
      </c>
      <c r="J302" s="32">
        <f t="shared" si="118"/>
        <v>5.5183946488294312E-2</v>
      </c>
      <c r="K302" s="32">
        <f t="shared" si="119"/>
        <v>18.121212121212121</v>
      </c>
      <c r="L302" s="78">
        <f t="shared" si="120"/>
        <v>8.5532121212121215</v>
      </c>
      <c r="N302" s="1" t="s">
        <v>435</v>
      </c>
      <c r="O302" s="42">
        <v>1100</v>
      </c>
      <c r="P302" s="1">
        <f t="shared" si="123"/>
        <v>3700</v>
      </c>
      <c r="Q302" s="1">
        <f t="shared" si="122"/>
        <v>2220000</v>
      </c>
    </row>
    <row r="303" spans="1:17">
      <c r="A303" s="1" t="s">
        <v>54</v>
      </c>
      <c r="B303" s="26" t="s">
        <v>425</v>
      </c>
      <c r="C303" s="141">
        <v>6000</v>
      </c>
      <c r="D303" s="66" t="s">
        <v>429</v>
      </c>
      <c r="E303" s="142">
        <v>10000</v>
      </c>
      <c r="F303" s="143">
        <v>980</v>
      </c>
      <c r="G303" s="30">
        <f t="shared" si="121"/>
        <v>598000</v>
      </c>
      <c r="H303" s="145">
        <v>33000</v>
      </c>
      <c r="I303" s="87">
        <f t="shared" si="117"/>
        <v>3300</v>
      </c>
      <c r="J303" s="32">
        <f t="shared" si="118"/>
        <v>5.5183946488294312E-2</v>
      </c>
      <c r="K303" s="32">
        <f t="shared" si="119"/>
        <v>18.121212121212121</v>
      </c>
      <c r="L303" s="78">
        <f t="shared" si="120"/>
        <v>8.5532121212121215</v>
      </c>
      <c r="N303" s="1" t="s">
        <v>436</v>
      </c>
      <c r="O303" s="42">
        <v>1400</v>
      </c>
      <c r="P303" s="1">
        <f t="shared" si="123"/>
        <v>5100</v>
      </c>
      <c r="Q303" s="1">
        <f t="shared" si="122"/>
        <v>3060000</v>
      </c>
    </row>
    <row r="304" spans="1:17">
      <c r="A304" s="1" t="s">
        <v>54</v>
      </c>
      <c r="B304" s="26" t="s">
        <v>426</v>
      </c>
      <c r="C304" s="141">
        <v>7000</v>
      </c>
      <c r="D304" s="66" t="s">
        <v>429</v>
      </c>
      <c r="E304" s="142">
        <v>10000</v>
      </c>
      <c r="F304" s="143">
        <v>980</v>
      </c>
      <c r="G304" s="144">
        <f t="shared" si="121"/>
        <v>598000</v>
      </c>
      <c r="H304" s="145">
        <v>33000</v>
      </c>
      <c r="I304" s="146">
        <f t="shared" si="117"/>
        <v>3300</v>
      </c>
      <c r="J304" s="32">
        <f t="shared" si="118"/>
        <v>5.5183946488294312E-2</v>
      </c>
      <c r="K304" s="32">
        <f t="shared" si="119"/>
        <v>18.121212121212121</v>
      </c>
      <c r="L304" s="78">
        <f t="shared" si="120"/>
        <v>8.5532121212121215</v>
      </c>
      <c r="N304" s="1" t="s">
        <v>437</v>
      </c>
      <c r="O304" s="42">
        <v>1700</v>
      </c>
      <c r="P304" s="1">
        <f t="shared" si="123"/>
        <v>6800</v>
      </c>
      <c r="Q304" s="1">
        <f t="shared" si="122"/>
        <v>4080000</v>
      </c>
    </row>
    <row r="305" spans="1:17">
      <c r="A305" s="1" t="s">
        <v>54</v>
      </c>
      <c r="B305" s="26" t="s">
        <v>427</v>
      </c>
      <c r="C305" s="141">
        <v>8000</v>
      </c>
      <c r="D305" s="66" t="s">
        <v>429</v>
      </c>
      <c r="E305" s="142">
        <v>10000</v>
      </c>
      <c r="F305" s="143">
        <v>980</v>
      </c>
      <c r="G305" s="144">
        <f t="shared" si="121"/>
        <v>598000</v>
      </c>
      <c r="H305" s="145">
        <v>33000</v>
      </c>
      <c r="I305" s="146">
        <f t="shared" ref="I305:I306" si="124">H305/10</f>
        <v>3300</v>
      </c>
      <c r="J305" s="32">
        <f t="shared" ref="J305:J306" si="125">H305/G305</f>
        <v>5.5183946488294312E-2</v>
      </c>
      <c r="K305" s="32">
        <f t="shared" ref="K305:K306" si="126">G305/H305</f>
        <v>18.121212121212121</v>
      </c>
      <c r="L305" s="78">
        <f t="shared" ref="L305:L306" si="127">K305/K$2</f>
        <v>8.5532121212121215</v>
      </c>
      <c r="N305" s="1" t="s">
        <v>438</v>
      </c>
      <c r="O305" s="42">
        <v>2000</v>
      </c>
      <c r="P305" s="1">
        <f t="shared" si="123"/>
        <v>8800</v>
      </c>
      <c r="Q305" s="1">
        <f t="shared" si="122"/>
        <v>5280000</v>
      </c>
    </row>
    <row r="306" spans="1:17">
      <c r="A306" s="1" t="s">
        <v>54</v>
      </c>
      <c r="B306" s="26" t="s">
        <v>428</v>
      </c>
      <c r="C306" s="141">
        <v>9000</v>
      </c>
      <c r="D306" s="66" t="s">
        <v>429</v>
      </c>
      <c r="E306" s="142">
        <v>10000</v>
      </c>
      <c r="F306" s="143">
        <v>980</v>
      </c>
      <c r="G306" s="144">
        <f t="shared" si="121"/>
        <v>598000</v>
      </c>
      <c r="H306" s="145">
        <v>33000</v>
      </c>
      <c r="I306" s="146">
        <f t="shared" si="124"/>
        <v>3300</v>
      </c>
      <c r="J306" s="32">
        <f t="shared" si="125"/>
        <v>5.5183946488294312E-2</v>
      </c>
      <c r="K306" s="32">
        <f t="shared" si="126"/>
        <v>18.121212121212121</v>
      </c>
      <c r="L306" s="78">
        <f t="shared" si="127"/>
        <v>8.5532121212121215</v>
      </c>
      <c r="O306" s="42">
        <v>3500</v>
      </c>
      <c r="P306" s="1">
        <f t="shared" si="123"/>
        <v>12300</v>
      </c>
      <c r="Q306" s="1">
        <f t="shared" si="122"/>
        <v>7380000</v>
      </c>
    </row>
    <row r="307" spans="1:17">
      <c r="D307" s="8"/>
      <c r="F307" s="100"/>
      <c r="G307" s="139"/>
      <c r="H307" s="12">
        <f>SUM(H297:H306)</f>
        <v>269500</v>
      </c>
      <c r="I307" s="126"/>
      <c r="J307" s="140"/>
      <c r="K307" s="140"/>
      <c r="L307" s="78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7:L31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10:L215">
    <cfRule type="dataBar" priority="2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{7D9C5564-B205-4606-8518-7542143A913A}</x14:id>
        </ext>
      </extLst>
    </cfRule>
  </conditionalFormatting>
  <conditionalFormatting sqref="L210:L239">
    <cfRule type="dataBar" priority="2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{9F5CE0D0-0F2B-4415-BFB1-5DCA8F3236ED}</x14:id>
        </ext>
      </extLst>
    </cfRule>
  </conditionalFormatting>
  <conditionalFormatting sqref="L217:L222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{C300A0E2-648C-4005-AE4A-F3DDA166FCA7}</x14:id>
        </ext>
      </extLst>
    </cfRule>
  </conditionalFormatting>
  <conditionalFormatting sqref="L225:L231">
    <cfRule type="dataBar" priority="2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{A537F0F1-8747-4B77-A595-D069780ED057}</x14:id>
        </ext>
      </extLst>
    </cfRule>
  </conditionalFormatting>
  <conditionalFormatting sqref="L233:L23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{F1A9CA8F-9DA8-4A4C-854F-D87AE6E855A8}</x14:id>
        </ext>
      </extLst>
    </cfRule>
  </conditionalFormatting>
  <conditionalFormatting sqref="L242:L25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{18BC91AE-2BB9-44A0-89CF-709D3612A9FB}</x14:id>
        </ext>
      </extLst>
    </cfRule>
  </conditionalFormatting>
  <conditionalFormatting sqref="L253:L27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{3E45A48B-3D70-42D1-BAC8-79BCC297763B}</x14:id>
        </ext>
      </extLst>
    </cfRule>
  </conditionalFormatting>
  <conditionalFormatting sqref="L273:L28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{E64BD501-892F-411D-9804-071034C4E308}</x14:id>
        </ext>
      </extLst>
    </cfRule>
  </conditionalFormatting>
  <conditionalFormatting sqref="L285:L29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{5AA44D2B-21AA-4B0C-95D9-B6ABF3E6CD68}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{143EDE08-4501-4E46-B376-BE1625C3C123}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{5D357D3F-49A6-4D17-BEEF-B0F81E559298}</x14:id>
        </ext>
      </extLst>
    </cfRule>
  </conditionalFormatting>
  <conditionalFormatting sqref="L294:L307 L20:L284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94:L307 L178:L181 L174:L176 L183:L284 L20:L172">
    <cfRule type="dataBar" priority="2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conditionalFormatting sqref="L295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{3E5F3BB8-69F4-4EA8-8E58-C3822801525C}</x14:id>
        </ext>
      </extLst>
    </cfRule>
  </conditionalFormatting>
  <conditionalFormatting sqref="L296:L307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{DDE7A09C-B005-4F3B-AFC9-56110C2EA5C2}</x14:id>
        </ext>
      </extLst>
    </cfRule>
  </conditionalFormatting>
  <conditionalFormatting sqref="L297:L30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{6039BD2E-A36A-4178-BF24-B8582A2FF2AD}</x14:id>
        </ext>
      </extLst>
    </cfRule>
  </conditionalFormatting>
  <conditionalFormatting sqref="L297:L307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{74620703-BF19-4640-AC24-E30BD4F7C856}</x14:id>
        </ext>
      </extLst>
    </cfRule>
  </conditionalFormatting>
  <conditionalFormatting sqref="L189:L207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{D3774836-057B-49BF-A577-3C1CC0561486}</x14:id>
        </ext>
      </extLst>
    </cfRule>
  </conditionalFormatting>
  <conditionalFormatting sqref="L20:L100">
    <cfRule type="dataBar" priority="2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216 G123" formula="1"/>
    <ignoredError sqref="H223 F223 F216 H216 H123" formulaRange="1"/>
    <ignoredError sqref="J273:J282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7D9C5564-B205-4606-8518-7542143A9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L210:L215</xm:sqref>
        </x14:conditionalFormatting>
        <x14:conditionalFormatting xmlns:xm="http://schemas.microsoft.com/office/excel/2006/main">
          <x14:cfRule type="dataBar" id="{9F5CE0D0-0F2B-4415-BFB1-5DCA8F323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L210:L239</xm:sqref>
        </x14:conditionalFormatting>
        <x14:conditionalFormatting xmlns:xm="http://schemas.microsoft.com/office/excel/2006/main">
          <x14:cfRule type="dataBar" id="{C300A0E2-648C-4005-AE4A-F3DDA166FC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L217:L222</xm:sqref>
        </x14:conditionalFormatting>
        <x14:conditionalFormatting xmlns:xm="http://schemas.microsoft.com/office/excel/2006/main">
          <x14:cfRule type="dataBar" id="{A537F0F1-8747-4B77-A595-D069780ED0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L225:L231</xm:sqref>
        </x14:conditionalFormatting>
        <x14:conditionalFormatting xmlns:xm="http://schemas.microsoft.com/office/excel/2006/main">
          <x14:cfRule type="dataBar" id="{F1A9CA8F-9DA8-4A4C-854F-D87AE6E85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L233:L239</xm:sqref>
        </x14:conditionalFormatting>
        <x14:conditionalFormatting xmlns:xm="http://schemas.microsoft.com/office/excel/2006/main">
          <x14:cfRule type="dataBar" id="{18BC91AE-2BB9-44A0-89CF-709D3612A9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L242:L251</xm:sqref>
        </x14:conditionalFormatting>
        <x14:conditionalFormatting xmlns:xm="http://schemas.microsoft.com/office/excel/2006/main">
          <x14:cfRule type="dataBar" id="{3E45A48B-3D70-42D1-BAC8-79BCC29776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L253:L270</xm:sqref>
        </x14:conditionalFormatting>
        <x14:conditionalFormatting xmlns:xm="http://schemas.microsoft.com/office/excel/2006/main">
          <x14:cfRule type="dataBar" id="{E64BD501-892F-411D-9804-071034C4E3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L273:L282</xm:sqref>
        </x14:conditionalFormatting>
        <x14:conditionalFormatting xmlns:xm="http://schemas.microsoft.com/office/excel/2006/main">
          <x14:cfRule type="dataBar" id="{5AA44D2B-21AA-4B0C-95D9-B6ABF3E6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3EDE08-4501-4E46-B376-BE1625C3C1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D357D3F-49A6-4D17-BEEF-B0F81E55929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L285:L293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L294:L307 L20:L284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L294:L307 L178:L181 L174:L176 L183:L284 L20:L172</xm:sqref>
        </x14:conditionalFormatting>
        <x14:conditionalFormatting xmlns:xm="http://schemas.microsoft.com/office/excel/2006/main">
          <x14:cfRule type="dataBar" id="{3E5F3BB8-69F4-4EA8-8E58-C382280152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L295</xm:sqref>
        </x14:conditionalFormatting>
        <x14:conditionalFormatting xmlns:xm="http://schemas.microsoft.com/office/excel/2006/main">
          <x14:cfRule type="dataBar" id="{DDE7A09C-B005-4F3B-AFC9-56110C2EA5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L296:L307</xm:sqref>
        </x14:conditionalFormatting>
        <x14:conditionalFormatting xmlns:xm="http://schemas.microsoft.com/office/excel/2006/main">
          <x14:cfRule type="dataBar" id="{6039BD2E-A36A-4178-BF24-B8582A2FF2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L297:L306</xm:sqref>
        </x14:conditionalFormatting>
        <x14:conditionalFormatting xmlns:xm="http://schemas.microsoft.com/office/excel/2006/main">
          <x14:cfRule type="dataBar" id="{74620703-BF19-4640-AC24-E30BD4F7C8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L297:L307</xm:sqref>
        </x14:conditionalFormatting>
        <x14:conditionalFormatting xmlns:xm="http://schemas.microsoft.com/office/excel/2006/main">
          <x14:cfRule type="dataBar" id="{D3774836-057B-49BF-A577-3C1CC05614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L189:L207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재화 기준</vt:lpstr>
      <vt:lpstr>상품 구성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겨레 안</cp:lastModifiedBy>
  <cp:revision/>
  <dcterms:created xsi:type="dcterms:W3CDTF">2025-03-20T05:34:37Z</dcterms:created>
  <dcterms:modified xsi:type="dcterms:W3CDTF">2025-09-18T06:16:04Z</dcterms:modified>
  <cp:category/>
  <cp:contentStatus/>
</cp:coreProperties>
</file>