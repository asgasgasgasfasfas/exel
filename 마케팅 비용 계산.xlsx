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2261EA8E-8041-4CC6-8360-1ABE9A2DD587}" xr6:coauthVersionLast="47" xr6:coauthVersionMax="47" xr10:uidLastSave="{00000000-0000-0000-0000-000000000000}"/>
  <bookViews>
    <workbookView xWindow="0" yWindow="0" windowWidth="28980" windowHeight="20880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9" i="1" l="1"/>
  <c r="I57" i="1"/>
  <c r="F57" i="1"/>
  <c r="E35" i="1" l="1"/>
  <c r="B52" i="1"/>
  <c r="F35" i="1" l="1"/>
  <c r="M35" i="1" s="1"/>
  <c r="O4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</calcChain>
</file>

<file path=xl/sharedStrings.xml><?xml version="1.0" encoding="utf-8"?>
<sst xmlns="http://schemas.openxmlformats.org/spreadsheetml/2006/main" count="88" uniqueCount="56">
  <si>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</si>
  <si>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</si>
  <si>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</si>
  <si>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</si>
  <si>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</si>
  <si>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</si>
  <si>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</si>
  <si>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</si>
  <si>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</si>
  <si>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</si>
  <si>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</si>
  <si>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</si>
  <si>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</si>
  <si>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</si>
  <si>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</si>
  <si>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</si>
  <si>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</si>
  <si>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</si>
  <si>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</si>
  <si>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</si>
  <si>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</si>
  <si>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</si>
  <si>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</si>
  <si>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</si>
  <si>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</si>
  <si>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</si>
  <si>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</si>
  <si>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</si>
  <si>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</si>
  <si>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</si>
  <si>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</si>
  <si>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</si>
  <si>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</si>
  <si>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</si>
  <si>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</si>
  <si>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</si>
  <si>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</si>
  <si>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</si>
  <si>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</si>
  <si>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</si>
  <si>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</si>
  <si>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</si>
  <si>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</si>
  <si>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</si>
  <si>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</si>
  <si>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</si>
  <si>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</si>
  <si>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</si>
  <si>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</si>
  <si>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</si>
  <si>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</si>
  <si>
    <t>광고수익</t>
    <phoneticPr fontId="3" type="noConversion"/>
  </si>
  <si>
    <t>실제지급</t>
    <phoneticPr fontId="3" type="noConversion"/>
  </si>
  <si>
    <t>지급완료</t>
    <phoneticPr fontId="3" type="noConversion"/>
  </si>
  <si>
    <t>08월 16일</t>
    <phoneticPr fontId="3" type="noConversion"/>
  </si>
  <si>
    <t>팽글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</si>
</sst>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&quot;₩&quot;#,##0_);[Red]\(&quot;₩&quot;#,##0\)"/>
    <numFmt numFmtId="177" formatCode="mm&quot;월&quot;\ dd&quot;일&quot;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0" borderId="0" xfId="0" applyNumberFormat="1" applyFont="1">
      <alignment vertical="center"/>
    </xf>
    <xf numFmtId="176" fontId="4" fillId="2" borderId="0" xfId="0" applyNumberFormat="1" applyFont="1" applyFill="1">
      <alignment vertical="center"/>
    </xf>
    <xf numFmtId="0" fontId="0" fillId="0" borderId="0" xfId="0" applyAlignment="1">
      <alignment horizontal="righ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Q57"/>
  <sheetViews>
    <sheetView tabSelected="1" topLeftCell="A10" zoomScale="85" zoomScaleNormal="85" workbookViewId="0">
      <selection activeCell="L45" sqref="L45"/>
    </sheetView>
  </sheetViews>
  <sheetFormatPr defaultRowHeight="16.5" x14ac:dyDescent="0.3"/>
  <cols>
    <col min="1" max="1" width="22.75" bestFit="1" customWidth="1"/>
    <col min="2" max="2" width="15.5" bestFit="1" customWidth="1"/>
    <col min="3" max="3" width="12.5" bestFit="1" customWidth="1"/>
    <col min="4" max="4" width="19.75" bestFit="1" customWidth="1"/>
    <col min="5" max="5" width="13.625" bestFit="1" customWidth="1"/>
    <col min="6" max="6" width="14.875" bestFit="1" customWidth="1"/>
    <col min="7" max="7" width="18.625" bestFit="1" customWidth="1"/>
    <col min="8" max="8" width="15.875" bestFit="1" customWidth="1"/>
    <col min="9" max="9" width="14.25" bestFit="1" customWidth="1"/>
    <col min="10" max="10" width="12.125" bestFit="1" customWidth="1"/>
    <col min="11" max="11" width="15.875" bestFit="1" customWidth="1"/>
    <col min="12" max="13" width="13.625" bestFit="1" customWidth="1"/>
    <col min="14" max="14" width="9.625" bestFit="1" customWidth="1"/>
    <col min="15" max="17" width="14.25" bestFit="1" customWidth="1"/>
    <col min="18" max="18" width="9.25" bestFit="1" customWidth="1"/>
  </cols>
  <sheetData>
    <row r="2" spans="1:17" x14ac:dyDescent="0.3">
      <c r="A2" s="2" t="s">
        <v>0</v>
      </c>
      <c r="G2" s="2" t="s">
        <v>10</v>
      </c>
    </row>
    <row r="3" spans="1:17" x14ac:dyDescent="0.3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  <c r="O3" t="s">
        <v>21</v>
      </c>
    </row>
    <row r="4" spans="1:17" x14ac:dyDescent="0.3">
      <c r="A4" t="s">
        <v>4</v>
      </c>
      <c r="E4" s="1">
        <v>8175162</v>
      </c>
      <c r="K4" s="3"/>
      <c r="O4" s="4">
        <f>SUM(I4:I16)</f>
        <v>87500000</v>
      </c>
    </row>
    <row r="5" spans="1:17" x14ac:dyDescent="0.3">
      <c r="A5" t="s">
        <v>5</v>
      </c>
      <c r="C5" s="1">
        <v>50000000</v>
      </c>
      <c r="E5" s="3">
        <f>E4+B5+C5</f>
        <v>58175162</v>
      </c>
      <c r="N5" s="11">
        <v>45877</v>
      </c>
      <c r="O5" s="4">
        <v>2600000</v>
      </c>
    </row>
    <row r="6" spans="1:17" x14ac:dyDescent="0.3">
      <c r="A6" t="s">
        <v>6</v>
      </c>
      <c r="B6" s="3">
        <v>-2042000</v>
      </c>
      <c r="E6" s="3">
        <f>E5+B6+C6</f>
        <v>56133162</v>
      </c>
      <c r="N6" s="11">
        <v>45877</v>
      </c>
      <c r="O6" s="4">
        <v>9000000</v>
      </c>
    </row>
    <row r="7" spans="1:17" x14ac:dyDescent="0.3">
      <c r="A7" t="s">
        <v>7</v>
      </c>
      <c r="B7" s="3">
        <v>-69070</v>
      </c>
      <c r="E7" s="3">
        <f t="shared" ref="E7:E8" si="0">E6+B7+C7</f>
        <v>56064092</v>
      </c>
      <c r="O7" s="4">
        <v>5000000</v>
      </c>
    </row>
    <row r="8" spans="1:17" x14ac:dyDescent="0.3">
      <c r="A8" t="s">
        <v>8</v>
      </c>
      <c r="B8" s="3">
        <v>-988500</v>
      </c>
      <c r="E8" s="3">
        <f t="shared" si="0"/>
        <v>55075592</v>
      </c>
      <c r="P8" s="14" t="s">
        <v>54</v>
      </c>
      <c r="Q8" s="4">
        <v>70000000</v>
      </c>
    </row>
    <row r="9" spans="1:17" x14ac:dyDescent="0.3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  <c r="O9" s="12">
        <f>SUM(O4:O8)</f>
        <v>104100000</v>
      </c>
    </row>
    <row r="10" spans="1:17" x14ac:dyDescent="0.3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7" x14ac:dyDescent="0.3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7" x14ac:dyDescent="0.3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7" x14ac:dyDescent="0.3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7" x14ac:dyDescent="0.3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7" x14ac:dyDescent="0.3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7" x14ac:dyDescent="0.3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2" x14ac:dyDescent="0.3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2" x14ac:dyDescent="0.3">
      <c r="A21" t="s">
        <v>22</v>
      </c>
      <c r="B21" t="s">
        <v>23</v>
      </c>
    </row>
    <row r="22" spans="1:12" x14ac:dyDescent="0.3">
      <c r="A22" s="5">
        <v>45839</v>
      </c>
      <c r="B22" s="6">
        <v>359700</v>
      </c>
    </row>
    <row r="23" spans="1:12" x14ac:dyDescent="0.3">
      <c r="A23" s="5">
        <v>45840</v>
      </c>
      <c r="B23" s="6">
        <v>132000</v>
      </c>
      <c r="D23" t="s">
        <v>38</v>
      </c>
    </row>
    <row r="24" spans="1:12" x14ac:dyDescent="0.3">
      <c r="A24" s="5">
        <v>45841</v>
      </c>
      <c r="B24" s="6">
        <v>143000</v>
      </c>
      <c r="D24" t="s">
        <v>24</v>
      </c>
      <c r="K24" s="2" t="s">
        <v>28</v>
      </c>
    </row>
    <row r="25" spans="1:12" x14ac:dyDescent="0.3">
      <c r="A25" s="5">
        <v>45842</v>
      </c>
      <c r="B25" s="6">
        <v>116600</v>
      </c>
      <c r="D25" t="s">
        <v>25</v>
      </c>
      <c r="K25" t="s">
        <v>26</v>
      </c>
    </row>
    <row r="26" spans="1:12" x14ac:dyDescent="0.3">
      <c r="A26" s="5">
        <v>45843</v>
      </c>
      <c r="B26" s="6">
        <v>180400</v>
      </c>
      <c r="K26" t="s">
        <v>27</v>
      </c>
      <c r="L26" s="3">
        <v>15000000</v>
      </c>
    </row>
    <row r="27" spans="1:12" x14ac:dyDescent="0.3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2" x14ac:dyDescent="0.3">
      <c r="A28" s="5">
        <v>45847</v>
      </c>
      <c r="B28" s="6">
        <v>152900</v>
      </c>
      <c r="D28" t="s">
        <v>40</v>
      </c>
    </row>
    <row r="29" spans="1:12" x14ac:dyDescent="0.3">
      <c r="A29" s="5">
        <v>45848</v>
      </c>
      <c r="B29" s="6">
        <v>30800</v>
      </c>
      <c r="K29" t="s">
        <v>29</v>
      </c>
    </row>
    <row r="30" spans="1:12" x14ac:dyDescent="0.3">
      <c r="A30" s="5">
        <v>45849</v>
      </c>
      <c r="B30" s="6">
        <v>145200</v>
      </c>
      <c r="K30" t="s">
        <v>30</v>
      </c>
      <c r="L30" s="3">
        <v>-38628880</v>
      </c>
    </row>
    <row r="31" spans="1:12" x14ac:dyDescent="0.3">
      <c r="A31" s="5">
        <v>45850</v>
      </c>
      <c r="B31" s="6">
        <v>202400</v>
      </c>
    </row>
    <row r="32" spans="1:12" x14ac:dyDescent="0.3">
      <c r="A32" s="5">
        <v>45851</v>
      </c>
      <c r="B32" s="6">
        <v>20900</v>
      </c>
    </row>
    <row r="33" spans="1:13" x14ac:dyDescent="0.3">
      <c r="A33" s="5">
        <v>45852</v>
      </c>
      <c r="B33" s="6">
        <v>162800</v>
      </c>
      <c r="E33" t="s">
        <v>33</v>
      </c>
    </row>
    <row r="34" spans="1:13" x14ac:dyDescent="0.3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</row>
    <row r="35" spans="1:13" x14ac:dyDescent="0.3">
      <c r="A35" s="5">
        <v>45854</v>
      </c>
      <c r="B35" s="6">
        <v>2717000</v>
      </c>
      <c r="D35" s="3"/>
      <c r="E35" s="3">
        <f>B52+D37</f>
        <v>209948223</v>
      </c>
      <c r="F35" s="3">
        <f>-E35*0.15</f>
        <v>-31492233.449999999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v>-6914943</v>
      </c>
      <c r="L35" s="3">
        <v>12000000</v>
      </c>
      <c r="M35" s="8">
        <f>E35+F35+G35+H35+I35+J35+K35+L35</f>
        <v>168412166.55000001</v>
      </c>
    </row>
    <row r="36" spans="1:13" x14ac:dyDescent="0.3">
      <c r="A36" s="5">
        <v>45855</v>
      </c>
      <c r="B36" s="6">
        <v>10568807</v>
      </c>
    </row>
    <row r="37" spans="1:13" x14ac:dyDescent="0.3">
      <c r="A37" s="5">
        <v>45856</v>
      </c>
      <c r="B37" s="6">
        <v>12560900</v>
      </c>
      <c r="D37" s="3"/>
    </row>
    <row r="38" spans="1:13" x14ac:dyDescent="0.3">
      <c r="A38" s="5">
        <v>45857</v>
      </c>
      <c r="B38" s="6">
        <v>18991500</v>
      </c>
    </row>
    <row r="39" spans="1:13" x14ac:dyDescent="0.3">
      <c r="A39" s="5">
        <v>45858</v>
      </c>
      <c r="B39" s="6">
        <v>17752900</v>
      </c>
      <c r="E39" t="s">
        <v>44</v>
      </c>
      <c r="F39" s="8">
        <v>174000000</v>
      </c>
      <c r="H39" t="s">
        <v>52</v>
      </c>
      <c r="I39" s="8">
        <v>174000000</v>
      </c>
    </row>
    <row r="40" spans="1:13" x14ac:dyDescent="0.3">
      <c r="A40" s="5">
        <v>45859</v>
      </c>
      <c r="B40" s="6">
        <v>13028400</v>
      </c>
      <c r="D40" s="3"/>
      <c r="E40" t="s">
        <v>26</v>
      </c>
      <c r="F40" s="8">
        <v>30000000</v>
      </c>
      <c r="H40" t="s">
        <v>42</v>
      </c>
      <c r="I40" s="3">
        <v>-11000000</v>
      </c>
      <c r="J40" t="s">
        <v>53</v>
      </c>
    </row>
    <row r="41" spans="1:13" x14ac:dyDescent="0.3">
      <c r="A41" s="5">
        <v>45860</v>
      </c>
      <c r="B41" s="6">
        <v>13438700</v>
      </c>
      <c r="E41" t="s">
        <v>51</v>
      </c>
      <c r="F41" s="8">
        <v>0</v>
      </c>
      <c r="H41" t="s">
        <v>43</v>
      </c>
      <c r="I41" s="3">
        <v>-4000000</v>
      </c>
      <c r="J41" t="s">
        <v>53</v>
      </c>
    </row>
    <row r="42" spans="1:13" x14ac:dyDescent="0.3">
      <c r="A42" s="5">
        <v>45861</v>
      </c>
      <c r="B42" s="6">
        <v>12865616</v>
      </c>
      <c r="H42" t="s">
        <v>36</v>
      </c>
      <c r="I42" s="3">
        <v>-2059610</v>
      </c>
      <c r="J42" t="s">
        <v>53</v>
      </c>
    </row>
    <row r="43" spans="1:13" x14ac:dyDescent="0.3">
      <c r="A43" s="5">
        <v>45862</v>
      </c>
      <c r="B43" s="6">
        <v>12641200</v>
      </c>
      <c r="E43" t="s">
        <v>7</v>
      </c>
      <c r="F43" s="3">
        <v>-1500000</v>
      </c>
      <c r="H43" s="3"/>
      <c r="I43" s="3"/>
      <c r="J43" s="3"/>
      <c r="M43" s="3"/>
    </row>
    <row r="44" spans="1:13" x14ac:dyDescent="0.3">
      <c r="A44" s="5">
        <v>45863</v>
      </c>
      <c r="B44" s="6">
        <v>14798300</v>
      </c>
      <c r="E44" t="s">
        <v>30</v>
      </c>
      <c r="F44" s="3">
        <v>-38628880</v>
      </c>
      <c r="H44" t="s">
        <v>7</v>
      </c>
      <c r="I44" s="3">
        <v>-1500000</v>
      </c>
    </row>
    <row r="45" spans="1:13" x14ac:dyDescent="0.3">
      <c r="A45" s="5">
        <v>45864</v>
      </c>
      <c r="B45" s="6">
        <v>17833200</v>
      </c>
      <c r="E45" t="s">
        <v>35</v>
      </c>
      <c r="F45" s="3">
        <v>-6914943</v>
      </c>
      <c r="H45" t="s">
        <v>35</v>
      </c>
      <c r="I45" s="3">
        <v>-6686763</v>
      </c>
      <c r="J45" t="s">
        <v>53</v>
      </c>
    </row>
    <row r="46" spans="1:13" x14ac:dyDescent="0.3">
      <c r="A46" s="5">
        <v>45865</v>
      </c>
      <c r="B46" s="6">
        <v>14197700</v>
      </c>
      <c r="H46" t="s">
        <v>30</v>
      </c>
      <c r="I46" s="3">
        <v>-26002768</v>
      </c>
      <c r="J46" t="s">
        <v>53</v>
      </c>
    </row>
    <row r="47" spans="1:13" x14ac:dyDescent="0.3">
      <c r="A47" s="5">
        <v>45866</v>
      </c>
      <c r="B47" s="10">
        <v>15162400</v>
      </c>
      <c r="E47" t="s">
        <v>42</v>
      </c>
      <c r="F47" s="3">
        <v>-6000000</v>
      </c>
      <c r="H47" t="s">
        <v>47</v>
      </c>
      <c r="I47" s="3">
        <v>-70000000</v>
      </c>
      <c r="J47" t="s">
        <v>53</v>
      </c>
    </row>
    <row r="48" spans="1:13" x14ac:dyDescent="0.3">
      <c r="A48" s="5">
        <v>45867</v>
      </c>
      <c r="B48" s="10">
        <v>10105700</v>
      </c>
      <c r="E48" t="s">
        <v>43</v>
      </c>
      <c r="F48" s="3">
        <v>-4000000</v>
      </c>
      <c r="H48" t="s">
        <v>47</v>
      </c>
      <c r="I48" s="3">
        <v>-30000000</v>
      </c>
      <c r="J48" t="s">
        <v>53</v>
      </c>
    </row>
    <row r="49" spans="1:10" x14ac:dyDescent="0.3">
      <c r="A49" s="5">
        <v>45868</v>
      </c>
      <c r="B49" s="10">
        <v>10066100</v>
      </c>
      <c r="E49" t="s">
        <v>36</v>
      </c>
      <c r="F49" s="3">
        <v>-2059610</v>
      </c>
      <c r="H49" t="s">
        <v>46</v>
      </c>
      <c r="I49" s="3">
        <v>-20000000</v>
      </c>
      <c r="J49" t="s">
        <v>53</v>
      </c>
    </row>
    <row r="50" spans="1:10" x14ac:dyDescent="0.3">
      <c r="A50" s="5">
        <v>45869</v>
      </c>
      <c r="B50" s="10">
        <v>11266200</v>
      </c>
      <c r="E50" t="s">
        <v>37</v>
      </c>
      <c r="F50" s="3">
        <v>-25950</v>
      </c>
      <c r="H50" t="s">
        <v>55</v>
      </c>
      <c r="I50" s="8">
        <v>2590995</v>
      </c>
    </row>
    <row r="51" spans="1:10" x14ac:dyDescent="0.3">
      <c r="E51" t="s">
        <v>41</v>
      </c>
      <c r="F51" s="3">
        <v>-2590</v>
      </c>
    </row>
    <row r="52" spans="1:10" x14ac:dyDescent="0.3">
      <c r="B52" s="7">
        <f>SUM(B22:B51)</f>
        <v>209948223</v>
      </c>
      <c r="E52" t="s">
        <v>46</v>
      </c>
      <c r="F52" s="3">
        <v>-40000000</v>
      </c>
    </row>
    <row r="53" spans="1:10" x14ac:dyDescent="0.3">
      <c r="E53" t="s">
        <v>47</v>
      </c>
      <c r="F53" s="3">
        <v>-100000000</v>
      </c>
    </row>
    <row r="54" spans="1:10" x14ac:dyDescent="0.3">
      <c r="E54" t="s">
        <v>48</v>
      </c>
      <c r="F54" s="3">
        <v>-988500</v>
      </c>
    </row>
    <row r="55" spans="1:10" x14ac:dyDescent="0.3">
      <c r="E55" t="s">
        <v>49</v>
      </c>
      <c r="F55" s="3">
        <v>-110000</v>
      </c>
    </row>
    <row r="57" spans="1:10" x14ac:dyDescent="0.3">
      <c r="E57" t="s">
        <v>45</v>
      </c>
      <c r="F57" s="9">
        <f>F39+F40+F43+F44+F45+F47+F48+F49+F50+F51+F52+F53+F54+F55</f>
        <v>3769527</v>
      </c>
      <c r="H57" s="2" t="s">
        <v>45</v>
      </c>
      <c r="I57" s="13">
        <f>SUM(I39:I55)</f>
        <v>5341854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고용성</cp:lastModifiedBy>
  <dcterms:created xsi:type="dcterms:W3CDTF">2025-07-24T01:10:47Z</dcterms:created>
  <dcterms:modified xsi:type="dcterms:W3CDTF">2025-08-18T05:25:37Z</dcterms:modified>
</cp:coreProperties>
</file>