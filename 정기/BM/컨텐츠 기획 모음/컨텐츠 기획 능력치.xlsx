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BM\컨텐츠 기획 모음\"/>
    </mc:Choice>
  </mc:AlternateContent>
  <xr:revisionPtr revIDLastSave="0" documentId="13_ncr:1_{46B34829-1E5F-4296-BA55-7199326B848A}" xr6:coauthVersionLast="47" xr6:coauthVersionMax="47" xr10:uidLastSave="{00000000-0000-0000-0000-000000000000}"/>
  <bookViews>
    <workbookView xWindow="1560" yWindow="1560" windowWidth="21810" windowHeight="11295" activeTab="2" xr2:uid="{3BF25590-3113-4B5B-812C-AC5FDFD7BF9A}"/>
  </bookViews>
  <sheets>
    <sheet name="패기" sheetId="1" r:id="rId1"/>
    <sheet name="신수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3" l="1"/>
  <c r="H27" i="3"/>
  <c r="H26" i="3"/>
  <c r="I26" i="3" s="1"/>
  <c r="H25" i="3"/>
  <c r="I25" i="3" s="1"/>
  <c r="I28" i="3" s="1"/>
  <c r="F20" i="3"/>
  <c r="G20" i="3" s="1"/>
  <c r="H20" i="3" s="1"/>
  <c r="H19" i="3"/>
  <c r="G19" i="3"/>
  <c r="F19" i="3"/>
  <c r="F18" i="3"/>
  <c r="G18" i="3" s="1"/>
  <c r="H18" i="3" s="1"/>
  <c r="F17" i="3"/>
  <c r="G17" i="3" s="1"/>
  <c r="F16" i="3"/>
  <c r="G16" i="3" s="1"/>
  <c r="F15" i="3"/>
  <c r="G15" i="3" s="1"/>
  <c r="G14" i="3"/>
  <c r="F14" i="3"/>
  <c r="G13" i="3"/>
  <c r="F13" i="3"/>
  <c r="F12" i="3"/>
  <c r="G12" i="3" s="1"/>
  <c r="F11" i="3"/>
  <c r="G11" i="3" s="1"/>
  <c r="F10" i="3"/>
  <c r="G10" i="3" s="1"/>
  <c r="I9" i="3"/>
  <c r="F9" i="3"/>
  <c r="G9" i="3" s="1"/>
  <c r="G8" i="3"/>
  <c r="F8" i="3"/>
  <c r="S7" i="3"/>
  <c r="F7" i="3"/>
  <c r="G7" i="3" s="1"/>
  <c r="I6" i="3"/>
  <c r="F6" i="3"/>
  <c r="G6" i="3" s="1"/>
  <c r="F5" i="3"/>
  <c r="G5" i="3" s="1"/>
  <c r="R4" i="3"/>
  <c r="R5" i="3" s="1"/>
  <c r="Q4" i="3"/>
  <c r="Q5" i="3" s="1"/>
  <c r="P4" i="3"/>
  <c r="P5" i="3" s="1"/>
  <c r="G4" i="3"/>
  <c r="F4" i="3"/>
  <c r="F21" i="3" s="1"/>
  <c r="I3" i="3"/>
  <c r="F3" i="3"/>
  <c r="G3" i="3" s="1"/>
  <c r="I16" i="2"/>
  <c r="K16" i="2" s="1"/>
  <c r="J16" i="2" s="1"/>
  <c r="G16" i="2"/>
  <c r="F16" i="2" s="1"/>
  <c r="E16" i="2"/>
  <c r="I15" i="2"/>
  <c r="K15" i="2" s="1"/>
  <c r="J15" i="2" s="1"/>
  <c r="E15" i="2"/>
  <c r="G15" i="2" s="1"/>
  <c r="F15" i="2" s="1"/>
  <c r="I14" i="2"/>
  <c r="K14" i="2" s="1"/>
  <c r="J14" i="2" s="1"/>
  <c r="G14" i="2"/>
  <c r="F14" i="2" s="1"/>
  <c r="E14" i="2"/>
  <c r="I13" i="2"/>
  <c r="K13" i="2" s="1"/>
  <c r="J13" i="2" s="1"/>
  <c r="E13" i="2"/>
  <c r="G13" i="2" s="1"/>
  <c r="F13" i="2" s="1"/>
  <c r="I12" i="2"/>
  <c r="K12" i="2" s="1"/>
  <c r="J12" i="2" s="1"/>
  <c r="G12" i="2"/>
  <c r="F12" i="2" s="1"/>
  <c r="E12" i="2"/>
  <c r="I11" i="2"/>
  <c r="K11" i="2" s="1"/>
  <c r="J11" i="2" s="1"/>
  <c r="E11" i="2"/>
  <c r="G11" i="2" s="1"/>
  <c r="F11" i="2" s="1"/>
  <c r="I10" i="2"/>
  <c r="K10" i="2" s="1"/>
  <c r="J10" i="2" s="1"/>
  <c r="G10" i="2"/>
  <c r="F10" i="2" s="1"/>
  <c r="E10" i="2"/>
  <c r="I9" i="2"/>
  <c r="K9" i="2" s="1"/>
  <c r="J9" i="2" s="1"/>
  <c r="E9" i="2"/>
  <c r="G9" i="2" s="1"/>
  <c r="F9" i="2" s="1"/>
  <c r="I8" i="2"/>
  <c r="K8" i="2" s="1"/>
  <c r="J8" i="2" s="1"/>
  <c r="G8" i="2"/>
  <c r="F8" i="2" s="1"/>
  <c r="E8" i="2"/>
  <c r="I7" i="2"/>
  <c r="K7" i="2" s="1"/>
  <c r="J7" i="2" s="1"/>
  <c r="E7" i="2"/>
  <c r="G7" i="2" s="1"/>
  <c r="F7" i="2" s="1"/>
  <c r="I6" i="2"/>
  <c r="K6" i="2" s="1"/>
  <c r="J6" i="2" s="1"/>
  <c r="G6" i="2"/>
  <c r="F6" i="2" s="1"/>
  <c r="E6" i="2"/>
  <c r="I5" i="2"/>
  <c r="K5" i="2" s="1"/>
  <c r="J5" i="2" s="1"/>
  <c r="K4" i="2"/>
  <c r="J4" i="2" s="1"/>
  <c r="F11" i="1"/>
  <c r="I11" i="1" s="1"/>
  <c r="E11" i="1"/>
  <c r="H11" i="1" s="1"/>
  <c r="F10" i="1"/>
  <c r="I10" i="1" s="1"/>
  <c r="E10" i="1"/>
  <c r="H10" i="1" s="1"/>
  <c r="F9" i="1"/>
  <c r="I9" i="1" s="1"/>
  <c r="E9" i="1"/>
  <c r="H9" i="1" s="1"/>
  <c r="F8" i="1"/>
  <c r="I8" i="1" s="1"/>
  <c r="E8" i="1"/>
  <c r="H8" i="1" s="1"/>
  <c r="F7" i="1"/>
  <c r="I7" i="1" s="1"/>
  <c r="E7" i="1"/>
  <c r="H7" i="1" s="1"/>
  <c r="F6" i="1"/>
  <c r="I6" i="1" s="1"/>
  <c r="E6" i="1"/>
  <c r="H6" i="1" s="1"/>
  <c r="F5" i="1"/>
  <c r="I5" i="1" s="1"/>
  <c r="E5" i="1"/>
  <c r="H5" i="1" s="1"/>
  <c r="F4" i="1"/>
  <c r="I4" i="1" s="1"/>
  <c r="E4" i="1"/>
  <c r="H4" i="1" s="1"/>
  <c r="P6" i="3" l="1"/>
  <c r="P8" i="3" s="1"/>
  <c r="P7" i="3"/>
  <c r="Q6" i="3"/>
  <c r="Q7" i="3" s="1"/>
  <c r="R6" i="3"/>
  <c r="S6" i="3" s="1"/>
  <c r="R7" i="3"/>
</calcChain>
</file>

<file path=xl/sharedStrings.xml><?xml version="1.0" encoding="utf-8"?>
<sst xmlns="http://schemas.openxmlformats.org/spreadsheetml/2006/main" count="148" uniqueCount="119">
  <si>
    <t>패기</t>
    <phoneticPr fontId="3" type="noConversion"/>
  </si>
  <si>
    <t>업후 미는스테이지</t>
    <phoneticPr fontId="3" type="noConversion"/>
  </si>
  <si>
    <t>업전 미는스테이지</t>
    <phoneticPr fontId="3" type="noConversion"/>
  </si>
  <si>
    <t>신화1</t>
  </si>
  <si>
    <t>신화2</t>
  </si>
  <si>
    <t>신화3</t>
    <phoneticPr fontId="3" type="noConversion"/>
  </si>
  <si>
    <t>신화4</t>
    <phoneticPr fontId="3" type="noConversion"/>
  </si>
  <si>
    <t>전설</t>
    <phoneticPr fontId="3" type="noConversion"/>
  </si>
  <si>
    <t>200업(%)</t>
    <phoneticPr fontId="3" type="noConversion"/>
  </si>
  <si>
    <t>0업(%)</t>
    <phoneticPr fontId="3" type="noConversion"/>
  </si>
  <si>
    <t>등급</t>
    <phoneticPr fontId="3" type="noConversion"/>
  </si>
  <si>
    <t>빛 개별 스테이지</t>
    <phoneticPr fontId="3" type="noConversion"/>
  </si>
  <si>
    <t>빛 개별 공격력</t>
    <phoneticPr fontId="3" type="noConversion"/>
  </si>
  <si>
    <t>생짜 미는 스테이지</t>
    <phoneticPr fontId="3" type="noConversion"/>
  </si>
  <si>
    <t>생짜</t>
    <phoneticPr fontId="3" type="noConversion"/>
  </si>
  <si>
    <t>불 개별 스테이지</t>
    <phoneticPr fontId="3" type="noConversion"/>
  </si>
  <si>
    <t>불 개별 공격력</t>
    <phoneticPr fontId="3" type="noConversion"/>
  </si>
  <si>
    <t>빛 골획</t>
    <phoneticPr fontId="3" type="noConversion"/>
  </si>
  <si>
    <t>성</t>
    <phoneticPr fontId="3" type="noConversion"/>
  </si>
  <si>
    <t>타입</t>
  </si>
  <si>
    <t>공격력</t>
  </si>
  <si>
    <t>생명력</t>
  </si>
  <si>
    <t>골드획득량</t>
  </si>
  <si>
    <t>물1</t>
  </si>
  <si>
    <t>물2</t>
  </si>
  <si>
    <t>물3</t>
  </si>
  <si>
    <t>불1</t>
  </si>
  <si>
    <t>불2</t>
  </si>
  <si>
    <t>불3</t>
  </si>
  <si>
    <t>풀1</t>
  </si>
  <si>
    <t>풀2</t>
  </si>
  <si>
    <t>풀3</t>
  </si>
  <si>
    <t>빛1</t>
  </si>
  <si>
    <t>빛2</t>
  </si>
  <si>
    <t>빛3</t>
  </si>
  <si>
    <t>레벨</t>
  </si>
  <si>
    <t>경단비용</t>
  </si>
  <si>
    <t>성급</t>
    <phoneticPr fontId="3" type="noConversion"/>
  </si>
  <si>
    <t>타입</t>
    <phoneticPr fontId="3" type="noConversion"/>
  </si>
  <si>
    <t>속성</t>
    <phoneticPr fontId="3" type="noConversion"/>
  </si>
  <si>
    <t>확률1</t>
    <phoneticPr fontId="3" type="noConversion"/>
  </si>
  <si>
    <t>확률2</t>
    <phoneticPr fontId="3" type="noConversion"/>
  </si>
  <si>
    <t>총확률</t>
    <phoneticPr fontId="3" type="noConversion"/>
  </si>
  <si>
    <t>특정</t>
    <phoneticPr fontId="3" type="noConversion"/>
  </si>
  <si>
    <t>성급 됨</t>
    <phoneticPr fontId="3" type="noConversion"/>
  </si>
  <si>
    <t>물</t>
    <phoneticPr fontId="3" type="noConversion"/>
  </si>
  <si>
    <t>불</t>
    <phoneticPr fontId="3" type="noConversion"/>
  </si>
  <si>
    <t>풀</t>
    <phoneticPr fontId="3" type="noConversion"/>
  </si>
  <si>
    <t>빛</t>
    <phoneticPr fontId="3" type="noConversion"/>
  </si>
  <si>
    <r>
      <t>등급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굴림"/>
        <family val="3"/>
        <charset val="129"/>
      </rPr>
      <t>상승</t>
    </r>
  </si>
  <si>
    <r>
      <t>필요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굴림"/>
        <family val="3"/>
        <charset val="129"/>
      </rPr>
      <t>재료</t>
    </r>
    <r>
      <rPr>
        <b/>
        <sz val="12"/>
        <color theme="1"/>
        <rFont val="Arial"/>
        <family val="2"/>
      </rPr>
      <t xml:space="preserve"> (</t>
    </r>
    <r>
      <rPr>
        <b/>
        <sz val="12"/>
        <color theme="1"/>
        <rFont val="굴림"/>
        <family val="3"/>
        <charset val="129"/>
      </rPr>
      <t>상세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굴림"/>
        <family val="3"/>
        <charset val="129"/>
      </rPr>
      <t>조건</t>
    </r>
    <r>
      <rPr>
        <b/>
        <sz val="12"/>
        <color theme="1"/>
        <rFont val="Arial"/>
        <family val="2"/>
      </rPr>
      <t>)</t>
    </r>
  </si>
  <si>
    <t>비고</t>
  </si>
  <si>
    <r>
      <rPr>
        <b/>
        <sz val="12"/>
        <color theme="1"/>
        <rFont val="Segoe UI Symbol"/>
        <family val="2"/>
      </rPr>
      <t>3★</t>
    </r>
    <r>
      <rPr>
        <b/>
        <sz val="12"/>
        <color theme="1"/>
        <rFont val="Arial"/>
        <family val="2"/>
      </rPr>
      <t xml:space="preserve"> → 4</t>
    </r>
    <r>
      <rPr>
        <b/>
        <sz val="12"/>
        <color theme="1"/>
        <rFont val="Segoe UI Symbol"/>
        <family val="2"/>
      </rPr>
      <t>★</t>
    </r>
    <phoneticPr fontId="3" type="noConversion"/>
  </si>
  <si>
    <r>
      <t>(3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본체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3)</t>
    </r>
    <phoneticPr fontId="3" type="noConversion"/>
  </si>
  <si>
    <r>
      <t>1</t>
    </r>
    <r>
      <rPr>
        <sz val="12"/>
        <color theme="1"/>
        <rFont val="굴림"/>
        <family val="3"/>
        <charset val="129"/>
      </rPr>
      <t>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성장</t>
    </r>
  </si>
  <si>
    <t>4성</t>
    <phoneticPr fontId="3" type="noConversion"/>
  </si>
  <si>
    <r>
      <rPr>
        <b/>
        <sz val="12"/>
        <color theme="1"/>
        <rFont val="Segoe UI Symbol"/>
        <family val="2"/>
      </rPr>
      <t>4★</t>
    </r>
    <r>
      <rPr>
        <b/>
        <sz val="12"/>
        <color theme="1"/>
        <rFont val="Arial"/>
        <family val="2"/>
      </rPr>
      <t xml:space="preserve"> → 5</t>
    </r>
    <r>
      <rPr>
        <b/>
        <sz val="12"/>
        <color theme="1"/>
        <rFont val="Segoe UI Symbol"/>
        <family val="2"/>
      </rPr>
      <t>★</t>
    </r>
    <phoneticPr fontId="3" type="noConversion"/>
  </si>
  <si>
    <r>
      <t>(4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동일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3)</t>
    </r>
    <phoneticPr fontId="3" type="noConversion"/>
  </si>
  <si>
    <t>5성</t>
    <phoneticPr fontId="3" type="noConversion"/>
  </si>
  <si>
    <r>
      <t>5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6</t>
    </r>
    <r>
      <rPr>
        <b/>
        <sz val="12"/>
        <color theme="1"/>
        <rFont val="Segoe UI Symbol"/>
        <family val="2"/>
      </rPr>
      <t>★</t>
    </r>
  </si>
  <si>
    <r>
      <t>(5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본체</t>
    </r>
    <r>
      <rPr>
        <sz val="12"/>
        <color theme="1"/>
        <rFont val="Arial"/>
        <family val="2"/>
      </rPr>
      <t xml:space="preserve"> 1) + (5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지정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신수</t>
    </r>
    <r>
      <rPr>
        <sz val="12"/>
        <color theme="1"/>
        <rFont val="Arial"/>
        <family val="2"/>
      </rPr>
      <t xml:space="preserve"> 1) + (5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본체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3)</t>
    </r>
  </si>
  <si>
    <r>
      <t>6</t>
    </r>
    <r>
      <rPr>
        <sz val="12"/>
        <color theme="1"/>
        <rFont val="맑은 고딕"/>
        <family val="2"/>
        <charset val="129"/>
      </rPr>
      <t>단계 모든속성</t>
    </r>
    <r>
      <rPr>
        <sz val="12"/>
        <color theme="1"/>
        <rFont val="Arial"/>
        <family val="2"/>
      </rPr>
      <t>*1</t>
    </r>
    <phoneticPr fontId="3" type="noConversion"/>
  </si>
  <si>
    <t>6성</t>
    <phoneticPr fontId="3" type="noConversion"/>
  </si>
  <si>
    <r>
      <t>6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7</t>
    </r>
    <r>
      <rPr>
        <b/>
        <sz val="12"/>
        <color theme="1"/>
        <rFont val="Segoe UI Symbol"/>
        <family val="2"/>
      </rPr>
      <t>★</t>
    </r>
  </si>
  <si>
    <r>
      <t>(5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동일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4)</t>
    </r>
  </si>
  <si>
    <t>7성</t>
    <phoneticPr fontId="3" type="noConversion"/>
  </si>
  <si>
    <r>
      <t>7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8</t>
    </r>
    <r>
      <rPr>
        <b/>
        <sz val="12"/>
        <color theme="1"/>
        <rFont val="Segoe UI Symbol"/>
        <family val="2"/>
      </rPr>
      <t>★</t>
    </r>
  </si>
  <si>
    <r>
      <t>(5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동일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3) + (6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동일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</t>
    </r>
  </si>
  <si>
    <t>8성</t>
  </si>
  <si>
    <r>
      <t>8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9</t>
    </r>
    <r>
      <rPr>
        <b/>
        <sz val="12"/>
        <color theme="1"/>
        <rFont val="Segoe UI Symbol"/>
        <family val="2"/>
      </rPr>
      <t>★</t>
    </r>
  </si>
  <si>
    <r>
      <t>(5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본체</t>
    </r>
    <r>
      <rPr>
        <sz val="12"/>
        <color theme="1"/>
        <rFont val="Arial"/>
        <family val="2"/>
      </rPr>
      <t xml:space="preserve"> 1) + (5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동일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2) + (6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동일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</t>
    </r>
  </si>
  <si>
    <t>9성</t>
  </si>
  <si>
    <r>
      <t>9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10</t>
    </r>
    <r>
      <rPr>
        <b/>
        <sz val="12"/>
        <color theme="1"/>
        <rFont val="Segoe UI Symbol"/>
        <family val="2"/>
      </rPr>
      <t>★</t>
    </r>
  </si>
  <si>
    <r>
      <t>(5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본체</t>
    </r>
    <r>
      <rPr>
        <sz val="12"/>
        <color theme="1"/>
        <rFont val="Arial"/>
        <family val="2"/>
      </rPr>
      <t xml:space="preserve"> 2) + (6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동일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 + (9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모든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</t>
    </r>
  </si>
  <si>
    <t>10성</t>
  </si>
  <si>
    <r>
      <t>10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11</t>
    </r>
    <r>
      <rPr>
        <b/>
        <sz val="12"/>
        <color theme="1"/>
        <rFont val="Segoe UI Symbol"/>
        <family val="2"/>
      </rPr>
      <t>★</t>
    </r>
  </si>
  <si>
    <r>
      <t>(6</t>
    </r>
    <r>
      <rPr>
        <b/>
        <sz val="12"/>
        <color theme="1"/>
        <rFont val="굴림"/>
        <family val="3"/>
        <charset val="129"/>
      </rPr>
      <t>성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굴림"/>
        <family val="3"/>
        <charset val="129"/>
      </rPr>
      <t>본체</t>
    </r>
    <r>
      <rPr>
        <b/>
        <sz val="12"/>
        <color theme="1"/>
        <rFont val="Arial"/>
        <family val="2"/>
      </rPr>
      <t xml:space="preserve"> 1)</t>
    </r>
    <r>
      <rPr>
        <sz val="12"/>
        <color theme="1"/>
        <rFont val="Arial"/>
        <family val="2"/>
      </rPr>
      <t xml:space="preserve"> + (9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모든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</t>
    </r>
  </si>
  <si>
    <r>
      <t>✨</t>
    </r>
    <r>
      <rPr>
        <b/>
        <sz val="12"/>
        <color theme="1"/>
        <rFont val="Arial"/>
        <family val="2"/>
      </rPr>
      <t xml:space="preserve"> 2</t>
    </r>
    <r>
      <rPr>
        <b/>
        <sz val="12"/>
        <color theme="1"/>
        <rFont val="굴림"/>
        <family val="3"/>
        <charset val="129"/>
      </rPr>
      <t>차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굴림"/>
        <family val="3"/>
        <charset val="129"/>
      </rPr>
      <t>외형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굴림"/>
        <family val="3"/>
        <charset val="129"/>
      </rPr>
      <t>변신</t>
    </r>
  </si>
  <si>
    <t>11성</t>
  </si>
  <si>
    <r>
      <t>11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12</t>
    </r>
    <r>
      <rPr>
        <b/>
        <sz val="12"/>
        <color theme="1"/>
        <rFont val="Segoe UI Symbol"/>
        <family val="2"/>
      </rPr>
      <t>★</t>
    </r>
  </si>
  <si>
    <r>
      <t>(6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본체</t>
    </r>
    <r>
      <rPr>
        <sz val="12"/>
        <color theme="1"/>
        <rFont val="Arial"/>
        <family val="2"/>
      </rPr>
      <t xml:space="preserve"> 1) + (10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모든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</t>
    </r>
  </si>
  <si>
    <t>12성</t>
  </si>
  <si>
    <r>
      <t>12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13</t>
    </r>
    <r>
      <rPr>
        <b/>
        <sz val="12"/>
        <color theme="1"/>
        <rFont val="Segoe UI Symbol"/>
        <family val="2"/>
      </rPr>
      <t>★</t>
    </r>
  </si>
  <si>
    <r>
      <t>(6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본체</t>
    </r>
    <r>
      <rPr>
        <sz val="12"/>
        <color theme="1"/>
        <rFont val="Arial"/>
        <family val="2"/>
      </rPr>
      <t xml:space="preserve"> 1) + (9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동일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 + (10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모든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</t>
    </r>
  </si>
  <si>
    <t>13성</t>
  </si>
  <si>
    <r>
      <t>13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14</t>
    </r>
    <r>
      <rPr>
        <b/>
        <sz val="12"/>
        <color theme="1"/>
        <rFont val="Segoe UI Symbol"/>
        <family val="2"/>
      </rPr>
      <t>★</t>
    </r>
  </si>
  <si>
    <r>
      <t>(6</t>
    </r>
    <r>
      <rPr>
        <b/>
        <sz val="12"/>
        <color theme="1"/>
        <rFont val="굴림"/>
        <family val="3"/>
        <charset val="129"/>
      </rPr>
      <t>성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굴림"/>
        <family val="3"/>
        <charset val="129"/>
      </rPr>
      <t>본체</t>
    </r>
    <r>
      <rPr>
        <b/>
        <sz val="12"/>
        <color theme="1"/>
        <rFont val="Arial"/>
        <family val="2"/>
      </rPr>
      <t xml:space="preserve"> 2)</t>
    </r>
    <r>
      <rPr>
        <sz val="12"/>
        <color theme="1"/>
        <rFont val="Arial"/>
        <family val="2"/>
      </rPr>
      <t xml:space="preserve"> + (10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모든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</t>
    </r>
  </si>
  <si>
    <t>14성</t>
  </si>
  <si>
    <r>
      <t>14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15</t>
    </r>
    <r>
      <rPr>
        <b/>
        <sz val="12"/>
        <color theme="1"/>
        <rFont val="Segoe UI Symbol"/>
        <family val="2"/>
      </rPr>
      <t>★</t>
    </r>
  </si>
  <si>
    <r>
      <t>(6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본체</t>
    </r>
    <r>
      <rPr>
        <sz val="12"/>
        <color theme="1"/>
        <rFont val="Arial"/>
        <family val="2"/>
      </rPr>
      <t xml:space="preserve"> 2) + (5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본체</t>
    </r>
    <r>
      <rPr>
        <sz val="12"/>
        <color theme="1"/>
        <rFont val="Arial"/>
        <family val="2"/>
      </rPr>
      <t xml:space="preserve"> 2) + (11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모든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</t>
    </r>
  </si>
  <si>
    <t>15성</t>
  </si>
  <si>
    <r>
      <t>15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16</t>
    </r>
    <r>
      <rPr>
        <b/>
        <sz val="12"/>
        <color theme="1"/>
        <rFont val="Segoe UI Symbol"/>
        <family val="2"/>
      </rPr>
      <t>★</t>
    </r>
  </si>
  <si>
    <r>
      <t>(9</t>
    </r>
    <r>
      <rPr>
        <b/>
        <sz val="12"/>
        <color theme="1"/>
        <rFont val="굴림"/>
        <family val="3"/>
        <charset val="129"/>
      </rPr>
      <t>성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굴림"/>
        <family val="3"/>
        <charset val="129"/>
      </rPr>
      <t>본체</t>
    </r>
    <r>
      <rPr>
        <b/>
        <sz val="12"/>
        <color theme="1"/>
        <rFont val="Arial"/>
        <family val="2"/>
      </rPr>
      <t xml:space="preserve"> 1)</t>
    </r>
    <r>
      <rPr>
        <sz val="12"/>
        <color theme="1"/>
        <rFont val="Arial"/>
        <family val="2"/>
      </rPr>
      <t xml:space="preserve"> + (12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모든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</t>
    </r>
  </si>
  <si>
    <r>
      <t>✨</t>
    </r>
    <r>
      <rPr>
        <b/>
        <sz val="12"/>
        <color theme="1"/>
        <rFont val="Arial"/>
        <family val="2"/>
      </rPr>
      <t xml:space="preserve"> 3</t>
    </r>
    <r>
      <rPr>
        <b/>
        <sz val="12"/>
        <color theme="1"/>
        <rFont val="굴림"/>
        <family val="3"/>
        <charset val="129"/>
      </rPr>
      <t>차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굴림"/>
        <family val="3"/>
        <charset val="129"/>
      </rPr>
      <t>외형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굴림"/>
        <family val="3"/>
        <charset val="129"/>
      </rPr>
      <t>변신</t>
    </r>
    <r>
      <rPr>
        <b/>
        <sz val="12"/>
        <color theme="1"/>
        <rFont val="Arial"/>
        <family val="2"/>
      </rPr>
      <t xml:space="preserve"> (</t>
    </r>
    <r>
      <rPr>
        <b/>
        <sz val="12"/>
        <color theme="1"/>
        <rFont val="굴림"/>
        <family val="3"/>
        <charset val="129"/>
      </rPr>
      <t>최종</t>
    </r>
    <r>
      <rPr>
        <b/>
        <sz val="12"/>
        <color theme="1"/>
        <rFont val="Arial"/>
        <family val="2"/>
      </rPr>
      <t>)</t>
    </r>
  </si>
  <si>
    <t>16성</t>
  </si>
  <si>
    <r>
      <t>16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17</t>
    </r>
    <r>
      <rPr>
        <b/>
        <sz val="12"/>
        <color theme="1"/>
        <rFont val="Segoe UI Symbol"/>
        <family val="2"/>
      </rPr>
      <t>★</t>
    </r>
  </si>
  <si>
    <r>
      <t>(9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본체</t>
    </r>
    <r>
      <rPr>
        <sz val="12"/>
        <color theme="1"/>
        <rFont val="Arial"/>
        <family val="2"/>
      </rPr>
      <t xml:space="preserve"> 1) + (13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모든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</t>
    </r>
  </si>
  <si>
    <t>17성</t>
  </si>
  <si>
    <r>
      <t>17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18</t>
    </r>
    <r>
      <rPr>
        <b/>
        <sz val="12"/>
        <color theme="1"/>
        <rFont val="Segoe UI Symbol"/>
        <family val="2"/>
      </rPr>
      <t>★</t>
    </r>
  </si>
  <si>
    <r>
      <t>(9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본체</t>
    </r>
    <r>
      <rPr>
        <sz val="12"/>
        <color theme="1"/>
        <rFont val="Arial"/>
        <family val="2"/>
      </rPr>
      <t xml:space="preserve"> 1) + (6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본체</t>
    </r>
    <r>
      <rPr>
        <sz val="12"/>
        <color theme="1"/>
        <rFont val="Arial"/>
        <family val="2"/>
      </rPr>
      <t xml:space="preserve"> 1) + (14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모든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</t>
    </r>
  </si>
  <si>
    <t>18성</t>
  </si>
  <si>
    <r>
      <t>18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19</t>
    </r>
    <r>
      <rPr>
        <b/>
        <sz val="12"/>
        <color theme="1"/>
        <rFont val="Segoe UI Symbol"/>
        <family val="2"/>
      </rPr>
      <t>★</t>
    </r>
  </si>
  <si>
    <r>
      <t>(10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본체</t>
    </r>
    <r>
      <rPr>
        <sz val="12"/>
        <color theme="1"/>
        <rFont val="Arial"/>
        <family val="2"/>
      </rPr>
      <t xml:space="preserve"> 1) + (15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모든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1)</t>
    </r>
  </si>
  <si>
    <t>19성</t>
  </si>
  <si>
    <r>
      <t>19</t>
    </r>
    <r>
      <rPr>
        <b/>
        <sz val="12"/>
        <color theme="1"/>
        <rFont val="Segoe UI Symbol"/>
        <family val="2"/>
      </rPr>
      <t>★</t>
    </r>
    <r>
      <rPr>
        <b/>
        <sz val="12"/>
        <color theme="1"/>
        <rFont val="Arial"/>
        <family val="2"/>
      </rPr>
      <t xml:space="preserve"> → 20</t>
    </r>
    <r>
      <rPr>
        <b/>
        <sz val="12"/>
        <color theme="1"/>
        <rFont val="Segoe UI Symbol"/>
        <family val="2"/>
      </rPr>
      <t>★</t>
    </r>
  </si>
  <si>
    <r>
      <t>(12</t>
    </r>
    <r>
      <rPr>
        <b/>
        <sz val="12"/>
        <color theme="1"/>
        <rFont val="굴림"/>
        <family val="3"/>
        <charset val="129"/>
      </rPr>
      <t>성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굴림"/>
        <family val="3"/>
        <charset val="129"/>
      </rPr>
      <t>본체</t>
    </r>
    <r>
      <rPr>
        <b/>
        <sz val="12"/>
        <color theme="1"/>
        <rFont val="Arial"/>
        <family val="2"/>
      </rPr>
      <t xml:space="preserve"> 1)</t>
    </r>
    <r>
      <rPr>
        <sz val="12"/>
        <color theme="1"/>
        <rFont val="Arial"/>
        <family val="2"/>
      </rPr>
      <t xml:space="preserve"> + (15</t>
    </r>
    <r>
      <rPr>
        <sz val="12"/>
        <color theme="1"/>
        <rFont val="굴림"/>
        <family val="3"/>
        <charset val="129"/>
      </rPr>
      <t>성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모든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굴림"/>
        <family val="3"/>
        <charset val="129"/>
      </rPr>
      <t>속성</t>
    </r>
    <r>
      <rPr>
        <sz val="12"/>
        <color theme="1"/>
        <rFont val="Arial"/>
        <family val="2"/>
      </rPr>
      <t xml:space="preserve"> 2)</t>
    </r>
  </si>
  <si>
    <r>
      <t>👑</t>
    </r>
    <r>
      <rPr>
        <b/>
        <sz val="12"/>
        <color theme="1"/>
        <rFont val="Arial"/>
        <family val="2"/>
      </rPr>
      <t xml:space="preserve"> MAX </t>
    </r>
    <r>
      <rPr>
        <b/>
        <sz val="12"/>
        <color theme="1"/>
        <rFont val="굴림"/>
        <family val="3"/>
        <charset val="129"/>
      </rPr>
      <t>레벨</t>
    </r>
  </si>
  <si>
    <t>20성</t>
  </si>
  <si>
    <t>1회</t>
    <phoneticPr fontId="3" type="noConversion"/>
  </si>
  <si>
    <t>3.7성</t>
    <phoneticPr fontId="3" type="noConversion"/>
  </si>
  <si>
    <t>등급</t>
  </si>
  <si>
    <t>환산 가치</t>
  </si>
  <si>
    <t>기대비용</t>
  </si>
  <si>
    <t>3성</t>
  </si>
  <si>
    <t>162원</t>
  </si>
  <si>
    <t>4성</t>
  </si>
  <si>
    <t>648원</t>
  </si>
  <si>
    <t>5성</t>
  </si>
  <si>
    <t>2,594원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</si>
</sst>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굴림"/>
      <family val="3"/>
      <charset val="129"/>
    </font>
    <font>
      <b/>
      <sz val="12"/>
      <color theme="1"/>
      <name val="Arial"/>
      <family val="2"/>
    </font>
    <font>
      <b/>
      <sz val="12"/>
      <color theme="1"/>
      <name val="Segoe UI Symbol"/>
      <family val="2"/>
    </font>
    <font>
      <sz val="12"/>
      <color theme="1"/>
      <name val="Arial"/>
      <family val="2"/>
    </font>
    <font>
      <sz val="12"/>
      <color theme="1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</font>
    <font>
      <b/>
      <sz val="12"/>
      <color theme="1"/>
      <name val="Segoe UI Emoj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2" fillId="2" borderId="0" xfId="3">
      <alignment vertical="center"/>
    </xf>
    <xf numFmtId="0" fontId="0" fillId="3" borderId="0" xfId="0" applyFill="1" applyAlignment="1">
      <alignment vertical="top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" fontId="0" fillId="4" borderId="0" xfId="0" applyNumberFormat="1" applyFill="1">
      <alignment vertical="center"/>
    </xf>
    <xf numFmtId="9" fontId="0" fillId="4" borderId="0" xfId="0" applyNumberFormat="1" applyFill="1">
      <alignment vertical="center"/>
    </xf>
    <xf numFmtId="1" fontId="0" fillId="4" borderId="0" xfId="2" applyNumberFormat="1" applyFont="1" applyFill="1">
      <alignment vertical="center"/>
    </xf>
    <xf numFmtId="9" fontId="0" fillId="4" borderId="0" xfId="2" applyFont="1" applyFill="1">
      <alignment vertical="center"/>
    </xf>
    <xf numFmtId="9" fontId="0" fillId="3" borderId="0" xfId="2" applyFont="1" applyFill="1">
      <alignment vertical="center"/>
    </xf>
    <xf numFmtId="1" fontId="0" fillId="3" borderId="0" xfId="2" applyNumberFormat="1" applyFont="1" applyFill="1">
      <alignment vertical="center"/>
    </xf>
    <xf numFmtId="9" fontId="0" fillId="3" borderId="0" xfId="1" applyNumberFormat="1" applyFont="1" applyFill="1">
      <alignment vertical="center"/>
    </xf>
    <xf numFmtId="0" fontId="0" fillId="5" borderId="0" xfId="0" applyFill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10" fontId="0" fillId="0" borderId="0" xfId="0" applyNumberFormat="1">
      <alignment vertical="center"/>
    </xf>
    <xf numFmtId="0" fontId="4" fillId="0" borderId="0" xfId="0" applyFont="1" applyAlignment="1">
      <alignment vertical="center" wrapText="1"/>
    </xf>
  </cellXfs>
  <cellStyles count="4">
    <cellStyle name="백분율" xfId="2" builtinId="5"/>
    <cellStyle name="쉼표 [0]" xfId="1" builtinId="6"/>
    <cellStyle name="좋음" xfId="3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AC3C-2FDE-4CCB-9503-4C36FF152B64}">
  <dimension ref="B2:I11"/>
  <sheetViews>
    <sheetView workbookViewId="0">
      <selection activeCell="G16" sqref="G16"/>
    </sheetView>
  </sheetViews>
  <sheetFormatPr defaultRowHeight="16.5" x14ac:dyDescent="0.3"/>
  <sheetData>
    <row r="2" spans="2:9" x14ac:dyDescent="0.3">
      <c r="C2" t="s">
        <v>0</v>
      </c>
    </row>
    <row r="3" spans="2:9" x14ac:dyDescent="0.3">
      <c r="D3" t="s">
        <v>8</v>
      </c>
      <c r="G3" t="s">
        <v>9</v>
      </c>
      <c r="H3" t="s">
        <v>1</v>
      </c>
      <c r="I3" t="s">
        <v>2</v>
      </c>
    </row>
    <row r="4" spans="2:9" x14ac:dyDescent="0.3">
      <c r="B4" t="s">
        <v>3</v>
      </c>
      <c r="C4">
        <v>20</v>
      </c>
      <c r="D4">
        <v>4400</v>
      </c>
      <c r="E4">
        <f>D4/100</f>
        <v>44</v>
      </c>
      <c r="F4">
        <f>G4/100</f>
        <v>28</v>
      </c>
      <c r="G4">
        <v>2800</v>
      </c>
      <c r="H4" s="1">
        <f>30*LOG10(E4)</f>
        <v>49.303580294585622</v>
      </c>
      <c r="I4" s="1">
        <f>30*LOG10(F4)</f>
        <v>43.414740940266576</v>
      </c>
    </row>
    <row r="5" spans="2:9" x14ac:dyDescent="0.3">
      <c r="B5" t="s">
        <v>4</v>
      </c>
      <c r="C5">
        <v>19</v>
      </c>
      <c r="D5">
        <v>15000</v>
      </c>
      <c r="E5">
        <f t="shared" ref="E5:E11" si="0">D5/100</f>
        <v>150</v>
      </c>
      <c r="F5">
        <f t="shared" ref="F5:F11" si="1">G5/100</f>
        <v>14</v>
      </c>
      <c r="G5">
        <v>1400</v>
      </c>
      <c r="H5" s="1">
        <f t="shared" ref="H5:I11" si="2">30*LOG10(E5)</f>
        <v>65.28273777167044</v>
      </c>
      <c r="I5" s="1">
        <f t="shared" si="2"/>
        <v>34.383841070347138</v>
      </c>
    </row>
    <row r="6" spans="2:9" x14ac:dyDescent="0.3">
      <c r="B6" t="s">
        <v>5</v>
      </c>
      <c r="C6">
        <v>18</v>
      </c>
      <c r="D6">
        <v>253000</v>
      </c>
      <c r="E6">
        <f t="shared" si="0"/>
        <v>2530</v>
      </c>
      <c r="F6">
        <f t="shared" si="1"/>
        <v>7</v>
      </c>
      <c r="G6">
        <v>700</v>
      </c>
      <c r="H6" s="1">
        <f>40*LOG10(E6)</f>
        <v>136.12482084703271</v>
      </c>
      <c r="I6" s="1">
        <f t="shared" si="2"/>
        <v>25.352941200427704</v>
      </c>
    </row>
    <row r="7" spans="2:9" x14ac:dyDescent="0.3">
      <c r="B7" t="s">
        <v>6</v>
      </c>
      <c r="C7">
        <v>17</v>
      </c>
      <c r="D7">
        <v>146</v>
      </c>
      <c r="E7">
        <f t="shared" si="0"/>
        <v>1.46</v>
      </c>
      <c r="F7">
        <f t="shared" si="1"/>
        <v>3.56</v>
      </c>
      <c r="G7">
        <v>356</v>
      </c>
      <c r="H7" s="1">
        <f t="shared" si="2"/>
        <v>4.9305856735331126</v>
      </c>
      <c r="I7" s="1">
        <f t="shared" si="2"/>
        <v>16.543499939186255</v>
      </c>
    </row>
    <row r="8" spans="2:9" x14ac:dyDescent="0.3">
      <c r="B8" t="s">
        <v>7</v>
      </c>
      <c r="C8">
        <v>16</v>
      </c>
      <c r="D8">
        <v>765</v>
      </c>
      <c r="E8">
        <f t="shared" si="0"/>
        <v>7.65</v>
      </c>
      <c r="F8">
        <f t="shared" si="1"/>
        <v>1.65</v>
      </c>
      <c r="G8">
        <v>165</v>
      </c>
      <c r="H8" s="1">
        <f t="shared" si="2"/>
        <v>26.509843054608528</v>
      </c>
      <c r="I8" s="1">
        <f t="shared" si="2"/>
        <v>6.524518326417188</v>
      </c>
    </row>
    <row r="9" spans="2:9" x14ac:dyDescent="0.3">
      <c r="B9" t="s">
        <v>7</v>
      </c>
      <c r="C9">
        <v>15</v>
      </c>
      <c r="D9">
        <v>760</v>
      </c>
      <c r="E9">
        <f t="shared" si="0"/>
        <v>7.6</v>
      </c>
      <c r="F9">
        <f t="shared" si="1"/>
        <v>1.6</v>
      </c>
      <c r="G9">
        <v>160</v>
      </c>
      <c r="H9" s="1">
        <f t="shared" si="2"/>
        <v>26.424407768423741</v>
      </c>
      <c r="I9" s="1">
        <f t="shared" si="2"/>
        <v>6.1235994796777433</v>
      </c>
    </row>
    <row r="10" spans="2:9" x14ac:dyDescent="0.3">
      <c r="B10" t="s">
        <v>7</v>
      </c>
      <c r="C10">
        <v>14</v>
      </c>
      <c r="D10">
        <v>755</v>
      </c>
      <c r="E10">
        <f t="shared" si="0"/>
        <v>7.55</v>
      </c>
      <c r="F10">
        <f t="shared" si="1"/>
        <v>1.55</v>
      </c>
      <c r="G10">
        <v>155</v>
      </c>
      <c r="H10" s="1">
        <f t="shared" si="2"/>
        <v>26.338408548875648</v>
      </c>
      <c r="I10" s="1">
        <f t="shared" si="2"/>
        <v>5.7099509451087451</v>
      </c>
    </row>
    <row r="11" spans="2:9" x14ac:dyDescent="0.3">
      <c r="B11" t="s">
        <v>7</v>
      </c>
      <c r="C11">
        <v>13</v>
      </c>
      <c r="D11">
        <v>750</v>
      </c>
      <c r="E11">
        <f t="shared" si="0"/>
        <v>7.5</v>
      </c>
      <c r="F11">
        <f t="shared" si="1"/>
        <v>1.5</v>
      </c>
      <c r="G11">
        <v>150</v>
      </c>
      <c r="H11" s="1">
        <f t="shared" si="2"/>
        <v>26.251837901751003</v>
      </c>
      <c r="I11" s="1">
        <f t="shared" si="2"/>
        <v>5.2827377716704369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9A37-4F69-4716-BFD6-800ED9B3FEBC}">
  <dimension ref="C3:T34"/>
  <sheetViews>
    <sheetView topLeftCell="B15" workbookViewId="0">
      <selection activeCell="G23" sqref="G23"/>
    </sheetView>
  </sheetViews>
  <sheetFormatPr defaultRowHeight="16.5" x14ac:dyDescent="0.3"/>
  <sheetData>
    <row r="3" spans="3:20" x14ac:dyDescent="0.3">
      <c r="C3" s="2" t="s">
        <v>10</v>
      </c>
      <c r="D3" s="3" t="s">
        <v>11</v>
      </c>
      <c r="E3" s="4" t="s">
        <v>12</v>
      </c>
      <c r="F3" s="4" t="s">
        <v>13</v>
      </c>
      <c r="G3" s="4" t="s">
        <v>14</v>
      </c>
      <c r="H3" s="5" t="s">
        <v>15</v>
      </c>
      <c r="I3" s="5" t="s">
        <v>16</v>
      </c>
      <c r="J3" s="5" t="s">
        <v>13</v>
      </c>
      <c r="K3" s="5" t="s">
        <v>14</v>
      </c>
      <c r="M3" s="2" t="s">
        <v>10</v>
      </c>
      <c r="N3" s="1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</row>
    <row r="4" spans="3:20" x14ac:dyDescent="0.3">
      <c r="C4" s="2">
        <v>3</v>
      </c>
      <c r="D4" s="4">
        <v>0</v>
      </c>
      <c r="E4" s="4">
        <v>0</v>
      </c>
      <c r="F4" s="4"/>
      <c r="G4" s="4"/>
      <c r="H4" s="6">
        <v>0</v>
      </c>
      <c r="I4" s="7">
        <v>1</v>
      </c>
      <c r="J4" s="8">
        <f>30*LOG(K4)</f>
        <v>0</v>
      </c>
      <c r="K4" s="9">
        <f>(I4-1)*0.8+1</f>
        <v>1</v>
      </c>
      <c r="M4" s="2">
        <v>15</v>
      </c>
      <c r="N4" s="13">
        <v>500</v>
      </c>
      <c r="P4">
        <v>1</v>
      </c>
      <c r="Q4" t="s">
        <v>23</v>
      </c>
      <c r="R4">
        <v>650</v>
      </c>
      <c r="S4">
        <v>950</v>
      </c>
      <c r="T4">
        <v>0</v>
      </c>
    </row>
    <row r="5" spans="3:20" x14ac:dyDescent="0.3">
      <c r="C5" s="2">
        <v>4</v>
      </c>
      <c r="D5" s="4">
        <v>0</v>
      </c>
      <c r="E5" s="4">
        <v>0</v>
      </c>
      <c r="F5" s="4"/>
      <c r="G5" s="4"/>
      <c r="H5" s="6">
        <v>1</v>
      </c>
      <c r="I5" s="9">
        <f t="shared" ref="I5:I16" si="0">10^(H5/30)</f>
        <v>1.0797751623277096</v>
      </c>
      <c r="J5" s="8">
        <f t="shared" ref="J5:J16" si="1">30*LOG(K5)</f>
        <v>0.80604611663071013</v>
      </c>
      <c r="K5" s="9">
        <f>(I5-1)*0.8+1</f>
        <v>1.0638201298621677</v>
      </c>
      <c r="M5" s="2">
        <v>14</v>
      </c>
      <c r="N5" s="13">
        <v>300</v>
      </c>
      <c r="P5">
        <v>2</v>
      </c>
      <c r="Q5" t="s">
        <v>24</v>
      </c>
      <c r="R5">
        <v>800</v>
      </c>
      <c r="S5">
        <v>800</v>
      </c>
      <c r="T5">
        <v>0</v>
      </c>
    </row>
    <row r="6" spans="3:20" x14ac:dyDescent="0.3">
      <c r="C6" s="2">
        <v>5</v>
      </c>
      <c r="D6" s="4">
        <v>5</v>
      </c>
      <c r="E6" s="10">
        <f t="shared" ref="E6:E16" si="2">10^(D6/30)</f>
        <v>1.4677992676220697</v>
      </c>
      <c r="F6" s="11">
        <f>30*LOG(G6)</f>
        <v>4.141872007117084</v>
      </c>
      <c r="G6" s="10">
        <f>(E6-1)*0.8+1</f>
        <v>1.3742394140976557</v>
      </c>
      <c r="H6" s="5">
        <v>3</v>
      </c>
      <c r="I6" s="9">
        <f t="shared" si="0"/>
        <v>1.2589254117941673</v>
      </c>
      <c r="J6" s="8">
        <f t="shared" si="1"/>
        <v>2.4527327861906976</v>
      </c>
      <c r="K6" s="9">
        <f>(I6-1)*0.8+1</f>
        <v>1.2071403294353338</v>
      </c>
      <c r="M6" s="2">
        <v>13</v>
      </c>
      <c r="N6" s="13">
        <v>200</v>
      </c>
      <c r="P6">
        <v>3</v>
      </c>
      <c r="Q6" t="s">
        <v>25</v>
      </c>
      <c r="R6">
        <v>950</v>
      </c>
      <c r="S6">
        <v>650</v>
      </c>
      <c r="T6">
        <v>0</v>
      </c>
    </row>
    <row r="7" spans="3:20" x14ac:dyDescent="0.3">
      <c r="C7" s="2">
        <v>6</v>
      </c>
      <c r="D7" s="4">
        <v>10</v>
      </c>
      <c r="E7" s="10">
        <f t="shared" si="2"/>
        <v>2.1544346900318838</v>
      </c>
      <c r="F7" s="11">
        <f t="shared" ref="F7:F16" si="3">30*LOG(G7)</f>
        <v>8.5230891637938875</v>
      </c>
      <c r="G7" s="10">
        <f t="shared" ref="G7:G16" si="4">(E7-1)*0.8+1</f>
        <v>1.9235477520255071</v>
      </c>
      <c r="H7" s="5">
        <v>6</v>
      </c>
      <c r="I7" s="9">
        <f t="shared" si="0"/>
        <v>1.5848931924611136</v>
      </c>
      <c r="J7" s="8">
        <f t="shared" si="1"/>
        <v>5.0010232923370284</v>
      </c>
      <c r="K7" s="9">
        <f t="shared" ref="K7:K16" si="5">(I7-1)*0.8+1</f>
        <v>1.4679145539688909</v>
      </c>
      <c r="M7" s="2">
        <v>12</v>
      </c>
      <c r="N7" s="13">
        <v>150</v>
      </c>
      <c r="P7">
        <v>4</v>
      </c>
      <c r="Q7" t="s">
        <v>26</v>
      </c>
      <c r="R7">
        <v>700</v>
      </c>
      <c r="S7">
        <v>1000</v>
      </c>
      <c r="T7">
        <v>0</v>
      </c>
    </row>
    <row r="8" spans="3:20" x14ac:dyDescent="0.3">
      <c r="C8" s="2">
        <v>7</v>
      </c>
      <c r="D8" s="4">
        <v>15</v>
      </c>
      <c r="E8" s="10">
        <f t="shared" si="2"/>
        <v>3.1622776601683795</v>
      </c>
      <c r="F8" s="11">
        <f t="shared" si="3"/>
        <v>13.084030495989198</v>
      </c>
      <c r="G8" s="10">
        <f t="shared" si="4"/>
        <v>2.7298221281347037</v>
      </c>
      <c r="H8" s="5">
        <v>10</v>
      </c>
      <c r="I8" s="9">
        <f t="shared" si="0"/>
        <v>2.1544346900318838</v>
      </c>
      <c r="J8" s="8">
        <f t="shared" si="1"/>
        <v>8.5230891637938875</v>
      </c>
      <c r="K8" s="9">
        <f t="shared" si="5"/>
        <v>1.9235477520255071</v>
      </c>
      <c r="M8" s="2">
        <v>11</v>
      </c>
      <c r="N8" s="13">
        <v>100</v>
      </c>
      <c r="P8">
        <v>5</v>
      </c>
      <c r="Q8" t="s">
        <v>27</v>
      </c>
      <c r="R8">
        <v>850</v>
      </c>
      <c r="S8">
        <v>850</v>
      </c>
      <c r="T8">
        <v>0</v>
      </c>
    </row>
    <row r="9" spans="3:20" x14ac:dyDescent="0.3">
      <c r="C9" s="2">
        <v>8</v>
      </c>
      <c r="D9" s="4">
        <v>20</v>
      </c>
      <c r="E9" s="10">
        <f t="shared" si="2"/>
        <v>4.6415888336127793</v>
      </c>
      <c r="F9" s="11">
        <f t="shared" si="3"/>
        <v>17.77619795767443</v>
      </c>
      <c r="G9" s="10">
        <f t="shared" si="4"/>
        <v>3.9132710668902235</v>
      </c>
      <c r="H9" s="5">
        <v>15</v>
      </c>
      <c r="I9" s="9">
        <f t="shared" si="0"/>
        <v>3.1622776601683795</v>
      </c>
      <c r="J9" s="8">
        <f t="shared" si="1"/>
        <v>13.084030495989198</v>
      </c>
      <c r="K9" s="9">
        <f t="shared" si="5"/>
        <v>2.7298221281347037</v>
      </c>
      <c r="M9" s="2">
        <v>10</v>
      </c>
      <c r="N9" s="13">
        <v>70</v>
      </c>
      <c r="P9">
        <v>6</v>
      </c>
      <c r="Q9" t="s">
        <v>28</v>
      </c>
      <c r="R9">
        <v>1000</v>
      </c>
      <c r="S9">
        <v>700</v>
      </c>
      <c r="T9">
        <v>0</v>
      </c>
    </row>
    <row r="10" spans="3:20" x14ac:dyDescent="0.3">
      <c r="C10" s="2">
        <v>9</v>
      </c>
      <c r="D10" s="4">
        <v>25</v>
      </c>
      <c r="E10" s="10">
        <f t="shared" si="2"/>
        <v>6.812920690579614</v>
      </c>
      <c r="F10" s="11">
        <f t="shared" si="3"/>
        <v>22.562229497546682</v>
      </c>
      <c r="G10" s="10">
        <f t="shared" si="4"/>
        <v>5.650336552463691</v>
      </c>
      <c r="H10" s="5">
        <v>20</v>
      </c>
      <c r="I10" s="9">
        <f t="shared" si="0"/>
        <v>4.6415888336127793</v>
      </c>
      <c r="J10" s="8">
        <f t="shared" si="1"/>
        <v>17.77619795767443</v>
      </c>
      <c r="K10" s="9">
        <f t="shared" si="5"/>
        <v>3.9132710668902235</v>
      </c>
      <c r="M10" s="2">
        <v>9</v>
      </c>
      <c r="N10" s="13">
        <v>50</v>
      </c>
      <c r="P10">
        <v>7</v>
      </c>
      <c r="Q10" t="s">
        <v>29</v>
      </c>
      <c r="R10">
        <v>600</v>
      </c>
      <c r="S10">
        <v>900</v>
      </c>
      <c r="T10">
        <v>0</v>
      </c>
    </row>
    <row r="11" spans="3:20" x14ac:dyDescent="0.3">
      <c r="C11" s="2">
        <v>10</v>
      </c>
      <c r="D11" s="4">
        <v>30</v>
      </c>
      <c r="E11" s="10">
        <f t="shared" si="2"/>
        <v>10</v>
      </c>
      <c r="F11" s="11">
        <f t="shared" si="3"/>
        <v>27.414415571511501</v>
      </c>
      <c r="G11" s="10">
        <f t="shared" si="4"/>
        <v>8.1999999999999993</v>
      </c>
      <c r="H11" s="5">
        <v>25</v>
      </c>
      <c r="I11" s="9">
        <f t="shared" si="0"/>
        <v>6.812920690579614</v>
      </c>
      <c r="J11" s="8">
        <f t="shared" si="1"/>
        <v>22.562229497546682</v>
      </c>
      <c r="K11" s="9">
        <f t="shared" si="5"/>
        <v>5.650336552463691</v>
      </c>
      <c r="M11" s="2">
        <v>8</v>
      </c>
      <c r="N11" s="13">
        <v>30</v>
      </c>
      <c r="P11">
        <v>8</v>
      </c>
      <c r="Q11" t="s">
        <v>30</v>
      </c>
      <c r="R11">
        <v>750</v>
      </c>
      <c r="S11">
        <v>750</v>
      </c>
      <c r="T11">
        <v>0</v>
      </c>
    </row>
    <row r="12" spans="3:20" x14ac:dyDescent="0.3">
      <c r="C12" s="2">
        <v>11</v>
      </c>
      <c r="D12" s="4">
        <v>45</v>
      </c>
      <c r="E12" s="10">
        <f t="shared" si="2"/>
        <v>31.622776601683803</v>
      </c>
      <c r="F12" s="11">
        <f t="shared" si="3"/>
        <v>42.195296572266869</v>
      </c>
      <c r="G12" s="10">
        <f t="shared" si="4"/>
        <v>25.498221281347043</v>
      </c>
      <c r="H12" s="5">
        <v>35</v>
      </c>
      <c r="I12" s="9">
        <f t="shared" si="0"/>
        <v>14.677992676220699</v>
      </c>
      <c r="J12" s="8">
        <f t="shared" si="1"/>
        <v>32.312742009793837</v>
      </c>
      <c r="K12" s="9">
        <f t="shared" si="5"/>
        <v>11.94239414097656</v>
      </c>
      <c r="M12" s="2">
        <v>7</v>
      </c>
      <c r="N12" s="13">
        <v>20</v>
      </c>
      <c r="P12">
        <v>9</v>
      </c>
      <c r="Q12" t="s">
        <v>31</v>
      </c>
      <c r="R12">
        <v>900</v>
      </c>
      <c r="S12">
        <v>600</v>
      </c>
      <c r="T12">
        <v>0</v>
      </c>
    </row>
    <row r="13" spans="3:20" x14ac:dyDescent="0.3">
      <c r="C13" s="2">
        <v>12</v>
      </c>
      <c r="D13" s="4">
        <v>60</v>
      </c>
      <c r="E13" s="10">
        <f t="shared" si="2"/>
        <v>100</v>
      </c>
      <c r="F13" s="11">
        <f t="shared" si="3"/>
        <v>57.125231048524903</v>
      </c>
      <c r="G13" s="10">
        <f t="shared" si="4"/>
        <v>80.2</v>
      </c>
      <c r="H13" s="5">
        <v>45</v>
      </c>
      <c r="I13" s="9">
        <f t="shared" si="0"/>
        <v>31.622776601683803</v>
      </c>
      <c r="J13" s="8">
        <f t="shared" si="1"/>
        <v>42.195296572266869</v>
      </c>
      <c r="K13" s="9">
        <f t="shared" si="5"/>
        <v>25.498221281347043</v>
      </c>
      <c r="M13" s="2">
        <v>6</v>
      </c>
      <c r="N13" s="13">
        <v>10</v>
      </c>
      <c r="P13">
        <v>10</v>
      </c>
      <c r="Q13" t="s">
        <v>32</v>
      </c>
      <c r="R13">
        <v>800</v>
      </c>
      <c r="S13">
        <v>1000</v>
      </c>
      <c r="T13">
        <v>1000</v>
      </c>
    </row>
    <row r="14" spans="3:20" x14ac:dyDescent="0.3">
      <c r="C14" s="2">
        <v>13</v>
      </c>
      <c r="D14" s="4">
        <v>75</v>
      </c>
      <c r="E14" s="10">
        <f t="shared" si="2"/>
        <v>316.22776601683825</v>
      </c>
      <c r="F14" s="11">
        <f t="shared" si="3"/>
        <v>72.102995738427595</v>
      </c>
      <c r="G14" s="10">
        <f t="shared" si="4"/>
        <v>253.18221281347061</v>
      </c>
      <c r="H14" s="5">
        <v>55</v>
      </c>
      <c r="I14" s="9">
        <f t="shared" si="0"/>
        <v>68.129206905796124</v>
      </c>
      <c r="J14" s="8">
        <f t="shared" si="1"/>
        <v>52.140421389901775</v>
      </c>
      <c r="K14" s="9">
        <f t="shared" si="5"/>
        <v>54.703365524636901</v>
      </c>
      <c r="M14" s="2">
        <v>5</v>
      </c>
      <c r="N14" s="13">
        <v>5</v>
      </c>
      <c r="P14">
        <v>11</v>
      </c>
      <c r="Q14" t="s">
        <v>33</v>
      </c>
      <c r="R14">
        <v>950</v>
      </c>
      <c r="S14">
        <v>950</v>
      </c>
      <c r="T14">
        <v>1000</v>
      </c>
    </row>
    <row r="15" spans="3:20" x14ac:dyDescent="0.3">
      <c r="C15" s="2">
        <v>14</v>
      </c>
      <c r="D15" s="4">
        <v>90</v>
      </c>
      <c r="E15" s="10">
        <f t="shared" si="2"/>
        <v>1000</v>
      </c>
      <c r="F15" s="11">
        <f t="shared" si="3"/>
        <v>87.09595641128935</v>
      </c>
      <c r="G15" s="10">
        <f t="shared" si="4"/>
        <v>800.2</v>
      </c>
      <c r="H15" s="5">
        <v>65</v>
      </c>
      <c r="I15" s="9">
        <f t="shared" si="0"/>
        <v>146.77992676220697</v>
      </c>
      <c r="J15" s="8">
        <f t="shared" si="1"/>
        <v>62.114871836872489</v>
      </c>
      <c r="K15" s="9">
        <f t="shared" si="5"/>
        <v>117.62394140976558</v>
      </c>
      <c r="P15">
        <v>12</v>
      </c>
      <c r="Q15" t="s">
        <v>34</v>
      </c>
      <c r="R15">
        <v>1000</v>
      </c>
      <c r="S15">
        <v>800</v>
      </c>
      <c r="T15">
        <v>1000</v>
      </c>
    </row>
    <row r="16" spans="3:20" x14ac:dyDescent="0.3">
      <c r="C16" s="2">
        <v>15</v>
      </c>
      <c r="D16" s="4">
        <v>105</v>
      </c>
      <c r="E16" s="12">
        <f t="shared" si="2"/>
        <v>3162.2776601683804</v>
      </c>
      <c r="F16" s="11">
        <f t="shared" si="3"/>
        <v>102.09372958884889</v>
      </c>
      <c r="G16" s="10">
        <f t="shared" si="4"/>
        <v>2530.0221281347044</v>
      </c>
      <c r="H16" s="5">
        <v>75</v>
      </c>
      <c r="I16" s="9">
        <f t="shared" si="0"/>
        <v>316.22776601683825</v>
      </c>
      <c r="J16" s="8">
        <f t="shared" si="1"/>
        <v>72.102995738427595</v>
      </c>
      <c r="K16" s="9">
        <f t="shared" si="5"/>
        <v>253.18221281347061</v>
      </c>
    </row>
    <row r="21" spans="3:5" x14ac:dyDescent="0.3">
      <c r="C21" t="s">
        <v>37</v>
      </c>
      <c r="D21" s="14" t="s">
        <v>35</v>
      </c>
      <c r="E21" s="14" t="s">
        <v>36</v>
      </c>
    </row>
    <row r="22" spans="3:5" x14ac:dyDescent="0.3">
      <c r="C22">
        <v>3</v>
      </c>
      <c r="D22" s="15">
        <v>25</v>
      </c>
      <c r="E22" s="15">
        <v>325</v>
      </c>
    </row>
    <row r="23" spans="3:5" x14ac:dyDescent="0.3">
      <c r="C23">
        <v>4</v>
      </c>
      <c r="D23" s="15">
        <v>35</v>
      </c>
      <c r="E23" s="15">
        <v>630</v>
      </c>
    </row>
    <row r="24" spans="3:5" x14ac:dyDescent="0.3">
      <c r="C24">
        <v>5</v>
      </c>
      <c r="D24" s="15">
        <v>45</v>
      </c>
      <c r="E24" s="15">
        <v>1035</v>
      </c>
    </row>
    <row r="25" spans="3:5" x14ac:dyDescent="0.3">
      <c r="C25">
        <v>6</v>
      </c>
      <c r="D25" s="15">
        <v>65</v>
      </c>
      <c r="E25" s="15">
        <v>2145</v>
      </c>
    </row>
    <row r="26" spans="3:5" x14ac:dyDescent="0.3">
      <c r="C26">
        <v>7</v>
      </c>
      <c r="D26" s="15">
        <v>80</v>
      </c>
      <c r="E26" s="15">
        <v>3240</v>
      </c>
    </row>
    <row r="27" spans="3:5" x14ac:dyDescent="0.3">
      <c r="C27">
        <v>8</v>
      </c>
      <c r="D27" s="15">
        <v>100</v>
      </c>
      <c r="E27" s="15">
        <v>5050</v>
      </c>
    </row>
    <row r="28" spans="3:5" x14ac:dyDescent="0.3">
      <c r="C28">
        <v>9</v>
      </c>
      <c r="D28" s="15">
        <v>125</v>
      </c>
      <c r="E28" s="15">
        <v>7875</v>
      </c>
    </row>
    <row r="29" spans="3:5" x14ac:dyDescent="0.3">
      <c r="C29">
        <v>10</v>
      </c>
      <c r="D29" s="15">
        <v>150</v>
      </c>
      <c r="E29" s="15">
        <v>11325</v>
      </c>
    </row>
    <row r="30" spans="3:5" x14ac:dyDescent="0.3">
      <c r="C30">
        <v>11</v>
      </c>
      <c r="D30" s="15">
        <v>200</v>
      </c>
      <c r="E30" s="15">
        <v>20100</v>
      </c>
    </row>
    <row r="31" spans="3:5" x14ac:dyDescent="0.3">
      <c r="C31">
        <v>12</v>
      </c>
      <c r="D31" s="15">
        <v>225</v>
      </c>
      <c r="E31" s="15">
        <v>25425</v>
      </c>
    </row>
    <row r="32" spans="3:5" x14ac:dyDescent="0.3">
      <c r="C32">
        <v>13</v>
      </c>
      <c r="D32" s="15">
        <v>250</v>
      </c>
      <c r="E32" s="15">
        <v>31375</v>
      </c>
    </row>
    <row r="33" spans="3:5" x14ac:dyDescent="0.3">
      <c r="C33">
        <v>14</v>
      </c>
      <c r="D33" s="15">
        <v>270</v>
      </c>
      <c r="E33" s="15">
        <v>36585</v>
      </c>
    </row>
    <row r="34" spans="3:5" x14ac:dyDescent="0.3">
      <c r="C34">
        <v>15</v>
      </c>
      <c r="D34" s="15">
        <v>300</v>
      </c>
      <c r="E34" s="15">
        <v>45150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A017-BF22-449C-A4AA-07831A706804}">
  <dimension ref="A1:S35"/>
  <sheetViews>
    <sheetView tabSelected="1" workbookViewId="0">
      <selection sqref="A1:XFD1048576"/>
    </sheetView>
  </sheetViews>
  <sheetFormatPr defaultRowHeight="16.5" x14ac:dyDescent="0.3"/>
  <cols>
    <col min="7" max="7" width="9.75" bestFit="1" customWidth="1"/>
    <col min="11" max="11" width="17.625" customWidth="1"/>
    <col min="12" max="12" width="55.25" customWidth="1"/>
    <col min="13" max="13" width="19.25" customWidth="1"/>
  </cols>
  <sheetData>
    <row r="1" spans="1:19" x14ac:dyDescent="0.3">
      <c r="A1" t="s">
        <v>10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39</v>
      </c>
      <c r="I1" t="s">
        <v>10</v>
      </c>
    </row>
    <row r="2" spans="1:19" ht="17.25" thickBot="1" x14ac:dyDescent="0.35">
      <c r="G2">
        <v>600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</row>
    <row r="3" spans="1:19" ht="17.25" thickBot="1" x14ac:dyDescent="0.35">
      <c r="A3">
        <v>3</v>
      </c>
      <c r="B3">
        <v>0</v>
      </c>
      <c r="C3" t="s">
        <v>45</v>
      </c>
      <c r="D3" s="16">
        <v>0.5</v>
      </c>
      <c r="E3" s="16">
        <v>0.34</v>
      </c>
      <c r="F3" s="17">
        <f>E3*D3</f>
        <v>0.17</v>
      </c>
      <c r="G3" s="1">
        <f t="shared" ref="G3:G19" si="0">G$2/F3</f>
        <v>3529.411764705882</v>
      </c>
      <c r="H3" s="1">
        <v>3529.411764705882</v>
      </c>
      <c r="I3">
        <f>G2/D3</f>
        <v>1200</v>
      </c>
      <c r="K3" s="18" t="s">
        <v>49</v>
      </c>
      <c r="L3" s="18" t="s">
        <v>50</v>
      </c>
      <c r="M3" s="18" t="s">
        <v>48</v>
      </c>
      <c r="N3" s="18" t="s">
        <v>51</v>
      </c>
    </row>
    <row r="4" spans="1:19" ht="18" thickBot="1" x14ac:dyDescent="0.35">
      <c r="A4">
        <v>3</v>
      </c>
      <c r="B4">
        <v>1</v>
      </c>
      <c r="C4" t="s">
        <v>46</v>
      </c>
      <c r="D4" s="16">
        <v>0.5</v>
      </c>
      <c r="E4" s="16">
        <v>0.33</v>
      </c>
      <c r="F4" s="17">
        <f t="shared" ref="F4:F20" si="1">E4*D4</f>
        <v>0.16500000000000001</v>
      </c>
      <c r="G4" s="1">
        <f t="shared" si="0"/>
        <v>3636.363636363636</v>
      </c>
      <c r="H4" s="1">
        <v>3636.363636363636</v>
      </c>
      <c r="I4">
        <v>1200</v>
      </c>
      <c r="K4" s="19" t="s">
        <v>52</v>
      </c>
      <c r="L4" s="20" t="s">
        <v>53</v>
      </c>
      <c r="M4" s="20"/>
      <c r="N4" s="20" t="s">
        <v>54</v>
      </c>
      <c r="O4" t="s">
        <v>55</v>
      </c>
      <c r="P4" s="1">
        <f>162*3*3</f>
        <v>1458</v>
      </c>
      <c r="Q4" s="1">
        <f t="shared" ref="Q4:R4" si="2">162*3*3</f>
        <v>1458</v>
      </c>
      <c r="R4" s="1">
        <f t="shared" si="2"/>
        <v>1458</v>
      </c>
    </row>
    <row r="5" spans="1:19" ht="18" thickBot="1" x14ac:dyDescent="0.35">
      <c r="A5">
        <v>3</v>
      </c>
      <c r="B5">
        <v>2</v>
      </c>
      <c r="C5" t="s">
        <v>47</v>
      </c>
      <c r="D5" s="16">
        <v>0.5</v>
      </c>
      <c r="E5" s="16">
        <v>0.33</v>
      </c>
      <c r="F5" s="17">
        <f t="shared" si="1"/>
        <v>0.16500000000000001</v>
      </c>
      <c r="G5" s="1">
        <f t="shared" si="0"/>
        <v>3636.363636363636</v>
      </c>
      <c r="H5" s="1">
        <v>3636.363636363636</v>
      </c>
      <c r="I5">
        <v>1200</v>
      </c>
      <c r="K5" s="19" t="s">
        <v>56</v>
      </c>
      <c r="L5" s="20" t="s">
        <v>57</v>
      </c>
      <c r="M5" s="20"/>
      <c r="N5" s="21"/>
      <c r="O5" t="s">
        <v>58</v>
      </c>
      <c r="P5">
        <f>648*3*3+P4*3</f>
        <v>10206</v>
      </c>
      <c r="Q5">
        <f t="shared" ref="Q5:R5" si="3">648*3*3+Q4*3</f>
        <v>10206</v>
      </c>
      <c r="R5">
        <f t="shared" si="3"/>
        <v>10206</v>
      </c>
      <c r="S5">
        <v>60000</v>
      </c>
    </row>
    <row r="6" spans="1:19" ht="18" thickBot="1" x14ac:dyDescent="0.35">
      <c r="A6">
        <v>4</v>
      </c>
      <c r="B6">
        <v>0</v>
      </c>
      <c r="C6" t="s">
        <v>45</v>
      </c>
      <c r="D6" s="16">
        <v>0.4</v>
      </c>
      <c r="E6" s="16">
        <v>0.34</v>
      </c>
      <c r="F6" s="17">
        <f t="shared" si="1"/>
        <v>0.13600000000000001</v>
      </c>
      <c r="G6" s="1">
        <f t="shared" si="0"/>
        <v>4411.7647058823522</v>
      </c>
      <c r="H6" s="1">
        <v>4411.7647058823522</v>
      </c>
      <c r="I6">
        <f>G2/D6</f>
        <v>1500</v>
      </c>
      <c r="K6" s="19" t="s">
        <v>59</v>
      </c>
      <c r="L6" s="20" t="s">
        <v>60</v>
      </c>
      <c r="M6" s="20" t="s">
        <v>61</v>
      </c>
      <c r="N6" s="20" t="s">
        <v>54</v>
      </c>
      <c r="O6" t="s">
        <v>62</v>
      </c>
      <c r="P6">
        <f>P5*3+P5*3+P5*3</f>
        <v>91854</v>
      </c>
      <c r="Q6">
        <f t="shared" ref="Q6:R6" si="4">Q5*3+Q5*3+Q5*3</f>
        <v>91854</v>
      </c>
      <c r="R6">
        <f t="shared" si="4"/>
        <v>91854</v>
      </c>
      <c r="S6">
        <f>60000+R6</f>
        <v>151854</v>
      </c>
    </row>
    <row r="7" spans="1:19" ht="18" thickBot="1" x14ac:dyDescent="0.35">
      <c r="A7">
        <v>4</v>
      </c>
      <c r="B7">
        <v>1</v>
      </c>
      <c r="C7" t="s">
        <v>46</v>
      </c>
      <c r="D7" s="16">
        <v>0.4</v>
      </c>
      <c r="E7" s="16">
        <v>0.33</v>
      </c>
      <c r="F7" s="17">
        <f t="shared" si="1"/>
        <v>0.13200000000000001</v>
      </c>
      <c r="G7" s="1">
        <f t="shared" si="0"/>
        <v>4545.454545454545</v>
      </c>
      <c r="H7" s="1">
        <v>4545.454545454545</v>
      </c>
      <c r="I7">
        <v>1500</v>
      </c>
      <c r="K7" s="19" t="s">
        <v>63</v>
      </c>
      <c r="L7" s="20" t="s">
        <v>64</v>
      </c>
      <c r="M7" s="20"/>
      <c r="N7" s="21"/>
      <c r="O7" t="s">
        <v>65</v>
      </c>
      <c r="P7">
        <f>P5*4+P6*3</f>
        <v>316386</v>
      </c>
      <c r="Q7">
        <f t="shared" ref="Q7:R7" si="5">Q5*4+Q6*3</f>
        <v>316386</v>
      </c>
      <c r="R7">
        <f t="shared" si="5"/>
        <v>316386</v>
      </c>
      <c r="S7">
        <f>S5*4</f>
        <v>240000</v>
      </c>
    </row>
    <row r="8" spans="1:19" ht="18" thickBot="1" x14ac:dyDescent="0.35">
      <c r="A8">
        <v>4</v>
      </c>
      <c r="B8">
        <v>2</v>
      </c>
      <c r="C8" t="s">
        <v>47</v>
      </c>
      <c r="D8" s="16">
        <v>0.4</v>
      </c>
      <c r="E8" s="16">
        <v>0.33</v>
      </c>
      <c r="F8" s="17">
        <f t="shared" si="1"/>
        <v>0.13200000000000001</v>
      </c>
      <c r="G8" s="1">
        <f t="shared" si="0"/>
        <v>4545.454545454545</v>
      </c>
      <c r="H8" s="1">
        <v>4545.454545454545</v>
      </c>
      <c r="I8">
        <v>1500</v>
      </c>
      <c r="K8" s="19" t="s">
        <v>66</v>
      </c>
      <c r="L8" s="20" t="s">
        <v>67</v>
      </c>
      <c r="M8" s="20"/>
      <c r="N8" s="21"/>
      <c r="O8" t="s">
        <v>68</v>
      </c>
      <c r="P8">
        <f>P5*3+P6</f>
        <v>122472</v>
      </c>
    </row>
    <row r="9" spans="1:19" ht="18" thickBot="1" x14ac:dyDescent="0.35">
      <c r="A9">
        <v>5</v>
      </c>
      <c r="B9">
        <v>0</v>
      </c>
      <c r="C9" t="s">
        <v>45</v>
      </c>
      <c r="D9" s="16">
        <v>0.1</v>
      </c>
      <c r="E9" s="16">
        <v>0.1</v>
      </c>
      <c r="F9" s="17">
        <f t="shared" si="1"/>
        <v>1.0000000000000002E-2</v>
      </c>
      <c r="G9" s="1">
        <f t="shared" si="0"/>
        <v>59999.999999999985</v>
      </c>
      <c r="H9">
        <v>20000</v>
      </c>
      <c r="I9">
        <f>G2/D9</f>
        <v>6000</v>
      </c>
      <c r="K9" s="19" t="s">
        <v>69</v>
      </c>
      <c r="L9" s="20" t="s">
        <v>70</v>
      </c>
      <c r="M9" s="20"/>
      <c r="N9" s="21"/>
      <c r="O9" t="s">
        <v>71</v>
      </c>
    </row>
    <row r="10" spans="1:19" ht="18" thickBot="1" x14ac:dyDescent="0.35">
      <c r="A10">
        <v>5</v>
      </c>
      <c r="B10">
        <v>1</v>
      </c>
      <c r="C10" t="s">
        <v>45</v>
      </c>
      <c r="D10" s="16">
        <v>0.1</v>
      </c>
      <c r="E10" s="16">
        <v>0.1</v>
      </c>
      <c r="F10" s="17">
        <f t="shared" si="1"/>
        <v>1.0000000000000002E-2</v>
      </c>
      <c r="G10" s="1">
        <f t="shared" si="0"/>
        <v>59999.999999999985</v>
      </c>
      <c r="H10">
        <v>20000</v>
      </c>
      <c r="I10">
        <v>6000</v>
      </c>
      <c r="K10" s="19" t="s">
        <v>72</v>
      </c>
      <c r="L10" s="20" t="s">
        <v>73</v>
      </c>
      <c r="M10" s="20"/>
      <c r="N10" s="21"/>
      <c r="O10" t="s">
        <v>74</v>
      </c>
    </row>
    <row r="11" spans="1:19" ht="48" thickBot="1" x14ac:dyDescent="0.35">
      <c r="A11">
        <v>5</v>
      </c>
      <c r="B11">
        <v>2</v>
      </c>
      <c r="C11" t="s">
        <v>45</v>
      </c>
      <c r="D11" s="16">
        <v>0.1</v>
      </c>
      <c r="E11" s="16">
        <v>0.1</v>
      </c>
      <c r="F11" s="17">
        <f t="shared" si="1"/>
        <v>1.0000000000000002E-2</v>
      </c>
      <c r="G11" s="1">
        <f t="shared" si="0"/>
        <v>59999.999999999985</v>
      </c>
      <c r="H11">
        <v>20000</v>
      </c>
      <c r="I11">
        <v>6000</v>
      </c>
      <c r="K11" s="19" t="s">
        <v>75</v>
      </c>
      <c r="L11" s="19" t="s">
        <v>76</v>
      </c>
      <c r="M11" s="19"/>
      <c r="N11" s="22" t="s">
        <v>77</v>
      </c>
      <c r="O11" t="s">
        <v>78</v>
      </c>
    </row>
    <row r="12" spans="1:19" ht="18" thickBot="1" x14ac:dyDescent="0.35">
      <c r="A12">
        <v>5</v>
      </c>
      <c r="B12">
        <v>3</v>
      </c>
      <c r="C12" t="s">
        <v>46</v>
      </c>
      <c r="D12" s="16">
        <v>0.1</v>
      </c>
      <c r="E12" s="16">
        <v>0.1</v>
      </c>
      <c r="F12" s="17">
        <f t="shared" si="1"/>
        <v>1.0000000000000002E-2</v>
      </c>
      <c r="G12" s="1">
        <f t="shared" si="0"/>
        <v>59999.999999999985</v>
      </c>
      <c r="H12">
        <v>20000</v>
      </c>
      <c r="I12">
        <v>6000</v>
      </c>
      <c r="K12" s="19" t="s">
        <v>79</v>
      </c>
      <c r="L12" s="20" t="s">
        <v>80</v>
      </c>
      <c r="M12" s="20"/>
      <c r="N12" s="21"/>
      <c r="O12" t="s">
        <v>81</v>
      </c>
    </row>
    <row r="13" spans="1:19" ht="18" thickBot="1" x14ac:dyDescent="0.35">
      <c r="A13">
        <v>5</v>
      </c>
      <c r="B13">
        <v>4</v>
      </c>
      <c r="C13" t="s">
        <v>46</v>
      </c>
      <c r="D13" s="16">
        <v>0.1</v>
      </c>
      <c r="E13" s="16">
        <v>0.1</v>
      </c>
      <c r="F13" s="17">
        <f t="shared" si="1"/>
        <v>1.0000000000000002E-2</v>
      </c>
      <c r="G13" s="1">
        <f t="shared" si="0"/>
        <v>59999.999999999985</v>
      </c>
      <c r="H13">
        <v>20000</v>
      </c>
      <c r="I13">
        <v>6000</v>
      </c>
      <c r="K13" s="19" t="s">
        <v>82</v>
      </c>
      <c r="L13" s="20" t="s">
        <v>83</v>
      </c>
      <c r="M13" s="20"/>
      <c r="N13" s="21"/>
      <c r="O13" t="s">
        <v>84</v>
      </c>
    </row>
    <row r="14" spans="1:19" ht="18" thickBot="1" x14ac:dyDescent="0.35">
      <c r="A14">
        <v>5</v>
      </c>
      <c r="B14">
        <v>5</v>
      </c>
      <c r="C14" t="s">
        <v>46</v>
      </c>
      <c r="D14" s="16">
        <v>0.1</v>
      </c>
      <c r="E14" s="16">
        <v>0.1</v>
      </c>
      <c r="F14" s="17">
        <f t="shared" si="1"/>
        <v>1.0000000000000002E-2</v>
      </c>
      <c r="G14" s="1">
        <f t="shared" si="0"/>
        <v>59999.999999999985</v>
      </c>
      <c r="H14">
        <v>20000</v>
      </c>
      <c r="I14">
        <v>6000</v>
      </c>
      <c r="K14" s="19" t="s">
        <v>85</v>
      </c>
      <c r="L14" s="19" t="s">
        <v>86</v>
      </c>
      <c r="M14" s="19"/>
      <c r="N14" s="21"/>
      <c r="O14" t="s">
        <v>87</v>
      </c>
    </row>
    <row r="15" spans="1:19" ht="18" thickBot="1" x14ac:dyDescent="0.35">
      <c r="A15">
        <v>5</v>
      </c>
      <c r="B15">
        <v>6</v>
      </c>
      <c r="C15" t="s">
        <v>47</v>
      </c>
      <c r="D15" s="16">
        <v>0.1</v>
      </c>
      <c r="E15" s="16">
        <v>0.1</v>
      </c>
      <c r="F15" s="17">
        <f t="shared" si="1"/>
        <v>1.0000000000000002E-2</v>
      </c>
      <c r="G15" s="1">
        <f t="shared" si="0"/>
        <v>59999.999999999985</v>
      </c>
      <c r="H15">
        <v>20000</v>
      </c>
      <c r="I15">
        <v>6000</v>
      </c>
      <c r="K15" s="19" t="s">
        <v>88</v>
      </c>
      <c r="L15" s="20" t="s">
        <v>89</v>
      </c>
      <c r="M15" s="20"/>
      <c r="N15" s="21"/>
      <c r="O15" t="s">
        <v>90</v>
      </c>
    </row>
    <row r="16" spans="1:19" ht="49.5" thickBot="1" x14ac:dyDescent="0.35">
      <c r="A16">
        <v>5</v>
      </c>
      <c r="B16">
        <v>7</v>
      </c>
      <c r="C16" t="s">
        <v>47</v>
      </c>
      <c r="D16" s="16">
        <v>0.1</v>
      </c>
      <c r="E16" s="16">
        <v>0.1</v>
      </c>
      <c r="F16" s="17">
        <f t="shared" si="1"/>
        <v>1.0000000000000002E-2</v>
      </c>
      <c r="G16" s="1">
        <f t="shared" si="0"/>
        <v>59999.999999999985</v>
      </c>
      <c r="H16">
        <v>20000</v>
      </c>
      <c r="I16">
        <v>6000</v>
      </c>
      <c r="K16" s="19" t="s">
        <v>91</v>
      </c>
      <c r="L16" s="19" t="s">
        <v>92</v>
      </c>
      <c r="M16" s="19"/>
      <c r="N16" s="22" t="s">
        <v>93</v>
      </c>
      <c r="O16" t="s">
        <v>94</v>
      </c>
    </row>
    <row r="17" spans="1:15" ht="18" thickBot="1" x14ac:dyDescent="0.35">
      <c r="A17">
        <v>5</v>
      </c>
      <c r="B17">
        <v>8</v>
      </c>
      <c r="C17" t="s">
        <v>47</v>
      </c>
      <c r="D17" s="16">
        <v>0.1</v>
      </c>
      <c r="E17" s="16">
        <v>0.1</v>
      </c>
      <c r="F17" s="17">
        <f t="shared" si="1"/>
        <v>1.0000000000000002E-2</v>
      </c>
      <c r="G17" s="1">
        <f t="shared" si="0"/>
        <v>59999.999999999985</v>
      </c>
      <c r="H17">
        <v>20000</v>
      </c>
      <c r="I17">
        <v>6000</v>
      </c>
      <c r="K17" s="19" t="s">
        <v>95</v>
      </c>
      <c r="L17" s="20" t="s">
        <v>96</v>
      </c>
      <c r="M17" s="20"/>
      <c r="N17" s="21"/>
      <c r="O17" t="s">
        <v>97</v>
      </c>
    </row>
    <row r="18" spans="1:15" ht="18" thickBot="1" x14ac:dyDescent="0.35">
      <c r="A18">
        <v>5</v>
      </c>
      <c r="B18">
        <v>9</v>
      </c>
      <c r="C18" t="s">
        <v>48</v>
      </c>
      <c r="D18" s="16">
        <v>0.1</v>
      </c>
      <c r="E18" s="16">
        <v>3.3333333333333333E-2</v>
      </c>
      <c r="F18" s="17">
        <f t="shared" si="1"/>
        <v>3.3333333333333335E-3</v>
      </c>
      <c r="G18" s="1">
        <f t="shared" si="0"/>
        <v>180000</v>
      </c>
      <c r="H18">
        <f>G18/3</f>
        <v>60000</v>
      </c>
      <c r="I18">
        <v>6000</v>
      </c>
      <c r="K18" s="19" t="s">
        <v>98</v>
      </c>
      <c r="L18" s="20" t="s">
        <v>99</v>
      </c>
      <c r="M18" s="20"/>
      <c r="N18" s="21"/>
      <c r="O18" t="s">
        <v>100</v>
      </c>
    </row>
    <row r="19" spans="1:15" ht="18" thickBot="1" x14ac:dyDescent="0.35">
      <c r="A19">
        <v>5</v>
      </c>
      <c r="B19">
        <v>10</v>
      </c>
      <c r="C19" t="s">
        <v>48</v>
      </c>
      <c r="D19" s="16">
        <v>0.1</v>
      </c>
      <c r="E19" s="16">
        <v>3.3333333333333333E-2</v>
      </c>
      <c r="F19" s="17">
        <f t="shared" si="1"/>
        <v>3.3333333333333335E-3</v>
      </c>
      <c r="G19" s="1">
        <f t="shared" si="0"/>
        <v>180000</v>
      </c>
      <c r="H19">
        <f t="shared" ref="H19:H20" si="6">G19/3</f>
        <v>60000</v>
      </c>
      <c r="I19">
        <v>6000</v>
      </c>
      <c r="K19" s="19" t="s">
        <v>101</v>
      </c>
      <c r="L19" s="20" t="s">
        <v>102</v>
      </c>
      <c r="M19" s="20"/>
      <c r="N19" s="21"/>
      <c r="O19" t="s">
        <v>103</v>
      </c>
    </row>
    <row r="20" spans="1:15" ht="32.25" thickBot="1" x14ac:dyDescent="0.35">
      <c r="A20">
        <v>5</v>
      </c>
      <c r="B20">
        <v>11</v>
      </c>
      <c r="C20" t="s">
        <v>48</v>
      </c>
      <c r="D20" s="16">
        <v>0.1</v>
      </c>
      <c r="E20" s="16">
        <v>3.3333333333333333E-2</v>
      </c>
      <c r="F20" s="17">
        <f t="shared" si="1"/>
        <v>3.3333333333333335E-3</v>
      </c>
      <c r="G20" s="1">
        <f>G$2/F20</f>
        <v>180000</v>
      </c>
      <c r="H20">
        <f t="shared" si="6"/>
        <v>60000</v>
      </c>
      <c r="I20">
        <v>6000</v>
      </c>
      <c r="K20" s="19" t="s">
        <v>104</v>
      </c>
      <c r="L20" s="19" t="s">
        <v>105</v>
      </c>
      <c r="M20" s="19"/>
      <c r="N20" s="22" t="s">
        <v>106</v>
      </c>
      <c r="O20" t="s">
        <v>107</v>
      </c>
    </row>
    <row r="21" spans="1:15" x14ac:dyDescent="0.3">
      <c r="F21" s="23">
        <f>SUM(F3:F20)</f>
        <v>1</v>
      </c>
    </row>
    <row r="25" spans="1:15" x14ac:dyDescent="0.3">
      <c r="E25">
        <v>3</v>
      </c>
      <c r="F25">
        <v>1</v>
      </c>
      <c r="G25">
        <v>50</v>
      </c>
      <c r="H25">
        <f>G25/100</f>
        <v>0.5</v>
      </c>
      <c r="I25">
        <f>H25*F25</f>
        <v>0.5</v>
      </c>
    </row>
    <row r="26" spans="1:15" x14ac:dyDescent="0.3">
      <c r="E26">
        <v>4</v>
      </c>
      <c r="F26">
        <v>4</v>
      </c>
      <c r="G26">
        <v>40</v>
      </c>
      <c r="H26">
        <f t="shared" ref="H26:H27" si="7">G26/100</f>
        <v>0.4</v>
      </c>
      <c r="I26">
        <f t="shared" ref="I26:I27" si="8">H26*F26</f>
        <v>1.6</v>
      </c>
    </row>
    <row r="27" spans="1:15" x14ac:dyDescent="0.3">
      <c r="E27">
        <v>5</v>
      </c>
      <c r="F27">
        <v>16</v>
      </c>
      <c r="G27">
        <v>10</v>
      </c>
      <c r="H27">
        <f t="shared" si="7"/>
        <v>0.1</v>
      </c>
      <c r="I27">
        <f t="shared" si="8"/>
        <v>1.6</v>
      </c>
    </row>
    <row r="28" spans="1:15" x14ac:dyDescent="0.3">
      <c r="H28">
        <v>600</v>
      </c>
      <c r="I28">
        <f>SUM(I25:I27)</f>
        <v>3.7</v>
      </c>
    </row>
    <row r="29" spans="1:15" x14ac:dyDescent="0.3">
      <c r="H29" t="s">
        <v>108</v>
      </c>
    </row>
    <row r="30" spans="1:15" x14ac:dyDescent="0.3">
      <c r="H30">
        <v>600</v>
      </c>
      <c r="I30" t="s">
        <v>109</v>
      </c>
    </row>
    <row r="32" spans="1:15" x14ac:dyDescent="0.3">
      <c r="F32" s="14" t="s">
        <v>110</v>
      </c>
      <c r="G32" s="14" t="s">
        <v>111</v>
      </c>
      <c r="H32" s="14" t="s">
        <v>112</v>
      </c>
    </row>
    <row r="33" spans="6:9" x14ac:dyDescent="0.3">
      <c r="F33" s="15" t="s">
        <v>113</v>
      </c>
      <c r="G33" s="15">
        <v>1</v>
      </c>
      <c r="H33" s="24" t="s">
        <v>114</v>
      </c>
      <c r="I33">
        <v>162</v>
      </c>
    </row>
    <row r="34" spans="6:9" x14ac:dyDescent="0.3">
      <c r="F34" s="15" t="s">
        <v>115</v>
      </c>
      <c r="G34" s="15">
        <v>4</v>
      </c>
      <c r="H34" s="24" t="s">
        <v>116</v>
      </c>
      <c r="I34">
        <v>648</v>
      </c>
    </row>
    <row r="35" spans="6:9" x14ac:dyDescent="0.3">
      <c r="F35" s="15" t="s">
        <v>117</v>
      </c>
      <c r="G35" s="15">
        <v>16</v>
      </c>
      <c r="H35" s="24" t="s">
        <v>118</v>
      </c>
      <c r="I35">
        <v>2594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패기</vt:lpstr>
      <vt:lpstr>신수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2026-03-15T08:36:05Z</dcterms:created>
  <dcterms:modified xsi:type="dcterms:W3CDTF">2026-03-15T08:53:32Z</dcterms:modified>
</cp:coreProperties>
</file>